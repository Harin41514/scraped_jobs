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in-043ee4350424b37b</t>
        </is>
      </c>
      <c r="B2" t="inlineStr">
        <is>
          <t>Manager, Software Engineering Product Manager (Rapid Response)</t>
        </is>
      </c>
      <c r="C2" t="inlineStr">
        <is>
          <t>Nationwide Mutual Insurance Company</t>
        </is>
      </c>
      <c r="D2" t="inlineStr">
        <is>
          <t>indeed</t>
        </is>
      </c>
      <c r="E2">
        <f>HYPERLINK("https://www.indeed.com/viewjob?jk=043ee4350424b37b", "https://www.indeed.com/viewjob?jk=043ee4350424b37b")</f>
        <v/>
      </c>
      <c r="F2">
        <f>HYPERLINK("https://careers.nationwide.com/manager-software-engineering-product-manager-rapid-response/job/0EC93431129D1BE9556513D50F3C9D25", "https://careers.nationwide.com/manager-software-engineering-product-manager-rapid-response/job/0EC93431129D1BE9556513D50F3C9D25")</f>
        <v/>
      </c>
      <c r="G2" t="inlineStr">
        <is>
          <t>Columbus, OH, US</t>
        </is>
      </c>
      <c r="H2" s="2" t="n">
        <v>46044</v>
      </c>
      <c r="I2"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care.**This role will work a hybrid schedule coming into the Columbus, Ohio or Des Moines, Iowa office 2 days per week on Mondays \&amp; Tuesdays.**
Do you excel at driving operational excellence and tackling challenges in real time? Commercial Lines Solutions (CLS) is seeking a Rapid Response Manager to help us build a resilient, high‑performing technology environment where uptime is the standard, and every incident becomes an opportunity for growth.
**About the Role**  
As our Rapid Response Manager, you’ll lead the charge in managing high‑impact incidents across our application landscape. You’ll oversee a dedicated team of associates and vendor partners, ensuring swift, coordinated responses that minimize disruption and drive continuous improvement.
**What You’ll Do**
* Lead 24/7 response for P0 incidents, coordinating resolution efforts.
* Manage P1 incidents with urgency, ensuring effective escalation and communication.
* Leverage AI‑driven tools and automation to accelerate incident detection, triage, and resolution, improving overall productivity and reducing response times.
* Facilitate post‑incident reviews, identify root causes, and drive follow‑up actions to prevent recurrence.
* Serve as the central point of contact during incidents, keeping leadership and impacted teams informed.
* Lead a team of internal associates and vendor partners to ensure seamless incident response.
* Lead and manage offshore teams operating under a Managed Service Agreement model, ensuring alignment, accountability, and consistent delivery.
**What You Bring**
* Proven experience in incident management and leading cross‑functional teams.
* Strong leadership and coordination skills in high‑pressure scenarios.
* Expertise with ITSM tools like ServiceNow and Jira.
* Excellent communication, problem‑solving, and decision‑making abilities.
* Demonstrated success improving incident SLAs through KPI‑driven analytics and targeted process improvement.
* Proven experience managing Managed Service Agreements and driving vendor accountability for consistent, high‑quality delivery.
* Experience in Commercial Lines Insurance operations and familiarity with Policy Administration Systems is a huge plus.
\#LI\-AC1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Engineering Product Manager, you’ll be accountable for a suite of in house or third party applications. You'll lead teams of technology professionals to enable business outcomes and provide reliable customer\-centric solutions and experiences.**Job Description**
**Key Responsibilities:**
* Responsible for applying secure software and systems engineering practices throughout the delivery lifecycle to ensure our data and technology solutions are protected from threats and vulnerabilities.
* Partners with leaders to ensure a viable total cost of ownership and ongoing health and wellness of applications.
* Assists in the development and implementation of application suite roadmaps through the evaluation of business needs, competitive landscape, technology currency and information security considerations.
* Manages risk mitigation controls and provides support for internal and external audits.
* Supports the engineering build of the application suite and non technical efforts for the products.
* Represents voice of the customer, acts in a forward\-facing role to business partners as an active member of a portfolio management team in the advocation of business case development, planning, financial management and evaluation of portfolio.
* Hire and develop talent, provide consistent coaching and feedback.
* Responsible for delivery availability and resiliency following established operating mechanisms and best practices.
May perform other responsibilities as assigned.
**Reporting Relationships:** Reports to Technology Director or above. Leads a team of 5 or more technology professionals.
**Typical Skills and Experiences:**
**Education:** Undergraduate studies in management information systems, engineering, math, computer science or comparable experience and education preferred.
**Experience:** Six years of experience in application suite management with four years or more leading numerous teams across multiple technologies. Proven experience in empowering and building an engaged team.
**Knowledge, Abilities and Skills:** Detailed understanding and knowledge of the systems development life cycle and modern methodologies, practices, tools, and techniques. Solid understanding of concepts and techniques in project delivery, budgeting, forecasting and financial analysis. Ability to develop and implement roadmap strategies. Proven decision\-making and problem\-solving skills. Coaching and career development of team. Ability to develop and maintain positive relationships. Insurance/financial services industry knowledge is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Normal office environment.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Manager, Software Engineering Product Manager : $118,000\.00\-$222,000\.00
The expected starting salary range for Manager, Software Engineering Product Manager : $118,000\.00 \- $178,000\.00</t>
        </is>
      </c>
    </row>
    <row r="3">
      <c r="A3" t="inlineStr">
        <is>
          <t>in-364508098ebd6025</t>
        </is>
      </c>
      <c r="B3" t="inlineStr">
        <is>
          <t>Manager, Software Engineering Product Manager (Rapid Response)</t>
        </is>
      </c>
      <c r="C3" t="inlineStr">
        <is>
          <t>Nationwide Mutual Insurance Company</t>
        </is>
      </c>
      <c r="D3" t="inlineStr">
        <is>
          <t>indeed</t>
        </is>
      </c>
      <c r="E3">
        <f>HYPERLINK("https://www.indeed.com/viewjob?jk=364508098ebd6025", "https://www.indeed.com/viewjob?jk=364508098ebd6025")</f>
        <v/>
      </c>
      <c r="F3">
        <f>HYPERLINK("https://careers.nationwide.com/manager-software-engineering-product-manager-rapid-response/job/0EC93431129D1BE9556513D50F3C9D25", "https://careers.nationwide.com/manager-software-engineering-product-manager-rapid-response/job/0EC93431129D1BE9556513D50F3C9D25")</f>
        <v/>
      </c>
      <c r="G3" t="inlineStr">
        <is>
          <t>Des Moines, IA, US</t>
        </is>
      </c>
      <c r="H3" s="2" t="n">
        <v>46044</v>
      </c>
      <c r="I3"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care.**This role will work a hybrid schedule coming into the Columbus, Ohio or Des Moines, Iowa office 2 days per week on Mondays \&amp; Tuesdays.**
Do you excel at driving operational excellence and tackling challenges in real time? Commercial Lines Solutions (CLS) is seeking a Rapid Response Manager to help us build a resilient, high‑performing technology environment where uptime is the standard, and every incident becomes an opportunity for growth.
**About the Role**  
As our Rapid Response Manager, you’ll lead the charge in managing high‑impact incidents across our application landscape. You’ll oversee a dedicated team of associates and vendor partners, ensuring swift, coordinated responses that minimize disruption and drive continuous improvement.
**What You’ll Do**
* Lead 24/7 response for P0 incidents, coordinating resolution efforts.
* Manage P1 incidents with urgency, ensuring effective escalation and communication.
* Leverage AI‑driven tools and automation to accelerate incident detection, triage, and resolution, improving overall productivity and reducing response times.
* Facilitate post‑incident reviews, identify root causes, and drive follow‑up actions to prevent recurrence.
* Serve as the central point of contact during incidents, keeping leadership and impacted teams informed.
* Lead a team of internal associates and vendor partners to ensure seamless incident response.
* Lead and manage offshore teams operating under a Managed Service Agreement model, ensuring alignment, accountability, and consistent delivery.
**What You Bring**
* Proven experience in incident management and leading cross‑functional teams.
* Strong leadership and coordination skills in high‑pressure scenarios.
* Expertise with ITSM tools like ServiceNow and Jira.
* Excellent communication, problem‑solving, and decision‑making abilities.
* Demonstrated success improving incident SLAs through KPI‑driven analytics and targeted process improvement.
* Proven experience managing Managed Service Agreements and driving vendor accountability for consistent, high‑quality delivery.
* Experience in Commercial Lines Insurance operations and familiarity with Policy Administration Systems is a huge plus.
\#LI\-AC1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Engineering Product Manager, you’ll be accountable for a suite of in house or third party applications. You'll lead teams of technology professionals to enable business outcomes and provide reliable customer\-centric solutions and experiences.**Job Description**
**Key Responsibilities:**
* Responsible for applying secure software and systems engineering practices throughout the delivery lifecycle to ensure our data and technology solutions are protected from threats and vulnerabilities.
* Partners with leaders to ensure a viable total cost of ownership and ongoing health and wellness of applications.
* Assists in the development and implementation of application suite roadmaps through the evaluation of business needs, competitive landscape, technology currency and information security considerations.
* Manages risk mitigation controls and provides support for internal and external audits.
* Supports the engineering build of the application suite and non technical efforts for the products.
* Represents voice of the customer, acts in a forward\-facing role to business partners as an active member of a portfolio management team in the advocation of business case development, planning, financial management and evaluation of portfolio.
* Hire and develop talent, provide consistent coaching and feedback.
* Responsible for delivery availability and resiliency following established operating mechanisms and best practices.
May perform other responsibilities as assigned.
**Reporting Relationships:** Reports to Technology Director or above. Leads a team of 5 or more technology professionals.
**Typical Skills and Experiences:**
**Education:** Undergraduate studies in management information systems, engineering, math, computer science or comparable experience and education preferred.
**Experience:** Six years of experience in application suite management with four years or more leading numerous teams across multiple technologies. Proven experience in empowering and building an engaged team.
**Knowledge, Abilities and Skills:** Detailed understanding and knowledge of the systems development life cycle and modern methodologies, practices, tools, and techniques. Solid understanding of concepts and techniques in project delivery, budgeting, forecasting and financial analysis. Ability to develop and implement roadmap strategies. Proven decision\-making and problem\-solving skills. Coaching and career development of team. Ability to develop and maintain positive relationships. Insurance/financial services industry knowledge is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Normal office environment.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Manager, Software Engineering Product Manager : $118,000\.00\-$222,000\.00
The expected starting salary range for Manager, Software Engineering Product Manager : $118,000\.00 \- $178,000\.00</t>
        </is>
      </c>
    </row>
    <row r="4">
      <c r="A4" t="inlineStr">
        <is>
          <t>in-51e57933a1572744</t>
        </is>
      </c>
      <c r="B4" t="inlineStr">
        <is>
          <t>Cyber Software Engineer</t>
        </is>
      </c>
      <c r="C4" t="inlineStr">
        <is>
          <t>MANTECH</t>
        </is>
      </c>
      <c r="D4" t="inlineStr">
        <is>
          <t>indeed</t>
        </is>
      </c>
      <c r="E4">
        <f>HYPERLINK("https://www.indeed.com/viewjob?jk=51e57933a1572744", "https://www.indeed.com/viewjob?jk=51e57933a1572744")</f>
        <v/>
      </c>
      <c r="F4">
        <f>HYPERLINK("https://click.appcast.io/t/I6ODOLsNL4YKVJatYy878BVMM4IsuOh8faIHte56GFA=", "https://click.appcast.io/t/I6ODOLsNL4YKVJatYy878BVMM4IsuOh8faIHte56GFA=")</f>
        <v/>
      </c>
      <c r="G4" t="inlineStr">
        <is>
          <t>Herndon, VA, US</t>
        </is>
      </c>
      <c r="H4" s="2" t="n">
        <v>46044</v>
      </c>
      <c r="I4" t="inlineStr">
        <is>
          <t>**MANTECH** seeks a driven and mission\-focused **Software Developer** to join our elite team based in **Herndon, VA.**
In this role, you will contribute directly to innovative projects that support the Intelligence Community, helping to protect our country from emerging threats. If you’re passionate about building cutting\-edge capabilities and are excited by national security challenges, we want to hear from you. This position offers the chance to grow your expertise alongside talented Software Developers, Data Engineers, and System Engineers—pioneering solutions that make a national impact.
 **Responsibilities include, but are not limited to:**
* Understand requirements and design and develop software components.
* Research software concepts, develop, and demo proof\-of\-concepts.
* Collaborate with team members to understand current product features.
* Develop automated unit and integration tests.
* Participate in code reviews.
* Engage in the project's agile development process.
* Effectively communicate with fellow developers and occasionally with end\-users.
* Demonstrate excellent problem\-solving skills, attention to detail, and performance\-oriented thinking.
* Contribute to ongoing improvements in software integration and CI/CD pipeline processes.
 **Minimum Qualifications:**
* High School Diploma with 5\+ years of relevant software development experience
* Experience developing with Python
* Experience in SQL
* Results\-driven with strong critical thinking and problem\-solving skills
* Ability to work independently with minimal supervision and effectively collaborate as part of a team
 **Preferred Qualifications:**
* Bachelor’s degree, preferably in Computer Science or equivalent field
* Experience with Agile development methodologies, daily SCRUM, and JIRA
* Experience with Node.js
 **Physical Requirements:**
* Must be able to remain in a stationary position 50% of the time
* Must occasionally move about inside the office to access file cabinets, office machinery, etc.
* Must be able to communicate with co\-workers, management, and customers, which may involve delivering presentations. Must be able to exchange accurate information in these situations.</t>
        </is>
      </c>
    </row>
    <row r="5">
      <c r="A5" t="inlineStr">
        <is>
          <t>in-b13efcd734cc3203</t>
        </is>
      </c>
      <c r="B5" t="inlineStr">
        <is>
          <t>Senior Software Engineer-Aero Platform (GM Motorsports)</t>
        </is>
      </c>
      <c r="C5" t="inlineStr">
        <is>
          <t>General Motors (GM)</t>
        </is>
      </c>
      <c r="D5" t="inlineStr">
        <is>
          <t>indeed</t>
        </is>
      </c>
      <c r="E5">
        <f>HYPERLINK("https://www.indeed.com/viewjob?jk=b13efcd734cc3203", "https://www.indeed.com/viewjob?jk=b13efcd734cc3203")</f>
        <v/>
      </c>
      <c r="F5">
        <f>HYPERLINK("https://generalmotors.wd5.myworkdayjobs.com/en-US/Careers_GM/job/Concord-North-Carolina-United-States-of-America/Senior-Software-Engineer-Aero-Platform--GM-Motorsports-_JR-202600343", "https://generalmotors.wd5.myworkdayjobs.com/en-US/Careers_GM/job/Concord-North-Carolina-United-States-of-America/Senior-Software-Engineer-Aero-Platform--GM-Motorsports-_JR-202600343")</f>
        <v/>
      </c>
      <c r="G5" t="inlineStr">
        <is>
          <t>Concord, NC, US</t>
        </is>
      </c>
      <c r="H5" s="2" t="n">
        <v>46044</v>
      </c>
      <c r="I5" t="inlineStr">
        <is>
          <t>**Job Description**
**The Team:**
GM’s Motorsports Software team analyzes, defines, and delivers next generation groundbreaking Motorsports IT software solutions. Using both innovative cloud\-based infrastructure and software development standards, these solutions enable innovative interactions between GM Global Engineering, GM Motorsports, and our Race teams that accelerate our drivers to the finish line first!
Our combined team of analysts, architects, developers, data engineers, testers, and project managers work with GM Motorsports Engineering and Race teams to ensure podium wins for GM’s NASCAR, IndyCar, IMSA, and now Formula 1 sportscar teams!
**The Role:**
This position is a Senior Software Developer position to support development of a new Software team focused on Aero \&amp; Computational Fluid Dynamics. For this role you will expected to have progressive, demonstrated success in software development experience developing applications using a variety of tools, languages, frameworks, and technologies.  
**What You'll Do (Responsibilities):**
* Implement and maintain GM Motorsports aero\-thermal applications including CFD model construction, visualization, and analysis using microservices architectures to creatively integrate loosely coupled systems.
* Define a templated approach to integrate dependent systems in a functional programming model.
* Scrum story delivery.
* Playbooks, implementation architectures, interfaces, build frameworks, code, testing, deployment for your story.
* Participation in solution architectures.
* Working with other members to collaborate, support, and otherwise work together.
**Your Skills \&amp; Abilities (Required Qualifications):**
* 5\+ years hands\-on full stack or XR development experience
* 2\+ years hands\-on web services design and development experience
* Experience in cross platform (mobile/web) optimizing, profiling, and debugging
* Strong UI/UX Design experience across mobile and web
* Proficient in two or more of Java, JavaScript, Python, Scala, C\#/.Net and React or Angular
* Containerized software applications, platforms, and tools including Kubernetes, Docker
* Good understanding of software development best practices, devops, CI/CD
* Experience working in an agile/scrum environment
**People Skills:**
* Demonstrated (show us) technical acumen, your technical decisions, and knowledge of distributed, event driven applications and rich user experiences
* Highly collaborative work style with strong listening and communications skills
**What Will Give You A Competitive Edge (Preferred Qualifications):**
* Bachelor's degree (or higher) in Computer Science, Software Engineering, Aerospace, Mechanical Engineering, or relevant technical discipline
* Development experience with VR frameworks such as Unity, Unreal Engine
* Experience with data streaming technologies such as Akka, MQTT, Pulsar, Kafka, Azure Event Hubs
* Varied integration experience with RPC, REST, GRPC
* Experience/knowledge of Azure and Azure Resources or other SAAS/PAAS platforms
* Team leadership and architecture experience
* Knowledge of stateless, functional models for system development
* Knowledge of data serialization techniques and libraries such as Avro, Google protocol buffers
* Advanced knowledge of Artificial Intelligence \&amp; Machine Learning
* Passion for Motorsports and working in a high\-pace environment
\#LI\-DH2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
      <c r="A6" t="inlineStr">
        <is>
          <t>in-cb7247bb017472bb</t>
        </is>
      </c>
      <c r="B6" t="inlineStr">
        <is>
          <t>Associate Software Engineer-Python and Big Data</t>
        </is>
      </c>
      <c r="C6" t="inlineStr">
        <is>
          <t>Cotiviti</t>
        </is>
      </c>
      <c r="D6" t="inlineStr">
        <is>
          <t>indeed</t>
        </is>
      </c>
      <c r="E6">
        <f>HYPERLINK("https://www.indeed.com/viewjob?jk=cb7247bb017472bb", "https://www.indeed.com/viewjob?jk=cb7247bb017472bb")</f>
        <v/>
      </c>
      <c r="F6">
        <f>HYPERLINK("https://careers-cotiviti.icims.com/jobs/17498/job?utm_source=indeed_integration&amp;iis=Job%20Board&amp;iisn=Indeed&amp;indeed-apply-token=73a2d2b2a8d6d5c0a62696875eaebd669103652d3f0c2cd5445d3e66b1592b0f", "https://careers-cotiviti.icims.com/jobs/17498/job?utm_source=indeed_integration&amp;iis=Job%20Board&amp;iisn=Indeed&amp;indeed-apply-token=73a2d2b2a8d6d5c0a62696875eaebd669103652d3f0c2cd5445d3e66b1592b0f")</f>
        <v/>
      </c>
      <c r="G6" t="inlineStr">
        <is>
          <t>Remote, US</t>
        </is>
      </c>
      <c r="H6" s="2" t="n">
        <v>46044</v>
      </c>
      <c r="I6" t="inlineStr">
        <is>
          <t>Overview:
Cotiviti is a leading solutions and analytics company that leverages unparalleled clinical and financial datasets to deliver deep insight into the performance of the healthcare system. These insights uncover new opportunities for healthcare organizations to collaborate to improve their financial performance, reduce inefficiency, and improve healthcare quality.  
The healthcare landscape is rapidly changing. As an **Associate Software Engineer** you will apply your knowledge and experience to real world problems, and seek to utilize Artificial Intelligence, Machine Learning and related technologies to reduce the cost of healthcare and improve health quality and outcomes. With access to dedicated on premise and cloud based big data solutions, you will have the opportunity to work with a vast amount of structured and unstructured data including claims, membership, physician demographics, medical records and others to begin to solve some of the most pressing healthcare issues of our time. This position will also have the opportunity to work directly with a team of healthcare professionals including analysts, clinicians, coding specialists, auditors and innovators to set aggressive goals and execute on them with the team. This is for an ambitious technologist, with the flexibility and personal drive to succeed in a dynamic environment where they are judged based on their direct impact to business outcomes.
Responsibilities:
* Understand business needs and identify potential use cases in more than one business unit. Work with external partners to develop a minimal viable product to meet those needs while resolving any issues that may arise.
* Consistently collaborate with fellow data scientists, data engineers and frequently interact with business partners, project managers, cross\-functional teams, key stakeholders, and other domains to build analytics capabilities and drive business value.
* Continuously work to be updated on the latest developments in AI and the healthcare industry. Work with key stakeholders both within R\&amp;D and Operations, along with product management to assess the potential value and risks associated with business problems that have the potential to be solved using machine learning and AI techniques.
* Learn new technologies and apply them to the problem space.
* Peer review software changes by other developers.
* Provide technical guidance to the team on development.
* Document the specifications, design, features, and operation of applications prior to production rollout.
* Achieve organizational and individual goals as identified in performance reviews and goal setting exercises.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  
Qualifications:
* Bachelor’s degree in Computer Science, Software Engineering, or a related technical field (or equivalent practical experience). Masters is a plus.
* 1\-2 years experience and strong foundation in at least one programming language preferably **Python.**
* 1\-2 years experience in working in Big Data environments.
* 1\-2 years experience working with **SQL** and relational databases (e.g., PostgreSQL, MySQL, SQL Server).
* Basic understanding of **data structures, algorithms, and software development fundamentals**.
* Familiarity with **REST APIs**, JSON, and basic service\-to\-service communication.
* Exposure to **Git** and collaborative development workflows.
**GenAI \&amp; AI Foundations*** Introductory understanding of **Generative AI concepts**, including: Large Language Models (LLMs), Prompt engineering basics, Model inference and API\-based model consumption.
* Familiarity with AI frameworks or platforms (e.g., OpenAI APIs, Hugging Face, LangChain, or similar).
* Awareness of **AI agents** concepts such as: Tool calling, Task orchestration, Multi\-step reasoning workflows
**Data \&amp; Healthcare Exposure*** Experience working with **structured datasets**, including data validation and transformation.
* Basic understanding of **healthcare data concepts**, such as claims data, clinical data, or member/provider data (academic or internship project\-based exposure acceptable).
* Awareness of **data privacy and security principles** (e.g., HIPAA concepts, least\-privilege access).
* Ability to follow data governance and compliance guidelines when handling sensitive data.
**Cognitive / Mental Requirements*** Ability to multitask and prioritize projects to meet scheduled deadlines and tight turnaround times.
* Ability to work well independently or in a team environment.
* Communicating with others to exchange information.
Assessing the accuracy, neatness and thoroughness of the work assigned.  
* 
**Physical Requirements And Working Conditions**  
* Remaining in a stationary position, often standing or sitting for prolonged periods.
* Repeating motions that may include the wrists, hands and/or fingers.
* No adverse environmental conditions expected.
* Must be able to provide a dedicated, secure work area.
* Must be able to provide high\-speed internet access / connectivity and office setup and maintenance.
 **Pay Transparency:**
Base compensation ranges from $75,000\.00 to $95,000\.00\. Specific offers are determined by various factors, such as experience, education, skills, certifications, and other business needs.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Since this job will be based remotely, all interviews will be conducted virtually.  
Date of posting: 01/13/2026
Applications are assessed on a rolling basis. We anticipate that the application window will close on 04/13/2026, but the application window may change depending on the volume of applications received or close immediately if a qualified candidate is selected.</t>
        </is>
      </c>
    </row>
    <row r="7">
      <c r="A7" t="inlineStr">
        <is>
          <t>in-9c016533ad906a0c</t>
        </is>
      </c>
      <c r="B7" t="inlineStr">
        <is>
          <t>Software Engineer II - iOS Engineer</t>
        </is>
      </c>
      <c r="C7" t="inlineStr">
        <is>
          <t>Uber</t>
        </is>
      </c>
      <c r="D7" t="inlineStr">
        <is>
          <t>indeed</t>
        </is>
      </c>
      <c r="E7">
        <f>HYPERLINK("https://www.indeed.com/viewjob?jk=9c016533ad906a0c", "https://www.indeed.com/viewjob?jk=9c016533ad906a0c")</f>
        <v/>
      </c>
      <c r="F7">
        <f>HYPERLINK("https://tnl2.jometer.com/v2/job?jz=5wqzs8cefd28953c3079ab087ebd0cdee9fbcKMAAKAAAAABQ&amp;iis=Job%20Board%20-%20Recruitment%20Marketing&amp;iisn=Indeed%20Organic", "https://tnl2.jometer.com/v2/job?jz=5wqzs8cefd28953c3079ab087ebd0cdee9fbcKMAAKAAAAABQ&amp;iis=Job%20Board%20-%20Recruitment%20Marketing&amp;iisn=Indeed%20Organic")</f>
        <v/>
      </c>
      <c r="G7" t="inlineStr">
        <is>
          <t>San Francisco, CA, US</t>
        </is>
      </c>
      <c r="H7" s="2" t="n">
        <v>46045</v>
      </c>
      <c r="I7" t="inlineStr">
        <is>
          <t>**About the Role**
The Earner Trip Experience (TripX) team builds seamless and intuitive on\-trip experiences that help Earners get their jobs done reliably and efficiently\-from pickup to dropoff. As a Software Engineer II \- iOS, you'll contribute to user\-facing features that directly impact millions of Earners, while learning to build reliable, scalable mobile systems used at Uber's global scale.
\- What the Candidate Will Do \-  
* Build and maintain iOS features that support Earners' on\-trip experiences, from pickup to dropoff
* Partner with senior engineers, product managers, designers, and data scientists to deliver high\-quality user experiences
* Write clean, testable, and maintainable code while learning Uber's iOS architecture and development standards
* Participate in code reviews, design discussions, and team rituals to continuously improve engineering quality
* Help debug and resolve production issues to improve app stability and user trust
\- Basic Qualifications \-  
* 2\+ years of experience developing iOS applications using Swift and/or Objective\-C
* Solid understanding of iOS fundamentals (UIView/UIViewController lifecycle, Auto Layout, app state management)
* Experience using Git and collaborating through code reviews in a team environment
Strong learning mindset and interest in building products that support real\-world workflows
\- Preferred Qualifications \-  
* Experience with modern iOS development practices
* Familiarity with consuming Backend APIs and handling performance, reliability, or crash issues
Exposure to experimentation, analytics, or data\-informed product development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8">
      <c r="A8" t="inlineStr">
        <is>
          <t>in-f1c7b822484b59e0</t>
        </is>
      </c>
      <c r="B8" t="inlineStr">
        <is>
          <t>Software Engineer II - iOS Engineer</t>
        </is>
      </c>
      <c r="C8" t="inlineStr">
        <is>
          <t>Uber</t>
        </is>
      </c>
      <c r="D8" t="inlineStr">
        <is>
          <t>indeed</t>
        </is>
      </c>
      <c r="E8">
        <f>HYPERLINK("https://www.indeed.com/viewjob?jk=f1c7b822484b59e0", "https://www.indeed.com/viewjob?jk=f1c7b822484b59e0")</f>
        <v/>
      </c>
      <c r="F8">
        <f>HYPERLINK("https://tnl2.jometer.com/v2/job?jz=5wqzs86aa4bb42979f3fb79f1b1e1f7409f69KMAAKAAAAABQ&amp;iis=Job%20Board%20-%20Recruitment%20Marketing&amp;iisn=Indeed%20Organic", "https://tnl2.jometer.com/v2/job?jz=5wqzs86aa4bb42979f3fb79f1b1e1f7409f69KMAAKAAAAABQ&amp;iis=Job%20Board%20-%20Recruitment%20Marketing&amp;iisn=Indeed%20Organic")</f>
        <v/>
      </c>
      <c r="G8" t="inlineStr">
        <is>
          <t>Sunnyvale, CA, US</t>
        </is>
      </c>
      <c r="H8" s="2" t="n">
        <v>46045</v>
      </c>
      <c r="I8" t="inlineStr">
        <is>
          <t>**About the Role**
The Earner Trip Experience (TripX) team builds seamless and intuitive on\-trip experiences that help Earners get their jobs done reliably and efficiently\-from pickup to dropoff. As a Software Engineer II \- iOS, you'll contribute to user\-facing features that directly impact millions of Earners, while learning to build reliable, scalable mobile systems used at Uber's global scale.
\- What the Candidate Will Do \-  
* Build and maintain iOS features that support Earners' on\-trip experiences, from pickup to dropoff
* Partner with senior engineers, product managers, designers, and data scientists to deliver high\-quality user experiences
* Write clean, testable, and maintainable code while learning Uber's iOS architecture and development standards
* Participate in code reviews, design discussions, and team rituals to continuously improve engineering quality
* Help debug and resolve production issues to improve app stability and user trust
\- Basic Qualifications \-  
* 2\+ years of experience developing iOS applications using Swift and/or Objective\-C
* Solid understanding of iOS fundamentals (UIView/UIViewController lifecycle, Auto Layout, app state management)
* Experience using Git and collaborating through code reviews in a team environment
Strong learning mindset and interest in building products that support real\-world workflows
\- Preferred Qualifications \-  
* Experience with modern iOS development practices
* Familiarity with consuming Backend APIs and handling performance, reliability, or crash issues
Exposure to experimentation, analytics, or data\-informed product development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
      <c r="A9" t="inlineStr">
        <is>
          <t>in-53bcd0eb7821b6ef</t>
        </is>
      </c>
      <c r="B9" t="inlineStr">
        <is>
          <t>Software Engineer II - Android Engineer</t>
        </is>
      </c>
      <c r="C9" t="inlineStr">
        <is>
          <t>Uber</t>
        </is>
      </c>
      <c r="D9" t="inlineStr">
        <is>
          <t>indeed</t>
        </is>
      </c>
      <c r="E9">
        <f>HYPERLINK("https://www.indeed.com/viewjob?jk=53bcd0eb7821b6ef", "https://www.indeed.com/viewjob?jk=53bcd0eb7821b6ef")</f>
        <v/>
      </c>
      <c r="F9">
        <f>HYPERLINK("https://tnl2.jometer.com/v2/job?jz=5wqzs735912ff48e0cd6093e9fb167c86c6c4KMAAKAAAAABQ&amp;iis=Job%20Board%20-%20Recruitment%20Marketing&amp;iisn=Indeed%20Organic", "https://tnl2.jometer.com/v2/job?jz=5wqzs735912ff48e0cd6093e9fb167c86c6c4KMAAKAAAAABQ&amp;iis=Job%20Board%20-%20Recruitment%20Marketing&amp;iisn=Indeed%20Organic")</f>
        <v/>
      </c>
      <c r="G9" t="inlineStr">
        <is>
          <t>San Francisco, CA, US</t>
        </is>
      </c>
      <c r="H9" s="2" t="n">
        <v>46045</v>
      </c>
      <c r="I9" t="inlineStr">
        <is>
          <t>**About the Role**
The Earner Trip Experience (Tripex) team builds seamless and intuitive on\-trip experiences that help Earners get their jobs done reliably and efficiently\-from pickup to dropoff. As a Software Engineer II \- Android Engineer, you'll work on user\-facing features that directly impact millions of Earners, contributing to high\-quality mobile experiences while learning to build scalable systems at Uber's scale.
What you will do:  
* Build and maintain Android features that support Earners' on\-trip experiences, from pickup to dropoff
* Collaborate closely with senior engineers, product managers, designers and data scientists to deliver high\-quality user experiences
* Write clean, testable, and maintainable code while learning Uber's mobile architecture and best practices, contribute to platform building
* Participate in code reviews, design discussions, and team rituals to grow technical and collaboration skills
Help diagnose and fix bugs or performance issues to improve app reliability and user trust  
* 
Basic Qualifications:  
* 2\+ years of experience developing Android applications using Kotlin and/or Java
* Solid understanding of Android fundamentals (Activities/Fragments, lifecycle, UI layouts, networking)
* Experience working with Git and contributing code through reviews in a team environment
Strong learning mindset and interest in building products that support real\-world workflows  
* 
Preferred Qualifications:  
* Experience with modern Android development practices
* Familiarity with consuming Backend APIs and handling client\-side performance or reliability issues
Exposure to experimentation, metrics, or data\-informed product development  
*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
      <c r="A10" t="inlineStr">
        <is>
          <t>in-712bd28782f6ba10</t>
        </is>
      </c>
      <c r="B10" t="inlineStr">
        <is>
          <t>Software Engineer II - Android Engineer</t>
        </is>
      </c>
      <c r="C10" t="inlineStr">
        <is>
          <t>Uber</t>
        </is>
      </c>
      <c r="D10" t="inlineStr">
        <is>
          <t>indeed</t>
        </is>
      </c>
      <c r="E10">
        <f>HYPERLINK("https://www.indeed.com/viewjob?jk=712bd28782f6ba10", "https://www.indeed.com/viewjob?jk=712bd28782f6ba10")</f>
        <v/>
      </c>
      <c r="F10">
        <f>HYPERLINK("https://tnl2.jometer.com/v2/job?jz=5wqzs1c0a74559644b19d63b51238a8568cdcKMAAKAAAAABQ&amp;iis=Job%20Board%20-%20Recruitment%20Marketing&amp;iisn=Indeed%20Organic", "https://tnl2.jometer.com/v2/job?jz=5wqzs1c0a74559644b19d63b51238a8568cdcKMAAKAAAAABQ&amp;iis=Job%20Board%20-%20Recruitment%20Marketing&amp;iisn=Indeed%20Organic")</f>
        <v/>
      </c>
      <c r="G10" t="inlineStr">
        <is>
          <t>Sunnyvale, CA, US</t>
        </is>
      </c>
      <c r="H10" s="2" t="n">
        <v>46045</v>
      </c>
      <c r="I10" t="inlineStr">
        <is>
          <t>**About the Role**
The Earner Trip Experience (Tripex) team builds seamless and intuitive on\-trip experiences that help Earners get their jobs done reliably and efficiently\-from pickup to dropoff. As a Software Engineer II \- Android Engineer, you'll work on user\-facing features that directly impact millions of Earners, contributing to high\-quality mobile experiences while learning to build scalable systems at Uber's scale.
What you will do:  
* Build and maintain Android features that support Earners' on\-trip experiences, from pickup to dropoff
* Collaborate closely with senior engineers, product managers, designers and data scientists to deliver high\-quality user experiences
* Write clean, testable, and maintainable code while learning Uber's mobile architecture and best practices, contribute to platform building
* Participate in code reviews, design discussions, and team rituals to grow technical and collaboration skills
Help diagnose and fix bugs or performance issues to improve app reliability and user trust  
* 
Basic Qualifications:  
* 2\+ years of experience developing Android applications using Kotlin and/or Java
* Solid understanding of Android fundamentals (Activities/Fragments, lifecycle, UI layouts, networking)
* Experience working with Git and contributing code through reviews in a team environment
Strong learning mindset and interest in building products that support real\-world workflows  
* 
Preferred Qualifications:  
* Experience with modern Android development practices
* Familiarity with consuming Backend APIs and handling client\-side performance or reliability issues
Exposure to experimentation, metrics, or data\-informed product development  
*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1">
      <c r="A11" t="inlineStr">
        <is>
          <t>in-5dc9d5a89024ca87</t>
        </is>
      </c>
      <c r="B11" t="inlineStr">
        <is>
          <t>Senior Software Engineer (Backend)</t>
        </is>
      </c>
      <c r="C11" t="inlineStr">
        <is>
          <t>NTT DATA</t>
        </is>
      </c>
      <c r="D11" t="inlineStr">
        <is>
          <t>indeed</t>
        </is>
      </c>
      <c r="E11">
        <f>HYPERLINK("https://www.indeed.com/viewjob?jk=5dc9d5a89024ca87", "https://www.indeed.com/viewjob?jk=5dc9d5a89024ca87")</f>
        <v/>
      </c>
      <c r="F11">
        <f>HYPERLINK("https://click.appcast.io/t/rc1CpLr7lmeeR2L4A4px-pi1VvxsrxzK1iCJikCG2AY=", "https://click.appcast.io/t/rc1CpLr7lmeeR2L4A4px-pi1VvxsrxzK1iCJikCG2AY=")</f>
        <v/>
      </c>
      <c r="G11" t="inlineStr">
        <is>
          <t>St. Louis, MO, US</t>
        </is>
      </c>
      <c r="H11" s="2" t="n">
        <v>46043</v>
      </c>
      <c r="I11" t="inlineStr">
        <is>
          <t>**Description:** Senior Software Engineer (Backend)
We are seeking a Senior Software Engineer (Backend) to design, build, and scale backend systems that power mission\-critical applications. This role emphasizes Java and Python development, microservices architecture, and a strong interest in AI\-driven capabilities. You will work closely with product, data, and platform teams to deliver secure, scalable, and intelligent backend solutions.
Key Responsibilities \- Design, develop, and maintain scalable backend services and APIs using Java, Spring Boot frameworks, and Python with development accounting for 70\-80% of your time \- Build and evolve microservices\-based architectures with a focus on performance, reliability, and maintainability \- Develop and integrate RESTful APIs and event\-driven services \- Collaborate with AI/ML engineers and data teams to integrate AI\-powered features, including LLM\-based services and intelligent automation \- Lead technical design discussions and contribute to architectural decisions \- Ensure backend systems meet requirements for security, scalability, performance, and availability \- Debug and resolve complex production issues; lead root cause analysis and remediation \- Drive best practices in code quality, testing, observability, and documentation \- Mentor junior and mid\-level engineers and provide technical leadership within agile teams \- Partner with DevOps and SRE teams to improve CI/CD pipelines, deployment strategies, and system monitoring
Required Qualifications \- 7\+ years of professional experience as a Back End or Software Engineer \- Strong expertise in Java, Spring Boot, and object\-oriented design principles \- Strong experience with Python for API development, data processing, automation, or AI integration \- Experience designing and building RESTful APIs and distributed systems \- Proven experience with microservices architecture and service\-to\-service communication \- Solid understanding of data persistence technologies (SQL and/or NoSQL) \- Experience with CI/CD pipelines and tools such as Git, Jenkins, Maven, or similar \- Familiarity with cloud\-based platforms and open\-source technologies \- Bachelor's degree in Computer Science, Engineering, or equivalent practical experience
Preferred Qualifications \- Experience integrating AI/ML or LLM\-based solutions (e.g., OpenAI APIs, LangChain, Vertex AI, Hugging Face, or similar) \- Experience building Python\-based AI services, model inference APIs, or data pipelines \- Experience with event\-driven architectures (Kafka, Pub/Sub, or similar) \- Experience with NoSQL databases such as MongoDB or document stores \- Cloud experience with Google Cloud Platform (GCP), AWS, or Azure \- Experience with containerization and orchestration technologies such as Docker and Kubernetes \- Knowledge of serverless architectures (Lambda, Cloud Functions, Azure Functions) \- Experience in healthcare industry \- Experience working in Agile / Scrum environments
**Req:** 2447\-1 Job Title: Full Stack Programmer Duration of project: 6 months Max Bill rate: $115\.00 Description: Role Overview We are seeking a Senior Full Stack Engineer to design, build, and maintain scalable, high\-quality software solutions. In this role, you will contribute across the full technology stack, lead technical initiatives within agile teams, and mentor engineers while partnering closely with product, architecture, and engineering leadership.
Key Responsibilities Design, develop, and maintain full\-stack applications, including front\-end user interfaces and back\-end services Lead technical aspects of software development, including system design, prototyping, and implementation Contribute as a senior member of an agile team by promoting best practices, reusable components, and technical standards Debug, troubleshoot, and resolve complex software defects across environments Lead deployment, support, and monitoring of applications across development, test, integration, and production environments Collaborate with product management, architecture, and engineering leadership to ensure requirements are clear, feasible, and aligned with technical strategy Ensure applications meet standards for quality, performance, security, scalability, and maintainability Provide technical leadership, guidance, and mentorship to junior and mid\-level engineers Partner with QA and DevOps teams to improve test automation, CI/CD pipelines, and release processes
Required Qualifications 5\+ years of professional experience as a Full Stack Engineer Strong experience with modern front\-end technologies including React, Next.js, Angular, TypeScript, Jest, and Cypress Experience building micro frontend architectures and component\-driven UI systems Extensive back\-end development experience using Java, J2EE, Spring / Spring Boot, and RESTful APIs Experience designing and implementing microservices\-based architectures Strong understanding of object\-oriented analysis and design patterns Experience with CI/CD tools and practices such as Git, Jenkins, Maven, JMeter, or similar Familiarity with open\-source technologies and cloud\-based platforms Associate's or Bachelor's degree in Computer Science, Engineering, or a related field (or equivalent experience)
Preferred Qualifications 5\+ years of experience with Java and Spring Boot microservices 5\+ years of experience with React and TypeScript 2\+ years of experience with MongoDB or similar NoSQL databases 1\+ year of experience working with Google Cloud Platform (GCP) Experience developing software in healthcare industry Proven experience working in Agile / Scrum environments Strong written and verbal communication skills with the ability to explain technical concepts clearly</t>
        </is>
      </c>
    </row>
    <row r="12">
      <c r="A12" t="inlineStr">
        <is>
          <t>in-1ba85f80c227a2d1</t>
        </is>
      </c>
      <c r="B12" t="inlineStr">
        <is>
          <t>Senior Software Engineer (Backend)</t>
        </is>
      </c>
      <c r="C12" t="inlineStr">
        <is>
          <t>NTT DATA</t>
        </is>
      </c>
      <c r="D12" t="inlineStr">
        <is>
          <t>indeed</t>
        </is>
      </c>
      <c r="E12">
        <f>HYPERLINK("https://www.indeed.com/viewjob?jk=1ba85f80c227a2d1", "https://www.indeed.com/viewjob?jk=1ba85f80c227a2d1")</f>
        <v/>
      </c>
      <c r="F12">
        <f>HYPERLINK("https://click.appcast.io/t/ZWGsChkAvxA1rGC9UltTs4L0bthwXOvZ-1-6sbDwuPM=", "https://click.appcast.io/t/ZWGsChkAvxA1rGC9UltTs4L0bthwXOvZ-1-6sbDwuPM=")</f>
        <v/>
      </c>
      <c r="G12" t="inlineStr">
        <is>
          <t>St. Louis, MO, US</t>
        </is>
      </c>
      <c r="H12" s="2" t="n">
        <v>46042</v>
      </c>
      <c r="I12" t="inlineStr">
        <is>
          <t>**Description:** Senior Software Engineer (Backend)
We are seeking a Senior Software Engineer (Backend) to design, build, and scale backend systems that power mission\-critical applications. This role emphasizes Java and Python development, microservices architecture, and a strong interest in AI\-driven capabilities. You will work closely with product, data, and platform teams to deliver secure, scalable, and intelligent backend solutions.
Key Responsibilities \- Design, develop, and maintain scalable backend services and APIs using Java, Spring Boot frameworks, and Python with development accounting for 70\-80% of your time \- Build and evolve microservices\-based architectures with a focus on performance, reliability, and maintainability \- Develop and integrate RESTful APIs and event\-driven services \- Collaborate with AI/ML engineers and data teams to integrate AI\-powered features, including LLM\-based services and intelligent automation \- Lead technical design discussions and contribute to architectural decisions \- Ensure backend systems meet requirements for security, scalability, performance, and availability \- Debug and resolve complex production issues; lead root cause analysis and remediation \- Drive best practices in code quality, testing, observability, and documentation \- Mentor junior and mid\-level engineers and provide technical leadership within agile teams \- Partner with DevOps and SRE teams to improve CI/CD pipelines, deployment strategies, and system monitoring
Required Qualifications \- 7\+ years of professional experience as a Back End or Software Engineer \- Strong expertise in Java, Spring Boot, and object\-oriented design principles \- Strong experience with Python for API development, data processing, automation, or AI integration \- Experience designing and building RESTful APIs and distributed systems \- Proven experience with microservices architecture and service\-to\-service communication \- Solid understanding of data persistence technologies (SQL and/or NoSQL) \- Experience with CI/CD pipelines and tools such as Git, Jenkins, Maven, or similar \- Familiarity with cloud\-based platforms and open\-source technologies \- Bachelor's degree in Computer Science, Engineering, or equivalent practical experience
Preferred Qualifications \- Experience integrating AI/ML or LLM\-based solutions (e.g., OpenAI APIs, LangChain, Vertex AI, Hugging Face, or similar) \- Experience building Python\-based AI services, model inference APIs, or data pipelines \- Experience with event\-driven architectures (Kafka, Pub/Sub, or similar) \- Experience with NoSQL databases such as MongoDB or document stores \- Cloud experience with Google Cloud Platform (GCP), AWS, or Azure \- Experience with containerization and orchestration technologies such as Docker and Kubernetes \- Knowledge of serverless architectures (Lambda, Cloud Functions, Azure Functions) \- Experience in healthcare industry \- Experience working in Agile / Scrum environments
**Req:** 2447\-1 Job Title: Full Stack Programmer Duration of project: 6 months Max Bill rate: $115\.00 Description: Role Overview We are seeking a Senior Full Stack Engineer to design, build, and maintain scalable, high\-quality software solutions. In this role, you will contribute across the full technology stack, lead technical initiatives within agile teams, and mentor engineers while partnering closely with product, architecture, and engineering leadership.
Key Responsibilities Design, develop, and maintain full\-stack applications, including front\-end user interfaces and back\-end services Lead technical aspects of software development, including system design, prototyping, and implementation Contribute as a senior member of an agile team by promoting best practices, reusable components, and technical standards Debug, troubleshoot, and resolve complex software defects across environments Lead deployment, support, and monitoring of applications across development, test, integration, and production environments Collaborate with product management, architecture, and engineering leadership to ensure requirements are clear, feasible, and aligned with technical strategy Ensure applications meet standards for quality, performance, security, scalability, and maintainability Provide technical leadership, guidance, and mentorship to junior and mid\-level engineers Partner with QA and DevOps teams to improve test automation, CI/CD pipelines, and release processes
Required Qualifications 5\+ years of professional experience as a Full Stack Engineer Strong experience with modern front\-end technologies including React, Next.js, Angular, TypeScript, Jest, and Cypress Experience building micro frontend architectures and component\-driven UI systems Extensive back\-end development experience using Java, J2EE, Spring / Spring Boot, and RESTful APIs Experience designing and implementing microservices\-based architectures Strong understanding of object\-oriented analysis and design patterns Experience with CI/CD tools and practices such as Git, Jenkins, Maven, JMeter, or similar Familiarity with open\-source technologies and cloud\-based platforms Associate's or Bachelor's degree in Computer Science, Engineering, or a related field (or equivalent experience)
Preferred Qualifications 5\+ years of experience with Java and Spring Boot microservices 5\+ years of experience with React and TypeScript 2\+ years of experience with MongoDB or similar NoSQL databases 1\+ year of experience working with Google Cloud Platform (GCP) Experience developing software in healthcare industry Proven experience working in Agile / Scrum environments Strong written and verbal communication skills with the ability to explain technical concepts clearly</t>
        </is>
      </c>
    </row>
    <row r="13">
      <c r="A13" t="inlineStr">
        <is>
          <t>in-28a2105dbc49497d</t>
        </is>
      </c>
      <c r="B13" t="inlineStr">
        <is>
          <t>Back-End Software Engineer</t>
        </is>
      </c>
      <c r="C13" t="inlineStr">
        <is>
          <t>ONEAPP</t>
        </is>
      </c>
      <c r="D13" t="inlineStr">
        <is>
          <t>indeed</t>
        </is>
      </c>
      <c r="E13">
        <f>HYPERLINK("https://www.indeed.com/viewjob?jk=28a2105dbc49497d", "https://www.indeed.com/viewjob?jk=28a2105dbc49497d")</f>
        <v/>
      </c>
      <c r="F13">
        <f>HYPERLINK("https://oneapp.pinpointhq.com/postings/768e2259-b6e6-4c54-9e94-1b90e89ba226?utm_medium=job_board&amp;utm_source=indeed", "https://oneapp.pinpointhq.com/postings/768e2259-b6e6-4c54-9e94-1b90e89ba226?utm_medium=job_board&amp;utm_source=indeed")</f>
        <v/>
      </c>
      <c r="G13" t="inlineStr">
        <is>
          <t>Portland, OR, US</t>
        </is>
      </c>
      <c r="H13" s="2" t="n">
        <v>46045</v>
      </c>
      <c r="I13" t="inlineStr">
        <is>
          <t>### **Description**
**About OneApp:**  
OneApp is a mission\-driven company that increases access to rental housing by removing financial and systemic barriers for renters while reducing risk for property managers. We're building market\-based solutions to unlock housing opportunities at scale, with a bold 10\-year goal to help 1 million people gain access to housing.  
**Role Overview:**  
As a Backend Software Engineer at OneApp, you will play a critical role in designing and scaling the systems that power our platform. This is a hands\-on, high\-impact role with meaningful ownership over backend architecture, reliability, and performance.  
You will work closely with product, frontend engineering, and leadership to build solutions that are secure, scalable, and aligned with OneApp’s long\-term growth.  
**Details:**
* **Job Title**: Back\-End Software Engineer
* **Location**: Remote
* **Salary**: $125,000\-$130,000, with a variable annual bonus of up to $10,000 paid quarterly
* **Reports to**: Principle Engineer
* **Work Hours**: Full Time, Hours Monday\-Friday 9:00am\-5:00pm (your local time)
### **Key Responsibilities**
* Design, build, and maintain scalable backend services and APIs using TypeScript/Node.js and our React\-based frontend
* Manage and optimize our MySQL databases with a focus on complex query optimization and performance tuningCollaborate with product and frontend teams to translate business needs into technical solutions
* Own the evolution and maintenance of our legacy Java/Spring platform while driving modernization effortsEnsure data integrity and system observability across backend services
* Integrate and maintain connections to third\-party APIs, ensuring reliability and proper error handling
* Implement secure authentication and authorization using JWT, OAuth, and other modern auth patterns
* Lead contractor teams and coordinate distributed engineering efforts across multiple work streams
* Build and maintain Docker containerized applications with strict adherence to CI/CDpipelines using GitHub Actions
* Write comprehensive tests using Jest for backend services and support Selenium**\-**based frontend testing
* Conduct load testing and performance analysis to ensure systems can handle production scale
* Respond to and resolve production incidents, including participating in on\-call rotation as needed
* Ensure data integrity, system observability, and monitoring across all backend services
* Participate in code reviews and contribute to shared engineering standards and documentation
* Mentor and support junior and mid\-level engineers through collaboration and feedback
* Contribute to technical direction as OneApp continues to scale
### **Qualifications \&amp; Criteria**
* 5\+ years of backend engineering experience in a production environment
* Strong proficiency in TypeScript/Node.js for modern backend development or ability to learn quickly
* Experience with Java/Spring and managing legacy systems
* Deep knowledge of MySQL including complex queries, indexing, and performance optimization
* Proven ability to design and implement RESTful APIs and integrate third\-party services
* Strong understanding of authentication and authorization (JWT, OAuth 2\.0, session management)
* Expertise in Docker containerization and CI/CD pipelines (GitHub Actions preferred)
* Experience with testing frameworks (Jest or similar) and test automation strategies
* Hands\-on experience with load testing tools and methodologies (JMeter, k6, Artillery, etc.)
* Track record of handling production incidents and on\-call responsibilities
* Solid understanding of system design, scalable architecture, and distributed systems
* Experience leading or coordinating contractor teams and distributed engineering efforts
* Strong communication skills with an emphasis on clarity, documentation, and cross\-functional collaboration
### **Benefits**
* This is a full\-time position
* Salary: $125,000\-$130,000, with a variable annual bonus of up to $10,000 paid quarterly
* Medical, Dental and Vision Benefits
* 401K Plan
* Unlimited PTO
### **About OneApp, Inc.**
We specialize in delivering innovative solutions and exceptional services to meet the diverse needs of our clients. With a strong commitment to quality and customer satisfaction, we strive to exceed expectations and drive success in every project we undertake.</t>
        </is>
      </c>
    </row>
    <row r="14">
      <c r="A14" t="inlineStr">
        <is>
          <t>in-fdeeb681d39964e4</t>
        </is>
      </c>
      <c r="B14" t="inlineStr">
        <is>
          <t>Sr. Embedded Software Engineer, New Programs Engineering</t>
        </is>
      </c>
      <c r="C14" t="inlineStr">
        <is>
          <t>Tesla</t>
        </is>
      </c>
      <c r="D14" t="inlineStr">
        <is>
          <t>indeed</t>
        </is>
      </c>
      <c r="E14">
        <f>HYPERLINK("https://www.indeed.com/viewjob?jk=fdeeb681d39964e4", "https://www.indeed.com/viewjob?jk=fdeeb681d39964e4")</f>
        <v/>
      </c>
      <c r="F14">
        <f>HYPERLINK("https://www.tesla.com/careers/search/job/260809?source=Indeed", "https://www.tesla.com/careers/search/job/260809?source=Indeed")</f>
        <v/>
      </c>
      <c r="G14" t="inlineStr">
        <is>
          <t>Hawthorne, CA, US</t>
        </is>
      </c>
      <c r="H14" s="2" t="n">
        <v>46045</v>
      </c>
      <c r="I14" t="inlineStr">
        <is>
          <t>**What to Expect**
The New Programs Engineering team works at the front end of the design and development cycle by studying, simulating, building, and proving Tesla’s future vehicle concepts. This position requires frequent interaction with Design and Vehicle Engineering teams, most closely with our Vehicle Architecture, Software, Chassis, Interiors and Powertrain Systems cross\-functional partners.  
As an Embedded Software Engineer on the New Programs Team, you will be responsible for developing new technologies and prototyping various concepts for new products, vehicle designs and features. Your role will be ensuring that desired product functions are successfully enabled by the integrated subsystems that interact in the context of the whole vehicle.
The successful candidate must have strong interpersonal and communication skills. They must be able to balance tight deadlines with demanding engineering requirements. Additionally, they must establish and maintain a professional working relationship with external and internal teams.
 **What You'll Do*** Define system hardware and software interfaces
* Deliver high\-quality C code in a real\-time embedded environment
* Specify, design, and implement functionality and behaviors of embedded subsystems
* Engage in cross\-functional collaborations with electrical, software, manufacturing, mechanical, design, and service engineering teams
* Understand and debug interfaces/interactions required for successful implementation of vehicle\-level firmware
* Support vehicle milestones including prototype, pre\-production, and production build events
* Innovate, develop, and improve processes continuously
**What You'll Bring*** Degree in Electrical Engineering, Computer Engineering, or the equivalent in experience with evidence of exceptional ability
* 2\+ years of experience in embedded development in robotics, real\-time controls, or system software
* Proficiency in C, familiarity with MISRA C, and coding in C\+\+
* Solid background in embedded firmware systems development
* Hands\-on technical experience debugging complex subsystems involving network microprocessors and software\-controlled electrical or electromechanical devices
* Exceptional capacity for managing simultaneous activities and challenges
* Strong experience collaborating with colleagues and communicating complex technical concepts to others of varied technical backgrounds
* Experience with embedded interfaces (CAN, LIN, UART, I2C, SPI, I2S, ethernet, etherloop etc.)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$114,000 \- $239,400/annual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5">
      <c r="A15" t="inlineStr">
        <is>
          <t>in-5c45d9a9f85ca50b</t>
        </is>
      </c>
      <c r="B15" t="inlineStr">
        <is>
          <t>Software Engineer (Mid-Level, Backend)</t>
        </is>
      </c>
      <c r="C15" t="inlineStr">
        <is>
          <t>Spatial Front</t>
        </is>
      </c>
      <c r="D15" t="inlineStr">
        <is>
          <t>indeed</t>
        </is>
      </c>
      <c r="E15">
        <f>HYPERLINK("https://www.indeed.com/viewjob?jk=5c45d9a9f85ca50b", "https://www.indeed.com/viewjob?jk=5c45d9a9f85ca50b")</f>
        <v/>
      </c>
      <c r="F15">
        <f>HYPERLINK("https://recruiting.paylocity.com/recruiting/jobs/Details/3865974/Spatial-Front-Inc/Software-Engineer-Mid-Level-Backend?source=Indeed_Feed", "https://recruiting.paylocity.com/recruiting/jobs/Details/3865974/Spatial-Front-Inc/Software-Engineer-Mid-Level-Backend?source=Indeed_Feed")</f>
        <v/>
      </c>
      <c r="G15" t="inlineStr">
        <is>
          <t>US</t>
        </is>
      </c>
      <c r="H15" s="2" t="n">
        <v>46045</v>
      </c>
      <c r="I15" t="inlineStr">
        <is>
          <t>Description:
SFI is seeking a results\-driven **Backend Software Engineer** to support a high\-visibility federal program focused on modernizing data\-driven processes that evaluate vehicle safety performance. This role supports the development and maintenance of scalable, secure web applications and APIs that power a mission\-critical data platform used by government stakeholders and external partners.
The ideal candidate is a collaborative engineer with strong backend development experience, a passion for clean and maintainable code, and comfort working in Agile and DevSecOps environments.
**Key Responsibilities**
* Design and architect backend software applications supporting a modern, data\-centric platform
* Develop, maintain, and optimize scalable, high\-performance applications using **Node.js**
* Build and maintain **RESTful APIs** and integrate with external data sources
* Implement reusable, modular components and support state management strategies
* Perform unit and end\-to\-end testing using tools such as **Postman**
* Participate in peer code reviews, ensuring adherence to coding standards and best practices
* Collaborate closely with senior engineers, UI/UX designers, QA teams, and stakeholders in an **Agile/Scrum** environment
* Debug, troubleshoot, and resolve complex technical issues
* Contribute to technical documentation, including system design, APIs, and workflows
* Support CI/CD pipelines using tools such as **Jenkins** and **GitHub Actions**
Requirements:
**Education**
* Bachelor’s degree in Computer Science or a related field  
**OR**
* Six (6\) years of equivalent professional experience in place of a degree
**Required Qualifications**
* Minimum **3 years of experience** as a backend Software Engineer
* Proficiency with **Node.js**, **RESTful APIs**, **GitHub**, **AWS**, and **API Gateway**
* Experience working in **Agile/Scrum** and **DevSecOps** environments
* Hands\-on experience with **Jira** and **Confluence**
* Strong analytical, problem\-solving, and troubleshooting skills
* Excellent written and verbal communication skills
* Ability to obtain and maintain a **U.S. Public Trust clearance** (fingerprinting required)
**Desired Qualifications**
* Experience developing APIs using **Node.js** and **Express**
* Familiarity with AWS services such as **S3, Lambda, DynamoDB, and API Gateway**
* Exposure to **Docker** and container orchestration tools like **Kubernetes**
* Understanding of application security best practices, including **OAuth** and **JWT**
* Familiarity with **CI/CD pipelines**, DevOps practices, and Infrastructure as Code (IaC)
* Prior experience supporting **federal government projects**
**Additional Information**
* Clearance: Must be authorized to work in the U.S. and able to obtain a Public Trust clearance.  
Background checks may include Criminal History, Education Verification, Employment Verification, Professional Certifications, and Credit History. (*Public Trust investigations typically take 4–8 weeks and require fingerprinting.*)
* Work Environment: Flexible/remote, with occasional on\-site support as needed.
* Salary Range: $80,000 – $130,000 annually
* Benefits: SFI offers a comprehensive benefits package. Details available at SFI Careers.
* This is a full\-time, W2 position.
* No agencies, third parties, or Corp\-to\-Corp submissions.
* Spatial Front Inc. is an Equal Opportunity Employer — all qualified applicants will receive consideration for employment without regard to race, color, religion, sex, sexual orientation, gender identity, national origin, or protected veteran status.
* SFI participates in E\-Verify.</t>
        </is>
      </c>
    </row>
    <row r="16">
      <c r="A16" t="inlineStr">
        <is>
          <t>in-fbd909fe84cee94d</t>
        </is>
      </c>
      <c r="B16" t="inlineStr">
        <is>
          <t>Senior Tegra Diagnostic Software Engineer</t>
        </is>
      </c>
      <c r="C16" t="inlineStr">
        <is>
          <t>NVIDIA</t>
        </is>
      </c>
      <c r="D16" t="inlineStr">
        <is>
          <t>indeed</t>
        </is>
      </c>
      <c r="E16">
        <f>HYPERLINK("https://www.indeed.com/viewjob?jk=fbd909fe84cee94d", "https://www.indeed.com/viewjob?jk=fbd909fe84cee94d")</f>
        <v/>
      </c>
      <c r="F16">
        <f>HYPERLINK("https://click.appcast.io/t/IIOPsRMd1sSN8owXUgfxEUuyODAzWG-LYrdKpwlAOQU=", "https://click.appcast.io/t/IIOPsRMd1sSN8owXUgfxEUuyODAzWG-LYrdKpwlAOQU=")</f>
        <v/>
      </c>
      <c r="G16" t="inlineStr">
        <is>
          <t>Santa Clara, CA, US</t>
        </is>
      </c>
      <c r="H16" s="2" t="n">
        <v>46045</v>
      </c>
      <c r="I16" t="inlineStr">
        <is>
          <t>We are now hiring a System Software Engineer to join the NVIDIA's System Software group focusing on Tegra Diagnostics. You will join a dynamic crew that builds and maintains software for complex heterogeneous computing systems that power sophisticated server/auto/embedded products used in ground breaking of diverse AI, HPC, and accelerated computing workloads. We have some of the best engineers in the world conceptualizing and taking these products to the finish line and these outstanding engineering teams are rapidly growing. If you're a creative software engineer with a real passion for developing products with new technology, we want to hear from you.
**What you’ll be doing:**
* Develop drivers/tests and frameworks that can most efficiently stress the SOC/System and to see them through the full software development lifecycle. This can include working in user\-space, kernel, firmware or boot software of SOC.
* Participating in overall system architecture analysis and collaborate with internal software teams and define/design use cases that can push the SOC/system to hit limits of power, noise patterns and bandwidth metrics
* Spearhead various initiatives to improve efficiency, robustness and user friendliness of the software we deliver for design validation, thermal \&amp; power characterization, manufacturing screening, and external customers bring up.
* Understand and participate in the debug /root cause analysis of very complex data center module/rack level failures. Recommend remediations and drive SW architecture improvements when applicable.
* Communicate optimally with various teams throughout the company, as well as customers and partners.
**What we need to see:**
* BS/MS in EE/CS or equivalent experience.
* 8\+ years of experience
* Strong C/C\+\+ programming skills and object\-oriented programming skills.
* Experience with low level / driver level programming.
* Understanding of processor architecture fundamentals, preferably arm.
* Strong problem\-solving and debugging skills.
* Strong communication, interpersonal and planning skills.
**Ways to stand out from the crowd:**
* Knowledge of Linux kernel internals.
* Knowledge of Server / PC system architecture.
* Experience in Pre\-Silicon / Post\-Silicon bringup planning and execution of complex SoCs and platforms
* Consistent record of learning new technologies on the job in a time\-bound manner.
* Experience working in teams on large SW project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7">
      <c r="A17" t="inlineStr">
        <is>
          <t>in-69a24bf6a23b28cf</t>
        </is>
      </c>
      <c r="B17" t="inlineStr">
        <is>
          <t>Senior System Software Engineer - Tegra</t>
        </is>
      </c>
      <c r="C17" t="inlineStr">
        <is>
          <t>NVIDIA</t>
        </is>
      </c>
      <c r="D17" t="inlineStr">
        <is>
          <t>indeed</t>
        </is>
      </c>
      <c r="E17">
        <f>HYPERLINK("https://www.indeed.com/viewjob?jk=69a24bf6a23b28cf", "https://www.indeed.com/viewjob?jk=69a24bf6a23b28cf")</f>
        <v/>
      </c>
      <c r="F17">
        <f>HYPERLINK("https://click.appcast.io/t/x-IUjkIVRyiREAoieF0hcVsdOInsylNpwNjceXc26II=", "https://click.appcast.io/t/x-IUjkIVRyiREAoieF0hcVsdOInsylNpwNjceXc26II=")</f>
        <v/>
      </c>
      <c r="G17" t="inlineStr">
        <is>
          <t>Santa Clara, CA, US</t>
        </is>
      </c>
      <c r="H17" s="2" t="n">
        <v>46045</v>
      </c>
      <c r="I17" t="inlineStr">
        <is>
          <t>We are now looking for a Senior System Software Engineer to work in our Tegra system software group. The best candidates will have excellent C/C\+\+, a thorough understanding of operating systems and kernel programming, a good understanding of computer architecture. You will join a dynamic crew that builds and maintains software for complex heterogeneous computing systems that power sophisticated server products used in ground breaking of diverse AI, HPC, and accelerated computing workloads. We have some of the best engineers in the world conceptualizing and taking these products to the finish line and these outstanding engineering teams are rapidly growing. If you're a creative software engineer with a real passion for developing products with new technology, we want to hear from you. Join us at forefront of this new frontier!
**What you’ll be doing:**
* Designing and developing test and framework that can most efficiently validate and stress SOC/System and to see them through the full software development lifecycle. This can include working in user\-space, kernel, firmware or boot software of SOC.
* Architecting and driving new diagnostic software solutions that cater to all phases of the product life cycle \- bring up, manufacturing, hardware qualification, failure analysis and custom platforms.
* Spearhead various initiatives to improve efficiency, robustness and user friendliness of the software we deliver for design validation, thermal \&amp; power characterization, manufacturing screening, and external customers bring up
* Understand and participate in the debug /root cause analysis of very complex board/system level failures.
* Communicate optimally with various teams throughout the company, as well as customers and partners.
**What we need to see:**
* BS/MS in EE/CS or equivalent experience.
* 5\+ years of industry related experience.
* Strong C/C\+\+ programming skills and object\-oriented programming skills.
* Experience with low level / driver level programming.
* Understanding of processor architecture fundamentals, preferably arm.
* Strong problem\-solving and debugging skills.
* Expert communication, interpersonal and planning skills.
**Ways to stand out from the crowd:**
* Knowledge of Linux kernel internals and solid understanding of ARM platforms.
* Experience in diagnostic software for datacenter and server systems.
* Experience in Pre\-Silicon / Post\-Silicon bringup planning and execution of complex SoCs and platforms.
* Consistent record of learning new technologies on the job in a time\-bound manner.
* Experience working in teams on large SW projects as well as an understanding of SW product release lifecycle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8">
      <c r="A18" t="inlineStr">
        <is>
          <t>in-7aed5695a19cf0b9</t>
        </is>
      </c>
      <c r="B18" t="inlineStr">
        <is>
          <t>Software Engineer, DL Libraries Infrastructure - New College Grad 2026</t>
        </is>
      </c>
      <c r="C18" t="inlineStr">
        <is>
          <t>NVIDIA</t>
        </is>
      </c>
      <c r="D18" t="inlineStr">
        <is>
          <t>indeed</t>
        </is>
      </c>
      <c r="E18">
        <f>HYPERLINK("https://www.indeed.com/viewjob?jk=7aed5695a19cf0b9", "https://www.indeed.com/viewjob?jk=7aed5695a19cf0b9")</f>
        <v/>
      </c>
      <c r="F18">
        <f>HYPERLINK("https://click.appcast.io/t/XeceC9zkbGxjVVpQf06dZ4zYD5w27NWQ3swUSPw8s34=", "https://click.appcast.io/t/XeceC9zkbGxjVVpQf06dZ4zYD5w27NWQ3swUSPw8s34=")</f>
        <v/>
      </c>
      <c r="G18" t="inlineStr">
        <is>
          <t>Santa Clara, CA, US</t>
        </is>
      </c>
      <c r="H18" s="2" t="n">
        <v>46045</v>
      </c>
      <c r="I18" t="inlineStr">
        <is>
          <t>NVIDIA's Deep Learning Libraries Group is seeking excellent software engineers to enable the next wave of NVIDIA’s highest performing deep learning libraries. The role spans multiple products, including cuDNN and FlashInfer. The mission is to design and develop scalable, modular infrastructure that streamlines development, build, and test across NVIDIA’s diverse set of platforms, from datacenter to autonomous vehicles. Join our technically diverse team of software engineers and infrastructure experts to design the systems that enable NVIDIA to stay ahead of the competition as we deliver the world's fastest deep learning platforms.
**What you'll be doing:**
* Designing and developing software for testing and analysis of our codebases
* Building scalable automation for build, test, integration, and release processes for publicly distributed deep learning libraries
* Developing throughout the software stack, from the user experience down to the cluster and database layers
* Configuring, maintaining, and building upon deployments of industry\-standard tools (e.g. Kubernetes, Jenkins, Docker, CMake, Gitlab, Jira, etc)
* Advancing innovative in those industry\-standard tools and upstreaming contributions to the open source community
**What we need to see:**
* Bachelors or Masters in Computer Science or Computer Engineering (or equivalent experience).
* Strong programming skills in Python (or similar) and familiarity with C/C\+\+ development
* Experience setting up, maintaining, and automating continuous integration systems
* Proficiency in SCM (e.g. Git, Perforce) and build systems (e.g. Make, CMake, Bazel)
* A pragmatic approach to solving problems collaboratively with a passion for “it just works” automation to enable team members
**Ways to stand out from the crowd:**
* Experience designing and developing automation in Jenkins, Gitlab CI/CD, or Github Actions and background with distributed systems and cluster/cloud computing (e.g. Slurm, containers, Kubernetes, etc)
* Experience designing and developing unit and integration test frameworks with hands\-on experience using code coverage and static code analysis tools
* Success leading a team of engineers and/or experience as an active contributor to a software project involving many developers
* Knowledge of GPU computing systems and experience with mobile/embedded platforms and multiple operating systems (Ubuntu, CentOS, Windows, L4T, or similar)
* Track record of identifying useful new technologies and incorporating them into SW development flows
Your base salary will be determined based on your location, experience, and the pay of employees in similar positions. The base salary range is 108,000 USD \- 178,250 USD for Level 1, and 124,000 USD \- 195,500 USD for Level 2\.
You will also be eligible for equity and benefits.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9">
      <c r="A19" t="inlineStr">
        <is>
          <t>in-d28e7571b43efadb</t>
        </is>
      </c>
      <c r="B19" t="inlineStr">
        <is>
          <t>Systems Software Engineer - Tegra</t>
        </is>
      </c>
      <c r="C19" t="inlineStr">
        <is>
          <t>NVIDIA</t>
        </is>
      </c>
      <c r="D19" t="inlineStr">
        <is>
          <t>indeed</t>
        </is>
      </c>
      <c r="E19">
        <f>HYPERLINK("https://www.indeed.com/viewjob?jk=d28e7571b43efadb", "https://www.indeed.com/viewjob?jk=d28e7571b43efadb")</f>
        <v/>
      </c>
      <c r="F19">
        <f>HYPERLINK("https://click.appcast.io/t/xzePE83AwyKRrScOvjoVoHsjuVHWlQDxuBsGrs0YXNU=", "https://click.appcast.io/t/xzePE83AwyKRrScOvjoVoHsjuVHWlQDxuBsGrs0YXNU=")</f>
        <v/>
      </c>
      <c r="G19" t="inlineStr">
        <is>
          <t>Santa Clara, CA, US</t>
        </is>
      </c>
      <c r="H19" s="2" t="n">
        <v>46045</v>
      </c>
      <c r="I19" t="inlineStr">
        <is>
          <t>We are now hiring a System Software Engineer to join the NVIDIA's System Software group focusing on Tegra Diagnostics. You will join a dynamic crew that builds and maintains software for complex heterogeneous computing systems that power sophisticated server/auto/embedded products used in ground breaking of diverse AI, HPC, and accelerated computing workloads. We have some of the best engineers in the world conceptualizing and taking these products to the finish line and these outstanding engineering teams are rapidly growing. If you're a creative software engineer with a real passion for developing products with new technology, we want to hear from you.
**What you’ll be doing:**
* Develop drivers/tests and frameworks that can most efficiently stress the SOC/System and to see them through the full software development lifecycle. This can include working in user\-space, kernel, firmware or boot software of SOC.
* Participate in various initiatives to improve efficiency, robustness and user friendliness of the software we deliver for design validation, thermal \&amp; power characterization, manufacturing screening.
* Work on new diagnostic software solutions that cater to all phases of the product life cycle \- bring up, manufacturing, hardware qualification, failure analysis and custom platforms.
* Communicate optimally with various teams throughout the company, as well as customers and partners.
**What we need to see:**
* BS/MS in EE/CS or equivalent experience.
* 2\+ years of experience
* Strong C/C\+\+ programming skills and object\-oriented programming skills.
* Experience with low level / driver level programming.
* Understanding of processor architecture fundamentals, preferably arm.
* Strong problem\-solving and debugging skills.
* Strong communication, interpersonal and planning skills.
**Ways to stand out from the crowd:**
* Knowledge of Linux kernel internals.
* Knowledge of Server / PC system architecture.
* Experience in Pre\-Silicon / Post\-Silicon bringup planning and execution of complex SoCs and platforms
* Consistent record of learning new technologies on the job in a time\-bound manner.
* Experience working in teams on large SW project
Your base salary will be determined based on your location, experience, and the pay of employees in similar positions. The base salary range is 124,000 USD \- 195,500 USD for Level 2, and 152,000 USD \- 241,500 USD for Level 3\.
You will also be eligible for equity and benefits.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0">
      <c r="A20" t="inlineStr">
        <is>
          <t>in-bcc0569c571f366b</t>
        </is>
      </c>
      <c r="B20" t="inlineStr">
        <is>
          <t>Frontend Web Applications Software Engineer</t>
        </is>
      </c>
      <c r="C20" t="inlineStr">
        <is>
          <t>NVIDIA</t>
        </is>
      </c>
      <c r="D20" t="inlineStr">
        <is>
          <t>indeed</t>
        </is>
      </c>
      <c r="E20">
        <f>HYPERLINK("https://www.indeed.com/viewjob?jk=bcc0569c571f366b", "https://www.indeed.com/viewjob?jk=bcc0569c571f366b")</f>
        <v/>
      </c>
      <c r="F20">
        <f>HYPERLINK("https://click.appcast.io/t/sD3ThLn8svwKKq__VRPyDb4inWeZ3GHxRojRnYOUkYY=", "https://click.appcast.io/t/sD3ThLn8svwKKq__VRPyDb4inWeZ3GHxRojRnYOUkYY=")</f>
        <v/>
      </c>
      <c r="G20" t="inlineStr">
        <is>
          <t>Santa Clara, CA, US</t>
        </is>
      </c>
      <c r="H20" s="2" t="n">
        <v>46045</v>
      </c>
      <c r="I20" t="inlineStr">
        <is>
          <t>The NVIDIA Operations organization is seeking an experienced software engineering professional for the position of Frontend Web Applications Software Engineer. As a member of our team, you will be an integral part of building cloud\-based data platforms! You will support initiatives for the Data Platform, Reporting, and Analytics. Your work will turn data into information leading to insights and business results.
**What you’ll be doing:**
* Developing a modern, TypeScript‑based data analytics web application: architecting complex UI flows, implementing advanced data visualizations, and collaborating across teams to deliver a high‑performance internal analytics platform.
* Crafting responsive, accessible, and visually compelling UI experiences.
* Collecting requirements and collaborating with end users to ensure workflows and interfaces meet their needs.
* Optimizing frontend performance and scalability.
* Working closely with product engineers and backend engineers to deliver flawless user experiences.
**What we need to see:**
* BS (or equivalent experience)
* 5\+ years of relevant frontend development experience
* Proven knowledge of Modern JavaScript/TypeScript and modern frontend frameworks (Vue preferred, or React or Angular and Nuxt for SPA/CSR)
* Strong skills in HTML5, CSS3, SASS and responsive design.
* Deep experience with Plotly.js or comparable interactive charting libraries (e.g., ECharts, Vega‑Lite, D3‑based tools).
* Node.js ecosystem \&amp; build tooling: yarn/npm, Vite/Rollup/Webpack
* Experience building and maintaining large\-scale web applications with high usability standards.
* Solid understanding of browser rendering, performance optimization, and accessibility best practices.
**Ways to stand out from the crowd:**
* Prior background with Semiconductor manufacturing and operations is a huge plus.
* Prior experience with developing web applications in Cloud (AWS preferred)
* Experience with data analytics using relational databases such as Postgres and proficiency with SQL
Your base salary will be determined based on your location, experience, and the pay of employees in similar positions. The base salary range is 140,000 USD \- 224,250 USD for Level 3, and 168,000 USD \- 270,250 USD for Level 4\.
You will also be eligible for equity and benefits.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1">
      <c r="A21" t="inlineStr">
        <is>
          <t>in-3ccce6e3f3e00048</t>
        </is>
      </c>
      <c r="B21" t="inlineStr">
        <is>
          <t>Senior Systems Software Engineer - Holoscan Sensor Bridge</t>
        </is>
      </c>
      <c r="C21" t="inlineStr">
        <is>
          <t>NVIDIA</t>
        </is>
      </c>
      <c r="D21" t="inlineStr">
        <is>
          <t>indeed</t>
        </is>
      </c>
      <c r="E21">
        <f>HYPERLINK("https://www.indeed.com/viewjob?jk=3ccce6e3f3e00048", "https://www.indeed.com/viewjob?jk=3ccce6e3f3e00048")</f>
        <v/>
      </c>
      <c r="F21">
        <f>HYPERLINK("https://click.appcast.io/t/VFl3lpe7H0I_zSY8v1iL_gk6I_1x02bHnd6aotNumSw=", "https://click.appcast.io/t/VFl3lpe7H0I_zSY8v1iL_gk6I_1x02bHnd6aotNumSw=")</f>
        <v/>
      </c>
      <c r="G21" t="inlineStr">
        <is>
          <t>Santa Clara, CA, US</t>
        </is>
      </c>
      <c r="H21" s="2" t="n">
        <v>46045</v>
      </c>
      <c r="I21" t="inlineStr">
        <is>
          <t>NVIDIA is seeking an outstanding Senior Systems Engineer to join our dynamic and innovative team. This role offers an outstanding chance to lead advancements in high\-speed sensor streaming on our pioneering Holoscan platform. You will work closely with top SDK developers, firmware engineers, networking architects, and experts in security, data science, and AI to develop seamless and scalable solutions.
**What you'll be doing:**
* Build applications and features for the Holoscan platform centered around GPUs, high bandwidth network acceleration SDKs, cameras, and sensors.
* Architect, build, develop, and benchmark innovative, scalable, and performant hardware\-accelerated software and high bandwidth sensor streaming systems on NVIDIA’s Holoscan platform and GPUs.
* Perform and participate in code reviews and build reviews to ensure the highest quality standards.
* Engage with strategic customers, partners, and internal NVIDIA teams to train, compose, build, and productize solutions based on the Holoscan/Hololink platforms.
* Provide technical mentorship and direction to other developers in the group, encouraging a cohesive and collaborative environment.
**What we need to see:**
* Knowledge of Linux Kernel, Linux Networking stack, and RTOS concepts and considerations.
* Deep understanding of embedded systems, Remote Direct Memory Access (RDMA), and GPU/CUDA concepts.
* 8\+ years of solid hands\-on experience writing code in C/C\+\+/Python.
* A great teammate with a “can do” attitude, high accountability, ownership, and sense of urgency.
* Comfort in multitasking in a dynamic environment with shifting priorities and changing requirements.
* Excellent interpersonal skills for working with developers, partners, and customers.
* Strong communication and technical presentation skills, both internally and with external customers.
* A Bachelor’s, Master’s, or PhD in Software Engineering, Computer Science, Computer Engineering, Electrical Engineering, or a related science degree (or equivalent experience).
**Ways to stand out from the crowd:**
* Practical development experience in GPU/CUDA programming, Software\-Defined Networking (SDN), DPUs, SmartNICs, NIC drivers, cameras, and sensors.
* Background in system performance analysis and low\-level programming.
* Experience developing and debugging high bandwidth networking applications and infrastructure using SDKs such as RoCE/DPDK/DOCA/Rivermax for network acceleration.
* Experience with different Linux distros, specifically Ubuntu and L4T, and customizing Linux using Yocto.
* Holoscan SDK development experience.
Join us and be part of a team that is pushing the boundaries of what’s possible. Your work will have a lasting impact on the world, driving innovation and excellence every day!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2">
      <c r="A22" t="inlineStr">
        <is>
          <t>in-12232ed7265f210e</t>
        </is>
      </c>
      <c r="B22" t="inlineStr">
        <is>
          <t>Senior Software Engineer - Forge, Platform</t>
        </is>
      </c>
      <c r="C22" t="inlineStr">
        <is>
          <t>athenahealth</t>
        </is>
      </c>
      <c r="D22" t="inlineStr">
        <is>
          <t>indeed</t>
        </is>
      </c>
      <c r="E22">
        <f>HYPERLINK("https://www.indeed.com/viewjob?jk=12232ed7265f210e", "https://www.indeed.com/viewjob?jk=12232ed7265f210e")</f>
        <v/>
      </c>
      <c r="F22">
        <f>HYPERLINK("https://click.appcast.io/t/I9SpkEZoHcBg3nm5iX8wRsJrZwJqBq3dm07EFWmxtLw=", "https://click.appcast.io/t/I9SpkEZoHcBg3nm5iX8wRsJrZwJqBq3dm07EFWmxtLw=")</f>
        <v/>
      </c>
      <c r="G22" t="inlineStr">
        <is>
          <t>Boston, MA, US</t>
        </is>
      </c>
      <c r="H22" s="2" t="n">
        <v>46045</v>
      </c>
      <c r="I22" t="inlineStr">
        <is>
          <t>Join us as we work to create a thriving ecosystem that delivers accessible, high\-quality, and sustainable healthcare for all.
We are looking for a Senior Software Engineer to join the Forge team within the Internal Development Platform zone.
You are an experienced developer who is intrigued by building and maintaining libraries and tools that enable other engineers to deliver web applications which ensure doctors, patients, and medical staff provide or experience exceptional medical care. You are excited to support coworkers with the efficient creation and maintenance of robust front\-end experiences across a wide variety of products and use cases. You balance the importance of adhering to sustainable coding standards with the need to provide customers with software that addresses their biggest challenges. You are curious about the ever\-evolving landscape of both front\-end and healthcare technologies and capable of productively cultivating that knowledge.
**The Team:** The Forge team builds and maintains the Forge Design System, athena’s internal UX framework for modular front\-end development, and supports other athena developers in developing web applications with it. The Forge Design System is used in over 450 micro\-front\-end applications, supporting use cases within billing, partner integrations, and medical encounters. We create the components that provide athena’s users with a consistent and delightful front\-end experience as they work to manage clinical practices and provide patient care. We supply the foundation and building blocks for the systems in which medical practitioners and administrators work every day. We are also expanding the team’s capacity to enhance stability and improve performance across our front\-end platform.
Key Responsibilities
Develop UI components with React and TypeScript that enable athena’s developers to create feature\-rich, highly usable, and easily maintainable front\-end applications efficiently.
Support athena developers and designers through expertise with front\-end technologies and a strong understanding of the Forge Design System.
Document visual and architectural changes within the design system with clear instructions and informative examples.
Use third\-party dependencies and packages intentionally and monitor their utility over time.
Design composable UI components and comprehensible APIs.
Adhere to and maintain front\-end development best practices and architectural standards.
Typical Qualifications
4\+ years of experience as a professional software engineer.
Strong proficiency with React, TypeScript, Webpack, and HTML/CSS.
Experience with writing unit tests, documentation, and informative demos.
Experience with server\-side JavaScript, especially Node.js.
Experience with planning, development, and delivery on an Agile team.
Familiarity with git usage and CI/CD tools.
Familiarity with AWS, Docker, and Drupal.
Familiarity with collaborating alongside internal stakeholders.
Good understanding of full\-stack development, especially navigating front\-end and back\-end systems is desirable.
Experience with development of platforms that support front\-end stability, performance, and maintainability is desirable.
Expected Compensation $119,000 \- $203,000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23">
      <c r="A23" t="inlineStr">
        <is>
          <t>in-58e5ae8d690cb126</t>
        </is>
      </c>
      <c r="B23" t="inlineStr">
        <is>
          <t>Embedded Software Engineer - Effectors</t>
        </is>
      </c>
      <c r="C23" t="inlineStr"/>
      <c r="D23" t="inlineStr">
        <is>
          <t>indeed</t>
        </is>
      </c>
      <c r="E23">
        <f>HYPERLINK("https://www.indeed.com/viewjob?jk=58e5ae8d690cb126", "https://www.indeed.com/viewjob?jk=58e5ae8d690cb126")</f>
        <v/>
      </c>
      <c r="F23">
        <f>HYPERLINK("https://grnh.se/cp23yx5k7us", "https://grnh.se/cp23yx5k7us")</f>
        <v/>
      </c>
      <c r="G23" t="inlineStr">
        <is>
          <t>Los Angeles, CA, US</t>
        </is>
      </c>
      <c r="H23" s="2" t="n">
        <v>46045</v>
      </c>
      <c r="I23" t="inlineStr">
        <is>
          <t>CHAOS Industries is redefining modern defense with omniscient systems purpose\-built for today's realities. Designed and built by top U.S. military veterans and Silicon Valley innovators, CHAOS Industries' products are powered by Coherent Distributed Networks (CDN™), empowering warfighters, commercial air operators, and border protection teams to act faster, adapt rapidly, and stay ahead of evolving threats. In a world where technological threats move at unprecedented speed, CHAOS Industries delivers advanced sensing and detection solutions that give the ultimate advantage: time.
CHAOS Industries was founded in 2022 and has raised $1B in total funding from leading investors including 8VC, Accel, and NEA. The company is headquartered in Los Angeles, with offices in Washington, D.C., San Francisco, and London. For more information, please visit www.chaosinc.com.
**Role Overview:**
CHAOS is seeking a highly\-skilled and motivated Senior Embedded Software Engineer to join our R\&amp;D team. This is a hands\-on senior role where you'll be responsible for the design and implementation of embedded software designs across our product families.
**Responsibilities:**
* Design and implement high\-performance embedded software for software\-defined radio platforms
* Develop low\-level software and firmware interfaces for complex RF hardware
* Lead firmware/software integration efforts
* Support full system integration, testing, and validation through deployment
* Work full\-time on\-site in our office in Los Angeles (Hawthorne), California
**Minimum Requirements:**
* Bachelor's degree or higher in Computer Science, Computer Engineering, or related field
* 10\+ years of professional embedded software development experience
* Strong experience with Linux embedded development and device drivers
* Proficiency in C/C\+\+ for embedded systems and real\-time programming
* Python experience for scripting, automation, and system integration tasks
* Experience with real\-time operating systems and bare\-metal programming
* Experience developing software for ARM\-based embedded platforms
* Experience developing embedded software for software\-defined radios and/or radio transceiver chips
* Experience with modern software development practices (Git, CI/CD, automated testing)
* Familiarity with Agile development methodologies
* Ability to work with minimal supervision and collaborate on small teams
* U.S. Person status is required as this position will require the ability to access U.S.\-only data system
**Preferred Requirements:**
* Current or previous DoD security clearance
* Experience with Analog Devices RF transceivers
* Experience with the Linux IIO framework
* Experience integrating with AMD/Xilinx FPGAs, Nvidia GPUs, and other heterogeneous computing architectures
* Experience implementing and optimizing low\-latency, high\-throughput signal processing algorithms
* FPGA development experience (VHDL/Verilog/SystemVerilog)
* Hardware\-in\-the\-loop testing and validation
* Experience with production\-level software development \&amp; deployment, including DevOps and CI/CD
* Experience with full lifecycle SW development of high\-TRL systems
* Experience with HW/SW I\&amp;T and V\&amp;V of high\-TRL systems
**Why CHAOS?**
* **Health Benefits:** Medical, dental, and vision benefits 100% paid for by the company
* **Additional benefits**: 401k (\+ 50% company match up to 6% of pay), FSA, HSA, life insurance, and more
* **Our Perks:** Free daily lunch, 'No meeting Fridays', unlimited PTO, casual dress code
* **Compensation Components:** Competitive base salaries, generous pre\-IPO stock option grants, relocation assistance, and (coming soon!) annual bonuses
* **Team Growth:** 200 employees and counting across 5 global offices
***Salary Range: $160,000 \- $240,000***
*The stated compensation range reflects only the targeted base compensation range and excludes additional earnings such as bonus, equity, and benefits. If your compensation requirements fall outside of the range, we still encourage you to apply. The salary range for this role is an estimate based on a range of compensation factors, inclusive of base salary only. Actual salary offer may vary based on (but not limited to) work experience, education and/or training, critical skills, and/or business considerations.*
*\#LI\-onsite*</t>
        </is>
      </c>
    </row>
    <row r="24">
      <c r="A24" t="inlineStr">
        <is>
          <t>in-bfc806cc5d449b65</t>
        </is>
      </c>
      <c r="B24" t="inlineStr">
        <is>
          <t>Senior Software Engineer I, Enterprise New Markets</t>
        </is>
      </c>
      <c r="C24" t="inlineStr">
        <is>
          <t>Axon</t>
        </is>
      </c>
      <c r="D24" t="inlineStr">
        <is>
          <t>indeed</t>
        </is>
      </c>
      <c r="E24">
        <f>HYPERLINK("https://www.indeed.com/viewjob?jk=bfc806cc5d449b65", "https://www.indeed.com/viewjob?jk=bfc806cc5d449b65")</f>
        <v/>
      </c>
      <c r="F24">
        <f>HYPERLINK("https://grnh.se/eydoq6693us", "https://grnh.se/eydoq6693us")</f>
        <v/>
      </c>
      <c r="G24" t="inlineStr">
        <is>
          <t>Seattle, WA, US</t>
        </is>
      </c>
      <c r="H24" s="2" t="n">
        <v>46045</v>
      </c>
      <c r="I24"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 **Your Impact**
As a Senior Software Engineer on the Enterprise New Markets team, you will lead the design and delivery of complex systems that help Axon explore, validate, and scale new enterprise product ideas. You'll take ownership of translating ambiguous problem spaces into well\-architected solutions, balancing rapid experimentation with the durability required for production\-grade software.  
This role sits at the intersection of technical leadership and product discovery. You'll work closely with Product Managers, designers, and customers to shape technical approaches, guide system design decisions, and iterate quickly based on real\-world feedback. As concepts mature, you'll help evolve proofs\-of\-concept into scalable systems that integrate deeply with Axon's existing platform and services.  
As a senior engineer, you are expected to raise the technical bar for the team—owning complex systems end\-to\-end, influencing technical direction, coordinating work across engineers, and modeling strong engineering practices as we identify and build the next generation of enterprise products for Axon customers across multiple industries.
### **What You'll Do**
**Work Location:** This role is based out of one of our US\-based offices and follows a hybrid schedule. We rely on in\-person collaboration and ask that team members work onsite Tuesdays through Fridays, with the flexibility to work remotely on Mondays, unless there is an approved workplace accommodation.  
**Reports to:** Senior Software Engineering Manager
* Own the design and implementation of complex systems and services supporting new enterprise product initiatives
* Build and evolve proof\-of\-concepts into production\-ready systems that integrate with Axon's platform and external systems
* Work closely with Product Managers and customers to clarify requirements, evaluate feasibility, and iterate based on feedback
* Apply AI tools and techniques to accelerate development, experimentation, and delivery
* Coordinate technical work across engineers on the team and with adjacent teams to deliver cohesive end\-to\-end solutions
* Set and uphold a high technical standard through thorough code reviews, design reviews, and attention to reliability, security, and maintainability
* Anticipate and mitigate technical risks related to scalability, operability, and long\-term system evolution
* Mentor and support other engineers through technical guidance, pairing, and constructive feedback
* Contribute to planning, estimation, and execution of projects that span multiple features or components
* Improve our Engineering process, including long\-term thinking, weekly operating model, and collaboration
### **What You Bring**
* 6\+ years of professional software engineering experience
* A bachelor's degree in Computer Science, Engineering, or a related technical field (or equivalent practical experience)
* Experience designing and delivering complex, cloud\-based systems with high availability and performance requirements
* Strong system design skills, including the ability to reason clearly about tradeoffs across scalability, reliability, security, and maintainability
* Experience creating and evolving APIs, services, or components used by other engineers or systems
* Demonstrated ability to operate effectively in ambiguous problem spaces and drive clarity through technical leadership
* Experience leading technical projects and coordinating work across multiple teams
* Strong collaboration and communication skills, working effectively across engineering, product, and design
### **Nice to Have**
* Experience building or scaling enterprise products
* Experience in retail, healthcare, manufacturing, or transportation industries
* Exposure to AI\-assisted development tools or building AI\-powered features
* Experience iterating directly with customers or stakeholders based on feedback
* Experience working across the fullstack and using multiple technologies
* Experience integrating with hardware products
### **Benefits that Benefit You**
* Competitive salary and 401k with employer match
* Discretionary time off
* Paid parental leave for all
* Medical, Dental, Vision plans
* Fitness Programs
* Emotional \&amp; Development Programs
* And yes, we have snacks in our offices
*Benefits listed herein may vary depending on the nature of your employment and the location where you work. \*\**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5">
      <c r="A25" t="inlineStr">
        <is>
          <t>in-aaf7d01096fc3e47</t>
        </is>
      </c>
      <c r="B25" t="inlineStr">
        <is>
          <t>Lead Software Engineers</t>
        </is>
      </c>
      <c r="C25" t="inlineStr">
        <is>
          <t>ADP</t>
        </is>
      </c>
      <c r="D25" t="inlineStr">
        <is>
          <t>indeed</t>
        </is>
      </c>
      <c r="E25">
        <f>HYPERLINK("https://www.indeed.com/viewjob?jk=aaf7d01096fc3e47", "https://www.indeed.com/viewjob?jk=aaf7d01096fc3e47")</f>
        <v/>
      </c>
      <c r="F25">
        <f>HYPERLINK("https://click.appcast.io/t/QabOBiGNOmBKmQOSNTyIAvPHwN20yGvrAH4--l3KPDA=", "https://click.appcast.io/t/QabOBiGNOmBKmQOSNTyIAvPHwN20yGvrAH4--l3KPDA=")</f>
        <v/>
      </c>
      <c r="G25" t="inlineStr">
        <is>
          <t>Alpharetta, GA, US</t>
        </is>
      </c>
      <c r="H25" s="2" t="n">
        <v>46045</v>
      </c>
      <c r="I25" t="inlineStr">
        <is>
          <t>**ADP Technology Services, Inc. is hiring Lead Software Engineers in our Alpharetta, GA location.**
* Are you empathetic to client needs and inspired by transformation and impacting the lives of millions of people every day?
* Are you looking to join a dynamic, inclusive team environment with a culture of collaboration and belonging?
**Well, this may be the role for you! Ready to design what’s next?**
To thrive in this career, you’ll need to be enthusiastic, eager to learn, and take on stretch assignments. You strive to learn new technologies and find ways to incorporate what you learn into building your results. You’ll be curious, persistent, and at times persuasive.
As part of our team, you’ll find exciting challenges, get opportunities to grow your career, and develop solid friendships as we design what’s next for ADP and the industry. Pace should not scare you. We still find time for a healthy dose of fun.
**WHAT YOU’LL DO:**
* **Build Teams that thrive.** As an experienced leader, you want everyone to shine. You are constantly looking for ways to share your knowledge, motivate others, and keep everyone engaged and productive.
* Learning**.** You’re always learning new technologies and processes with tools and other training courses, conferences ADP offers, and operating with a “learn as you go” approach with a willingness to figure out new ways of doing things.
* **Create Results.** You’re proactive and hands\-on. When you see a potential issue, you never leave things hanging and unfinished. When you and your team deliver a finished product, it’s as polished as you could make it.
* **Continuous Learning.** You will actively collaborate with other associates to share ideas or show what you’ve learned. You are eager to learn, keep up with ever\-changing technologies, and maintain the ability to create the best tools for our clients.
* **Variety of work.** There is no typical day. You could be checking in with a team in India one minute, meeting with leadership to review initiatives for the coming quarter later and tomorrow handling a few ad hoc requests from your peers in other departments.
* **Influence and inspire confidence.** You are comfortable presenting to senior leaders, product owners, and peers with a compelling voice that you demonstrate through executive presence, leading change, and creating clear executive\-level communications on milestone achievements.
* Challenges**.** Inevitable challenges will arise, and we’ll rely on you to look for a solution.
* Responsibilities**.** Responsible for architecting and designing Power Platform environments, liaising with IT, Security, and other technical groups to ensure all integration needs are met and fully implemented. Provide hands\-on technical expertise to design and implement Power Platform based solutions satisfying customer requirements by crafting Power Apps and Power Platform solutions with the ability to impart knowledge to the team. Understand and anticipate current and future data integration requirements, and other non\-M365 applications. Lead technical design sessions with the pro and citizen development stakeholders. Guide technology/solution decisions with architecture and product teams for projects. Partner with security and risk teams in implementing process changes to ensure compliance with privacy policies, security audits, and certifications. Collaborate with stakeholders to identify business processes and feature requirements to create viable solutions. Influence and govern current and future architectural blueprints and promoting architectural initiatives that generate revenue, improve efficiency, and support ADP business strategy. Perform code reviews respectively to ensure that all solutions are aligned to pre\-defined architecture/design or Microsoft recommended best practices for Power Platform, Azure and SharePoint Online. Perform fit\-gap analysis to identify the difference between the known requirements and the proposed or current solution. Partner with cross\-function technology and design teams to ensure consistent, positive client interaction and solution delivery and integrate the business strategy and knowledge of software capabilities (current and future) into the direction for all products.
**TO SUCCEED IN THIS ROLE:**
* **Education and Qualifications/Skills and Competencies.** Bachelor's degree in Computer Science, Computer Engineering, Information Technology, or related field of study and six (6\) years of related experience required. The company will also accept a Master’s degree and four (4\) years of related experience.
* **Work Experience.** Two (2\) years of experience must include: Power BI Reports development; Power BI Governance and Data Security; Managing \&amp; developing Power Automate flows; Power Automate Governance; Power Automate Desktop development and governance; Process Mining Development and governance; Power Apps development; DLP policies implementation; Model Driven Apps development; Dataverse roles \&amp; administration; Managing \&amp; developing Power Pages sites; Analysis, design, hands\-on development using SharePoint Framework, React, JavaScript, Fluent UI, and delivery of SharePoint\-based applications; Azure Development (Functions, App service, Key Vaults), Integration with SharePoint Online, Power Platform; and PowerShell scripting.
**YOU’LL LOVE WORKING HERE BECAUSE YOU CAN:**
* **Have courageous team collaboration.** Courage comes from how associates are willing to have difficult conversations, speak up, be an owner, and challenge one another’s ideas to find the best solution.
* **Deliver at an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**A little about ADP:** We are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ADP has a deep commitment to diversity, equity, and inclusion as a global Best Places to Work, DiversityInc ® Top 50 Company, Best CEO and company for women, LGBTQ\+, multicultural talent, and more. Learn more about ADP’s commitment on our YouTube channel: http://adp.careers/DEI\_Videos
What are you waiting for? **Apply today!**  
Find out why people come to ADP and why they stay: https://youtu.be/ODb8lxBrxrY  
(ADA version: https://youtu.be/IQjUCA8SOoA )
For more information please visit: jobs.adp.com
\#DNS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26">
      <c r="A26" t="inlineStr">
        <is>
          <t>in-39aed79e2718df9a</t>
        </is>
      </c>
      <c r="B26" t="inlineStr">
        <is>
          <t>Software Engineer</t>
        </is>
      </c>
      <c r="C26" t="inlineStr">
        <is>
          <t>Uber</t>
        </is>
      </c>
      <c r="D26" t="inlineStr">
        <is>
          <t>indeed</t>
        </is>
      </c>
      <c r="E26">
        <f>HYPERLINK("https://www.indeed.com/viewjob?jk=39aed79e2718df9a", "https://www.indeed.com/viewjob?jk=39aed79e2718df9a")</f>
        <v/>
      </c>
      <c r="F26">
        <f>HYPERLINK("https://tnl2.jometer.com/v2/job?jz=5wqzs915eab442b6192d9df6b02390655c635KMAAKAAAAABQ&amp;iis=Job%20Board%20-%20Recruitment%20Marketing&amp;iisn=Indeed%20Organic", "https://tnl2.jometer.com/v2/job?jz=5wqzs915eab442b6192d9df6b02390655c635KMAAKAAAAABQ&amp;iis=Job%20Board%20-%20Recruitment%20Marketing&amp;iisn=Indeed%20Organic")</f>
        <v/>
      </c>
      <c r="G26" t="inlineStr">
        <is>
          <t>Seattle, WA, US</t>
        </is>
      </c>
      <c r="H26" s="2" t="n">
        <v>46045</v>
      </c>
      <c r="I26" t="inlineStr">
        <is>
          <t>This Notice is provided as a result of the filing of applications for permanent alien labor certification for the positions noted below. Any person may provide documentary evidence bearing on an application to the Certifying Officer, U.S. Department of Labor, Employment and Training Administration, Office of Foreign Labor Certification, 200 Constitution Avenue NW, Room N\-5311, Washington, DC 20210\.
**Employer:** Uber Technologies, Inc.
**Job Title:** Software Engineer
**Job ID:** U10548
**Job Location:** Seattle, Washington
**Job Type:** Full Time
**Duties:** Design, develop, and test software applications. Design, develop, and/or test software applications using company technology stack. May telecommute
**\_\_\_\_\_\_\_\_\_\_\_\_\_\_\_\_\_\_\_\_\_\_\_\_\_\_\_\_\_\_\_**  
Rate of Pay: $167,000 to $204,000 per year You will be eligible to participate in Uber's bonus program, and may be offered other types of comp. You will also be eligible for various benefits. More details can be found at the following link https://www.uber.com/careers/benefits.</t>
        </is>
      </c>
    </row>
    <row r="27">
      <c r="A27" t="inlineStr">
        <is>
          <t>in-bb8b8c46d5aa05ac</t>
        </is>
      </c>
      <c r="B27" t="inlineStr">
        <is>
          <t>Senior Software Engineer - FullStack Eng / AI</t>
        </is>
      </c>
      <c r="C27" t="inlineStr">
        <is>
          <t>Uber</t>
        </is>
      </c>
      <c r="D27" t="inlineStr">
        <is>
          <t>indeed</t>
        </is>
      </c>
      <c r="E27">
        <f>HYPERLINK("https://www.indeed.com/viewjob?jk=bb8b8c46d5aa05ac", "https://www.indeed.com/viewjob?jk=bb8b8c46d5aa05ac")</f>
        <v/>
      </c>
      <c r="F27">
        <f>HYPERLINK("https://tnl2.jometer.com/v2/job?jz=5wqzs63c8440eed67458b14cb01dd606728beKMAAKAAAAABQ&amp;iis=Job%20Board%20-%20Recruitment%20Marketing&amp;iisn=Indeed%20Organic", "https://tnl2.jometer.com/v2/job?jz=5wqzs63c8440eed67458b14cb01dd606728beKMAAKAAAAABQ&amp;iis=Job%20Board%20-%20Recruitment%20Marketing&amp;iisn=Indeed%20Organic")</f>
        <v/>
      </c>
      <c r="G27" t="inlineStr">
        <is>
          <t>Sunnyvale, CA, US</t>
        </is>
      </c>
      <c r="H27" s="2" t="n">
        <v>46045</v>
      </c>
      <c r="I27" t="inlineStr">
        <is>
          <t>About the Role
The 3P team brings together Uber's products, state of the art cognitive technologies and Uber's engineering infrastructure to deliver automated conversational assistants a.k.a chatbots to provide enhanced customer experience for our third party customers beyond the Uber ecosystem. Our chatbots are capable of interacting with customers, performing cognitive analysis of customer interactions in real time and responding and interacting automatically with the customers. Our automated assistants are built on dialog management frameworks, Uber's support logic, natural language understanding models and customer communication data to deliver automated support experience that reduces burden on human agents and provides faster response to the customers. We constantly thrive on providing the next generation of customer assistants which are a result of Uber's big bold bets. As a result we are building the next generation chatbots leveraging GenAI models to provide more personalized, empathetic, human\-like conversations that are also compliant with Uber's business policies .
What You'll Do
We are seeking a strong and passionate software engineer with experience in building software platforms leveraging microservices and front end stack for web experiences. You will be responsible for creating scalable, reliable, manageable platforms that deliver on customer support requirements at Uber by leveraging AI at Uber. You will be owning customer facing platforms that impact the support experience of millions of customers. You will also be leading the GenAI based support experiences as well as augmenting the existing platforms with new features and capabilities. Your responsibility will include identifying required changes across Uber's engineering ecosystem, collaborating with engineering teams, driving consensus, implementing extensible, maintainable changes required to build state\-of\-the\-art support experiences.
We are looking for someone who has passion for designing and driving large projects from inception to production. The right person will work with stakeholders, product managers, scientists, partner engineering teams to gather requirements and translate them into a platform feature. Must be a great communicator, team player, and a technical powerhouse.
Basic Qualifications
1\. Bachelors Degree, or above, in Comp Science or related field
2\. Scalable system architecture design
3\. Production\-quality services, deployment, monitoring, and reliability.
4\. Microservice designs, gRPC or REST API development
5\. Ability to decompose complex business problems into clean, extensible, performant services and systems
6\. Logging, monitoring, performance troubleshooting and tuning experience
7\. Excellent problem\-solving skills and the ability to work in a collaborative team environment
8\. Comfortable in navigating multi\-disciplinary teams with respect
9\. Focus on code quality in terms of coverage, code reviews
10\. Excellent technical writing skills to communicate design, requirements, flows, architecture
**11\. Fluent in one of these programming languages:** Golang, Scala, Java,
**12\. Comfortable in one of these scripting languages:** Javascript, python
13\. Solid understanding of algorithms, data structures, and software design principles.
14\. Experience with version control systems such as Git.
Preferred Qualifications
1\. Experience in machine learning, GenAI, or LLM technologies.
2\. Experience with building conversational assistants
3\. Dialog management systems like Google Dialogflow, Amazon Alexa
4\. Familiarity with large scale distributed systems like Kafka and cloud platforms like AWS, GCP, or Azure.
**5\. Familiarity with communication channel interfaces eg:** WhatsApp, SMS, slack
**For Sunnyvale, CA\-based roles:** The base salary range for this role is USD$202,000 per year \- USD$224,000 per year. You will be eligible to participate in Uber's bonus program, and may be offered an equity award \&amp; other types of comp. You will also be eligible for various benefits. More details can be found at the following link https://www.uber.com/careers/benefits.</t>
        </is>
      </c>
    </row>
    <row r="28">
      <c r="A28" t="inlineStr">
        <is>
          <t>in-10fde8833276b7b2</t>
        </is>
      </c>
      <c r="B28" t="inlineStr">
        <is>
          <t>Senior Software Engineer / Technical Lead (Backend Focus)</t>
        </is>
      </c>
      <c r="C28" t="inlineStr">
        <is>
          <t>iCarCover</t>
        </is>
      </c>
      <c r="D28" t="inlineStr">
        <is>
          <t>indeed</t>
        </is>
      </c>
      <c r="E28">
        <f>HYPERLINK("https://www.indeed.com/viewjob?jk=10fde8833276b7b2", "https://www.indeed.com/viewjob?jk=10fde8833276b7b2")</f>
        <v/>
      </c>
      <c r="F28">
        <f>HYPERLINK("http://www.indeed.com/job/senior-software-engineer-technical-lead-backend-focus-10fde8833276b7b2", "http://www.indeed.com/job/senior-software-engineer-technical-lead-backend-focus-10fde8833276b7b2")</f>
        <v/>
      </c>
      <c r="G28" t="inlineStr">
        <is>
          <t>Fullerton, CA, US</t>
        </is>
      </c>
      <c r="H28" s="2" t="n">
        <v>46045</v>
      </c>
      <c r="I28" t="inlineStr">
        <is>
          <t>Warehouse Management System (WMS) \| Full\-time
**About Us**  
We are a fast\-growing eCommerce company building a custom Warehouse Management System (WMS) comparable in scope to platforms like Shiphero, tailored to our internal warehouse operations.
**Role Overview**  
We are hiring a **Senior Software Engineer / Technical Lead** with strong backend experience to lead the build of our WMS from the ground up. This role is primarily **backend\-focused**, but you should be comfortable guiding or contributing to the full system (backend, frontend, infrastructure). You will act as the technical owner and help drive the project forward with strong execution and decision\-making.
This is not a ticket\-only role. You will help define the system, architect it, build it, and ship it.
Key Responsibilities
**Technical Ownership and System Design**
* Own the architecture and technical direction of the WMS
* Translate operational warehouse needs into scalable software
* Break down large projects into phases, milestones, and deliverables
* Make decisions on data models, APIs, workflows, and infrastructure
**Backend Engineering (Primary Focus)**
* Build core WMS modules such as:
* Inventory management and reconciliation
* SKU, bin, pallet, and location tracking
* Receiving, putaway, picking, packing, and shipping workflows
* Order lifecycle and status management
* Integrations with carriers, OMS/ERP systems, and marketplaces
* Design reliable APIs and services with high data accuracy and performance
* Handle concurrency, data integrity, and warehouse transaction volume
**Frontend and Workflow Experience (Secondary)**
* Collaborate on or guide the frontend for warehouse users (desktop/tablet/mobile/scanners)
* Ensure the WMS is simple, fast, and usable by non\-technical teams
**Infrastructure and Reliability**
* Set up or guide deployment, CI/CD, environments, and monitoring
* Improve system stability, logging, and observability as the platform grows
* Plan for scaling to more SKUs, more users, and potentially multiple warehouses
Qualifications
**Required**
* 7\+ years of professional software engineering experience
* Strong backend development experience building production systems
* Experience owning large projects end\-to\-end (architecture through launch)
* Strong knowledge of relational databases (PostgreSQL/MySQL) and data modeling
* Experience building APIs and backend services (REST and/or GraphQL)
* Ability to lead execution and make clear technical decisions
**Preferred**
* Experience with WMS, OMS, inventory, fulfillment, or logistics systems
* Experience integrating with third\-party platforms (shipping carriers, ERPs, marketplaces)
* Cloud experience (AWS/GCP/Azure), Docker, CI/CD
* Experience building internal tools used by operations teams
Tech Stack (Preferred, Not Required)
* Backend: Node.js (NestJS), Python, Java, or similar
* Database: PostgreSQL or MySQL
* Frontend: React (or similar)
* Infrastructure: AWS, Docker, CI/CD
We care more about your ability to design and ship real systems than matching every tool exactly.
Pay: $90,000\.00 \- $120,000\.00 per year
Benefits:
* Employee discount
* Health insurance
* Paid time off
Work Location: In person</t>
        </is>
      </c>
    </row>
    <row r="29">
      <c r="A29" t="inlineStr">
        <is>
          <t>in-f9df3a1a001a553b</t>
        </is>
      </c>
      <c r="B29" t="inlineStr">
        <is>
          <t>Software Engineer - Production</t>
        </is>
      </c>
      <c r="C29" t="inlineStr">
        <is>
          <t>Super Micro Computer, Inc.</t>
        </is>
      </c>
      <c r="D29" t="inlineStr">
        <is>
          <t>indeed</t>
        </is>
      </c>
      <c r="E29">
        <f>HYPERLINK("https://www.indeed.com/viewjob?jk=f9df3a1a001a553b", "https://www.indeed.com/viewjob?jk=f9df3a1a001a553b")</f>
        <v/>
      </c>
      <c r="F29">
        <f>HYPERLINK("https://jobs.supermicro.com/job/San-Jose-Software-Engineer-Production-Cali/1359094600/", "https://jobs.supermicro.com/job/San-Jose-Software-Engineer-Production-Cali/1359094600/")</f>
        <v/>
      </c>
      <c r="G29" t="inlineStr">
        <is>
          <t>San Jose, CA, US</t>
        </is>
      </c>
      <c r="H29" s="2" t="n">
        <v>46045</v>
      </c>
      <c r="I29" t="inlineStr">
        <is>
          <t>Software Engineer \- Production
**Date:** Jan 24, 2026
**Location:** San Jose, California, United States
**Company:** Super Micro Computer
**Job Req ID: 28256**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looking for a Software Engineer \- Production. This position will be based at our headquarters located in San Jose, CA. The engineer will work across the full stack, building highly scalable distributed solutions that enable positive user experiences and measurable business growth. The candidate will also develop new features and infrastructure development in support of rapidly emerging business and project requirements. In addition, the production engineer will ensure application performance, uptime, and scale, maintaining high standards of code quality and thoughtful application design.
**Essential Duties and Responsibilities:**
**Includes the following essential duties and responsibilities (other duties may also be assigned):**  
* Participate in all aspects of agile software development including design, implementation, and deployment
* Architect and provide guidance on building end\-to\-end systems optimized for speed and scale
* Work primarily in JavaScript, TypeScript, React and Nodejs
* Deploy and maintain service on K8s cluster
* Engage with inspiring designers and front end engineers, and collaborate with leading back end engineers as we create reliable APIs
* Collaborate across GitHub comments, documents
**Qualifications:**
* Bachelor’s degree in Computer Science, Information Technology, or Engineering
* 1\+ years of experience building large scale software applications
* Experience building web applications
* Experience designing and integrating GraphQL, RESTful APIs
* Knowledge of Docker, Nodejs , React, Sql, and Javascript
* Excellent debugging and optimization skills
* Unit/integration testing experience
**Salary Range**
$100,000 \- $160,000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30">
      <c r="A30" t="inlineStr">
        <is>
          <t>in-aef7924cafc231e0</t>
        </is>
      </c>
      <c r="B30" t="inlineStr">
        <is>
          <t>AVP, Software Developer Engineer in Test (SDET)</t>
        </is>
      </c>
      <c r="C30" t="inlineStr">
        <is>
          <t>LPL Financial</t>
        </is>
      </c>
      <c r="D30" t="inlineStr">
        <is>
          <t>indeed</t>
        </is>
      </c>
      <c r="E30">
        <f>HYPERLINK("https://www.indeed.com/viewjob?jk=aef7924cafc231e0", "https://www.indeed.com/viewjob?jk=aef7924cafc231e0")</f>
        <v/>
      </c>
      <c r="F30">
        <f>HYPERLINK("https://career.lpl.com/job/R-048270/AVP-Software-Developer-Engineer-in-Test-SDET", "https://career.lpl.com/job/R-048270/AVP-Software-Developer-Engineer-in-Test-SDET")</f>
        <v/>
      </c>
      <c r="G30" t="inlineStr">
        <is>
          <t>Austin, TX, US</t>
        </is>
      </c>
      <c r="H30" s="2" t="n">
        <v>46044</v>
      </c>
      <c r="I30"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As an AVP, Software Development Engineer in Test (SDET) you will join a team of talented developers in test and work on next generation application software to enhance our engineering best practices, tools, design patterns and frameworks.
**Responsibilities:**
* Collaborate with product, engineering and other domain teams to understand features, develop and automate test cases, improve product quality and shorten release time from dev to production.
* Using different software testing methodologies to deliver quality software.
* Coordinating and driving E2E testing with cross\-domains.
* Being able to identify the manual processes and solve through automation.
* Working with software engineers to understand product architecture and features.
* Participate in code reviews to advocate and improve code quality and coding standards.
* Create and maintain data scenarios to support test plans and test cases
* Analyzing test results, being a vocal proponent for quality in every phase of the development process.
* Documenting and track bugs to closure.
* Working in an Agile/Scrum environment to deliver high quality software.
* Mentoring team and individuals on best automation practices, design and implementation.
* Documenting and maintaining respective processes.
**What are we looking for?** We’re looking for strong collaborators who deliver exceptional client experiences and thrive in fast\-paced, team\-oriented environments. Our ideal candidates **pursue greatness**, **act with integrity**, and are **driven to help our clients succeed**. We value those who embrace creativity, continuous improvement, and contribute to a culture where we **win together** and **create and share joy** in our work.
**Requirements:**
* Candidate must possess a combination of one of the following:
	+ Bachelor’s Degree, Computer Science or similar, plus 8\+ years of experience
	+ **OR** Master’s Degree, Computer Science or similar, plus 7\+ years of experience
	+ **OR** no degree, plus 12\+ years of experience working in Quality Engineering and management roles
* 10\+ years of hand on experience in software development in test automation, concurrent coding skills in Java.
* 6\+ years of leadership experience, leading multiple team initiatives simultaneously.
* 4\+ years of experience in building automation frameworks and/or contributing to the frameworks.
* 4\+ years of experience in API testing (SOAP and REST/MicroServices)
**Preferences:**
* 4\+ years of experience with code versioning tools (Git, SVN).
* JavaScript and NodeJS, server\-side experience is preferred.
* Experience with Shell scripting
**Core Competencies:**
* Experience in Continuous Integration and Continuous Deployment (CI/CD).
* Experience with Jira or similar Agile process tools.
* Experience with using defect management and test management tools.
* Excellent SQL knowledge with the ability to write complex queries for validation as well as review stored procedures for verification.
* Familiarity with BDD and/or Cucumber
* Experience creating strategies to cover vendor integrations.
* Following Scrum/Agile development methodology.
* Ability to thrive in a fast\-paced environment where resourcefulness, determination, and strong problem\-solving skills are necessary for success.
* Strong application debugging skills.
* Positive attitude and the ability to complete assigned objectives with minimal supervision.
* Experience with using open source libraries to bring in efficiencies.
* Excellent communications skills both written and verbal.
\#LI\-Hybrid
 **Pay Range:**
$123,000\-$205,000/year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
* **Commitment to Equality:** We support workplace equality and embrace diverse perspectives and backgrounds. !
* **Community Focus:** We care for our communities and encourage our employees to do the same. !
* **Benefits and Total Rewards:** Our Total Rewards package goes beyond just compensation and insurance. It includes a mix of traditional and unique benefits, perks, and resources designed to enhance your life both at work and at home. !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31">
      <c r="A31" t="inlineStr">
        <is>
          <t>in-ee22cfd921807204</t>
        </is>
      </c>
      <c r="B31" t="inlineStr">
        <is>
          <t>Software Engineer III</t>
        </is>
      </c>
      <c r="C31" t="inlineStr">
        <is>
          <t>GoEngineer</t>
        </is>
      </c>
      <c r="D31" t="inlineStr">
        <is>
          <t>indeed</t>
        </is>
      </c>
      <c r="E31">
        <f>HYPERLINK("https://www.indeed.com/viewjob?jk=ee22cfd921807204", "https://www.indeed.com/viewjob?jk=ee22cfd921807204")</f>
        <v/>
      </c>
      <c r="F31">
        <f>HYPERLINK("https://careers.goengineer.com/jobs/542838-software-engineer-iii", "https://careers.goengineer.com/jobs/542838-software-engineer-iii")</f>
        <v/>
      </c>
      <c r="G31" t="inlineStr">
        <is>
          <t>Midvale, UT, US</t>
        </is>
      </c>
      <c r="H31" s="2" t="n">
        <v>46044</v>
      </c>
      <c r="I31" t="inlineStr">
        <is>
          <t>**About this opportunity:**
GoEngineer is a provider of the most compelling design platforms in the industry, deploying engineering software and 3D Printing technology to make the design process innovative, efficient, and intelligent.
GoEngineer is looking for a Software Engineer III to join our team. GoEngineer is headquartered in Salt Lake City, UT and has sales and training centers throughout the United States. We offer competitive salary, benefits, and career path options, in a casual work environment.
The Software Engineer III will be responsible for designing, developing, testing, and deploying enterprise software solutions.
**Your key contributions in this role will be:**
* Lead the design and development of enterprise\-grade software solutions using modern .NET technologies (.NET LTS, ASP.NET, EF Core, SQL).
* Architect and implement high\-performance web applications with clean, maintainable code.
* Migrate legacy ASP.NET MVC applications to modern Single Page Application (SPA) frameworks such as React or Angular.
* Design and build secure, scalable RESTful APIs with proper authentication and authorization (OAuth, OpenID Connect, JWT).
* Ensure software meets industry security and performance best practices.
* Configure and maintain CI/CD pipelines using Azure DevOps and Bicep for efficient, automated deployments.
* Conduct application load testing, profiling, and performance optimization.
* Build event\-driven, cloud\-based architectures leveraging Azure services such as Azure App Service, Azure SQL, and Azure Service Bus.
* Mentor junior engineers and contribute to team knowledge\-sharing and technical design reviews.
* Participate actively in Agile/Scrum ceremonies and collaborate with cross\-functional teams.
* Act as an escalation point for helpdesk support, resolving advanced issues and guiding junior team members.
* Oversee bug triaging, prioritization, and backlog management for critical issues.
***We are looking for candidates with the below experience and skills, however, even if you do not meet all the listed requirements, very interested candidates should still apply:***
* Bachelor’s or Master’s Degree in Computer Science, Software Engineering, or at least 5\-7 years industry equivalent experience.
* 5 years of full\-time back\-end development experience using technologies such as C\#, .NET Core, ASP.NET MVC, EF Core, and SQL database.
* 3 years of full\-time front\-end development using modern UI frameworks, such as React or Angular.
* Strong knowledge of different software development design patterns and architecture.
* Experience migrating ASP.NET MVC applications to modern SPA UI frameworks.
* Experience with unit testing and integration testing frameworks, such as MSTest, NUnit, or xUnit.
* Experience with setting up and managing CI/CD pipelines using Biceps and Azure DevOps.
* Experience working in an Agile/Scrum development environment.
 **More about what GoEngineer offers:**
At GoEngineer, we understand that our value comes from our employees, and we celebrate and respect their unique experiences. We are working to build a culture where both our employees and customers are centered in the work we do, and employees feel welcomed as they are from the first day.
 **Generous Benefits Include:**
* Participation in GoEngineer's unlimited PTO program from day one of employment.
* 401(k) Plan that includes up to a 6% company match, 100% vested day one.
* Choice of Traditional PPO or High\-Deductible Medical plans, and corresponding FSA or HSA accounts.
* Generous HSA Contribution with participation in the High\-Deductible Health Plan.
* Employer paid Life Insurance policy; optional Supplemental Life available.
* Employer paid Short\-Term and Long\-Term Disability Benefits.
* Dental, Vision, and other Ancillary benefits.</t>
        </is>
      </c>
    </row>
    <row r="32">
      <c r="A32" t="inlineStr">
        <is>
          <t>in-7af123bd3b1ce89e</t>
        </is>
      </c>
      <c r="B32" t="inlineStr">
        <is>
          <t>Principal Full-Stack Software Engineer</t>
        </is>
      </c>
      <c r="C32" t="inlineStr">
        <is>
          <t>Saleo</t>
        </is>
      </c>
      <c r="D32" t="inlineStr">
        <is>
          <t>indeed</t>
        </is>
      </c>
      <c r="E32">
        <f>HYPERLINK("https://www.indeed.com/viewjob?jk=7af123bd3b1ce89e", "https://www.indeed.com/viewjob?jk=7af123bd3b1ce89e")</f>
        <v/>
      </c>
      <c r="F32">
        <f>HYPERLINK("https://saleo.applytojob.com/apply/FKFMcnKQdr/Principal-FullStack-Software-Engineer?source=INDE&amp;~", "https://saleo.applytojob.com/apply/FKFMcnKQdr/Principal-FullStack-Software-Engineer?source=INDE&amp;~")</f>
        <v/>
      </c>
      <c r="G32" t="inlineStr">
        <is>
          <t>Alpharetta, GA, US</t>
        </is>
      </c>
      <c r="H32" s="2" t="n">
        <v>46044</v>
      </c>
      <c r="I32" t="inlineStr">
        <is>
          <t>### **About Saleo**
Saleo exists to help software companies create incredible software demos that win and retain more customers. Our platform powers interactive, production\-like demo experiences used by sales and customer teams every day.
As a **Principal Full\-Stack Software Engineer**, you will be a senior technical leader on our **Product Development team**, **reporting to the VP of Engineering**. You will help define Saleo’s technical direction, lead system architecture, and deliver scalable, reliable, high\-quality software while mentoring engineers across the organization.
**Responsibilities**
--------------------
### **Technical Leadership \&amp; Architecture**
* Own and evolve system architecture across frontend, backend, and cloud infrastructure.
* Lead the design and implementation of large\-scale, high\-performance, distributed systems.
* Set and uphold engineering standards, best practices, and architectural patterns.
* Lead and participate in architecture and design reviews.
* Evaluate and introduce new technologies and frameworks where appropriate.
### **Hands\-On Engineering**
* Design, write, and review production\-quality code in **React, JavaScript, TypeScript, Node.js**, and other languages/frameworks as needed.
* Build and maintain services spanning **browser extensions, web portals, and partner integrations**.
* Design and operate backend services using **AWS, Lambda, DynamoDB**, and related cloud services.
* Deploy high\-volume, customer\-facing services to production multiple times per day.
* Instrument systems to provide visibility into performance, reliability, and business impact.
### **Reliability, Operations \&amp; Quality**
* Own production health by monitoring availability, latency, and overall system performance.
* Lead incident response, root\-cause analysis, and long\-term reliability improvements.
* Partner with Support and Product teams to triage and resolve complex customer and platform issues.
* Champion engineering quality through automated testing, code reviews, and CI/CD improvements.
### **Mentorship \&amp; Cross\-Team Influence**
* Mentor senior and mid\-level engineers, raising the overall technical bar.
* Influence engineering culture through documentation, knowledge sharing, and technical leadership.
* Collaborate cross\-functionally with Product, Design, Support, and Leadership to align technical execution with business goals.
**Required Skills \&amp; Experience**
---------------------------------
### **Experience**
* **10\+ years of professional software engineering experience**, including substantial hands\-on experience across **frontend, backend, and production systems**.
* Proven ability to design, build, deploy, and operate large\-scale, distributed systems in production.
* Significant experience with modern frontend technologies, including:  
	+ React
	+ JavaScript
	+ TypeScript
* Significant experience with backend and cloud technologies, including:  
	+ Node.js
	+ AWS (including Lambda and serverless architectures)
	+ DynamoDB or other NoSQL databases
* Extensive experience running and owning production systems on a major cloud provider (AWS preferred).
* Strong experience with **RESTful and/or RPC API design**.
* Experience designing and evolving document\-oriented and NoSQL data models.
### **Technical Strengths**
* Deep understanding of scalability, performance tuning, and fault tolerance.
* Strong familiarity with observability tools (metrics, logging, tracing).
* Experience building highly available systems with frequent, safe deployments.
**Preferred Skills**
--------------------
* Experience developing **browser extensions**.
* Experience influencing or leading technical strategy across teams.
FKFMcnKQdr</t>
        </is>
      </c>
    </row>
    <row r="33">
      <c r="A33" t="inlineStr">
        <is>
          <t>in-08da3296288eb032</t>
        </is>
      </c>
      <c r="B33" t="inlineStr">
        <is>
          <t>Software Engineer, Level 3</t>
        </is>
      </c>
      <c r="C33" t="inlineStr">
        <is>
          <t>Independent Software</t>
        </is>
      </c>
      <c r="D33" t="inlineStr">
        <is>
          <t>indeed</t>
        </is>
      </c>
      <c r="E33">
        <f>HYPERLINK("https://www.indeed.com/viewjob?jk=08da3296288eb032", "https://www.indeed.com/viewjob?jk=08da3296288eb032")</f>
        <v/>
      </c>
      <c r="F33">
        <f>HYPERLINK("https://independentsoftware.applytojob.com/apply/KoWuwTPNSi/Software-Engineer-Level-3?source=INDE&amp;~", "https://independentsoftware.applytojob.com/apply/KoWuwTPNSi/Software-Engineer-Level-3?source=INDE&amp;~")</f>
        <v/>
      </c>
      <c r="G33" t="inlineStr">
        <is>
          <t>Fort Meade, MD, US</t>
        </is>
      </c>
      <c r="H33" s="2" t="n">
        <v>46044</v>
      </c>
      <c r="I33" t="inlineStr">
        <is>
          <t>**What You Will Do:**  
As a Software Engineer Level 3 at Independent Software, you will serve in a highly customer\-facing role leading the development, deployment, and evolution of mission\-critical systems supporting modern satellite communication technologies. You will work directly with users and stakeholders to analyze requirements, translate mission needs into technical solutions, and deliver high\-quality software that operates under strict performance, timing, and reliability constraints.  
In this role, you will design and implement complex algorithms, develop and enhance C\+\+ software applications, and ensure system robustness through automated testing, debugging, and continuous improvement. You will collaborate closely with cross\-functional teams to deliver resilient, scalable, and high\-performance solutions that support evolving mission demands.  
**Key Responsibilities:**
* Analyze user requirements to derive software designs for new applications or enhancements to existing systems, ensuring alignment with mission and project objectives.
* Design, develop, and maintain high\-quality C\+\+ software for satellite communication systems using best practices and coding standards.
* Identify, debug, and resolve software defects using effective troubleshooting and root\-cause analysis techniques.
* Design and implement database or data repository interfaces and queries to support application data management requirements.
* Design and implement complex algorithms that operate within strict timing, resource, and interface constraints.
* Integrate automated testing into the software development lifecycle, including unit testing and regression testing, to ensure software quality and reliability.
* Collaborate with system architects, QA engineers, project managers, and other stakeholders to ensure software solutions meet user needs and delivery schedules.
* Maintain comprehensive technical documentation covering software designs, interfaces, algorithms, and development processes.
**Required Skills and Qualifications:**  
* Proficiency in C\+\+ software development with experience building and maintaining complex, high\-performance systems.
* Strong understanding of real\-time systems and performance optimization techniques.
* Experience with RF signal analysis or satellite communications system design and theory, with the ability to translate these concepts into software implementations.
* Experience designing and implementing complex algorithms under constrained system environments.
* Familiarity with DevOps practices and tools, including virtualized environments (VMware) and containerized platforms (Docker and Kubernetes).
* Experience with message queue technologies and communication protocols.
* Strong analytical and problem\-solving skills.
* Excellent communication and collaboration skills, particularly in customer\-facing environments.
* Adaptability and a commitment to continuous learning and technical growth.
**Education and Experience:**  
* Seven (7\) years experience as a SWE, in programs and contracts of similar scope, type, and complexity
* Bachelor's Degree in Computer Science or related discipline from an accredited college or university.
* A bachelor's degree may be substituted for four (4\) years of additional SWE experience on projects with similar software processes.
* Twenty (20\) years’ experience as a SWE in programs and contracts of similar scope, type, and complexity
**Clearance Requirement:**
* Must possess an active TS SCI with appropriate Polygraph to be considered for this role
**What You Will Do:**  
As a Software Engineer, Level 3 at Independent Software, you will serve in a highly customer\-facing role leading the development, deployment, and evolution of mission\-critical systems supporting modern satellite communication technologies. You will work directly with users and stakeholders to analyze operational needs and translate them into robust, high\-performance software solutions.  
In this role, you will design, develop, and enhance C\+\+ applications, implement complex algorithms, and ensure software reliability through automated testing and rigorous debugging. You will collaborate closely with cross\-functional teams to deliver scalable, secure, and performance\-optimized systems that operate in timing\- and resource\-constrained environments.  
**Key Responsibilities:**  
* Analyze user requirements to derive software designs for new applications or enhancements to existing systems
* Ensure new features and capabilities align with mission objectives and project goals
* Develop high\-quality, maintainable C\+\+ code for satellite communication and mission\-critical applications
* Apply best practices, coding standards, and performance optimization techniques
* Identify, debug, and resolve software defects using systematic troubleshooting and root\-cause analysis
* Support sustainment and continuous improvement of existing software baselines
* Design and implement database or data repository interfaces and queries to support application data management
* Design and implement complex algorithms that meet strict timing, system resource, and interface constraints
* Optimize software for high performance, reliability, and real\-time operation
* Integrate automated testing into the development lifecycle, including unit testing and regression testing
* Review and validate software components to ensure adherence to design requirements
* Work closely with system architects, QA engineers, and project managers to ensure solutions meet user requirements
* Participate in technical reviews and support on\-time delivery of high\-quality software
* Maintain comprehensive technical documentation for software designs, algorithms, processes, and interfaces
* Support knowledge sharing and long\-term project continuity
**Required Skills and Qualifications:**  
* Proficiency in C\+\+ software development for complex, mission\-critical systems
* Experience designing and implementing algorithms for real\-time or performance\-constrained environments
* Knowledge of RF signal analysis or satellite communications system design and theory
* Familiarity with DevOps processes and tools in virtualized and containerized environments, including VMware, Docker, and Kubernetes
* Experience with message queue technologies and communication protocols
* Strong analytical and problem\-solving skills with the ability to debug complex issues
* Excellent communication and collaboration skills in customer\-facing environments
* Adaptability and a commitment to continuous learning
**Education and Experience:**  
* Doctoral Degree plus 4 years of relevant experience
* Bachelor’s Degree plus 5 years of relevant experience
* Associate Degree plus 7 years of relevant experience
* High School Diploma or GED plus 9 years of relevant experience
Relevant experience must be in software engineering, algorithm development, real\-time systems, satellite communications, or related technical domains.  
**Clearance Requirement:**  
* Must possess an active TS SCI with appropriate Polygraph to be considered for this role
**Why Choose Independent Software:**  
At Independent Software, our people are the mission. We’ve built a company around collaboration, integrity, and innovation and we make sure our team has the tools and support to grow, succeed, and thrive.  
When you join us, you will:* Support critical national security missions that matter
* Be part of a close\-knit, employee\-first culture where your voice is heard
* Expand your skills through ongoing training, mentorship, and career development
* Enjoy competitive compensation, generous benefits, and work\-life balance
Ready to take the next step in your career? Join us and be part of something bigger.  
Apply today.  
We’re an equal opportunity employer. All applicants will be considered for employment without attention to race, color, religion, sex, sexual orientation, gender identity, national origin, veteran or disability status.
KoWuwTPNSi</t>
        </is>
      </c>
    </row>
    <row r="34">
      <c r="A34" t="inlineStr">
        <is>
          <t>in-f8b349668e3af37b</t>
        </is>
      </c>
      <c r="B34" t="inlineStr">
        <is>
          <t>Entry-Level Software Engineer</t>
        </is>
      </c>
      <c r="C34" t="inlineStr">
        <is>
          <t>Space Dynamics Laboratory</t>
        </is>
      </c>
      <c r="D34" t="inlineStr">
        <is>
          <t>indeed</t>
        </is>
      </c>
      <c r="E34">
        <f>HYPERLINK("https://www.indeed.com/viewjob?jk=f8b349668e3af37b", "https://www.indeed.com/viewjob?jk=f8b349668e3af37b")</f>
        <v/>
      </c>
      <c r="F34">
        <f>HYPERLINK("https://spacedynamicslaboratory.applytojob.com/apply/D6jHNY7CeB/EntryLevel-Software-Engineer?source=INDE&amp;~", "https://spacedynamicslaboratory.applytojob.com/apply/D6jHNY7CeB/EntryLevel-Software-Engineer?source=INDE&amp;~")</f>
        <v/>
      </c>
      <c r="G34" t="inlineStr">
        <is>
          <t>North Logan, UT, US</t>
        </is>
      </c>
      <c r="H34" s="2" t="n">
        <v>46044</v>
      </c>
      <c r="I34" t="inlineStr">
        <is>
          <t>**Job ID: 6033**  
**Date Posted: January 23, 2026**  
Space Dynamics Laboratory (SDL) is seeking a Junior Software Engineer to join an exciting team in a software development position, developing next\-generation high\-speed networking technologies! Our software works alongside state\-of\-the\-art FPGAs to control high\-speed optical network interfaces, drive our customized hardware, and implement cyber algorithms. The ideal candidate has a strong background in the software development lifecycle and network programming, as well as an interest in cyber networking technologies. The selected candidate will work in an agile, continuous\-integration environment, helping develop and improve system reliability for some of the Nation’s most important cyber work.
The Command, Control, Communications, Computers, Intelligence, Surveillance, and Reconnaissance (C4ISR) Systems Division delivers mission\-critical solutions, specializing in cyber operations, information architecture, strategic deterrence, and ISR. Our division’s commitment to innovation and security enables us to provide critical solutions across defense, intelligence, and national security. Join our team and contribute to the next generation of defense technologies.  
**Required Qualifications:*** Bachelor’s degree in computer science, computer engineering, electrical engineering, or a relevant field (must be completed within 6 months from date posted)
* 6 months of full or part\-time software engineering experience
* No more than 5 years of relevant experience
* Strong command of an object\-oriented or procedural programming language(s)
	+ C/C\+\+, Python, C\# or Java
* Understanding of the following computer science concepts
	+ Algorithms, threading, messaging systems and debugging
* Experience with software version control and bug tracking tools
* Must be able to work effectively both independently and as part of a team
* Must be a US citizen with an active Secret Clearance
**Preferred Qualifications:*** DoD TS Clearance
* Minimum of 1 year of software development experience
* Networking background including TCP/IP, UDP, NAT, and various networking technologies (e.g., OSI layers 1\-4\)
* Network programming experience
* Hardware interface experience
* **Salary Range**
* $71,000 \- $94,000
	+ Salary commensurate based on education and relevant experience
This range serves as a general guideline and may vary based on factors such as role, level, location, market conditions, and individual qualifications, including job\-related skills, experience, and relevant education or training. The range displayed in the job advertisement reflects the minimum and maximum target salaries across all US locations. Specific salary details for a candidate’s preferred location can be provided by the recruiter or HR manager during the hiring process.  
**Why Join SDL?**  
* SDL offers competitive salaries and **a comprehensive benefits package**. Visit our **Benefits Page** to learn more about what we offer.
SDL delivers advanced multi\-domain solutions to protect national security and enable scientific discovery. Our expertise in satellites, sensors and instruments, ground systems and data processing, and autonomous systems plays a critical role in missions supporting NASA and the Department of Defense. Join our team of engineers, scientists, technicians, and business professionals in our seventh decade of delivering mission success.  
At SDL, we strive to uphold a culture of respect, collaboration, empowerment, and accountability. We listen with open minds, seek to understand diverse perspectives, and engage in thoughtful dialogue. We work together by sharing knowledge, involving others, and offering support. We trust and empower our team members to take ownership, act with integrity, and be accountable. Above all, we deliver on our commitments to each other and to our mission partners.  
The application window for this position is expected to remain open for approximately 14 days; however, it may be shortened or extended depending on business needs and the availability of qualified candidates. We encourage interested candidates to submit their applications promptly.
For questions, assistance, or accommodation with the application process or the DoD SkillBridge program, please contact employment@sdl.usu.edu.
D6jHNY7CeB</t>
        </is>
      </c>
    </row>
    <row r="35">
      <c r="A35" t="inlineStr">
        <is>
          <t>in-d922a993d111929b</t>
        </is>
      </c>
      <c r="B35" t="inlineStr">
        <is>
          <t>Software Engineer - Security Clearance Eligibility Required</t>
        </is>
      </c>
      <c r="C35" t="inlineStr">
        <is>
          <t>AVT Simulation</t>
        </is>
      </c>
      <c r="D35" t="inlineStr">
        <is>
          <t>indeed</t>
        </is>
      </c>
      <c r="E35">
        <f>HYPERLINK("https://www.indeed.com/viewjob?jk=d922a993d111929b", "https://www.indeed.com/viewjob?jk=d922a993d111929b")</f>
        <v/>
      </c>
      <c r="F35">
        <f>HYPERLINK("https://avtsimulation.applytojob.com/apply/ZDdj0vmhmd/Software-Engineer-Security-Clearance-Eligibility-Required?source=INDE&amp;~", "https://avtsimulation.applytojob.com/apply/ZDdj0vmhmd/Software-Engineer-Security-Clearance-Eligibility-Required?source=INDE&amp;~")</f>
        <v/>
      </c>
      <c r="G35" t="inlineStr">
        <is>
          <t>Orlando, FL, US</t>
        </is>
      </c>
      <c r="H35" s="2" t="n">
        <v>46044</v>
      </c>
      <c r="I35" t="inlineStr">
        <is>
          <t>**Job Summary**  
Software engineers are responsible for the design, development, maintenance, and documentation of software applications. A software engineer will be able to apply industry best practices to a problem space to develop an optimal solution in new or existing code bases.* This is an in\-office position located in Orlando, FL.
* US Government security clearance may be required, and candidate must be eligible.
* Candidate will be required to comply with federally mandated U.S. export and control laws.
* Must be able to travel Internationally
**Highly Desired Background**  
* Experience with a variety of devices, including but not limited to Full Motion Training simulators, avionics, Electronic Control Loaders, Instructor Operator stations and Servers.
* Experience with a variety of systems, including but not limited to Semi\-Automated Forces (SAF), Distributed Interactive Simulation, Image Generators, Flight Model software, and Datalink Simulation software.
* Strong C/C\+\+ experience required.
* TCP and UDP experience.
**Responsibilities/Duties/Functions/Tasks**  
* Make targeted modifications to existing software applications as well as develop new components and systems as requirements dictate.
* Define their work in both requirements and industry standard methods.
* Perform unit tests of their work and adhere to applicable coding standards.
* Leverage internal reuse and Free Open\-Source Software (FOSS) to the extent allowed to minimize cost and maximize productivity.
* Maintain a schedule related to assigned task status and completion dates.
* Implementation and application of sound AVT Configuration Management (CM) processes and adherence to AVT software CM and development policies and procedures.
* Understand and adhere to cost and schedule targets established during the program design phase.
* Establish, conduct, and document software testing based on customer requirements.
* Work on the overall design and development of software products as well as software applications.
* Travel domestically and/or internationally, as required.
* Support extended work hours or modified work schedule, as needed, to meet special tasks.
**Other Duties**  
Please note this job description does not cover or contain a comprehensive listing of activities, duties or responsibilities that are required of the employee for the job. Duties, responsibilities and activities may change at any time with or without notice.  
**Qualifications**  
**Minimum Requirements**  
* Completion of a full course of study in an accredited college or university leading to a bachelor’s or higher degree in computer science, computer engineering, or a related field.
* Unmanaged software language experience required.
* Two or more years of industry experience or two years of project experience with portfolio examples.
* Object\-oriented software language experience required.
* Configuration management tools experience required.
* Experience with building to requirements and/or synthesizing requirements required.
* Experience in software design languages required.
**Essential Mental Requirements**  
* Excellent written and spoken communication skills for documentation, intra\-team, and interdisciplinary communication.
* Ability to work in a team environment.
* Basic math skills, including linear algebra.
* Ability to read, analyze, and interpret complex documentation.
**Essential Physical Requirements**  
The physical demands described here are representative of those that must be met by an employee to successfully perform the essential functions of this job.  
While performing the duties of this job, the employee is occasionally required to stand; walk; sit; use hands to finger, handle, or feel objects, tools or controls; reach with hands and arms; talk or hear. The employee must occasionally lift or move office products and supplies, up to 25 pounds.  
**Equipment/Software/Tools Used**  
* Windows
* Linux
* Microsoft Office (Word, Excel, Visio, Outlook)
* Atlassian JIRA
* Atlassian Confluence
* Atlassian Bitbucket
* JAMA
* Development Environments such as: Visual Studio, GNU make, Eclipse
 **Our Heritage:**
Founded in 1998 by an engineer, AVT Simulation is an Orlando\-based, end\-to\-end systems integration and full\-service modeling and simulation small business. Since our beginning, AVT's highly specialized staff of engineers has included some of the top leaders in the simulation industry. With an average of over 20 years of simulation experience, our dedicated staff provides specialized solutions for customers requiring on point solutions to complex problems.
AVT has always been a company that strives to make a positive difference in the lives we touch. These lives include our employees and their families, our partner companies and their employees, and ultimately the warfighters receiving our products and services. Our core values are so very important to us as a company. They guide us towards success. They make us a great company to work for and a strong partner to work with.
* People First
* Mission Excellence
* Do the Right Thing
* Commitment
People First is our first and most important core value because we firmly believe the success of AVT is directly related to supporting our employees. We have a lot of fun (with regular employee events and engagements), while still working hard to accomplish our mission of serving our military and the warfighter.
We’re looking for candidates that embody these core values, know how to have fun while working hard, and think they would thrive in an environment like ours. If you’re a self\-motivated individual, then come join AVT. Come make your difference.
EOE \- Females/Minorities/Protected Veterans/Individuals with Disabilities/Sexual Orientation/Gender Identity
Qualified individuals with a disability have the right to request a reasonable accommodation. If you are unable or limited in your ability to use or access our careers website as a result of your disability, request a reasonable accommodation by visiting www.avtsim.com/careers and follow the instructions at the bottom.
ZDdj0vmhmd</t>
        </is>
      </c>
    </row>
    <row r="36">
      <c r="A36" t="inlineStr">
        <is>
          <t>in-b58b57e68750dd93</t>
        </is>
      </c>
      <c r="B36" t="inlineStr">
        <is>
          <t>Software Engineer - Security Clearance Eligibility Required</t>
        </is>
      </c>
      <c r="C36" t="inlineStr">
        <is>
          <t>AVT Simulation</t>
        </is>
      </c>
      <c r="D36" t="inlineStr">
        <is>
          <t>indeed</t>
        </is>
      </c>
      <c r="E36">
        <f>HYPERLINK("https://www.indeed.com/viewjob?jk=b58b57e68750dd93", "https://www.indeed.com/viewjob?jk=b58b57e68750dd93")</f>
        <v/>
      </c>
      <c r="F36">
        <f>HYPERLINK("https://avtsimulation.applytojob.com/apply/YN0MwaPUSi/Software-Engineer-Security-Clearance-Eligibility-Required?source=INDE&amp;~", "https://avtsimulation.applytojob.com/apply/YN0MwaPUSi/Software-Engineer-Security-Clearance-Eligibility-Required?source=INDE&amp;~")</f>
        <v/>
      </c>
      <c r="G36" t="inlineStr">
        <is>
          <t>Orlando, FL, US</t>
        </is>
      </c>
      <c r="H36" s="2" t="n">
        <v>46044</v>
      </c>
      <c r="I36" t="inlineStr">
        <is>
          <t>**Job Summary**  
Software engineers are responsible for the design, development, maintenance, and documentation of software applications. A software engineer will be able to apply industry best practices to a problem space to develop an optimal solution in new or existing code bases.* This is an in\-office position located in Orlando, FL.
* US Government security clearance may be required, and candidate must be eligible.
* Candidate will be required to comply with federally mandated U.S. export and control laws.
* Must be able to travel Internationally
**Highly Desired Background**  
* **Experience in integration of Garmin Avionics into flight simulators, preferably the Garmin G5000H suite.**
* Experience with a variety of devices, including but not limited to Full Motion Training simulators, avionics, Electronic Control Loaders, Instructor Operator stations and Servers.
* AEA, A\&amp;P, AMTS, and other aviation maintenance tech schooling is a plus.
* Strong C/C\+\+ experience required.
* TCP and UDP experience.
* Understanding of core serial communication protocols, including but not limited to ARINC 429, RS\-232, and CAN bus.
* Two or more years of industry experience or two years of project experience with portfolio examples.
**Responsibilities/Duties/Functions/Tasks**  
* Make targeted modifications to existing software applications as well as develop new components and systems as requirements dictate.
* Define their work in both requirements and industry standard methods.
* Perform unit tests of their work and adhere to applicable coding standards.
* Leverage internal reuse and Free Open\-Source Software (FOSS) to the extent allowed to minimize cost and maximize productivity.
* Maintain a schedule related to assigned task status and completion dates.
* Implementation and application of sound AVT Configuration Management (CM) processes and adherence to AVT software CM and development policies and procedures.
* Understand and adhere to cost and schedule targets established during the program design phase.
* Establish, conduct, and document software testing based on customer requirements.
* Work on the overall design and development of software products as well as software applications.
* Travel domestically and/or internationally, as required.
* Support extended work hours or modified work schedule, as needed, to meet special tasks.
**Other Duties**  
Please note this job description does not cover or contain a comprehensive listing of activities, duties or responsibilities that are required of the employee for the job. Duties, responsibilities and activities may change at any time with or without notice.  
**Qualifications**  
**Minimum Requirements**  
* Completion of a full course of study in an accredited college or university leading to a bachelor’s or higher degree in computer science, computer engineering, or a related field.
* Unmanaged software language experience required.
* Object\-oriented software language experience required.
* Configuration management tools experience required.
* Experience with building to requirements and/or synthesizing requirements required.
* Experience in software design languages required.
**Essential Mental Requirements**  
* Excellent written and spoken communication skills for documentation, intra\-team, and interdisciplinary communication.
* Ability to work in a team environment.
* Basic math skills, including linear algebra.
* Ability to read, analyze, and interpret complex documentation.
* Ability to analyze problems using scientific and logical thinking.
**Essential Physical Requirements**  
The physical demands described here are representative of those that must be met by an employee to successfully perform the essential functions of this job.  
While performing the duties of this job, the employee is occasionally required to stand; walk; sit; use hands to finger, handle, or feel objects, tools or controls; reach with hands and arms; talk or hear. The employee must occasionally lift or move office products and supplies, up to 25 pounds.  
**Equipment/Software/Tools Used**  
* Windows
* Linux
* Microsoft Office (Word, Excel, Visio, Outlook)
* Atlassian JIRA
* Atlassian Confluence
* Atlassian Bitbucket
* JAMA
* Development Environments such as: Visual Studio, GNU make, Eclipse
 **Our Heritage:**
Founded in 1998 by an engineer, AVT Simulation is an Orlando\-based, end\-to\-end systems integration and full\-service modeling and simulation small business. Since our beginning, AVT's highly specialized staff of engineers has included some of the top leaders in the simulation industry. With an average of over 20 years of simulation experience, our dedicated staff provides specialized solutions for customers requiring on point solutions to complex problems.
AVT has always been a company that strives to make a positive difference in the lives we touch. These lives include our employees and their families, our partner companies and their employees, and ultimately the warfighters receiving our products and services. Our core values are so very important to us as a company. They guide us towards success. They make us a great company to work for and a strong partner to work with.
* People First
* Mission Excellence
* Do the Right Thing
* Commitment
People First is our first and most important core value because we firmly believe the success of AVT is directly related to supporting our employees. We have a lot of fun (with regular employee events and engagements), while still working hard to accomplish our mission of serving our military and the warfighter.
We’re looking for candidates that embody these core values, know how to have fun while working hard, and think they would thrive in an environment like ours. If you’re a self\-motivated individual, then come join AVT. Come make your difference.
EOE \- Females/Minorities/Protected Veterans/Individuals with Disabilities/Sexual Orientation/Gender Identity
Qualified individuals with a disability have the right to request a reasonable accommodation. If you are unable or limited in your ability to use or access our careers website as a result of your disability, request a reasonable accommodation by visiting www.avtsim.com/careers and follow the instructions at the bottom.
YN0MwaPUSi</t>
        </is>
      </c>
    </row>
    <row r="37">
      <c r="A37" t="inlineStr">
        <is>
          <t>in-d66c84d33fc2032f</t>
        </is>
      </c>
      <c r="B37" t="inlineStr">
        <is>
          <t>Senior Software Engineer - DevOps - Java</t>
        </is>
      </c>
      <c r="C37" t="inlineStr">
        <is>
          <t>Enterprise Mobility</t>
        </is>
      </c>
      <c r="D37" t="inlineStr">
        <is>
          <t>indeed</t>
        </is>
      </c>
      <c r="E37">
        <f>HYPERLINK("https://www.indeed.com/viewjob?jk=d66c84d33fc2032f", "https://www.indeed.com/viewjob?jk=d66c84d33fc2032f")</f>
        <v/>
      </c>
      <c r="F37">
        <f>HYPERLINK("https://www.enterprisemobility.com/en/careers/job.html/540972", "https://www.enterprisemobility.com/en/careers/job.html/540972")</f>
        <v/>
      </c>
      <c r="G37" t="inlineStr">
        <is>
          <t>St. Louis, MO, US</t>
        </is>
      </c>
      <c r="H37" s="2" t="n">
        <v>46044</v>
      </c>
      <c r="I37" t="inlineStr">
        <is>
          <t>### **Overview**
Enterprise Mobility is a leading provider of mobility solutions, owning and operating the Enterprise Rent\-A\-Car, National Car Rental and Alamo Rent A Car brands through its integrated global network of independent regional subsidiaries. Enterprise Mobility and its affiliates offer extensive car rental, carsharing, truck rental, fleet management, retail car sales, as well as travel management and other transportation services, to make travel easier and more convenient for customers.  
Privately held by the Taylor family of St. Louis, Enterprise Mobility together with its affiliate Enterprise Fleet Management manages a diverse fleet of 2\.4 million vehicles and accounted for nearly $39 billion in revenue through a network of more than 9,500 fully\-staffed neighborhood and airport rental locations in more than 90 countries and territories.  
At the center of it all, our dedicated IT teams innovate, design and develop the technology that is redefining how customers rent, buy and share vehicles from our family of brands. Here, you will be part of a diverse and talented team that creates and delivers powerful technology solutions for our customers and employees across the world with the resources and support to develop in a variety of career paths.  
As an Enterprise Mobility team member, we offer an excellent package with market\-competitive pay, comprehensive healthcare packages, 401k matching \&amp; profit sharing, schedule flexibility, work from home opportunities, paid time off, and organizational growth potential.  
This position is eligible for a hybrid work schedule, which includes the ability to work from home, while also requiring to be in person as needed at our Lakeside and/or Clayton Corporate HQ campus locations in St. Louis, Missouri.### **Responsibilities**
As an Engineer 2 (Software), you will be responsible for using your technical knowledge of professional concepts to solve business problems. Join our shared services DevOps team as a subject matter expert, representing your department and tackling complex, high\-impact projects. You will be responsible for evaluating elements of technology’s effectiveness through requirements gathering, testing, research, and investigation. Including making recommendations for improvements that result in increased quality and effectiveness. You will work with technical leadership to design, develop and modify the technology stack that is in use. You will collaborate with other engineers and architects to provide design recommendations for implementing solutions. You will be responsible for ensuring your tasks are completed and deadlines are met. You will also be required to meet key performance metrics to ensure compliance with established standards, processes, and procedures.  
The ideal candidate will be an excellent communicator, self\-driven and possess the ability to operate independently. The candidate will lead the implementation of solutions and tools to support DevOps’ efforts. You will work with API solution development teams in a large\-scale environment and will exercise and grow your skills related to continuous integration and continuous delivery. You will have the opportunity to learn and implement new technologies and will be responsible for identifying and implementing changes that maximize the efficiency of the team in delivering solutions. Additionally, this role will require experience in code building pipelines, deployment pipelines, networking, infrastructure as code and AWS Cloud. **Objectives of this Role*** Build and implement new development tools and infrastructure in alignment with requirements and architectural direction
* Partner with stakeholders to understand needs, define solutions, and drive initiatives to completion
* Automate and continuously improve development and operational processes
* Troubleshoot and resolve production environment issues promptly to ensure system efficiency and reliability
* Collaborate with managers and team members to uphold development standards
* Identify and resolve issues in continuous integration and continuous deployment (CI/CD) pipelines
* Test and review code written by others, analyzing results to ensure quality and performance
* Validate ongoing compliance with corporate security standards (e.g., PCI, PII)
* Develop and maintain infrastructure\-as\-code templates (Terraform, CloudFormation)
* Use Git as the single source of truth for infrastructure and deployments, ensuring traceability and rollback capabilities
* Implement logging, metrics, and alerting systems to ensure proactive detection of issues
 **Skills and Abilities*** Strong troubleshooting skills with the ability to triage problems and drive resolution independently
* Strong communication skills with the ability to engage audiences with varying technical knowledge
* Experience leading small initiatives and coordinating with cross\-functional teams
* Ability to collaborate effectively in a remote work environment and adapt to changing priorities
 *Equal Opportunity Employer/Disability/Veterans*### **Qualifications**
**Required**:* Must be presently authorized to work in the U.S. without a requirement for work authorization sponsorship by our company for this position now or in the future
* Must reside in St. Louis, Missouri, or immediate surrounding area
* Must have 3\+ years of related experience in DevOps
* Must have 2\+ years of experience in cloud automation
* Must be committed to incorporating security into all decisions and daily job responsibilities
* Hands\-on experience with core AWS services (e.g., EC2, S3, RDS, Lambda, CloudWatch)
* Experience with configuration management tools (e.g., Ansible, Puppet, Chef)
* Experience with infrastructure\-as\-code tools (Terraform, CloudFormation, AWS CDK)
* Strong knowledge of Git workflows, branching strategies, and GitOps
* Experience monitoring and maintaining AWS environments with a focus on stability and cost\-effectiveness
* Knowledge of cloud networking concepts, high availability architectures, and resilient application design
* Experience with CI/CD pipelines and related tools (e.g., Jenkins, Git, Maven/Gradle)
* Proficiency in scripting languages (Bash, Python, Groovy, Shell)
**Preferred**:* Bachelor’s degree in computer science, Information Systems, or related field preferred
* Experience working within the Software Development Lifecycle (SDLC)
* Knowledge of software design methodologies, systems architecture, and design patterns
* Commitment to continuous learning in emerging DevOps practices
* Understanding of reusable and clean code practices
* Ability to define, architect, and implement cost\-efficient AWS infrastructure
* Understanding of performance tuning in cloud environments</t>
        </is>
      </c>
    </row>
    <row r="38">
      <c r="A38" t="inlineStr">
        <is>
          <t>in-e9dd807a14d7b2ea</t>
        </is>
      </c>
      <c r="B38" t="inlineStr">
        <is>
          <t>Junior Software Developer - IRES000012</t>
        </is>
      </c>
      <c r="C38" t="inlineStr">
        <is>
          <t>GeoControl Systems, Inc.</t>
        </is>
      </c>
      <c r="D38" t="inlineStr">
        <is>
          <t>indeed</t>
        </is>
      </c>
      <c r="E38">
        <f>HYPERLINK("https://www.indeed.com/viewjob?jk=e9dd807a14d7b2ea", "https://www.indeed.com/viewjob?jk=e9dd807a14d7b2ea")</f>
        <v/>
      </c>
      <c r="F38">
        <f>HYPERLINK("https://recruit.zoho.com/recruit/ViewJob.na?digest=awV8S94.jkAvnO2CLtcqnpXwQGl1LxIrhxTfwuqy5pQ-&amp;embedsource=Indeed", "https://recruit.zoho.com/recruit/ViewJob.na?digest=awV8S94.jkAvnO2CLtcqnpXwQGl1LxIrhxTfwuqy5pQ-&amp;embedsource=Indeed")</f>
        <v/>
      </c>
      <c r="G38" t="inlineStr">
        <is>
          <t>Colorado Springs, CO, US</t>
        </is>
      </c>
      <c r="H38" s="2" t="n">
        <v>46044</v>
      </c>
      <c r="I38" t="inlineStr">
        <is>
          <t>GeoControl Systems, Inc.as a HUBZone company, is required to maintain a Federally mandated level of employees that reside (home residence) in a qualified HUBZone. ONLY applicants whose home address lies in a qualified HUBZone or be willing to relocate to a will be considered for this position.
You can verify whether you reside in a HUBZone by using the following website:  
https://maps.certify.sba.gov/hubzone/map
Description of Duties:  
The Junior Software Developer supports the Missile Defense Agency (MDA) on the Integrated Research and Development for Enterprise Solutions (IRES) contract. The candidate will:  
* Perform application development supporting total lifecycle management and operations utilizing Kinetic platform.
* Plan, test and implement major upgrades.
* Perform local customizations and system enhancements necessary to meet business needs.
* Work with a team of experienced software engineers to automate business processes and perform Operations and Maintenance (O\&amp;M) on existing applications.
* Tasks include daily system checks, application configurations, vendor updates, responding to customer requests and ensuring security best practices and compliance with Information Assurance standards.
* Interface with other team members to ensure cross\-platform compatibility and standardization.
* De\-conflict requests/requirements.
Resumes, in month and year format, must be submitted with application in order to be considered for the position. The selected candidate may be assigned as an employee for one of our teammate companies.### **Requirements**
Basic Requirements:  
* Must have 6, or more, months of directly related experience
* Must have knowledge of various application technologies with a focus on web development. Technologies include React, Tomcat, HTML, JavaScript / JQuery, Ruby, Node.js, REST APIs, PostgreSQL.
* Must have knowledge of Kinetic Platform.
* Must have, or obtain, a current DoD 8570 Level II Certification such as CompTIA Security\+ CE or higher
* Must have an active DoD Secret Security Clearance
* Must Reside in a HUBZone
* https://maps.certify.sba.gov/hubzone/map\#center\=44\.722800,\-103\.249700\&amp;zoom\=
This position is expected to pay $36\.05/hr – $48\.07/hr; depending on experience, education, and any certifications that are directly related to the position### **Benefits**
GCS health and welfare benefits are designed to invest in you, and in the things you care about. Your health. Your well\-being. Your security. Your future. Typical benefits offered include flexible work schedules and opportunities to work remotely, educational reimbursement, retirement benefits (401K, Roth), health benefits, tax saving options, disability benefits, life and accident insurance, voluntary benefits, paid time off and paid holidays, and parental and pregnancy leave.</t>
        </is>
      </c>
    </row>
    <row r="39">
      <c r="A39" t="inlineStr">
        <is>
          <t>in-e88460c2ae560025</t>
        </is>
      </c>
      <c r="B39" t="inlineStr">
        <is>
          <t>Full Stack Engineer</t>
        </is>
      </c>
      <c r="C39" t="inlineStr"/>
      <c r="D39" t="inlineStr">
        <is>
          <t>indeed</t>
        </is>
      </c>
      <c r="E39">
        <f>HYPERLINK("https://www.indeed.com/viewjob?jk=e88460c2ae560025", "https://www.indeed.com/viewjob?jk=e88460c2ae560025")</f>
        <v/>
      </c>
      <c r="F39">
        <f>HYPERLINK("https://jobs.ashbyhq.com/tempOpenLoop/fd43638c-2984-417b-ac8e-11ee7dbbc04b?utm_source=bVeGGvWMyo", "https://jobs.ashbyhq.com/tempOpenLoop/fd43638c-2984-417b-ac8e-11ee7dbbc04b?utm_source=bVeGGvWMyo")</f>
        <v/>
      </c>
      <c r="G39" t="inlineStr">
        <is>
          <t>US</t>
        </is>
      </c>
      <c r="H39" s="2" t="n">
        <v>46044</v>
      </c>
      <c r="I39" t="inlineStr">
        <is>
          <t>**About the Role**
OpenLoop is looking for a Full Stack Engineer to join our team 4 days onsite in San Jose, CA. This role sits within OpenLoop’s AI teamand focuses on bringing our AI Care Engine into production across real\-world healthcare environments. You will work closely with partners and internal teams to build, deploy, and integrate AI\-powered voice, messaging, and clinical workflows, ensuring seamless connections across clinical systems, telephony infrastructure, and patient engagement tools throughout OpenLoop’s nationwide network.
**What You'll Do**
* Lead technical deployments by architecting and executing integrations for new healthcare partners, customizing Hey Revia’s platform to their workflows and legacy systems
* Build the “last mile” of connectivity by designing secure, reliable data pipelines that ingest and synchronize clinical data with our AI services
* Configure and optimize communication infrastructure, including voice and messaging channels, across diverse telephony networks to support patient and care team engagement
* Work across the stack (APIs databases infrastructure) to deliver production\-ready solutions
* Collaborate with engineering, product, and clinical teams to translate partner needs into crisp technical execution
* Other duties as assigned.
 **Who You Are**
* Bachelor’s degree in Computer Science, Engineering, or a related technical field
* 3\+ years of engineering experience shipping production\-grade software in modern cloud environments, with comfort moving across APIs, databases, and infrastructure layers
* Deep experience integrating disparate systems, including data ingestion, API interoperability, and third\-party systems integration
* Curiosity or hands\-on experience with LLMs and operationalizing AI models in production workflows
* Strong understanding of data security and compliance best practices; experience handling sensitive data in regulated environments
* Excellent communication skills with the ability to explain complex technical concepts to non\-technical stakeholders and translate ambiguous partner needs into clear technical requirements
**Our Benefits**
----------------
In addition, for salaried positions you would also be eligible for:
* Medical, Dental, and Vision plans
* Flexible Spending/Health Savings Accounts
* Flexible PTO
* 401(k) \+ Company Match
* Life Insurance, Pet insurance, and more</t>
        </is>
      </c>
    </row>
    <row r="40">
      <c r="A40" t="inlineStr">
        <is>
          <t>in-8e6f8cd0ea5bdeec</t>
        </is>
      </c>
      <c r="B40" t="inlineStr">
        <is>
          <t>Frontend Engineer, Marketing</t>
        </is>
      </c>
      <c r="C40" t="inlineStr">
        <is>
          <t>Cartesia</t>
        </is>
      </c>
      <c r="D40" t="inlineStr">
        <is>
          <t>indeed</t>
        </is>
      </c>
      <c r="E40">
        <f>HYPERLINK("https://www.indeed.com/viewjob?jk=8e6f8cd0ea5bdeec", "https://www.indeed.com/viewjob?jk=8e6f8cd0ea5bdeec")</f>
        <v/>
      </c>
      <c r="F40">
        <f>HYPERLINK("https://jobs.ashbyhq.com/cartesia/d3e3f8b6-b476-428c-bd04-3e2ada3c8b10?utm_source=qRgO5O0grm", "https://jobs.ashbyhq.com/cartesia/d3e3f8b6-b476-428c-bd04-3e2ada3c8b10?utm_source=qRgO5O0grm")</f>
        <v/>
      </c>
      <c r="G40" t="inlineStr">
        <is>
          <t>San Francisco, CA, US</t>
        </is>
      </c>
      <c r="H40" s="2" t="n">
        <v>46044</v>
      </c>
      <c r="I40" t="inlineStr">
        <is>
          <t>**About Cartesia**
==================
Our mission is to build the next generation of AI: ubiquitous, interactive intelligence that runs wherever you are. Today, not even the best models can continuously process and reason over a year\-long stream of audio, video and text—1B text tokens, 10B audio tokens and 1T video tokens—let alone do this on\-device.
We're pioneering the model architectures that will make this possible. Our founding team met as PhDs at the Stanford AI Lab, where we invented State Space Models or SSMs, a new primitive for training efficient, large\-scale foundation models. Our team combines deep expertise in model innovation and systems engineering paired with a design\-minded product engineering team to build and ship cutting edge models and experiences.
We're funded by leading investors at Index Ventures and Lightspeed Venture Partners, along with Factory, Conviction, A Star, General Catalyst, SV Angel, Databricks and others. We're fortunate to have the support of many amazing advisors, and 90\+ angels across many industries, including the world's foremost experts in AI.
**About the Role**
==================
**Cartesia is hiring a Frontend Engineer, Marketing** to build and optimize the surfaces where customers first experience our product. You’ll own the technical execution of our marketing website and growth surfaces, working closely with design, product, and GTM to drive conversion, pipeline, and product adoption.
This is a highly impact\-oriented role: your work directly affects how customers understand Cartesia and whether they choose to engage.
**Your Impact**
---------------
* **Own the marketing frontend:** Build, ship, and maintain high\-performance marketing pages and interactive experiences.
* **Drive conversion:** Partner with design and GTM to implement experiments, iterate quickly, and optimize for conversion and engagement.
* **Enable iteration:** Build clean, flexible frontend systems that make rapid testing and content updates easy.
* **Collaborate cross\-functionally:** Work closely with designers, product engineers, and marketing to translate positioning into performant, production\-ready experiences.
* **Care about fundamentals:** Ensure pages are fast, accessible, responsive, and SEO\-friendly.
**What You Bring**
------------------
* Strong frontend engineering fundamentals (HTML, CSS, JavaScript) and experience with modern tools (e.g. React, Tailwind, TypeScript).
* Comfortable using modern AI coding tools (e.g. Cursor, Claude Code) to rapidly implement designs and experiment without sacrificing quality.
* Familiarity with SEO, performance optimization, and modern CMSs (e.g. Sanity, headless CMSs).
* A growth mindset: you drive towards metrics like conversion, engagement, and funnel performance, and are pragmatic about tradeoffs.
* Experience building and shipping marketing or growth surfaces, not just product UIs.
* Comfort owning projects end\-to\-end, from implementation through iteration and optimization.
* Ability to work closely with designers and translate high\-fidelity designs into polished, performant experiences.
* Comfort giving and receiving direct feedback grounded in business goals.
**Nice to Have**
----------------
* Experience with A/B testing, analytics, or experimentation tooling.
* Experience working on developer\-focused or technical products.
**Our Culture**
---------------
We’re an in\-person team based out of San Francisco. We love being in the office, hanging out together, and learning from each other every day.
We ship fast. All of our work is novel and cutting edge, and execution speed is paramount. We have a high bar, and we don’t sacrifice quality or design along the way.
We support each other. We have an open \&amp; inclusive culture that’s focused on giving everyone the resources they need to succeed.
Compensation Range: $180K \- $250K</t>
        </is>
      </c>
    </row>
    <row r="41">
      <c r="A41" t="inlineStr">
        <is>
          <t>in-be8657f2e564f2c6</t>
        </is>
      </c>
      <c r="B41" t="inlineStr">
        <is>
          <t>Senior Embedded Software Engineer, Test</t>
        </is>
      </c>
      <c r="C41" t="inlineStr">
        <is>
          <t>Tools for Humanity</t>
        </is>
      </c>
      <c r="D41" t="inlineStr">
        <is>
          <t>indeed</t>
        </is>
      </c>
      <c r="E41">
        <f>HYPERLINK("https://www.indeed.com/viewjob?jk=be8657f2e564f2c6", "https://www.indeed.com/viewjob?jk=be8657f2e564f2c6")</f>
        <v/>
      </c>
      <c r="F41">
        <f>HYPERLINK("https://jobs.ashbyhq.com/Tools%20for%20Humanity/b8f6ace6-949a-4876-82d6-75ca6ecaaadc?utm_source=MGEdAJAENo", "https://jobs.ashbyhq.com/Tools%20for%20Humanity/b8f6ace6-949a-4876-82d6-75ca6ecaaadc?utm_source=MGEdAJAENo")</f>
        <v/>
      </c>
      <c r="G41" t="inlineStr">
        <is>
          <t>San Francisco, CA, US</t>
        </is>
      </c>
      <c r="H41" s="2" t="n">
        <v>46044</v>
      </c>
      <c r="I41" t="inlineStr">
        <is>
          <t>**About the Company:**
World is building a real human network designed to accelerate people in the age of AI. As bots and autonomous agents reshape the internet, people, institutions, and applications need a trusted way to confirm who is a real human while preserving privacy. Our products make this possible: the Orb verifies real people, World ID proves it privately, and World App enables and distributes the new applications made possible by this technology. Together, they form a new layer for AI internet.
We’re one of the fastest\-growing networks in tech. More than 17 million people across 160 countries have verified with World ID, and we complete over 350,000 verifications each week. World App is already among the most used wallets globally. Developers are integrating World ID to build safer online experiences and create spaces where real people can participate, earn, and be recognized in ways AI simply can’t replicate.
World was founded in 2019 and launched globally in 2023\. We are more than 400 people across hardware, software, AI, cryptography, mobile engineering, and global operations. Our teams come from OpenAI, Tesla, SpaceX, Apple, Google, Stripe, Meta, Coinbase, Palantir and MIT Media Lab. We’re backed by leading investors, including a16z, Khosla Ventures, Bain Capital Crypto, Blockchain Capital, Variant, Tiger Global, and Coinbase Ventures, as well as prominent operators and founders across fintech and AI.
World has been featured on the cover of TIME Magazine, highlighted in Fast Company’s Next 5 in Fintech, and explored in a Bloomberg deep dive. The New York Times, Bankless and TechCrunch have all recognized our progress in identity, cryptography, AI, and global\-scale hardware deployment. Our leadership is also named to the Time AI 100\. Learn more about the newest product launches from our Unwrapped event.
**About the team**
The Device Software team develops the magical experiences that enable the missions of TFH. We are passionate about making great products. We own problems end\-to\-end and are able to lead cross\-functional teams when needed. We love to collaborate but are not afraid to make decisions. We value open communication and are not afraid to fail \- we see the value in learning quickly more than making a perfect decision. We really enjoy working with each other and only bring on the best talent.
**About the role**
We are looking for a Senior Embedded Software Engineer, Test to own hardware components of our automated and manual test platforms in Device Software. This role identifies, defines and builds hardware systems needed to automate user behavior in a test environment. This role operates alongside but independently from product development teams, with clear accountability for release readiness, test coverage, and test fleet health.
You will design, build, and operate a scalable automated test infrastructure spanning devices and hardware\-in\-the\-loop (HIL) systems. Your work will directly enable faster development cycles, higher release confidence, and fewer issues reaching the field.
You will write and review test code, design physical test architectures, interact directly with hardware to help set the quality bar for multiple device product lines. Over time, this role will define how quality scales as our device portfolio, team size, and system complexity grow.
**In this role, you will:**
* Own hardware designs of HIL testers for Device Software
* Design, implement, and evolve a large\-scale automated test fleet, including test devices, test stations, and custom HIL systems
* Architect and operate test infrastructure spanning:
	+ Devices (Orb and future products)
	+ Test stations that interact with devices like a human would
* Define quality benchmarks and test strategies in partnership with project leads for new products and features
* Investigate and reproduce field issues, acting as first\-line triage before handing off to firmware, software, hardware, and backend teams as needed.
* Continuously improve test coverage, execution speed, and system reliability, including negative and fault\-injection testing
**You might thrive in this role if you have:**
* Vast experience being hands\-on with software and hardware, comfortable debugging real devices, test rigs, and electrical signals
* Have designed or owned automation hardware systems at scale, including fleets of test devices
* Write and review high\-quality test code and enjoy building reusable, maintainable test frameworks and libraries
* Can read production firmware and software code to understand system behavior and translate that understanding into targeted tests
* Are naturally curious and proactive— you dig for bugs, edge cases, and failure modes others miss. A human fuzz tester
* Are comfortable setting direction with ambiguity and do not require detailed test instructions to get started
* Love to collaborate and operate with low ego, earning trust by delivering value
* Think in systems—anticipating future bottlenecks in testing, release processes, and infrastructure before they become problems
* Are not afraid to break things in the name of learning, validation, and quality
Pay transparency statement (for CA and NY based roles):
The reasonably estimated salary for this role at TFH in San Francisco ranges from $176,000 \- $220,000, plus a competitive long term incentive package, and may include variable compensation. Actual compensation is based on factors such as the candidate's skills, qualifications, and experience. In addition, TFH offers a wide range of best in class, comprehensive and inclusive employee benefits for this role including healthcare, dental, vision and mental health benefits, a 401(k) plan and match, life insurance, flexible time off, commuter benefits, professional development stipend and much more!</t>
        </is>
      </c>
    </row>
    <row r="42">
      <c r="A42" t="inlineStr">
        <is>
          <t>in-362bfe795c1fc5cf</t>
        </is>
      </c>
      <c r="B42" t="inlineStr">
        <is>
          <t>Fullstack Software Engineer</t>
        </is>
      </c>
      <c r="C42" t="inlineStr"/>
      <c r="D42" t="inlineStr">
        <is>
          <t>indeed</t>
        </is>
      </c>
      <c r="E42">
        <f>HYPERLINK("https://www.indeed.com/viewjob?jk=362bfe795c1fc5cf", "https://www.indeed.com/viewjob?jk=362bfe795c1fc5cf")</f>
        <v/>
      </c>
      <c r="F42">
        <f>HYPERLINK("https://jobs.ashbyhq.com/tempOpenLoop/6bbff478-fa2e-413f-aa56-be63504b2efc?utm_source=bVeGGvWMyo", "https://jobs.ashbyhq.com/tempOpenLoop/6bbff478-fa2e-413f-aa56-be63504b2efc?utm_source=bVeGGvWMyo")</f>
        <v/>
      </c>
      <c r="G42" t="inlineStr">
        <is>
          <t>Nashville, TN, US</t>
        </is>
      </c>
      <c r="H42" s="2" t="n">
        <v>46044</v>
      </c>
      <c r="I42" t="inlineStr">
        <is>
          <t>**About the Role**
As a Full\-Stack Engineer at OpenLoop, you’ll help build and scale the technology that powers our telehealth platform. You’ll work across the stack to develop user\-friendly interfaces, robust backend services, and reliable integrations that support clinicians, partners, and patients.
**What You'll Do**
* Design, build, and maintain scalable full\-stack features across our platform.
* Develop clean, secure, and well\-tested code for both frontend and backend systems.
* Collaborate with product, design, and operations teams to translate requirements into technical solutions.
* Own projects end\-to\-end—from architecture and implementation to testing, deployment, and monitoring.
* Improve system performance, reliability, and security across the platform.
* Participate in code reviews and contribute to best practices, standards, and documentation.
* Integrate with third\-party services and internal APIs to support new functionalities.
* Troubleshoot and resolve issues across the stack in a timely, thoughtful manner.
* Contribute to strategic technical decisions as the platform evolves and scales
 **Who You Are**
* Ability to work a hybrid schedule in our Nashville office 3 days/week
* 2\-10 years of experience as a fullstack software engineer.
* Experience with Infrastructure as a Service (IaaS), ideally with experience in using the AWS Cloud
* Development Kit (CDK) for deploying cloud infrastructure.
* Experience with TypeScript and NodeJS.
* Experience working with version control systems such as git. Ability to use Github Actions.
* Experience in Frontend (React).
* Experience with relational and non\-relational databases.
* Experience with payment systems such as stripe, mercado pago, etc. desired
* Experience working with Zoho and Healthie desired but not required
* Strong problem\-solving skills and the ability to diagnose and resolve complex technical issues.
* Ability to present ideas in a clean, user\-friendly way.
**Our Benefits**
----------------
In addition, for salaried positions you would also be eligible for:
* Medical, Dental, and Vision plans
* Flexible Spending/Health Savings Accounts
* Flexible PTO
* 401(k) \+ Company Match
* Life Insurance, Pet insurance, and more</t>
        </is>
      </c>
    </row>
    <row r="43">
      <c r="A43" t="inlineStr">
        <is>
          <t>in-4e60545470904abb</t>
        </is>
      </c>
      <c r="B43" t="inlineStr">
        <is>
          <t>Software Developer (KBase)</t>
        </is>
      </c>
      <c r="C43" t="inlineStr">
        <is>
          <t>Lawrence Berkeley National Laboratory</t>
        </is>
      </c>
      <c r="D43" t="inlineStr">
        <is>
          <t>indeed</t>
        </is>
      </c>
      <c r="E43">
        <f>HYPERLINK("https://www.indeed.com/viewjob?jk=4e60545470904abb", "https://www.indeed.com/viewjob?jk=4e60545470904abb")</f>
        <v/>
      </c>
      <c r="F43">
        <f>HYPERLINK("https://jobs.lbl.gov/jobs/software-developer-kbase-7343", "https://jobs.lbl.gov/jobs/software-developer-kbase-7343")</f>
        <v/>
      </c>
      <c r="G43" t="inlineStr">
        <is>
          <t>San Francisco Bay Area, CA, US</t>
        </is>
      </c>
      <c r="H43" s="2" t="n">
        <v>46044</v>
      </c>
      <c r="I43" t="inlineStr">
        <is>
          <t>Berkeley Lab’s (LBNL) Environmental Genomics and Systems Biology (EGSB) Division is looking for a Software Developer to join the US Department of Energy’s (DOE) Systems Biology Knowledgebase (KBase) team!  
KBase integrates diverse biological datasets, computational models, and analytical tools into a uniﬁed, extensible platform that enables researchers to generate, test, and reﬁne hypotheses about biological systems. KBase supports large\-scale, collaborative, and reproducible science across microbial ecology, functional genomics, and systems biology.  
In this exciting role, you will design, develop, and maintain software infrastructure that enables AI\-driven scientiﬁc workﬂows, including intelligent agents that interact with the KBase Data Lakehouse and associated knowledge resources. You will play a key role in building agentic systems, data services, and knowledge representations that allow AI tools to reason over harmonized, ontologically labeled biological data.  
This position emphasizes the development of AI agents and co\-scientist tools, integration with large\-scale data lakehouse infrastructure, construction of knowledge graphs, and close collaboration with domain scientists. You will have the opportunity to contribute directly to scientiﬁc outputs, including publications, and help shape the next\-generation AI\-assisted discovery workﬂows within KBase.  
This position has an anticipated start date of March 2, 2026\.  
We’re here for the same mission, to bring science solutions to the world. Join our team and YOU will play a supporting role in our goal to address global challenges! Have a high level of impact and work for an organization associated with 17 Nobel Prizes! *Why join Berkeley Lab?*
We invest in our employees by offering a total rewards package you can count on:* Exceptional health and retirement benefits, including pension or 401K\-style plans.
* A culture where you’ll belong \- we are invested in our teams!
* Enjoy a Winter Holiday shutdown every year.
* Parental bonding leave (for both mothers and fathers).
* Pet insurance.
What You Will Do:
* Lead the design and development of AI agents integrated with the KBase Narrative Interface, KBase Apps, and data services.
* Develop agent\-based tools using Python, LangChain, LangGraph, CrewAI, and modern large language models (e.g., OpenAI GPT\-5\.2, Claude Opus 4\.5, DeepSeek, Kimi).
* Implement AI agents that interact with the KBase Datastore, a Delta Lake\-based lakehouse built on PySpark.
* Design and maintain agent state management systems, prompt strategies, and benchmarking tools to ensure reliability and performance.
* Write robust, eﬃcient, and well\-tested code to support agent orchestration and pipeline integration.
* Collaborate with the AI/ML team to advance foundational models and tools for microbial genomics research.
* Contribute to front\-end and back\-end integration as needed to expose AI agent capabilities to end users.
* Develop, test, and maintain documentation and software artifacts in compliance with team standards and quality assurance procedures.
* Provide technical guidance and mentorship in AI tool design and system integration.
What We Are Looking For:
* A Bachelor’s Degree (or equivalent knowledge/training) in Computer Science, Engineering, Computational Biology, or a related ﬁeld and a minimum of 5 years of relevant work experience in AI agent frameworks, data engineering, and software development in service of scientiﬁc research or an equivalent combination of education and experience.
* Experience designing and implementing intelligent agents for scientiﬁc or technical workﬂows.
* Demonstrated proﬁciency in Python and AI agent frameworks (LangChain, LangGraph, and CrewAI).
* Experience working with large language models (LLMs) and prompt engineering across multiple providers.
* Skilled in PySpark and data engineering using lakehouse architectures (Delta Lake).
* Familiarity with machine learning libraries (PyTorch, TensorFlow, Scikit\-learn).
* Knowledge of open\-source collaboration, GitHub workflows, and Agile practices.
* Strong grasp of AI agent state management, evaluation, and benchmarking.
* Familiarity with deploying data/compute\-intensive workflows on HPC or cloud research infrastructure.
* Excellent oral and written communication skills including experience organizing and presenting information to technical and non technical audiences.
* Strong analytical skills including experience identifying and solving complex technical problems.
* Demonstrated interpersonal skills including experience collaborating with a variety of scientific, operations, and technical teams.
Desired Qualifications:* A Master’s Degree (or equivalent knowledge/training) in Computer Science, Engineering, Computational Biology, or a related ﬁeld.
* Experience ﬁne\-tuning large language models or developing custom language models.
* Experience with scientiﬁc reproducibility practices and metadata standards.
* Familiarity with scientiﬁc data analysis and visualization techniques.
Additional Information:
* Application Date: Priority consideration will be given to candidates who apply with a resume and a cover letter by February 6, 2026\. Applications will be accepted until the job posting is removed.
* Appointment Type: This is a full\-time, exempt from overtime pay (monthly paid), 1 year (benefits eligible), Term appointment with the possibility of extension or conversion to Career appointment based upon satisfactory job performance, continuing availability of funds and ongoing operational needs.
* Salary Information: This position has a budgeted salary range of $117,132 \- $146,400 annually, which fits within the full salary range of $117,132 \- $197,676 annually for job code C76\.2\. It is not typical for an individual to be offered a salary at or near the top of the range for a position. Salary for this position will be commensurate with the final candidate’s qualification and experience, including skills, knowledge, relevant education, certifications, and aligned with the internal peer group.
* Background Check: This position may be subject to a background check. Any convictions will be evaluated to determine if they directly relate to the responsibilities and requirements of the position. Having a conviction history will not automatically disqualify an applicant from being considered for employment.
Work Modality: This position is eligible for a hybrid work schedule \- a combination of teleworking and performing work on site at Lawrence Berkeley National Lab located at 1 Cyclotron Road, Berkeley, CA 94720\. Individuals working a hybrid schedule must reside within 150 miles of Berkeley Lab. Work schedules are dependent on business needs. A REAL ID or other acceptable form of identification is required to access Berkeley Lab sites (for more information * ).
* Relocation: This position is eligible for relocation assistance.
* Work Authorization: Applicants must be legally authorized to work in the United States. Berkeley Lab does not provide visa sponsorship for this position.
Want to learn more about working at Berkeley Lab? Please visit: careers.lbl.gov  
Equal Employment Opportunity Employer: The foundation of Berkeley Lab is our Stewardship Values: Team Science, Service, Trust, Innovation, and Respect; and we strive to build community with these shared values and commitments. Berkeley Lab is an Equal Opportunity Employer. We heartily welcome applications from all who could contribute to the Lab's mission of leading scientific discovery, excellence, and professionalism. In support of our rich global community, all qualified applicants will be considered for employment without regard to race, color, religion, sex, sexual orientation, gender identity, national origin, disability, age, protected veteran status, or other protected categories under State and Federal law.  
Berkeley Lab is a University of California employer. It is the policy of the University of California to undertake affirmative action and anti\-discrimination efforts, consistent with its obligations as a Federal and State contractor.  
Misconduct Disclosure Requirement: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t>
        </is>
      </c>
    </row>
    <row r="44">
      <c r="A44" t="inlineStr">
        <is>
          <t>in-750812c2a31083db</t>
        </is>
      </c>
      <c r="B44" t="inlineStr">
        <is>
          <t>Generative AI Software Developer/Engineer - Aerospace Technologies Development Sandbox (ONSITE)</t>
        </is>
      </c>
      <c r="C44" t="inlineStr">
        <is>
          <t>Collins Aerospace</t>
        </is>
      </c>
      <c r="D44" t="inlineStr">
        <is>
          <t>indeed</t>
        </is>
      </c>
      <c r="E44">
        <f>HYPERLINK("https://www.indeed.com/viewjob?jk=750812c2a31083db", "https://www.indeed.com/viewjob?jk=750812c2a31083db")</f>
        <v/>
      </c>
      <c r="F44">
        <f>HYPERLINK("https://jsv3.recruitics.com/redirect?rx_cid=3426&amp;rx_jobId=01818053&amp;rx_url=https%3A%2F%2Fcareers.rtx.com%2Fglobal%2Fen%2Fjob%2F01818053%3Frx_a%3D0%26rx_c%3D%26rx_ch%3Djobp4p%26rx_group%3D122223%26rx_id%3D728fdee9-f8ac-11f0-ba00-03a83cafb1e3%26rx_job%3D01818053%26rx_medium%3Dcpc%26rx_r%3Dnone%26rx_source%3Dindeed%26rx_ts%3D20260124T040418Z%26rx_vp%3Dcpc", "https://jsv3.recruitics.com/redirect?rx_cid=3426&amp;rx_jobId=01818053&amp;rx_url=https%3A%2F%2Fcareers.rtx.com%2Fglobal%2Fen%2Fjob%2F01818053%3Frx_a%3D0%26rx_c%3D%26rx_ch%3Djobp4p%26rx_group%3D122223%26rx_id%3D728fdee9-f8ac-11f0-ba00-03a83cafb1e3%26rx_job%3D01818053%26rx_medium%3Dcpc%26rx_r%3Dnone%26rx_source%3Dindeed%26rx_ts%3D20260124T040418Z%26rx_vp%3Dcpc")</f>
        <v/>
      </c>
      <c r="G44" t="inlineStr">
        <is>
          <t>Cedar Rapids, IA, US</t>
        </is>
      </c>
      <c r="H44" s="2" t="n">
        <v>46044</v>
      </c>
      <c r="I44" t="inlineStr">
        <is>
          <t>**Date Posted:**
2026\-01\-23**Country:**
United States of America**Location:**
US\-IA\-CEDAR RAPIDS\-124 \~ 400 Collins Rd NE \~ BLDG 124**Position Role Type:**
Onsite**U.S.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https://www.ecfr.gov/current/title\-22/chapter\-I/subchapter\-M/part\-120/subpart\-C/section\-120\.62**Security Clearance Type:**
None/Not Required**Security Clearance Status:**
Not Required
This position is for an experienced Software Engineer with either work or personal project experience in Artificial Intelligence, Machine Learning, or Generative AI. The position will be part of the Applied Research and Technology (ART) Aerospace Technologies Team designing and developing the next\-generation avionics systems of the future. The ART Aerospace Technologies Development Sandbox team is chartered with defining new disruptive developmental process improvements for the Collins Aerospace businessto enable faster cycle times, lower total lifecycle cost, reduce tech debt and enable greater reusability.
This is an onsite position based in Cedar Rapids, Iowa.
**What you will do:**
* Develop, design and conclude experiments to accelerate business capabilities in Generative AI for safety\-critical development
* Be obsessively passionate, inquisitive, and seek to solve everyday problems in innovative ways
* Thrive in a collaborative environment and clearly communicate while confidently providing technical guidance, mentoring, and support to multiple sub\-projects
* You possess the following character traits:
* You have a strong sense of ownership and take initiative while empowering others to do the same
* You prioritize positive impact over busy work
* You have no ego and understand that everyone has something to bring to the table regardless of experience
* You appreciate transparency and promote trust and empowerment through open access of information
* You are evidence\-based and prioritize data and science over seniority or dogma
* You take risks and rapidly iterate to find the best solution to the problem
**Qualifications you must have:**
* Typically requires a degree in Science, Technology, Engineering or Mathematics (STEM) and minimum 8 years prior relevant experience or an Advanced Degree in a related field and minimum 5 years of experience
* **Must be a U.S. Person** \- Job requires access to ITAR or 600/500\-series EAR information or hardware (directly or indirectly) and the company will not seek an export authorization for this role.
* Proficient in Unix/Linux and Python
* Experience in deploying Generative AI powered applications
* Experience with Large Language Model (LLM) development frameworks (e.g. LangChain, Haystack)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5">
      <c r="A45" t="inlineStr">
        <is>
          <t>in-8ac5625281c73fcf</t>
        </is>
      </c>
      <c r="B45" t="inlineStr">
        <is>
          <t>Senior Principal Software Engineer – Avionics Test Engineering (Onsite)</t>
        </is>
      </c>
      <c r="C45" t="inlineStr">
        <is>
          <t>Collins Aerospace</t>
        </is>
      </c>
      <c r="D45" t="inlineStr">
        <is>
          <t>indeed</t>
        </is>
      </c>
      <c r="E45">
        <f>HYPERLINK("https://www.indeed.com/viewjob?jk=8ac5625281c73fcf", "https://www.indeed.com/viewjob?jk=8ac5625281c73fcf")</f>
        <v/>
      </c>
      <c r="F45">
        <f>HYPERLINK("https://jsv3.recruitics.com/redirect?rx_cid=3426&amp;rx_jobId=01819125&amp;rx_url=https%3A%2F%2Fcareers.rtx.com%2Fglobal%2Fen%2Fjob%2F01819125%3Frx_a%3D0%26rx_c%3D%26rx_ch%3Djobp4p%26rx_group%3D122223%26rx_id%3D730f96a9-f8ac-11f0-ba00-d9e101571274%26rx_job%3D01819125%26rx_medium%3Dcpc%26rx_r%3Dnone%26rx_source%3Dindeed%26rx_ts%3D20260124T040418Z%26rx_vp%3Dcpc", "https://jsv3.recruitics.com/redirect?rx_cid=3426&amp;rx_jobId=01819125&amp;rx_url=https%3A%2F%2Fcareers.rtx.com%2Fglobal%2Fen%2Fjob%2F01819125%3Frx_a%3D0%26rx_c%3D%26rx_ch%3Djobp4p%26rx_group%3D122223%26rx_id%3D730f96a9-f8ac-11f0-ba00-d9e101571274%26rx_job%3D01819125%26rx_medium%3Dcpc%26rx_r%3Dnone%26rx_source%3Dindeed%26rx_ts%3D20260124T040418Z%26rx_vp%3Dcpc")</f>
        <v/>
      </c>
      <c r="G45" t="inlineStr">
        <is>
          <t>Cedar Rapids, IA, US</t>
        </is>
      </c>
      <c r="H45" s="2" t="n">
        <v>46044</v>
      </c>
      <c r="I45" t="inlineStr">
        <is>
          <t>**Date Posted:**
2026\-01\-23**Country:**
United States of America**Location:**
US\-IA\-CEDAR RAPIDS\-112 \~ 400 Collins Rd NE \~ BLDG 112**Position Role Type:**
Onsite**U.S.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https://www.ecfr.gov/current/title\-22/chapter\-I/subchapter\-M/part\-120/subpart\-C/section\-120\.62**Security Clearance Type:**
None/Not Required**Security Clearance Status:**
Not Required
Collins Aerospace is looking for a **Senior Principal Engineer**, disciplined in Software Engineering, to join our Avionics Test Engineering Computing and Networking team. In this role, the ideal candidate will be leading the software development of applications for multiple projects that provide avionics test solutions to our factories, service centers, and external customers. You will collaborate with engineers from several disciplines, including electrical, project, mechanical, hardware design, and systems engineers. You will also be guiding a team of talented engineers, ensuring our solutions meet the highest standards of quality and safety. The ability to train, instruct and provide technical guidance to less experienced engineers to help them diagnose and solve problems and build capabilities are essential skills for this position.
**WHAT YOU WILL DO:**
* **Technical Leadership** \- Provide technical leadership to a wide range of entry\-level to highly experienced engineers through all phases of the test software development lifecycle including requirements capture, design and dry coding, integrating with hardware and software components, software validation and verification.
* **Process Leadership** – Help develop and implement new and improved processes for the software engineering discipline within Avionics Test Engineering.
**WHAT YOU WILL LEARN:**
* **Technical Expertise**: You will enhance your technical expertise by mentoring a team of software engineers working across a portfolio of up to 15 projects. This role offers a unique opportunity to deepen your knowledge of cutting\-edge technologies and innovative solutions across multiple domains, while driving technical excellence and fostering the development of the next generation of engineers.
* **Leadership Skills**: You will refine and expand your leadership skills by guiding and mentoring a team of engineers, fostering collaboration, and driving technical success across multiple projects. This role will challenge you to inspire innovation and cultivate a high\-performing team culture while shaping the direction of impactful technologies.
**QUALIFICATIONS YOU MUST HAVE:**
* Typically requires a degree in Science, Technology, Engineering or Mathematics (STEM) and minimum 10 years prior relevant experience *or* an Advanced Degree in a related field and minimum 7 years of experience *or* in absence of a degree, 14 years of relevant experience.
* Experience in writing software requirements, software design and implementation, functional and integration testing, writing test cases and test procedures, and software delivery support.
* Experience with ARINC standards such as ARINC 429, ARINC 664 and ARINC 661\.
* C\# programming experience.
**QUALIFICATIONS WE PREFER:**
* Proficiency with modern software development best practices and configuration management tools
* Demonstrated ability to lead a team through the full software development cycle in a regulated industry, preferably with experience in avionics software projects.
* Effective communication and interpersonal skills, with the ability to collaborate with cross\-functional teams to achieve operational goals.
* Ability to identify complex problems using analytical and problem\-solving skills to effectively identify and resolve complex issues and mitigate risks.
**WHAT WE OFFER**
 **BENEFITS**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This position may be eligible for relocation.
 **Learn More \&amp; Apply Now!**
 *Collins Aerospace, an RTX company, is a leader in technologically advanced and intelligent solutions for the global aerospace and defense industry. Collins Aerospace has the capabilities, comprehensive portfolio, and**expertise**to solve customers’ toughest challenges and to meet the demands of a rapidly evolving global market.*
 *Avionics delivers advanced cockpit displays, vision systems, and comprehensive digital solutions for global government, commercial and business aviation customers. We provide connectivity and managed data services to ensure safety and seamless communication for passengers, crews, and militaries, from**aircraft**and airports to air traffic management. Join us in creating solutions that connect the world, one flight at a time. Start your application today.*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6">
      <c r="A46" t="inlineStr">
        <is>
          <t>in-105f795693722525</t>
        </is>
      </c>
      <c r="B46" t="inlineStr">
        <is>
          <t>Director, Software Engineering</t>
        </is>
      </c>
      <c r="C46" t="inlineStr">
        <is>
          <t>Comscore</t>
        </is>
      </c>
      <c r="D46" t="inlineStr">
        <is>
          <t>indeed</t>
        </is>
      </c>
      <c r="E46">
        <f>HYPERLINK("https://www.indeed.com/viewjob?jk=105f795693722525", "https://www.indeed.com/viewjob?jk=105f795693722525")</f>
        <v/>
      </c>
      <c r="F46">
        <f>HYPERLINK("https://www.comscore.com/ita/Chi-siamo/Carriera/Offerte-di-lavoro?sfid=1603", "https://www.comscore.com/ita/Chi-siamo/Carriera/Offerte-di-lavoro?sfid=1603")</f>
        <v/>
      </c>
      <c r="G46" t="inlineStr">
        <is>
          <t>CA, US</t>
        </is>
      </c>
      <c r="H46" s="2" t="n">
        <v>46044</v>
      </c>
      <c r="I46" t="inlineStr">
        <is>
          <t>* Comscore is unable to provide sponsorship for this position, now or in the future.
Job Title: Director, Software Engineering
Location: Remote – Must reside in USA  
Candidates within commutable distance to our Oregon, Indiana, New York, or Virginia office locations will need to work a hybrid schedule and report onsite 2x a week.
About This Role:
We are seeking a highly responsible and detail\-oriented Director, Software Engineer with strong expertise in front\-end development and a solid understanding of modern web application architecture. This role combines hands\-on development with technical leadership and team management responsibilities.
The position focuses on maintaining and enhancing an established codebase, prioritizing stability, reliability, and thoughtful evolution over rapid adoption of new frameworks or patterns.
The ideal candidate is comfortable working within existing technical constraints, values clean and maintainable code, and proactively identifies potential issues before they impact users.
What You'll Do:
* Develop, maintain, and enhance web applications using established front‑end patterns and best practices.
* Work primarily within existing React‑based architectures, focusing on stability and thoughtful evolution rather than unnecessary refactoring.
* Provide technical leadership and direct management to developers and QA team members, including task guidance, code reviews, and mentorship.
* Collaborate with cross‑functional teams to implement features, resolve defects, and improve system stability.
* Support authentication workflows and participate in build, release, and deployment processes.
* Diagnose and resolve production issues while contributing to technical discussions centered on long‑term maintainability.
* Conduct R\&amp;D assignments to support product and architectural improvements.
* Lead strategic initiatives across assigned verticals, owning major platforms or processes and influencing product direction.
* Drive operational and financial success for the assigned area by ensuring efficient resource utilization and supporting core business objectives.
* Build and develop world‑class systems and organizational capability, ensuring redundancy, continuity, and long‑term resilience.
* Cultivate strong internal and external relationships, including vendor or strategic partnerships.
* Oversee resource management, budgeting, and staffing decisions to build and retain high‑performing teams.
* Attract, engage, and grow talent while developing leadership capability within the organization.
What You'll Need:
* Bachelor’s degree in Engineering, Computer Science, or a related field with 7\+ years of experience; or a Master’s degree with 5\+ years of experience.
* Proven experience managing or leading developers and/or QA team members.
* Strong sense of ownership with a high level of reliability.
* Demonstrated ability to anticipate problems and address them proactively.
* Comfortable working within technical and dependency constraints.
* Strong understanding of build and deployment considerations, including platform targets and build configurations.
* Clear and effective communicator who collaborates well with cross‑functional teams.
* Salary: $153,000\-$173,800; Commensurate with experience.
Technical Skills
* Front\-End \&amp; Application Development
	+ Expert\-level React (preference for Class Components)
	+ Redux
	+ JavaScript and/or TypeScript
	+ CSS
	+ NPM / Node
	+ Webpack
* Backend \&amp; Database
	+ C\# and ASP.NET Core APIs
	+ SQL Server 2016 or later
* Version Control
	+ Git
Authentication
* Experience implementing authentication with MSAL and/or Okta.
DevOps \&amp; Deployment
* Hands\-on experience with DevOps and Azure, including:
	+ Build and release pipelines
	+ YAML\-based pipeline configuration
	+ Variable management and replacements
	+ Release triggers and approval workflows
	+ Diagnosing failed builds or deployments
	+ Deployments to cloud environments
Microsoft Azure
* App Services
* App Registrations
* File Storage, including mounted storage configurations
About Comscore
At Comscore, we’re pioneering the future of cross\-platform media measurement, arming organizations with the insights they need to make decisions with confidence. Central to this aim are our people who work together to simplify the complex on behalf of our clients \&amp; partners. Though our roles and skills are varied, we’re united by our commitment to five underlying values: Integrity, Velocity, Accountability, Teamwork, and Servant Leadership. If you’re motivated by big challenges and interested in helping some of the largest and most important media properties and brands navigate the future of media, we’d love to hear from you.
Comscore (NASDAQ: SCOR) is a trusted partner for planning, transacting and evaluating media across platforms. With a data footprint that combines digital, linear TV, over\-the\-top and theatrical viewership intelligence with advanced audience insights, Comscore allows media buyers and sellers to quantify their multiscreen behavior and make business decisions with confidence. A proven leader in measuring digital and set\-top box audiences and advertising at scale, Comscore is the industry’s emerging, third\-party source for reliable and comprehensive cross\-platform measurement. To learn more about Comscore, please visit Comscore.com.
EEO Statement: We are an equal employment opportunity employer. All qualified applicants will receive consideration for employment without regard to race, color, religion, national origin, sex, disability status, sexual orientation, gender identity, age, protected veteran status or any other characteristic protected by law.
To comply with federal law, Comscore participates in E\-Verify. Successful candidates must pass the E\-Verify process after hire.
* LI\-ML1
Director, Software Engineering</t>
        </is>
      </c>
    </row>
    <row r="47">
      <c r="A47" t="inlineStr">
        <is>
          <t>in-c9ffb42f99980556</t>
        </is>
      </c>
      <c r="B47" t="inlineStr">
        <is>
          <t>Senior Software Engineer</t>
        </is>
      </c>
      <c r="C47" t="inlineStr">
        <is>
          <t>United Concordia Dental</t>
        </is>
      </c>
      <c r="D47" t="inlineStr">
        <is>
          <t>indeed</t>
        </is>
      </c>
      <c r="E47">
        <f>HYPERLINK("https://www.indeed.com/viewjob?jk=c9ffb42f99980556", "https://www.indeed.com/viewjob?jk=c9ffb42f99980556")</f>
        <v/>
      </c>
      <c r="F47">
        <f>HYPERLINK("https://highmarkhealth.wd1.myworkdayjobs.com/en-US/highmark/job/PA-Working-at-Home---Pennsylvania/Senior-Software-Engineer_J274974", "https://highmarkhealth.wd1.myworkdayjobs.com/en-US/highmark/job/PA-Working-at-Home---Pennsylvania/Senior-Software-Engineer_J274974")</f>
        <v/>
      </c>
      <c r="G47" t="inlineStr">
        <is>
          <t>PA, US</t>
        </is>
      </c>
      <c r="H47" s="2" t="n">
        <v>46044</v>
      </c>
      <c r="I47" t="inlineStr">
        <is>
          <t>**Company :**
-------------
enGen
**Job Description :**
---------------------
**JOB SUMMARY**
This job is an integral member of an agile software engineer team, focused on building scalable software applications across all digital channels to serve our customers. The incumbent will be responsible for taking an enterprise\-wide, architectural view of solutions and the technical execution of products, primarily utilizing **C\# within the .NET framework on the Azure platform** . The position, and team, will be involved in every aspect of the software application build process, from idea generation, business analysis, and technical design to software development using the latest technologies and design patterns.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7 years of working with a variety of technology systems, designing solutions or developing applications in healthcare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$147,500\.00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is>
      </c>
    </row>
    <row r="48">
      <c r="A48" t="inlineStr">
        <is>
          <t>in-524dce21aaffc8c0</t>
        </is>
      </c>
      <c r="B48" t="inlineStr">
        <is>
          <t>.NET Core Software Developer - Mid Level</t>
        </is>
      </c>
      <c r="C48" t="inlineStr">
        <is>
          <t>A3 Technology Inc</t>
        </is>
      </c>
      <c r="D48" t="inlineStr">
        <is>
          <t>indeed</t>
        </is>
      </c>
      <c r="E48">
        <f>HYPERLINK("https://www.indeed.com/viewjob?jk=524dce21aaffc8c0", "https://www.indeed.com/viewjob?jk=524dce21aaffc8c0")</f>
        <v/>
      </c>
      <c r="F48">
        <f>HYPERLINK("https://a3.bamboohr.com/careers/533?source=indeed&amp;src=indeed&amp;postedDate=2026-01-23", "https://a3.bamboohr.com/careers/533?source=indeed&amp;src=indeed&amp;postedDate=2026-01-23")</f>
        <v/>
      </c>
      <c r="G48" t="inlineStr">
        <is>
          <t>Egg Harbor Township, NJ, US</t>
        </is>
      </c>
      <c r="H48" s="2" t="n">
        <v>46044</v>
      </c>
      <c r="I48" t="inlineStr">
        <is>
          <t>A3 Technology, Inc. is seeking a mid\-level .NET Core Software Developer to join our Remote Monitoring and Logging System (RMLS) team that supports the Federal Aviation Administration (FAA) in Egg Harbor Township, NJ. RMLS is the FAA’s logging system for recording maintenance work performed on facilities in the National Airspace System (NAS). RMLS provides a rich database of unstructured text, reading every log file.
This is a full\- time on\-site position (no remote or hybrid work).
 **Essential Job Duties:**
* Provide expertise in software requirements analysis, design, design reviews, development, software testing, integration, installation, and maintenance of complex computer systems.
* Experience with software programming languages used for the National Airspace System (NAS) and NAS support systems. These languages include, but are not limited to: .Net Core, MVS, ASP.NET, JavaScript, jQuery, HTML/CSS, etc.
* Possess a technical understanding of systems, databases, networking, computing environments, and virtualization.
* Provide 2nd Level Engineering support for RMLS:
	+ Troubleshoot, debug, maintain and improve existing software using the back end and front\-end technologies listed below as required skills.
	+ End\-user functionality support.
	+ Attend system design reviews, technical interchange meeting, and any other meetings as requested to support program and team.
	+ Work in an agile team environment.
* Should be able to:
	+ Identify and solve problems quickly and efficiently.
	+ Think outside the box and come up with creative solutions to challenges.
	+ Collaborate with team members in an agile environment to identify and resolve problems and test solutions.
* Work independently and in a team environment.
* Full\-time position with a standard flexible work schedule.
* Occasional travel.
* Cubicle environment.
* This position is onsite in Egg Harbor Township, NJ.
**Required Skills:**
* Excellent knowledge/experience in:
	+ Back\-end Technologies: .Net Core, ASP.NET, Model\-View\-Controller (MVC), and Web services
	+ Front\-end Technologies: JavaScript, jQuery, HTML, CSS, and AJAX.
* Knowledge/experience in writing database queries and procedures using Procedural Language/Structured Query Language (PL/SQL).
* Ability to:
	+ Work independently, as well as a team.
	+ Research and problem solve.
	+ Communicate effectively through verbal and written communication.
**Preferred Skills:**
* Knowledge/experience in:
	+ Back\-end Technologies: Oracle Schedule Jobs, Oracle Queues, PP, Python, and Web server\-side (Apache/IIS)
	+ Front\-end Technologies: Angular
**Education:**
* Bachelor of Science in Computer Science, Math or a Bachelor's degree in another technical field with a minimum of (30\) semester hours in a combination of mathematics, statistics, and computer science and 12 years of related work experience in a computer science or math field OR
* Master's degree in any field of study with a minimum of (30\) semester hours of either undergrad or grad study in a combination of mathematics, statistics, and computer science and 9 years related work experience in a computer science or math field.
* All Non\-US Degrees must have a US Equivalency Certificate provided by the candidate.
Additionally, US Citizenship or documented proof of eligibility to work in the US is a must. Upon receiving a conditional offer of employment, candidates will undergo a Government investigation and must meet eligibility requirements for Government clearance. Verification of past employment, education and references is also required. It is imperative that candidates be either a US citizen or a current green card holder with the last 3 consecutive years as a resident of the US.
The salary range for positions is $50,000 to $175,000\. This range is provided as a general guideline and should not be interpreted as a guarantee of compensation. Actual salary offers will be determined based on a variety of factors, including but not limited to the specific responsibilities of the position, the candidate’s education, experience, location, knowledge, skills, and abilities. In addition, compensation may be influenced by applicable Federal Government contract labor categories and established contract wage rates.
At A3 Technology, Inc., we take pride in being an Equal Opportunity Employer (EEO) and Affirmative Action (AA) employer. We're committed to considering all qualified candidates for employment without regard to race, religion, color, sex, sexual orientation, gender identity, age, protected veteran status, disability, national origin, genetic information or any other protected status.</t>
        </is>
      </c>
    </row>
    <row r="49">
      <c r="A49" t="inlineStr">
        <is>
          <t>in-067fb66530bb2e55</t>
        </is>
      </c>
      <c r="B49" t="inlineStr">
        <is>
          <t>Senior Software Engineer, Applications</t>
        </is>
      </c>
      <c r="C49" t="inlineStr">
        <is>
          <t>Berkshire Grey</t>
        </is>
      </c>
      <c r="D49" t="inlineStr">
        <is>
          <t>indeed</t>
        </is>
      </c>
      <c r="E49">
        <f>HYPERLINK("https://www.indeed.com/viewjob?jk=067fb66530bb2e55", "https://www.indeed.com/viewjob?jk=067fb66530bb2e55")</f>
        <v/>
      </c>
      <c r="F49">
        <f>HYPERLINK("https://berkshiregrey.bamboohr.com/careers/688?source=indeed&amp;src=indeed&amp;postedDate=2026-01-23", "https://berkshiregrey.bamboohr.com/careers/688?source=indeed&amp;src=indeed&amp;postedDate=2026-01-23")</f>
        <v/>
      </c>
      <c r="G49" t="inlineStr">
        <is>
          <t>Bedford, MA, US</t>
        </is>
      </c>
      <c r="H49" s="2" t="n">
        <v>46044</v>
      </c>
      <c r="I49" t="inlineStr">
        <is>
          <t>**Primary Job Function:**
* The Engineer in this role will work with a multidisciplinary team to develop software for robotic applications related to package handling.
* The Engineer in this role will be responsible for designing, implementing, and maintaining software that integrates and enhances robotic capabilities to deliver product features.
* This candidate will be expected to be a primary contributor and leader driving to real\-world customer delivery, acceptance, and operation.
**Min Skills/Technical Requirements:**
* Bachelor’s degree in Computer Science or a closely related field.
* 5\+ years of experience in software development.
* Strong development expertise in Python.
* Experience in a fast paced, agile software development environment.
* Ability to:
	+ Collaborate with a team of software projects
	+ Navigate and contribute to large, complex codebases
	+ Provide technical leadership on key projects
	+ Architect component\-level software solutions
	+ Operate autonomously
	+ Determine and communicate justification of technical priorities to management
* Proficient in
* Python
* C\+\+
* Linux (Ubuntu)
* System design
* Design Pattern
* Asynchronous/Concurrent Programming
* VCS (Git)
* Issue tracking system (Jira)
**Preferred Qualifications:**
* Master’s degree in Computer Science or a closely related field.
* Exposure to robotics or a keen interest in the robotics field.
* Expert level understanding of one or more of the following:
	+ Warehouse Management/Control Systems (WMS/WCS)
	+ Asynchronous/Concurrent Programming
	+ NoSQL Databases (MongoDB)
	+ Messaging Systems (Kafka, gRPC)
	+ CI/CD processes (Jenkins, Automated Testing)
* Containerization (Docker, Kubernetes)
* ROS (Robot Operating System)
* Understanding of parallel/distributed systems.
**Why Berkshire Grey?**
* Opportunity to work with cutting\-edge AI\-powered robotic solutions that are transforming the supply chain and logistics industry.
* A culture of innovation and collaboration, with a commitment to professional development and growth.
* Competitive compensation and comprehensive benefits package.
**Educational Requirements:** Master's degree in Computer Science or a similar field
 **6110\-2601JT**</t>
        </is>
      </c>
    </row>
    <row r="50">
      <c r="A50" t="inlineStr">
        <is>
          <t>in-fb51fc6eeacbf382</t>
        </is>
      </c>
      <c r="B50" t="inlineStr">
        <is>
          <t>Software Engineer (GCS / PCS Operations &amp; Maintenance)</t>
        </is>
      </c>
      <c r="C50" t="inlineStr">
        <is>
          <t>Doota Industrial America LLC</t>
        </is>
      </c>
      <c r="D50" t="inlineStr">
        <is>
          <t>indeed</t>
        </is>
      </c>
      <c r="E50">
        <f>HYPERLINK("https://www.indeed.com/viewjob?jk=fb51fc6eeacbf382", "https://www.indeed.com/viewjob?jk=fb51fc6eeacbf382")</f>
        <v/>
      </c>
      <c r="F50">
        <f>HYPERLINK("https://recruiting.paylocity.com/recruiting/jobs/Details/3865693/DOOTA-INDUSTRIAL-AMERICA-LLC/Software-Engineer-GCS-PCS-Operations-Maintenance?source=Indeed_Feed", "https://recruiting.paylocity.com/recruiting/jobs/Details/3865693/DOOTA-INDUSTRIAL-AMERICA-LLC/Software-Engineer-GCS-PCS-Operations-Maintenance?source=Indeed_Feed")</f>
        <v/>
      </c>
      <c r="G50" t="inlineStr">
        <is>
          <t>Austin, TX, US</t>
        </is>
      </c>
      <c r="H50" s="2" t="n">
        <v>46044</v>
      </c>
      <c r="I50" t="inlineStr">
        <is>
          <t>Description:
**Job Title: Software Engineer**
Job Type: Full\-Time
Your Impact
This role is responsible for daily monitoring and support of GCS, PCS, and related systems to ensure high availability, data integrity, and life\-safety–critical reliability. The position serves as the first\-line responder for alarms and incidents, manages tickets and system changes, supports PCS drivers and industrial communications, and follows formal change management procedures. The role also focuses on preventive maintenance, continuous improvement, documentation, reporting, and cross\-functional coordination to minimize risk, meet SLAs, and maintain stable operations.
Join Doota Industrial America and be part of a thriving company that values safety, professional growth, and collaboration. Embark on an exciting career journey and make a tangible impact on the lives of those around you.
**Key Responsibilities:**
**1\. Daily Operations \&amp; Monitoring**
* Perform daily health checks and operational monitoring of:
* GCS 1\.0 / GCS 2\.0
* iEES / FMCS interfaces
* iQMS infr  
astructure
* iPCS monitoring and PCS drivers
* Monitor system performance across Buffer, Web, Application, IO, and Database servers.
* Review logs, alarms, events, barcode history, and interface transmission status to detect abnormalities.
* Ensure uninterrupted data integrity and system availability (target uptime \= 99\.99%).
**2\. Alarm, Incident \&amp; Emergency Response (Life\-Safety Critical)**
* Act as first\-line responder for GCS / PCS alarms, communication failures, and abnormal system behavior.
* Perform rapid troubleshooting and recovery actions for:
* Equipment communication errors
* PCS driver failures
* Interface disruptions (iEES, FMCS, Infra\-EES)
* Support emergency response activities during off\-shift, night shift, and maintenance windows.
* Participate in incident investigations, including:
* Root cause analysis (RCA)
* 8D report creation and follow\-up
* Countermeasure development and deployment
**3\. Ticket Management \&amp; Client Requests**
* Manage and respond to support tickets and VOCs involving:
* Tag / parameter add, change, delete
* Equipment add / change / removal
* IO mapping updates
* UI, buffer, AP, DB, barcode, and interface issues
* Validate requests, define corrective actions, execute standard activities, and escalate non\-standard items per governance.
* Maintain accurate documentation and activity records in designated management systems.
**4\. PCS Driver \&amp; Control System Support**
* Perform daily inspections and maintenance of PCS drivers (\~300\+ assets).
* Manage PCS driver configuration, firmware updates, IP and communication settings.
* Troubleshoot industrial communication protocols including:
* RS232 / RS485 / Ethernet
* Modbus, Omron, OPC
* Coordinate with PCS, Network, and equipment teams to resolve persistent or systemic issues.
**5\. Change Management \&amp; Release Support**
* Execute change point activities in compliance with governance\-defined MOC procedures.
* Support pre\- and post\-change monitoring (Day 1 / Day 3 / Day 7 verification).
* Prepare and review release documentation, checklists, and impact assessments.
* Validate system behavior following hardware, software, or infrastructure upgrades.
**6\. Preventive Maintenance \&amp; Continuous Improvement**
* Proactively identify weak points, recurring issues, and performance degradation trends.
* Support system standardization initiatives (e.g., GCS 2\.0 standard compliance).
* Develop and update SOPs, operational runbooks, and standardized checklists.
* Implement automation and monitoring enhancements where applicable.
**7\. Reporting, Governance \&amp; Coordination**
* Prepare and submit required reports, including:
* Daily and weekly operational status reports
* Off\-shift support summaries
* Changepoint summaries with evidence
* KPI performance tracking
* Participate in weekly operations meetings and quarterly business reviews.
* Coordinate closely with:
* IT Strategy \&amp; Mobile / Information Management teams
* Facilities Operations
* Network, ECA, GCS, PCS, and equipment engineering teams
* Escalate system risks, SLA impacts, and out\-of\-scope requests as required.
Who We Are
Embark on an exhilarating journey with Doota Industrial America, where we unite forward\-thinking pioneers driven by a passion for innovation. We are expanding our dynamic teams with individuals eager to collaborate, build communities, and shape a brighter future together. Our doors are open to candidates from all walks of life, with diverse experiences, skill sets, and backgrounds, as we embrace the power of inclusion and diversity in our work culture.
Founded in South Korea in 2002, Doota IT has since been operating in over 50 customer sites worldwide. With our Round Rock office launching in 2019 we have the ability to offer the best of both worlds: the agility of a start\-up and the stability of an enterprise. We are most proud of being recognized by the South Korean Prime Minister for our contributions to commerce and industry growth, positioning us as an industry leader.
Join forces with esteemed partners such as Samsung, LG, HP, SK Innovation, and Hyundai as we continue to make strides in the realm of environmental CEMS, encompassing design, measuring instrument delivery and installation, datalogger, FEP, monitoring systems, and CEMS room construction.
At Doota Industrial America, we foster a vibrant environment that nurtures creativity, collaboration, and professional growth. As part of our family, you will have access to resources and support that empowers you to excel. Our commitment to culture, integrity, and continuous improvement lies at the core of our mission, propelling us to transcend industry boundaries and make lasting, positive impacts on the world.
With Doota Industrial America, the sky is the limit. Join us and take part in crafting the future. Your extraordinary journey begins now!
Requirements:
**Required Technical Qualifications**
* Strong operational knowledge of manufacturing monitoring and control environments.
* Hands\-on experience with:
	+ MS SQL Server, Oracle (19c)
	+ Linux (including shell scripting)
	+ .NET, C\#, Visual Basic
	+ Java, JavaScript (or VueJS)
* Experience with:
	+ GCS, PCS, iEES, iQMS, or similar life\-safety / facility monitoring systems
	+ Industrial communication protocols and driver\-based architectures
* Ability to analyze logs, trends, alarms, and system metrics for fault detection and prevention.
**Experience \&amp; Competency Requirements**
* 3–10\+ years of experience in operations, maintenance, or systems engineering within:
* Semiconductor manufacturing
* Industrial automation
* Mission\-critical or life\-safety systems
* Demonstrated ability to operate under defined SLAs and escalation models.
* Strong analytical, troubleshooting, and documentation skills.
* Ability to work independently while coordinating across multiple cross\-functional teams.
* Clear communication skills for incident reporting, governance reviews, and client interaction.</t>
        </is>
      </c>
    </row>
    <row r="51">
      <c r="A51" t="inlineStr">
        <is>
          <t>in-b35097b4c6f7e6d9</t>
        </is>
      </c>
      <c r="B51" t="inlineStr">
        <is>
          <t>Sr. Simulator Software Engineer</t>
        </is>
      </c>
      <c r="C51" t="inlineStr">
        <is>
          <t>CORYS</t>
        </is>
      </c>
      <c r="D51" t="inlineStr">
        <is>
          <t>indeed</t>
        </is>
      </c>
      <c r="E51">
        <f>HYPERLINK("https://www.indeed.com/viewjob?jk=b35097b4c6f7e6d9", "https://www.indeed.com/viewjob?jk=b35097b4c6f7e6d9")</f>
        <v/>
      </c>
      <c r="F51">
        <f>HYPERLINK("https://corys.bamboohr.com/careers/26?source=indeed&amp;src=indeed&amp;postedDate=2026-01-23", "https://corys.bamboohr.com/careers/26?source=indeed&amp;src=indeed&amp;postedDate=2026-01-23")</f>
        <v/>
      </c>
      <c r="G51" t="inlineStr">
        <is>
          <t>Jacksonville, FL, US</t>
        </is>
      </c>
      <c r="H51" s="2" t="n">
        <v>46044</v>
      </c>
      <c r="I51" t="inlineStr">
        <is>
          <t>**Job Description:**
Become part of a dynamic and growing team developing cutting\-edge software that creates a real\-time simulation experience for railroad engineers in pursuit of training certification. You will be a part of a diverse skill set team of simulation product development professionals working on client\-directed simulation initiatives. More specifically, in this role you will be responsible for the design and enhancements to Cory’s rail simulation analysis product. This is a fast\-paced yet highly rewarding position for a talented and experienced software engineer.
**Key Responsibilities:**
* Technical customer liaison, responsible for contractual requirement compliance and technical troubleshooting with clients
* Create, modify and configure train simulation software in C\+\+ for a wide range of locomotives around the analysis of the forces on a given route
* Troubleshoot and debug the code base using Microsoft Visual Studio.
* Participate in installation, testing, and corrections with our team and clients
* Create software updates and work with the client on deploying and validation
* Provide technical leadership to the team of engineers and technicians working in your project
* Participate in maintenance and technology upgrades
* Recommend ways to enhance efficiency and productivity
 **Minimum Qualifications:**
* Minimum of 3\+ years C\+\+ work experience using Microsoft Visual Studio with an understanding of utilizing multi\-threaded execution for high\-performance applications and MFC libraries
* Bachelor's Degree in Computer Science or related technical field AND 2\+ years technical engineering experience with coding in C\+\+
* 2\+ years of experience driving software platform architecture projects from both a technical and functional perspective. Guiding complex projects from planning through execution and service operations.
* Strong troubleshooting, debugging and object\-oriented programming skills
* Excellent communication skills
* Self\-motivated, strong work ethic, and the ability to work independently
* Quick to acquire new knowledge and skills
* Creativity in problem\-solving and the ability to think outside of the established solutions
* Ability to perform hands\-on hardware integration testing and troubleshooting related to real\-time simulation software development.
* Must be authorized to work in the U.S.
**Desired Skills**
* Real\-time C\+\+, MFC, Python, SQL, VBA, PHP, JavaScript, Perl, QT UI, and batch scripting languages
* REST API/Webservice Integration Knowledge
* GIS Data Knowledge
* Azure Cloud development and deployment experience a plus
* AI / Machine Learning / Big Data experience a plus
* Trello or Kanban board Experience
* Able to multi\-task and work in a fast\-paced environment
* Creative, resourceful, and innovative problem solver
* Good ‘people’ skills
* Proficient in English for oral and written technical communications
* French language knowledge a plus
* Experience in modeling and simulation and knowledge of the railway industry are a plus
* Team leadership experience with a desire to grow and improve all team members
* Fearless when it comes to diving into complex systems and existing code bases
* Engineering Math for applications in general (mass, acceleration, friction, force, inertia, momentum, work, power, etc)
**Employee Perks:**
* Remote work options
* Excellent benefit package, for example – if single 100% of the medical, dental, and visual monthly premium is paid for by the company. If not single CORYS subsidizes 75% of the cost.
* Generous 401k match
* Annual bonus potential
* Industry\-leading salary – Jacksonville reference
* Pet friendly work place (except snakes)
**ABOUT CORYS Inc.:**
CORYS is the global leader in power and rail training simulation solutions. Our cutting\-edge simulation modeling, services, upgrades, and commitment to customer service has driven industry standards for over 20 years. CORYS Inc. is a subsidiary of CORYS SAS, located in Grenoble, France, with over 250 employees serving the power, transportation and hydrocarbon industries by providing training simulators as well as simulator support and upgrade services (850 systems in operation worldwide).
CORYS combines the skills of physicists, engineers, software developers, graphic designers and modeling experts to create innovative training and engineering solutions to address the operational requirements of our customers. We help them to optimize their engineering and training costs, enhance their workforce skills, and improve their operational safety and efficiency.
CORYS offers an exciting work environment, opportunities for advancement, competitive pay and benefits, and a generous bonus program.</t>
        </is>
      </c>
    </row>
    <row r="52">
      <c r="A52" t="inlineStr">
        <is>
          <t>in-4b99f70f0b9a2f15</t>
        </is>
      </c>
      <c r="B52" t="inlineStr">
        <is>
          <t>Simulation Software Full Stack Engineer</t>
        </is>
      </c>
      <c r="C52" t="inlineStr">
        <is>
          <t>CORYS</t>
        </is>
      </c>
      <c r="D52" t="inlineStr">
        <is>
          <t>indeed</t>
        </is>
      </c>
      <c r="E52">
        <f>HYPERLINK("https://www.indeed.com/viewjob?jk=4b99f70f0b9a2f15", "https://www.indeed.com/viewjob?jk=4b99f70f0b9a2f15")</f>
        <v/>
      </c>
      <c r="F52">
        <f>HYPERLINK("https://corys.bamboohr.com/careers/27?source=indeed&amp;src=indeed&amp;postedDate=2026-01-23", "https://corys.bamboohr.com/careers/27?source=indeed&amp;src=indeed&amp;postedDate=2026-01-23")</f>
        <v/>
      </c>
      <c r="G52" t="inlineStr">
        <is>
          <t>Jacksonville, FL, US</t>
        </is>
      </c>
      <c r="H52" s="2" t="n">
        <v>46044</v>
      </c>
      <c r="I52" t="inlineStr">
        <is>
          <t>**Job Description:**
Become part of a dynamic and growing team developing cutting\-edge software that creates a real\-time simulation experience for railroad engineers in pursuit of training certification. You will join a diverse skill set team of simulation product development professionals working toward a single product deployment. More specifically, in this role you will be a key resource for the full product design with an emphasis on the backend development of Corys rail simulation analysis product. This is a fast paced yet highly rewarding position for a talented and experienced full stack software engineer.
**Key Responsibilities:**
* Design and implement the Azure Cloud Architecture to execute high\-volume simulation test cases in "full\-background batch mode"
* Full Stack development with a strong backend focus to create, modify and configure train simulation software in C\#/.NET Core, C\+\+ and Python
* API and Data integration from multiple external sources
* Troubleshoot and debug the code base using Microsoft Visual Studio.
* Database design for SQL and NoSQL/Data Lakes
* Participate in installation, testing, and corrections with our team and clients
* Create software updates and work with the client on deploying and validation
* Provide technical leadership to the team of engineers and technicians working on your project
* Recommend ways to enhance efficiency and productivity
 **Minimum Qualifications:**
* 3\-5 five years minimum experience in Full Stack development with a strong backend focus
* Bachelor's Degree in Computer Science or related technical field AND 3\-5 years technical engineering experience
* 2\+ years of experience in Azure Cloud designing and implementing enterprise applications in a cloud infrastructure to execute high\-volume cases including setting up batch queues and managing spawning instances for parallel processing.
* 2\+ years of experience driving software platform architecture projects from both a technical and functional perspective. Guiding complex projects from planning through execution and service operations.
* 2\+ years of experience working with database design (SQL and NoSQL/Data Lakes) for handling complex datasets and performance tuning around large datasets. (track routes and train consists)
* 2\+ years of experience in designing and consuming RESTful APIs \&amp; Data Integration around build pipelines to ingest data from multiple external sources, including a Central Data Repository. (Strong handling of JSON data structures)
* Strong troubleshooting, debugging and object\-oriented programming skills
* Excellent communication skills
* Self\-motivated, strong work ethic, and the ability to work independently
* Quick to acquire new knowledge and skills
* Creativity in problem\-solving and the ability to think outside of the established solutions
* Must be authorized to work in the U.S.
**Desired Skills**
* C\#/.NET Core, C\+\+ and Python and batch scripting languages
* API/Webservice Integration Knowledge
* GIS Data Knowledge
* Report generation (Scheduled and OnDemand)
* Trello or Jira like Kanban board Experience
* Able to multi\-task and work in a fast\-paced environment
* Creative, resourceful, and innovative problem solver
* Proficient in English for oral and written technical communications
* Experience in modeling and simulation and knowledge of the railway industry are a plus
* Team leadership experience with a desire to grow and improve all team members
* Fearless when it comes to diving into complex systems and existing code bases
* Engineering Math for applications in general (mass, acceleration, friction, force, inertia, momentum, work, power, etc)
**Employee Perks:**
* Remote work options
* Excellent benefit package, for example – if single 100% of the medical, dental, and visual monthly premium is paid for by the company. If not single CORYS subsidizes 75% of the cost.
* Generous 401k match
* Annual bonus potential
* Industry leading salary – Jacksonville reference
* Pet friendly work place (except snakes)
**ABOUT CORYS Inc.:**
CORYS is the global leader in power and rail training simulation solutions. Our cutting\-edge simulation modeling, services, upgrades, and commitment to customer service has driven industry standards for over 20 years. CORYS Inc. is a subsidiary of CORYS SAS, located in Grenoble, France, with over 250 employees serving the power, transportation and hydrocarbon industries by providing training simulators as well as simulator support and upgrade services (850 systems in operation worldwide).
CORYS combines the skills of physicists, engineers, software developers, graphic designers and modeling experts to create innovative training and engineering solutions to address the operational requirements of our customers. We help them to optimize their engineering and training costs, enhance their workforce skills, and improve their operational safety and efficiency.
CORYS offers an exciting work environment, opportunities for advancement, competitive pay and benefits, and a generous bonus program.</t>
        </is>
      </c>
    </row>
    <row r="53">
      <c r="A53" t="inlineStr">
        <is>
          <t>in-2fbe32f2e4bc0022</t>
        </is>
      </c>
      <c r="B53" t="inlineStr">
        <is>
          <t>Software Engineer</t>
        </is>
      </c>
      <c r="C53" t="inlineStr">
        <is>
          <t>Armison Tech</t>
        </is>
      </c>
      <c r="D53" t="inlineStr">
        <is>
          <t>indeed</t>
        </is>
      </c>
      <c r="E53">
        <f>HYPERLINK("https://www.indeed.com/viewjob?jk=2fbe32f2e4bc0022", "https://www.indeed.com/viewjob?jk=2fbe32f2e4bc0022")</f>
        <v/>
      </c>
      <c r="F53">
        <f>HYPERLINK("https://jobs.armisontech.com/careers/92558-Online-Portal/jobs/16767981-Software-Engineer/?ref=Indeed", "https://jobs.armisontech.com/careers/92558-Online-Portal/jobs/16767981-Software-Engineer/?ref=Indeed")</f>
        <v/>
      </c>
      <c r="G53" t="inlineStr">
        <is>
          <t>McLean, VA, US</t>
        </is>
      </c>
      <c r="H53" s="2" t="n">
        <v>46044</v>
      </c>
      <c r="I53" t="inlineStr">
        <is>
          <t>**Armison Tech** is a minority owned small business, established in 2012, located in the Northern Virginia area. We're a company predominantly focused on cyber security for our government customers yet our expertise in other areas include big data analytics, instructional design, information management, and computer network infrastructure. We invest in our employees careers by participating in cutting edge cyber security training and attending industry leading conferences. As a small business we offer flexibility and powerful benefits supporting our most important assets, our employees and their families.
**Armison Tech** is constantly searching for exceptionally qualified technology professionals who would make a great addition to our team. Our staff, just like our clients and the work we do, is what makes **Armison Tech** a truly effective partner. As we help each of our new employees make adjustments to our operational methods, we make sure every professional is able to handle the workload of each project by resolving any relevant concerns or issues they may have relating to this recent career shift.  
Our hiring process seeks to accentuate the raw talent and skill\-set of our team members. Along with the importance of experience and education, **Armison Tech** looks for the superior analytical and communication ability that separates our employees from what we’ve seen while working with some similar companies. Individuals we employ must have a demonstrated ability to excel in high\-pressure situations which have a real impact on the modern world so we can continue to keep pace with the competition and the evolving fields of technology.  
Currently we have an immediate need to add an experienced:  
**Software Engineer**  
**Location: McLean, VA (on\-site client environment)**  
**Clearance: TS/SCI with polygraph**  
**Compensation: Competitive, Excellent Benefits**  
**Only applicants with the active required security clearance and are U.S. Citizens will be reviewed.**  
As a Software Engineer, you will support and maintain AWS hosted software applications, and their underlying databases. This will include bug fixes of the current applications, and evolving/enhancing the applications based on user feedback and recommendations. This is a mission\-critical role, supporting and developing extremely important enterprise\-wide applications.  
**Required Qualifications:**
* Must maintain an active/current TS/SCI with polygraph clearance.
* Experience translating customer and system requirements into software design.
* Demonstrated experience in full stack web application software development using Vue (JavaScript), FastAPI (Python), and PostgreSQL (that is managed within AWS Relational Database Services (RDS).
* Experience in using cloud\-based infrastructure as code (IaaC) networking and service administration, to include deploying, operating, and maintaining web services on a cloud infrastructure.
* Demonstrated experience designing, architecting, and developing large scale data solutions to provide efficient searching, analytical, and reporting capabilities.
* Demonstrated experience in entity resolution on large and continuously growing data sets.
* Demonstrated experience in developing and implementing configuration management plans and processes for software applications and their underlying databases.
* Experience developing containerized (Podman) applications.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***Armison Tech*** *is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t>
        </is>
      </c>
    </row>
    <row r="54">
      <c r="A54" t="inlineStr">
        <is>
          <t>in-ee102d6e84daac98</t>
        </is>
      </c>
      <c r="B54" t="inlineStr">
        <is>
          <t>Software Engineer Analyst</t>
        </is>
      </c>
      <c r="C54" t="inlineStr">
        <is>
          <t>Hewlett Packard Enterprise | HPE</t>
        </is>
      </c>
      <c r="D54" t="inlineStr">
        <is>
          <t>indeed</t>
        </is>
      </c>
      <c r="E54">
        <f>HYPERLINK("https://www.indeed.com/viewjob?jk=ee102d6e84daac98", "https://www.indeed.com/viewjob?jk=ee102d6e84daac98")</f>
        <v/>
      </c>
      <c r="F54">
        <f>HYPERLINK("https://careers.hpe.com/us/en/job/HPE1US1200299EXTERNALENUS/Software-Engineer-Analyst?utm_source=indeed&amp;utm_medium=phenom-feeds", "https://careers.hpe.com/us/en/job/HPE1US1200299EXTERNALENUS/Software-Engineer-Analyst?utm_source=indeed&amp;utm_medium=phenom-feeds")</f>
        <v/>
      </c>
      <c r="G54" t="inlineStr">
        <is>
          <t>Sunnyvale, CA, US</t>
        </is>
      </c>
      <c r="H54" s="2" t="n">
        <v>46044</v>
      </c>
      <c r="I54" t="inlineStr">
        <is>
          <t>Software Engineer Analyst  
This role has been designed as ‘’Onsite’ with an expectation that you will primarily work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develops, troubleshoots and debugs software programs for software enhancements and new products. Develops software including operating systems, compilers, routers, networks, utilities, databases and Internet\-related tools. Determines hardware compatibility and/or influences hardware design.
***Management Level Definition:***
Contributes to assignments of limited scope by applying technical concepts and theoretical knowledge acquired through specialized training, education, or previous experience. Acts as team member by providing information, analysis and recommendations in support of team efforts. Exercises independent judgment within defined parameters.
***Responsibilities:***
* Codes and programs enhancements, updates, and changes for portions and subsystems of systems software, including operating systems, compliers, networking, utilities, databases, and Internet\-related tools
* Executes established test plans and protocols for assigned portions of code; identifies, logs, and debugs assigned issues.
* Develops understanding of and relationship with internal and outsourced development partners on software systems design and development.
* Participates as a member of project team of other software systems engineers and internal and outsourced development partners to develop reliable, cost effective and high quality solutions for low to moderately\- complex products.
***Education and Experience Required:***
* Bachelor's or Master's degree in Computer Science, Information Systems, or equivalent
* Typically 0\-2 years experience
***Knowledge and Skills:***
* Experience or understanding of software systems design tools and languages.
* Good analytical and problem solving skills.
* Understanding of design for software systems running on multiple platform types
* Understanding of basic testing, coding, and debugging procedures
* Good written and verbal communication skills; mastery in English and local language.
**Additional Skills:**
Cloud Architectures, Cross Domain Knowledge, Design Thinking, Development Fundamentals, DevOps, Distributed Computing, Microservices Fluency, Full Stack Development, Security\-First Mindset, Solutions Design, Testing \&amp; Automation, User Experience (UX)**What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\#grads**Job:**
Engineering**Job Level:**
TCP\_01  
"The expected salary/wage range for this position is provided below. Actual offer may vary from this range based upon geographic location, work experience, education/training, and/or skill level.  
– United States of America: Annual Salary USD 81,700 \- 165,800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55">
      <c r="A55" t="inlineStr">
        <is>
          <t>in-871a9b3a7e2b5f14</t>
        </is>
      </c>
      <c r="B55" t="inlineStr">
        <is>
          <t>Software Engineer</t>
        </is>
      </c>
      <c r="C55" t="inlineStr">
        <is>
          <t>MANTECH</t>
        </is>
      </c>
      <c r="D55" t="inlineStr">
        <is>
          <t>indeed</t>
        </is>
      </c>
      <c r="E55">
        <f>HYPERLINK("https://www.indeed.com/viewjob?jk=871a9b3a7e2b5f14", "https://www.indeed.com/viewjob?jk=871a9b3a7e2b5f14")</f>
        <v/>
      </c>
      <c r="F55">
        <f>HYPERLINK("https://click.appcast.io/t/q1dx2F_XYQPLeo5kDfrMJkq9dTC_L9GnjtStqqWq-Ao=", "https://click.appcast.io/t/q1dx2F_XYQPLeo5kDfrMJkq9dTC_L9GnjtStqqWq-Ao=")</f>
        <v/>
      </c>
      <c r="G55" t="inlineStr">
        <is>
          <t>Alexandria, VA, US</t>
        </is>
      </c>
      <c r="H55" s="2" t="n">
        <v>46044</v>
      </c>
      <c r="I55" t="inlineStr">
        <is>
          <t>MANTECH seeks a motivated, career and customer\-oriented **Software Engineer** to join our team in **Alexandria, VA**. As part of the position, you will act as a Software Engineer designing and implementing services and components for AI applications.
**Responsibilities include but are not limited to:**
* Develops, implements, and maintains full\-stack software solutions for AI\-enabled applications.
* Works closely with the Software Architect to understand project requirements and translate them into technical specifications.
* Develops and integrates AI and ML capabilities on a cloud\-hosted data platform that supports significant market adoption, high performance, and strict access control and governance.
* Designs and builds prototype and proof of concept User Interfaces using modern UX/UI standards.
* Stays current with advancements in AI, machine learning, and software engineering, incorporating best practices into the development process.
* Performs system optimization, performance tuning and assists in capacity planning.
* Performs proactive analysis of potential issues, risks and roadblocks during system implementation and operations.
* Documents software designs, code, and processes to ensure maintainability, scalability, and knowledge sharing among team members.
* Participates in code reviews and provides constructive feedback to peers to ensure code quality, adherence to coding standards, and knowledge transfer within the team.
**Minimum Qualifications:**
* Bachelor's degree in Computer Science, Information Technology, or a related field.
* 4 or more years (2 with Master’s) of experience in software development, systems integration, data management, or related fields.
* Experience with configuring and developing in a major public cloud system such as Oracle, Azure, AWS, or GCP.
* Experience in programming and/or scripting languages such as JavaScript, Python, C\+\+, or Java.
* Experience with software development frameworks and tools (e.g., TensorFlow, PyTorch, Flask, Docker).
* Strong understanding of software engineering principles, including design patterns, data structures, and algorithms.
* Experience with DevOps tools and techniques for building integrations with external systems including Infrastructure as Code (IaC). Example tools include Jenkins, GitLab, Ansible, Terraform, AWS Cloud Formation Templates
**Preferred Qualifications:**
* Master's degree in Computer Science, Information Technology, or a related field.
* Strong analytical and problem\-solving skills.
* Excellent communication and interpersonal skills.
* Experience working with data ingest and transformation.
* Ability to work effectively in a team\-oriented environment.
**Clearance Requirements:**
* Must possess a current and active TS/SCI
**Physical Requirements:**
* The person in this position must be able to remain in a stationary position 50% of the time.
* Occasionally move about inside the office to access file cabinets, office machinery, or to communicate with co\-workers, management, and customers, via email, phone, and or virtual communication, which may involve delivering presentations.</t>
        </is>
      </c>
    </row>
    <row r="56">
      <c r="A56" t="inlineStr">
        <is>
          <t>in-09da71fcdfe5abed</t>
        </is>
      </c>
      <c r="B56" t="inlineStr">
        <is>
          <t>Software Engineer Level 3</t>
        </is>
      </c>
      <c r="C56" t="inlineStr">
        <is>
          <t>Jovian Concepts</t>
        </is>
      </c>
      <c r="D56" t="inlineStr">
        <is>
          <t>indeed</t>
        </is>
      </c>
      <c r="E56">
        <f>HYPERLINK("https://www.indeed.com/viewjob?jk=09da71fcdfe5abed", "https://www.indeed.com/viewjob?jk=09da71fcdfe5abed")</f>
        <v/>
      </c>
      <c r="F56">
        <f>HYPERLINK("https://careers.jovianconcepts.com/recruit/PortalDetail.na?iframe=true&amp;digest=pMy53mQEF5JN2sDIHjnhTI3A3s2QTjlNpPNDH@8EfxU-&amp;jobid=297272000011248283&amp;widgetid=297272000000812086&amp;embedsource=CareerSite", "https://careers.jovianconcepts.com/recruit/PortalDetail.na?iframe=true&amp;digest=pMy53mQEF5JN2sDIHjnhTI3A3s2QTjlNpPNDH@8EfxU-&amp;jobid=297272000011248283&amp;widgetid=297272000000812086&amp;embedsource=CareerSite")</f>
        <v/>
      </c>
      <c r="G56" t="inlineStr">
        <is>
          <t>Annapolis Junction, MD, US</t>
        </is>
      </c>
      <c r="H56" s="2" t="n">
        <v>46044</v>
      </c>
      <c r="I56" t="inlineStr">
        <is>
          <t>### **Job Information**
Posting ID
GG\-SWE\-26\-002
Listing TTO/DO
GG\_004
Industry
Technology
Number of Positions
1
Clearance Required
Top Secret/SCI with Polygraph
City
Annapolis Junction
State/Province
Maryland
Zip/Postal Code
20701
### **Job Description**
* **DevOps Engineering:**  
Design, implement, and maintain DevOps pipelines for C\+\+ or Python applications, utilizing Kubernetes/K8 deployment and administration, Helm chart creation, and pod definition.
* **Kubernetes Administration:**  
Manage and configure Kubernetes clusters, ensuring high availability, scalability, and security.
* **Debugging and Defect Correction**:  
Identify, debug, and correct defects in existing software, utilizing effective troubleshooting techniques to resolve issues efficiently.
* **GPU Configuration and Support:**  
Configure and optimize GPU resources for performance\-critical applications, utilizing CUDA or other relevant technologies.
* **Automated Testing and Deployment:**  
Implement automated testing and deployment scripts, utilizing tools such as Jenkins or GitLab CI/CD.
* **Collaboration**:  
Work closely with cross\-functional teams, including system architects, and project managers, to ensure software meets user requirements and is delivered on schedule.
* **Documentation:**  
Maintain comprehensive documentation for software designs, processes, and interfaces to facilitate knowledge sharing and project continuity.
### **Requirements**
A current and active TS/SCI Clearance with a Polygraph required. No CCA's will be accepted at this time.
* Twenty (20\) years experience as a SWE in programs and contracts of similar scope, type, and complexity is required.
* Bachelor’s degree in Computer Science or related discipline from an accredited college or university is required. Four (4\) years of additional SWE experience on projects with similar software processes may be substituted for a bachelor’s degree.
**Technical Skills:**  
* Experience with GPU/CUDA development for performance\-critical applications.
* Familiarity with message queue implementation and communication protocols.
* Knowledge of Linux system programming and development environments.
**Additional Skills:**  
* Understanding of RF signals analysis or satellite communications system design and theory.
**Soft Skills:**  
* Strong analytical and problem\-solving abilities.
* Excellent communication and collaboration skills.
* Adaptability and a commitment to continuous learning and improvement.
Jovian Concepts, Inc. is an Equal Opportunity Employer and does not discriminate on the basis of race, color, religion, sex, sexual preference, national origin, disability, status as a protected veteran, genetic information, or any other reason prohibited by law in employment.</t>
        </is>
      </c>
    </row>
    <row r="57">
      <c r="A57" t="inlineStr">
        <is>
          <t>in-33ea043bb0d3aa8b</t>
        </is>
      </c>
      <c r="B57" t="inlineStr">
        <is>
          <t>Software Engineer Level 3</t>
        </is>
      </c>
      <c r="C57" t="inlineStr">
        <is>
          <t>Jovian Concepts</t>
        </is>
      </c>
      <c r="D57" t="inlineStr">
        <is>
          <t>indeed</t>
        </is>
      </c>
      <c r="E57">
        <f>HYPERLINK("https://www.indeed.com/viewjob?jk=33ea043bb0d3aa8b", "https://www.indeed.com/viewjob?jk=33ea043bb0d3aa8b")</f>
        <v/>
      </c>
      <c r="F57">
        <f>HYPERLINK("https://careers.jovianconcepts.com/recruit/PortalDetail.na?iframe=true&amp;digest=pMy53mQEF5JN2sDIHjnhTI3A3s2QTjlNpPNDH@8EfxU-&amp;jobid=297272000011248247&amp;widgetid=297272000000812086&amp;embedsource=CareerSite", "https://careers.jovianconcepts.com/recruit/PortalDetail.na?iframe=true&amp;digest=pMy53mQEF5JN2sDIHjnhTI3A3s2QTjlNpPNDH@8EfxU-&amp;jobid=297272000011248247&amp;widgetid=297272000000812086&amp;embedsource=CareerSite")</f>
        <v/>
      </c>
      <c r="G57" t="inlineStr">
        <is>
          <t>Annapolis Junction, MD, US</t>
        </is>
      </c>
      <c r="H57" s="2" t="n">
        <v>46044</v>
      </c>
      <c r="I57" t="inlineStr">
        <is>
          <t>### **Job Information**
Posting ID
GG\-SWE\-26\-003
Listing TTO/DO
GG\_004
Industry
Technology
Number of Positions
1
Clearance Required
Top Secret/SCI with Polygraph
City
Annapolis Junction
State/Province
Maryland
Zip/Postal Code
20701
### **Job Description**
The GG C\+\+ SWE is in an extremely customer facing role leading multi\-faceted mission critical system development, deployment and evolution. The successful candidate will analyze user requirements, develop new software, and enhance existing systems to meet the demands of modern satellite communication technologies. This role will involve working on complex algorithms and ensuring software quality through automated testing and debugging. The following are the primary functions of the position:
* **User Requirement Analysis:**  
Analyze user requirements to derive software designs for new applications or modifications to existing software, ensuring the addition of new features and capabilities aligns with project goals.
* **Software Development:**  
Write high\-quality, maintainable C\+\+ code for satellite communication applications, adhering to best practices and coding standards.
* **Debugging and Defect Correction:**  
Identify, debug, and correct defects in existing software, utilizing effective troubleshooting techniques to resolve issues efficiently.
* **Database and Data Repository Interfaces:**  
Design and implement database or data repository interfaces and queries to support the application’s data management needs.
* **Algorithm Design:**  
Design and implement complex algorithms that adhere to strict timing, system resource, and interface constraints, ensuring high performance and reliability.
* **Automated Testing Integration:**  
Integrate automated testing as part of the development lifecycle, implementing unit tests and other testing methodologies to ensure software quality.
* **Collaboration:**  
Work closely with cross\-functional teams, including system architects, QA engineers, and project managers, to ensure software meets user requirements and is delivered on schedule.
* **Documentation:**  
Maintain comprehensive documentation for software designs, processes, and interfaces to facilitate knowledge sharing and project continuity.
### **Requirements**
A current and active TS/SCI Clearance with a Polygraph required. No CCA's will be accepted at this time.
Twenty (20\) years experience as a SWE in programs and contracts of similar scope, type, and complexity is required.  
* 
* Bachelor’s degree in Computer Science or related discipline from an accredited college or university is required. Four (4\) years of additional SWE experience on projects with similar software processes may be substituted for a bachelor’s degree.
**Technical Skills**
* Proficiency in C\+\+ development, with a solid understanding of real\-time systems and performance optimization.
* Experience with RF signals analysis or satellite communications system design and theory, with the ability to implement these concepts into software.
* Familiarity with DevOps processes and tools, particularly in virtual (VMware) and containerized (Docker/Kubernetes) environments.
* Experience with message queue implementation and communication protocols.
**Soft Skills:**  
* Strong analytical and problem\-solving abilities.
* Excellent communication and collaboration skills.
* Adaptability and a commitment to continuous learning and improvement.
Jovian Concepts, Inc. is an Equal Opportunity Employer and does not discriminate on the basis of race, color, religion, sex, sexual preference, national origin, disability, status as a protected veteran, genetic information, or any other reason prohibited by law in employment.</t>
        </is>
      </c>
    </row>
    <row r="58">
      <c r="A58" t="inlineStr">
        <is>
          <t>in-71bab3fbcc98857f</t>
        </is>
      </c>
      <c r="B58" t="inlineStr">
        <is>
          <t>Software Engineer</t>
        </is>
      </c>
      <c r="C58" t="inlineStr">
        <is>
          <t>Toyota North America</t>
        </is>
      </c>
      <c r="D58" t="inlineStr">
        <is>
          <t>indeed</t>
        </is>
      </c>
      <c r="E58">
        <f>HYPERLINK("https://www.indeed.com/viewjob?jk=71bab3fbcc98857f", "https://www.indeed.com/viewjob?jk=71bab3fbcc98857f")</f>
        <v/>
      </c>
      <c r="F58">
        <f>HYPERLINK("https://careers.toyota.com/us/en/job/TOYOUS10277752EXTERNALENUS/Software-Engineer?utm_source=indeed&amp;utm_medium=phenom-feeds", "https://careers.toyota.com/us/en/job/TOYOUS10277752EXTERNALENUS/Software-Engineer?utm_source=indeed&amp;utm_medium=phenom-feeds")</f>
        <v/>
      </c>
      <c r="G58" t="inlineStr">
        <is>
          <t>Plano, TX, US</t>
        </is>
      </c>
      <c r="H58" s="2" t="n">
        <v>46044</v>
      </c>
      <c r="I58"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**This position is based in Plano, TX.**
**Who We’re Looking For**
The TFS Banking and Commercial Lending team is seeking highly motivated Software Engineers to join to support Internal Applications.
**What You’ll Be Doing**
As a Software Engineer supporting internal platforms, you will:
* Design and develop scalable backend services using Java, Spring Boot, and Python to support internal engineering workflows.
* Build intuitive, responsive front\-end interfaces using modern UI/UX frameworks (e.g., React, Angular) tailored for Engineering, Quality, and Product teams.
* Collaborate closely with internal stakeholders to understand user needs and translate them into efficient, user\-friendly applications.
* Implement robust APIs and microservices for seamless integration across internal tools and systems.
* Leverage cloud\-native technologies (e.g., AWS, Azure) to deploy, monitor, and maintain applications with high availability and performance.
* Apply modern software engineering practices, including CI/CD, automated testing, and agile methodologies.
* Continuously explore and adopt emerging technologies, including LLMs and AI\-assisted development tools, to enhance productivity and innovation.
**What You Bring**
* Bachelor degree in Computer Science or other related/equivalent experience.
* Strong programming experience in Java (Spring Boot) and/or Python.
* Proficiency in front\-end development using frameworks like React, Angular, or Vue.js.
* Experience designing and building RESTful APIs and microservices architectures.
* Familiarity with cloud platforms (AWS, Azure, or GCP) and containerization (Docker, Kubernetes).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Advantaged Accounts (Health Savings Account, Health Care FSA, Dependent Care FSA).
* Relocation assistance (if applicable).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59">
      <c r="A59" t="inlineStr">
        <is>
          <t>in-d91fea1da14033ed</t>
        </is>
      </c>
      <c r="B59" t="inlineStr">
        <is>
          <t>Senior Software Engineer</t>
        </is>
      </c>
      <c r="C59" t="inlineStr">
        <is>
          <t>FanDuel</t>
        </is>
      </c>
      <c r="D59" t="inlineStr">
        <is>
          <t>indeed</t>
        </is>
      </c>
      <c r="E59">
        <f>HYPERLINK("https://www.indeed.com/viewjob?jk=d91fea1da14033ed", "https://www.indeed.com/viewjob?jk=d91fea1da14033ed")</f>
        <v/>
      </c>
      <c r="F59">
        <f>HYPERLINK("https://www.fanduel.careers/jobs/fanduel/senior-software-engineer/", "https://www.fanduel.careers/jobs/fanduel/senior-software-engineer/")</f>
        <v/>
      </c>
      <c r="G59" t="inlineStr">
        <is>
          <t>Jersey City, NJ, US</t>
        </is>
      </c>
      <c r="H59" s="2" t="n">
        <v>46044</v>
      </c>
      <c r="I59" t="inlineStr">
        <is>
          <t>**THE POSITION**  
Our roster has an opening with your name on it
As a Senior Software Engineer within one of FanDuel’s Risk Management Automation teams, you will be an essential part of a cross functional agile team that directly impacts our business. You will work collaboratively with a team to implement creative, high\-quality solutions, scope effort and timelines, and balance priorities of our stakeholders and engineering needs. Your team will work closely together to deliver exceptionally high\-quality software, while taking pride and ownership in testing, deploying, monitoring, and maintaining that software. Our engineers own every part of the software delivery lifecycle.
You will work directly with risk managers at FanDuel to improve the major automated risk management platforms. You will be a domain expert on automated risk implementation and how that fits into the larger Risk and Trading landscape. You will go beyond the software developer role and will be called upon to identify opportunities yourself in the risk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SDE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pair program with our more junior engineers, and deliver constant improvements to our systems. We want you to be excited about constantly learning and driving your professional development. You should have most, or all, of the following skills:
* You have deep experience with C Sharp and backend systems.
* You have experience working directly with stakeholders/end users.
* You write simple and extendable code following standards and best practices.
*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You can train new team\-mates on how your team's software is constructed, how it operates, how secure it is, and how it fits into the bigger picture
* You foster a constructive dialogue and seek resolutions in a professional way
* You help recruit and interview for your team
* You estimate stories/tasks accurately and deliver them in time
* You mentor and help to develop others
* On\-call rotation where required. You provide excellent customer support
* You keep yourself up to date with market standards, open\-source frameworks
* Most importantly, you are humble, pragmatic, self\-managed, thirsty for knowledge, never satisfied and always challenging the norm. Responsible for the state of the code you both inherit and produce
* Creative problem\-solving ability
* A passion for learning and always getting better
**THE STATS**  
What we're looking for in our next teammate
* Degree in Computer Science, Data Science, Engineering.
* 5 or more years of industry experience in a Software Engineering field, Machine Learning, Data Science, Finance Engineering
* Proficient in building services with modern OOP languages, C\# is essential.
* A fundamental understanding of data structures and algorithms.
* Proficient in working with GitOps Patterns
* Experience working with CI/CD pipeline tooling (BuildKite and GitHub Actions knowledge is beneficial).
* Experience working with cloud\-based infrastructure and technologies.
* Knowledge of AWS with API gateway/workflow orchestration/lambda/serverless applications.
* Knowledge of infrastructure as code is nice to have, notably Terraform and Helm.
* Experience interacting and designing relational databases.
* Experience with streaming technologies (Kafka is nice to have).
* Ability to document code, research, and designs clearly (Jira and Confluence experience nice to have).
* Proficiency in translating requirements into design and developing applications.
* Understanding of containers (e.g. Docker), and orchestration (Kubernetes).
* Demonstrated abilities driving operational excellence and on call support.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$149,000 \- $195,300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60">
      <c r="A60" t="inlineStr">
        <is>
          <t>in-7c206f646d5272a7</t>
        </is>
      </c>
      <c r="B60" t="inlineStr">
        <is>
          <t>Software Engineer</t>
        </is>
      </c>
      <c r="C60" t="inlineStr">
        <is>
          <t>McKesson</t>
        </is>
      </c>
      <c r="D60" t="inlineStr">
        <is>
          <t>indeed</t>
        </is>
      </c>
      <c r="E60">
        <f>HYPERLINK("https://www.indeed.com/viewjob?jk=7c206f646d5272a7", "https://www.indeed.com/viewjob?jk=7c206f646d5272a7")</f>
        <v/>
      </c>
      <c r="F60">
        <f>HYPERLINK("https://careers.mckesson.com/en/job/-/-/733/90952131264", "https://careers.mckesson.com/en/job/-/-/733/90952131264")</f>
        <v/>
      </c>
      <c r="G60" t="inlineStr">
        <is>
          <t>Atlanta, GA, US</t>
        </is>
      </c>
      <c r="H60" s="2" t="n">
        <v>46044</v>
      </c>
      <c r="I6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***Macro Helix*** is the premier provider of 340B program management technology for hospital health system covered entities and retail contract pharmacy networks.
As a Software Engineer you will work on product development using mostly C\#, Angular, etc. You will play an active role in prototyping concepts in partnership with other senior engineers within the team and across the business. You will tackle challenging, novel situations every day and will have an opportunity to work with different teams across the organization. As a part of this growing team, you will get to work on variety of technologies like Azure cloud, Databricks, Snowflake etc. with high visibility in the organization. Along the way, we guarantee that you’ll learn a ton, have fun, grow and make positive impact on many people.
**Key** **Responsibilities**
* This is a hands\-on development role with experience in developing enterprise level applications.
* Conceptualize and demonstrate solutions through documentation, flowcharts, layouts, diagrams, charts.
* Develop cutting edge\-solutions to maximize performance, scalability, and distributed processing capabilities.
* Work with a team of highly motivated and talented people with diverse perspectives.
* Participate in the software development life cycle that takes project from inception to completion through connecting client's needs with applicable state\-of\-the\-art technology solutions.
* Work closely with QA team throughout the development cycle and support performance tuning and testing activity.
* Work with Product Team in translating business requirements into technical specifications, establish and refine details and requirements of applications, components, enhancements, and defects.
* Ability to Debug/ troubleshoot the issues and identify the root cause.
* Analyze and investigate application engineering tasks and prepare design specifications, analysis, and recommendations.
* Ensure that system improvements are secure and well tested and successfully implemented, documented, and monitored to increase efficiency.
* Develop enterprise\-scale Object\-Oriented Programming (OOP) software utilizing SaaS design principles
* Modernize legacy products to use the latest cloud technologies.
* Build and deploy secure solutions utilizing quality standards and software development life cycle processes which include requirement gathering, high level and detailed design, coding, testing and support.
* Actively participate in Agile Ceremonies.
**Minimum Requirement**
Degree or equivalent and typically requires 4\+ years of relevant experience.
**Education**
4\-year degree in computer science or related field or equivalent experience
**Critical Skills**
* 4\+ years of experience in software development in a team environment
* 4\+ years of experience with C\# /.Net core back\-end development
* 4\+ years of experience with SQL server 2012 and higher
* 4\+ years of experience with frontend development
* 2\+ years of experience working with Angular, .NET, Bootstrap, CSS, JSON, JavaScript, HTML.
* 2\+ years of experience in building Restful APIs.
**Preferred Skills**
* 1\+ years of experience working with Microsoft Azure (preferred), Google Cloud Platform, or AWS (IaaS, PaaS, and Services)
* 1\+ year experience with Databricks and Unity Catalog.
* Demonstrated experience in building microservices utilizing Restful APIs.
* Demonstrated experience in enabling code to align with a CI/CD process (JIRA, Jenkins, Git)
**Additional Skills**
* Experience in developing and implementing applications on a cloud platform preferably using Azure.
* Familiarity with containerization using Docker for app development.
* Agile Methodology
* Front end frameworks such as Angular
* JIRA
* Excellent written and verbal communication skills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$100,100 \- $166,900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61">
      <c r="A61" t="inlineStr">
        <is>
          <t>in-b5b04fe83544bc66</t>
        </is>
      </c>
      <c r="B61" t="inlineStr">
        <is>
          <t>Senior Software Engineer</t>
        </is>
      </c>
      <c r="C61" t="inlineStr">
        <is>
          <t>FanDuel</t>
        </is>
      </c>
      <c r="D61" t="inlineStr">
        <is>
          <t>indeed</t>
        </is>
      </c>
      <c r="E61">
        <f>HYPERLINK("https://www.indeed.com/viewjob?jk=b5b04fe83544bc66", "https://www.indeed.com/viewjob?jk=b5b04fe83544bc66")</f>
        <v/>
      </c>
      <c r="F61">
        <f>HYPERLINK("https://www.fanduel.careers/jobs/fanduel/senior-software-engineer-5/", "https://www.fanduel.careers/jobs/fanduel/senior-software-engineer-5/")</f>
        <v/>
      </c>
      <c r="G61" t="inlineStr">
        <is>
          <t>New York, NY, US</t>
        </is>
      </c>
      <c r="H61" s="2" t="n">
        <v>46044</v>
      </c>
      <c r="I61" t="inlineStr">
        <is>
          <t>**THE POSITION**  
Our roster has an opening with your name on it
As a Senior Software Engineer within one of FanDuel’s Risk Management Automation teams, you will be an essential part of a cross functional agile team that directly impacts our business. You will work collaboratively with a team to implement creative, high\-quality solutions, scope effort and timelines, and balance priorities of our stakeholders and engineering needs. Your team will work closely together to deliver exceptionally high\-quality software, while taking pride and ownership in testing, deploying, monitoring, and maintaining that software. Our engineers own every part of the software delivery lifecycle.
You will work directly with risk managers at FanDuel to improve the major automated risk management platforms. You will be a domain expert on automated risk implementation and how that fits into the larger Risk and Trading landscape. You will go beyond the software developer role and will be called upon to identify opportunities yourself in the risk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SDE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pair program with our more junior engineers, and deliver constant improvements to our systems. We want you to be excited about constantly learning and driving your professional development. You should have most, or all, of the following skills:
* You have deep experience with C Sharp and backend systems.
* You have experience working directly with stakeholders/end users.
* You write simple and extendable code following standards and best practices.
*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You can train new team\-mates on how your team's software is constructed, how it operates, how secure it is, and how it fits into the bigger picture
* You foster a constructive dialogue and seek resolutions in a professional way
* You help recruit and interview for your team
* You estimate stories/tasks accurately and deliver them in time
* You mentor and help to develop others
* On\-call rotation where required. You provide excellent customer support
* You keep yourself up to date with market standards, open\-source frameworks
* Most importantly, you are humble, pragmatic, self\-managed, thirsty for knowledge, never satisfied and always challenging the norm. Responsible for the state of the code you both inherit and produce
* Creative problem\-solving ability
* A passion for learning and always getting better
**THE STATS**  
What we're looking for in our next teammate
* Degree in Computer Science, Data Science, Engineering.
* 5 or more years of industry experience in a Software Engineering field, Machine Learning, Data Science, Finance Engineering
* Proficient in building services with modern OOP languages, C\# is essential.
* A fundamental understanding of data structures and algorithms.
* Proficient in working with GitOps Patterns
* Experience working with CI/CD pipeline tooling (BuildKite and GitHub Actions knowledge is beneficial).
* Experience working with cloud\-based infrastructure and technologies.
* Knowledge of AWS with API gateway/workflow orchestration/lambda/serverless applications.
* Knowledge of infrastructure as code is nice to have, notably Terraform and Helm.
* Experience interacting and designing relational databases.
* Experience with streaming technologies (Kafka is nice to have).
* Ability to document code, research, and designs clearly (Jira and Confluence experience nice to have).
* Proficiency in translating requirements into design and developing applications.
* Understanding of containers (e.g. Docker), and orchestration (Kubernetes).
* Demonstrated abilities driving operational excellence and on call support.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$149,000 \- $195,300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62">
      <c r="A62" t="inlineStr">
        <is>
          <t>in-72a4d83a31cedb41</t>
        </is>
      </c>
      <c r="B62" t="inlineStr">
        <is>
          <t>Senior Software Engineer</t>
        </is>
      </c>
      <c r="C62" t="inlineStr">
        <is>
          <t>FanDuel</t>
        </is>
      </c>
      <c r="D62" t="inlineStr">
        <is>
          <t>indeed</t>
        </is>
      </c>
      <c r="E62">
        <f>HYPERLINK("https://www.indeed.com/viewjob?jk=72a4d83a31cedb41", "https://www.indeed.com/viewjob?jk=72a4d83a31cedb41")</f>
        <v/>
      </c>
      <c r="F62">
        <f>HYPERLINK("https://www.fanduel.careers/jobs/fanduel/senior-software-engineer-4/", "https://www.fanduel.careers/jobs/fanduel/senior-software-engineer-4/")</f>
        <v/>
      </c>
      <c r="G62" t="inlineStr">
        <is>
          <t>Atlanta, GA, US</t>
        </is>
      </c>
      <c r="H62" s="2" t="n">
        <v>46044</v>
      </c>
      <c r="I62" t="inlineStr">
        <is>
          <t>**THE POSITION**  
Our roster has an opening with your name on it
As a Senior Software Engineer within one of FanDuel’s Risk Management Automation teams, you will be an essential part of a cross functional agile team that directly impacts our business. You will work collaboratively with a team to implement creative, high\-quality solutions, scope effort and timelines, and balance priorities of our stakeholders and engineering needs. Your team will work closely together to deliver exceptionally high\-quality software, while taking pride and ownership in testing, deploying, monitoring, and maintaining that software. Our engineers own every part of the software delivery lifecycle.
You will work directly with risk managers at FanDuel to improve the major automated risk management platforms. You will be a domain expert on automated risk implementation and how that fits into the larger Risk and Trading landscape. You will go beyond the software developer role and will be called upon to identify opportunities yourself in the risk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SDE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pair program with our more junior engineers, and deliver constant improvements to our systems. We want you to be excited about constantly learning and driving your professional development. You should have most, or all, of the following skills:
* You have deep experience with C Sharp and backend systems.
* You have experience working directly with stakeholders/end users.
* You write simple and extendable code following standards and best practices.
*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You can train new team\-mates on how your team's software is constructed, how it operates, how secure it is, and how it fits into the bigger picture
* You foster a constructive dialogue and seek resolutions in a professional way
* You help recruit and interview for your team
* You estimate stories/tasks accurately and deliver them in time
* You mentor and help to develop others
* On\-call rotation where required. You provide excellent customer support
* You keep yourself up to date with market standards, open\-source frameworks
* Most importantly, you are humble, pragmatic, self\-managed, thirsty for knowledge, never satisfied and always challenging the norm. Responsible for the state of the code you both inherit and produce
* Creative problem\-solving ability
* A passion for learning and always getting better
**THE STATS**  
What we're looking for in our next teammate
* Degree in Computer Science, Data Science, Engineering.
* 5 or more years of industry experience in a Software Engineering field, Machine Learning, Data Science, Finance Engineering
* Proficient in building services with modern OOP languages, C\# is essential.
* A fundamental understanding of data structures and algorithms.
* Proficient in working with GitOps Patterns
* Experience working with CI/CD pipeline tooling (BuildKite and GitHub Actions knowledge is beneficial).
* Experience working with cloud\-based infrastructure and technologies.
* Knowledge of AWS with API gateway/workflow orchestration/lambda/serverless applications.
* Knowledge of infrastructure as code is nice to have, notably Terraform and Helm.
* Experience interacting and designing relational databases.
* Experience with streaming technologies (Kafka is nice to have).
* Ability to document code, research, and designs clearly (Jira and Confluence experience nice to have).
* Proficiency in translating requirements into design and developing applications.
* Understanding of containers (e.g. Docker), and orchestration (Kubernetes).
* Demonstrated abilities driving operational excellence and on call support.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$149,000 \- $195,300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63">
      <c r="A63" t="inlineStr">
        <is>
          <t>in-2889e6b3b13ca300</t>
        </is>
      </c>
      <c r="B63" t="inlineStr">
        <is>
          <t>Software Engineer</t>
        </is>
      </c>
      <c r="C63" t="inlineStr">
        <is>
          <t>GeoLogics Corporation</t>
        </is>
      </c>
      <c r="D63" t="inlineStr">
        <is>
          <t>indeed</t>
        </is>
      </c>
      <c r="E63">
        <f>HYPERLINK("https://www.indeed.com/viewjob?jk=2889e6b3b13ca300", "https://www.indeed.com/viewjob?jk=2889e6b3b13ca300")</f>
        <v/>
      </c>
      <c r="F63">
        <f>HYPERLINK("https://search10.smartsearchonline.com/geologics/jobs/jobdetails.asp?da=&amp;refid=245_15902_14999325&amp;job_number=15902&amp;sourcename=Indeed", "https://search10.smartsearchonline.com/geologics/jobs/jobdetails.asp?da=&amp;refid=245_15902_14999325&amp;job_number=15902&amp;sourcename=Indeed")</f>
        <v/>
      </c>
      <c r="G63" t="inlineStr">
        <is>
          <t>Tucson, AZ, US</t>
        </is>
      </c>
      <c r="H63" s="2" t="n">
        <v>46044</v>
      </c>
      <c r="I63" t="inlineStr">
        <is>
          <t>**TITLE: Software Engineer****Required: Active Secret Clearance****RATE RANGE: $70\.00/hr \- $100\.00/hr W2****\*\*depends on experience and benefits chosen\*\*****DURATION: 12\-month contract or contract to hire****ONSITE LOCATION:** **Tucson, AZ** ***\*\*\*No C2C, we can NOT work with outside agencies/vendors, and we can NOT do 1099\-US******ACTIVE SECRET CLEARANCE IS REQUIRED\*\*\****  
We're seeking a highly skilled and motivated Software Engineer with an active Secret clearance in Tucson, AZ.  
This position is focused on the design, development, integration, and maintenance of software as a part of on\-site factory support of systems to support weapon system product development. The selected candidate will develop applications, libraries, and instrument drivers using the software style, development language, and integrated development environment specified by the organization.**REQUIREMENTS**
* **Active Secret Clearance**
* Typically requires a Bachelor's Degree in Science, Technology, Engineering, or Mathematics (STEM) and a minimum of 8 years of prior relevant experience, or an Advanced degree in a related field and a minimum of 5 years of experience.
* Experience in developing and integrating software applications using programming languages, including but not limited to C\+\+, C\#, Java, Python or Visual Basic.
* Experience in utilizing integrated development environments and debugging tools to troubleshoot software implementation and ensure the integrity of the software products.
* Prior experience in Windows Operating System and Microsoft Visual Studio is required.
* Prior experience in laboratory test instrumentation, electronics, and software (Ex. oscilloscopes, power supplies, digital multimeters)
 **PREFERRED*** Experience with computer architecture and computer hardware optimization techniques
* Experience of the development of software drivers for the operation of computer hardware interfaces
* Experience in common computer hardware interface and data protocols such as TCP/IP, UDP, or RS\-422
* Experience with Unified Modeling Language (UML) to visualize software architecture and design
* Experience in software development lifecycles, such as Waterfall and Agile
* Experience with Software Configuration Management principles
* Experience with Microsoft Azure DevOps Server or GitHub
* Written and interpersonal communication skills
* Experience in leading teams/projects in a technical capacity
 **RESPONSIBILITIES*** Design, develop and integrate object\-oriented software applications using C\#, C\+\+ in Microsoft Visual Studio in a Windows Operating System (OS)
* Prioritize and handle multiple software engineering tasks concurrently
* Troubleshoot software and test equipment instrumentation
* Work in a multidiscipline engineering team environment
* Develop and derive requirements for software products
* Lead and mentor junior software engineers
* Work in the development of both engineering and production equipment, environments, and systems.
* Contribute to the completion of all stages of product development for RMD weapon system products.
* Work either as a part of a team or independently, to design, develop, and implement system level applications in support of producing and maintaining weapon system products.
Please respond to Meredith Baldwin with your interest level, recent copy of your resume and your availability for a call to **Mbaldwin@geologics.com***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**Meredith Baldwin**
Recruiter
(703\) 891\-6115
Mbaldwin@geologics.com
\#CJ</t>
        </is>
      </c>
    </row>
    <row r="64">
      <c r="A64" t="inlineStr">
        <is>
          <t>in-476aba9546c92832</t>
        </is>
      </c>
      <c r="B64" t="inlineStr">
        <is>
          <t>Software Engineer</t>
        </is>
      </c>
      <c r="C64" t="inlineStr">
        <is>
          <t>GeoLogics Corporation</t>
        </is>
      </c>
      <c r="D64" t="inlineStr">
        <is>
          <t>indeed</t>
        </is>
      </c>
      <c r="E64">
        <f>HYPERLINK("https://www.indeed.com/viewjob?jk=476aba9546c92832", "https://www.indeed.com/viewjob?jk=476aba9546c92832")</f>
        <v/>
      </c>
      <c r="F64">
        <f>HYPERLINK("https://search10.smartsearchonline.com/geologics/jobs/jobdetails.asp?da=&amp;refid=245_15901_14999321&amp;job_number=15901&amp;sourcename=Indeed", "https://search10.smartsearchonline.com/geologics/jobs/jobdetails.asp?da=&amp;refid=245_15901_14999321&amp;job_number=15901&amp;sourcename=Indeed")</f>
        <v/>
      </c>
      <c r="G64" t="inlineStr">
        <is>
          <t>Tucson, AZ, US</t>
        </is>
      </c>
      <c r="H64" s="2" t="n">
        <v>46044</v>
      </c>
      <c r="I64" t="inlineStr">
        <is>
          <t>**TITLE: Software Engineer****Required: Active Secret Clearance****RATE RANGE: $65\.00/hr \- $92\.00/hr W2****\*\*depends on experience and benefits chosen\*\*****DURATION: 12\-month contract or contract to hire****ONSITE LOCATION: Tucson, AZ** ***\*\*\*No C2C, we can NOT work with outside agencies/vendors, and we can NOT do 1099\-******ACTIVE SECRET CLEARANCE IS REQUIRED\*\*\****  
We're seeking a highly skilled and motivated Software Engineers with an active Secret clearance in Tucson, AZ.
This position is focused on the design, development, integration, and maintenance of software as a part of on\-site factory support of systems to support weapon system product development. The selected candidate will develop applications, libraries, and instrument drivers using the software style, development language, and integrated development environment specified by the organization.**REQUIREMENTS**
* **Active Secret Clearance**
* STEM degree with min 5 yrs industry experience or 3 years plus advanced degree
* Experience Designing, developing and integrating object\-oriented software applications using C\#, C\+\+ in Microsoft Visual Studio in a Windows Operating System (OS)
* Troubleshooting software and test equipment instrumentation
* Developing and deriving requirements for software products
* Developing computer architecture and computer hardware optimization techniques
* Developing software drivers for the operation of computer hardware interfaces
* Working with common computer hardware interfaces and data protocols such as TCP/IP, UDP, or RS\-422 Utilize Unified Modeling Language (UML) to visualize software architecture and design
* Working within software development lifecycles, such as Waterfall and Agile Practice sound Software Configuration Management principles using Microsoft Azure DevOps Server or GitHub
 **RESPONSIBILITIES**
* Contribute to multidiscipline engineering teams.
* Responsible for the development of both engineering and production equipment, environments, and systems. As such, contribute to the completion of all stages of product development for RMD weapon system products.
* Work, either as a part of a team or independently, to design, develop, and implement system level applications in support of producing and maintaining weapon system products.
* Prioritize and handle multiple software engineering tasks concurrently
* Work in a multidiscipline engineering team environment
* Lead and mentor junior software engineers
Please respond to Meredith Baldwin with your interest level, recent copy of your resume and your availability for a call to **Mbaldwin@geologics.com***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**Meredith Baldwin**
Recruiter
(703\) 891\-6115
Mbaldwin@geologics.com
\#CJ</t>
        </is>
      </c>
    </row>
    <row r="65">
      <c r="A65" t="inlineStr">
        <is>
          <t>in-92f1cb48e04ba335</t>
        </is>
      </c>
      <c r="B65" t="inlineStr">
        <is>
          <t>Software Engineer</t>
        </is>
      </c>
      <c r="C65" t="inlineStr">
        <is>
          <t>GeoLogics Corporation</t>
        </is>
      </c>
      <c r="D65" t="inlineStr">
        <is>
          <t>indeed</t>
        </is>
      </c>
      <c r="E65">
        <f>HYPERLINK("https://www.indeed.com/viewjob?jk=92f1cb48e04ba335", "https://www.indeed.com/viewjob?jk=92f1cb48e04ba335")</f>
        <v/>
      </c>
      <c r="F65">
        <f>HYPERLINK("https://search10.smartsearchonline.com/geologics/jobs/jobdetails.asp?da=&amp;refid=245_15903_14999329&amp;job_number=15903&amp;sourcename=Indeed", "https://search10.smartsearchonline.com/geologics/jobs/jobdetails.asp?da=&amp;refid=245_15903_14999329&amp;job_number=15903&amp;sourcename=Indeed")</f>
        <v/>
      </c>
      <c r="G65" t="inlineStr">
        <is>
          <t>Tucson, AZ, US</t>
        </is>
      </c>
      <c r="H65" s="2" t="n">
        <v>46044</v>
      </c>
      <c r="I65" t="inlineStr">
        <is>
          <t>**TITLE: Software Engineer****Required: Active Secret Clearance****RATE RANGE: $45\.00/hr \- $67\.40/hr W2 contract only****\*\*depends on experience and benefits chosen\*\*****DURATION: 12\-month contract or contract to hire****ONSITE LOCATION: Tucson, AZ** ***\*\*\*No C2C, we can NOT work with outside agencies/vendors, and we can NOT do 1099\-******ACTIVE SECRET CLEARANCE IS REQUIRED\*\*\****  
We're seeking a highly skilled and motivated **Software Engineer** with an **active Secret clearance** in **Tucson, AZ.**  
This position is focused on the design, development, integration, and maintenance of software as a part of on\-site factory support of systems to support weapon system product development. The selected candidate will develop applications, libraries, and instrument drivers using the software style, development language, and integrated development environment specified by the organization. **REQUIREMENTS*** **Active Secret Clearance**
* Typically requires a Bachelor's Degree in Science, Technology, Engineering, or Mathematics (STEM) and minimum 2 years prior relevant experience, or an Advanced degree in a related field.
* Experience in developing and integrating software applications using programming languages including but not limited to C\+\+, C\#, Java, Python or Visual Basic.
* Experience in utilizing integrated development environments and debugging tools to troubleshoot software implementation and ensure integrity of the software products.
* Experience with Windows Operating System and Microsoft Visual Studio is required
 **PREFERRED*** Knowledge of computer architecture and computer hardware optimization techniques
* Knowledge of the development of software drivers for the operation of computer hardware interfaces
* Knowledge in common computer hardware interface and data protocols such as TCP/IP or UDP
* Knowledge of Unified Modeling Language (UML) to visualize software architecture and design
* Knowledge of software development lifecycles, such as Waterfall and Agile
* Knowledge of Software Configuration Management principles
* Good written and interpersonal communication skills
 **RESPONSIBILITIES*** Design, develop and integrate object\-oriented software applications using C\#, C\+\+ in Microsoft Visual Studio in a Windows Operating System (OS)
* Prioritize and handle multiple software engineering tasks concurrently
* Troubleshoot software and test equipment instrumentation
* Work in a multidiscipline engineering team environment
* Develop and derive requirements for software products
* Contribute to multidiscipline engineering teams.
* Work om the development of both engineering and production equipment, environments, and systems.
* Contribute to the completion of all stages of product development for RMD weapon system products.
* Work either as a part of a team or independently, to design, develop, and implement system level applications in support of producing and maintaining weapon system products
Please respond to Meredith Baldwin with your interest level, recent copy of your resume and your availability for a call to **Mbaldwin@geologics.com***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**Meredith Baldwin**
Recruiter
(703\) 891\-6115
Mbaldwin@geologics.com
\#CJ</t>
        </is>
      </c>
    </row>
    <row r="66">
      <c r="A66" t="inlineStr">
        <is>
          <t>in-0cf939df2086ec8f</t>
        </is>
      </c>
      <c r="B66" t="inlineStr">
        <is>
          <t>Software Developer - Full Stack</t>
        </is>
      </c>
      <c r="C66" t="inlineStr">
        <is>
          <t>NCCI</t>
        </is>
      </c>
      <c r="D66" t="inlineStr">
        <is>
          <t>indeed</t>
        </is>
      </c>
      <c r="E66">
        <f>HYPERLINK("https://www.indeed.com/viewjob?jk=0cf939df2086ec8f", "https://www.indeed.com/viewjob?jk=0cf939df2086ec8f")</f>
        <v/>
      </c>
      <c r="F66">
        <f>HYPERLINK("https://jobs.dayforcehcm.com/en-US/nccihcm/CANDIDATEPORTAL/jobs/4016", "https://jobs.dayforcehcm.com/en-US/nccihcm/CANDIDATEPORTAL/jobs/4016")</f>
        <v/>
      </c>
      <c r="G66" t="inlineStr">
        <is>
          <t>Boca Raton, FL, US</t>
        </is>
      </c>
      <c r="H66" s="2" t="n">
        <v>46044</v>
      </c>
      <c r="I66" t="inlineStr">
        <is>
          <t>**WHO WE ARE:**  
Since 1923, NCCI has been committed to fostering a healthy workers compensation system. We are the nation’s trusted source for accurate, objective workers compensation information. At NCCI, we recognize that our employees are the reason our legacy endures today. We’re motivated by the opportunity to do challenging and interesting work, and our Total Rewards package attracts top talent. Our employees care about each other, and the communities in which they live and work. Our values of integrity, respect, quality and excellence, responsibility, and commitment guide our success.
**WHAT WE BELIEVE:**  
We come from diverse backgrounds, so our commitment to inclusion is what brings us together to work as one.
* We respect each other and value our differences.
* We can be authentic and feel like we belong.
* We promote equity in our organization and our community.
**TEAM:** INFORMATION TECHNOLOGY
**PAY TYPE:** SALARY
**JOB OVERVIEW:**  
At NCCI, we’re seeking a dynamic and driven Software Developer to join our team. As a forward\-thinking and highly motivated individual, you'll have the opportunity to leverage your expertise in domain best practices and technology platforms to make a direct and meaningful impact on our projects and team.
If you have an innovative spark, a passion for technology, the highest level of integrity, strong initiative and drive, and the ability to work both independently and collaboratively in an agile team environment, apply today!
**Listen to what our Developers say about working at NCCI:** VIEW HERE
**WORK LOCATION:**  
This position will work in a flexible\-hybrid environment. The selected candidate must live locally within a commutable distance to our Boca Raton, FL headquarters.
**NOTE:** NCCI will not sponsor applicants for work visas.
**WHAT YOU’LL DO:**  
As a Software Developer, you’ll have the opportunity to create excellent software that solves real business problems, improving the lives of millions of injured workers while benefitting the businesses that employ them. In addition, you’ll:
* Collaborate with product owners and IT partners as part of an Agile team to deliver value early and often, and to continuously improve
* Work in an innovative environment, with an adoption of new technology and continuous learning as strategies for delivering high\-quality, high\-impact software
* Develop across the technology stack, moving between front\-end, middle\-tier, and back\-end
* Have full engagement in the entire product development and delivery pipeline
* Take ownership from ideation, through development and testing, to production deployment, operation, and support
* Participate in design reviews, code reviews, and Scrum meetings with cross\-functional teams
* Foster and develop your capabilities, as well as those of your team, through mentoring, coaching and pair programming
**WHAT IT TAKES:**  
* 3\+ years relevant experience in software development/engineering
* High School Diploma or GED required
* Demonstrated experience in both front\-end and back\-end/service layer development, testing, and quality assurance methodologies
* Strong command of a statically typed language (Golang, C\#, Java)
* Thorough knowledge of web technologies and standards (JavaScript, CSS, HTML5, JSON, HTTP, Restful APIs/Web Services, node.js)
* Ability to leverage open\-source frameworks and libraries, such as React, Material\-UI, automated testing frameworks (Jest, React Testing Library, etc.)
* Experience with relational (ORACLE, SQL Server) and/or NoSQL database engines (MongoDB)
* Comfort in both Linux and Windows environments
* Experience with source control (Git), CI/CD/DevSecOps practices and technologies (GitLab), and container\-based/orchestration tools (Docker, Kubernetes)
* Inclination to automate all varieties of testing (unit, integration, end\-to\-end) and exposure to TDD and BDD testing frameworks
* Ability to work on Agile Scrum projects, possess an agile mindset, prioritize product backlog items, and provide development metrics
* Adaptability to troubleshoot, problem solve, be proactive, and be willing to take ownership
* Fluency in software design and enterprise integration patterns, object\-oriented and functional programming paradigms
* Ability to convey information and interact with both IT and business partners, communicate clearly and concisely in written and verbal communication, actively listen to others, and collaborate effectively within a team
* Passion for sharing, contributing, and exchanging ideas and innovative technologies with like\-minded community development members
**WHAT YOU’LL RECEIVE:**  
* Work for the leader in workers compensation information providing data, insights, and tools for almost 1,000 insurance companies
* Competitive starting base pay plus a targeted annual performance bonus
* Phenomenal work environment, with perks including an onsite café, coffee shop, game room, fitness center, and employee activities and sports leagues to participate in
* Wonderful team of dynamic people to work with who are fun, caring, and friendly
* Positive work environment and culture that celebrates success and honors each other’s contributions to the team
* Fantastic benefits package and total rewards offerings
**WHO TO CONTACT:**  
Zach Wierzba
Sr Talent Acquisition Specialist
zach\_wierzba@ncci.com
**EQUAL EMPLOYMENT OPPORTUNITY:**  
NCCI Holdings, Inc. is an Equal Opportunity Employer. It is our policy to provide equal opportunities to our employees (for example, in hiring, promotions, training) and to all job applicants, and to maintain a work environment free of discrimination on the basis of race, creed, color, national origin, marital and veteran status, gender, age, status as a qualified individual with a disability, religion, sexual orientation and gender identity or expression, genetic information, or any other basis prohibited by law. This policy applies to all employees and job applicants for employment.
We require a drug screen and background check. Smoke Free environment.</t>
        </is>
      </c>
    </row>
    <row r="67">
      <c r="A67" t="inlineStr">
        <is>
          <t>in-d6170d65c8dc515a</t>
        </is>
      </c>
      <c r="B67" t="inlineStr">
        <is>
          <t>Software Engineer</t>
        </is>
      </c>
      <c r="C67" t="inlineStr">
        <is>
          <t>Johnson &amp; Johnson</t>
        </is>
      </c>
      <c r="D67" t="inlineStr">
        <is>
          <t>indeed</t>
        </is>
      </c>
      <c r="E67">
        <f>HYPERLINK("https://www.indeed.com/viewjob?jk=d6170d65c8dc515a", "https://www.indeed.com/viewjob?jk=d6170d65c8dc515a")</f>
        <v/>
      </c>
      <c r="F67">
        <f>HYPERLINK("https://www.careers.jnj.com/en/jobs/r-053430/software-engineer/", "https://www.careers.jnj.com/en/jobs/r-053430/software-engineer/")</f>
        <v/>
      </c>
      <c r="G67" t="inlineStr">
        <is>
          <t>Santa Clara, CA, US</t>
        </is>
      </c>
      <c r="H67" s="2" t="n">
        <v>46044</v>
      </c>
      <c r="I67"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R\&amp;D Product Development**Job Sub Function:**
R\&amp;D Software/Systems Engineering**Job Category:**
Scientific/Technology**All Job Posting Locations:**
Santa Clara, California, United States of America**Job Description:**
Johnson \&amp; Johnson, Robotics and Digital Solutions (RAD) group is recruiting for a **Software Engineer** **\- Infrastructure**, located in **Santa Clara, CA**.
At Johnson \&amp; Johnson Robotics and Digital Solutions, we’re changing the trajectory of health for humanity, using robotics to enhance healthcare providers’ abilities and improve patients’ diagnoses, treatments, and recovery times. Johnson \&amp; Johnson Robotics was established in 2020 with the integration of Auris Health, Verb Surgical, C\-SATS, and Ethicon. It comprises three key med\-tech platforms: Flexible Robotics (MONARCH®), Surgical Robotics (OTTAVA™), and Digital Solutions. Join our collaborative, rapidly growing teams in the San Francisco Bay Area (Redwood City and Santa Clara), Cincinnati, and Seattle. You’ll collaborate on breakthrough medical technologies that unite multiple subject areas to build a connected digital ecosystem that advances medical professionals’ skills and improves patient outcomes.
Johnson \&amp; Johnson MedTech is developing a robotic surgical platform that will set a new standard for the modern OR and transform the surgical experience. OTTAVA is designed as a multi\-specialty soft\-tissue surgery robot, activating the benefits of AI/ML, connecting health data inside the operating room and out.
As a Software Engineer you will be working on the Software Infrastructure team, helping to develop the infrastructure software that controls a real\-time robotics system. These are the applications that empower the clinical staff to safely and effectively interact with the medical robotic system. You will be interacting closely with Clinical and System Engineering to test and develop clinical and user requirements. We are looking for a highly motivated candidate who is interested in revolutionizing the world of medical robotics. We are looking for a Software Engineer with a focus on C\+\+ and Linux to join our team to work on our distributed software system. The Software Infrastructure team focuses on system management software to handle POST, case tracking, internal host/application monitoring, and power management, as well as software infrastructure topics to handle fault/notifications, application communication, logging, and system configuration.
**Core Job Responsibilities:**
* Work with software and other engineers (clinical, systems, mechanical, electrical) as part of a focused cross\-functional team developing software for medical robotic applications.
* Participate in design discussions and code reviews.
* Work with engineering teams to support their business requirements.
* Build Application software for a complex distributed connected medical device.
**Qualifications**
**Required Knowledge/Skills, Education, And Experience:**
* Minimum B.S (Computer Science, Software Engineering, or equivalent) and 2\+ years' experience in C\+\+ development and Object\-Oriented development.
* Experience working with Hardware and product bring up.
* Knowledge and experience with Linux.
**Preferred Knowledge/Skills, Education, And Experience:**
* Advanced degree in Computer Science, Clinical, Systems, Mechanical, Electrical or related degree.
* Experience with Networking in a distributed system.
* Experience with Python, CMake, Bash.
* Experience working in medical devices.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This position is eligible to participate in the Company’s long\-term incentive program.
Employees are eligible for the following time off benefits:
* Vacation – up to 120 hours per calendar year
* Sick time \- up to 40 hours per calendar year
* Holiday pay, including Floating Holidays – up to 13 days per calendar year
* Work, Personal and Family Time \- up to 40 hours per calendar year
For additional general information on Company benefits, please go to: https://www.careers.jnj.com/employee\-benefits
This job posting is anticipated to close on 02/06/26\. The Company may however extend this time\-period, in which case the posting will remain available on https://www.careers.jnj.com to accept additional applications.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**Required Skills:**
Hardware Integration, Linux, Object\-Oriented Development**Preferred Skills:**
Analytical Reasoning, Bash Scripting, CMake, Coaching, Distributed Systems, Medical Devices, Model\-Based Systems Engineering (MBSE), Process Oriented, Product Design, Python (Programming Language), Requirements Analysis, Research and Development, SAP Product Lifecycle Management, Scripting Languages, Software Development Life Cycle (SDLC), Software Development Management, Software Engineering Practices, Software Testing, Systems Development Lifecycle (SDLC), Technical Credibility, Technologically Savvy**The anticipated base pay range for this position is :**
The anticipated base pay range for this position is $103,000\.00 to $170,200\.00
Additional Description for Pay Transparency:</t>
        </is>
      </c>
    </row>
    <row r="68">
      <c r="A68" t="inlineStr">
        <is>
          <t>in-3927af6affac8b30</t>
        </is>
      </c>
      <c r="B68" t="inlineStr">
        <is>
          <t>Lead Full Stack Engineer</t>
        </is>
      </c>
      <c r="C68" t="inlineStr">
        <is>
          <t>CGI</t>
        </is>
      </c>
      <c r="D68" t="inlineStr">
        <is>
          <t>indeed</t>
        </is>
      </c>
      <c r="E68">
        <f>HYPERLINK("https://www.indeed.com/viewjob?jk=3927af6affac8b30", "https://www.indeed.com/viewjob?jk=3927af6affac8b30")</f>
        <v/>
      </c>
      <c r="F68">
        <f>HYPERLINK("https://click.appcast.io/t/YsF1dhZs3uA44bS_DUWmR4Az1Cr4140H-86Tg5rXIoo=", "https://click.appcast.io/t/YsF1dhZs3uA44bS_DUWmR4Az1Cr4140H-86Tg5rXIoo=")</f>
        <v/>
      </c>
      <c r="G68" t="inlineStr">
        <is>
          <t>Westlake, TX, US</t>
        </is>
      </c>
      <c r="H68" s="2" t="n">
        <v>46044</v>
      </c>
      <c r="I68" t="inlineStr">
        <is>
          <t>**Position Description:**
-------------------------
We're seeking a seasoned Lead Full Stack Engineer to lead the design and delivery of scalable, cloud\-native solutions within a high\-impact investment operations domain. This is a hands\-on leadership role where you'll collaborate with product owners, architects, and developers to shape technical strategy, drive innovation, and deliver enterprise\-grade systems that power critical financial workflows  
This position can be performed from Westlake, TX or Lafayette, LA.
**Your future duties and responsibilities:**
--------------------------------------------
* Design and develop scalable web applications using Angular, TypeScript, and Java (Spring/Spring Boot)
* Build and integrate RESTful APIs and microservices for seamless data exchange across platforms
* Collaborate in Agile Scrum teams to deliver high\-quality software in iterative cycles
* Design and implement CI/CD pipelines using Jenkins, GitLab, Bitbucket, and Azure DevOps
* Containerize and orchestrate applications using Docker, Kubernetes, and Terraform
* Develop automated test suites using JUnit, Selenium, Karma, Jasmine, Cucumber, and Serenity
* Leverage AWS services (EC2, EKS, Lambda, DynamoDB) for cloud\-native application deployment
* Utilize Apache Kafka for distributed event streaming and real\-time data processing
* Maintain code quality and collaboration through GitHub and pull request workflows
* Apply GitHub Copilot or similar AI tools to accelerate development and improve code quality
* Mentor junior engineers and contribute to a culture of technical excellence and continuous learning
**Required qualifications to be successful in this role:**
----------------------------------------------------------
Required qualifications to be successful in this role  
* 14\+ years of full\-stack development experience in enterprise environments
* Strong proficiency in Angular, TypeScript, Java, and Spring Boot
* Experience with web services (REST, SOAP, JSON, XML) and API integration
* Familiarity with Node.js for backend development and API orchestration
* Exposure to AWS Lambda and DynamoDB for serverless and NoSQL architecture
* Working knowledge of PostgreSQL for relational data modeling and queries
* Proven ability to learn large software systems quickly and contribute end\-to\-end
* Excellent communication, problem\-solving, and leadership skills
Preferred Skills  
* Experience with OpenShift, ROSA, or other Kubernetes platforms
* Knowledge of security best practices (RBAC, TLS, NetworkPolicies, etc.)
* Familiarity with monitoring tools like CloudWatch, Dynatrace, or EFK stack
* Passion for visual storytelling and executive messaging in technical presentations
Education Requirements: Bachelors degree in Computer Science, Engineering, Mathematics, or equivalent experience  
\#LI\-TSCH1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$80,600\.00 \- $194,000\.00\.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.Learning opportunities and tuition assistance  
. Wellness and Well\-being programs
**Skills:**
-----------
* Angular
* Java
* Node.Js
* Spring Boot
* Web Services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69">
      <c r="A69" t="inlineStr">
        <is>
          <t>in-676dfc2e6ab0ba33</t>
        </is>
      </c>
      <c r="B69" t="inlineStr">
        <is>
          <t>Java Full Stack Engineer</t>
        </is>
      </c>
      <c r="C69" t="inlineStr">
        <is>
          <t>CGI</t>
        </is>
      </c>
      <c r="D69" t="inlineStr">
        <is>
          <t>indeed</t>
        </is>
      </c>
      <c r="E69">
        <f>HYPERLINK("https://www.indeed.com/viewjob?jk=676dfc2e6ab0ba33", "https://www.indeed.com/viewjob?jk=676dfc2e6ab0ba33")</f>
        <v/>
      </c>
      <c r="F69">
        <f>HYPERLINK("https://click.appcast.io/t/9NL2tYf-8iWEt6XEENX5-XGQfsL_jqYduQ5uc8cK5Hs=", "https://click.appcast.io/t/9NL2tYf-8iWEt6XEENX5-XGQfsL_jqYduQ5uc8cK5Hs=")</f>
        <v/>
      </c>
      <c r="G69" t="inlineStr">
        <is>
          <t>Durham, NC, US</t>
        </is>
      </c>
      <c r="H69" s="2" t="n">
        <v>46044</v>
      </c>
      <c r="I69" t="inlineStr">
        <is>
          <t>**Position Description:**
-------------------------
We're seeking a seasoned Java Full Stack Engineer to design and delivery of scalable, cloud\-native solutions within a high\-impact investment operations domain. This is a hands\-on leadership role where you'll collaborate with product owners, architects, and developers to shape technical strategy, drive innovation, and deliver enterprise\-grade systems that power critical financial workflows.  
This position must be performed from Durham, NC.
**Your future duties and responsibilities:**
--------------------------------------------
.Design and build robust, scalable solutions using Java, Spring Boot, Angular and PL/SQL and cloud\-first strategies.  
.Participate in technical design discussions and contribute to architectural and design decisions that drive performance, resiliency, and maintainability.  
.Optimize database stored procedures, and transactional SQL  
.Collaborate with cross\-functional teams to translate complex business needs into elegant, high\-performing software solutions.  
.Guide and mentor developers, ensuring engineering excellence through code reviews, testing best practices, and continuous improvement.  
.Partner with DevOps teams to implement CI/CD pipelines, observability, and deployment automation.  
.Contribute to process optimization and delivery velocity through agile practices and engineering leadership.
**Required qualifications to be successful in this role:**
----------------------------------------------------------
.6\+ years of hands\-on experience in Java/J2EE development with deep expertise in Spring Boot and microservices architecture.  
.Proven experience designing and developing RESTful APIs and multi\-layered enterprise applications.  
.Strong Angular (v17 and above) experience hands on experience  
.Strong SQL/PL\-SQL experience and experience writing complex stored procedures, moving data, performance tuning queries in relation databases (Oracle preferred).  
.Good understanding of ORM frameworks (Hibernate, JPA).  
.Strong command of cloud platforms (AWS EKS, S3, Lambda), containerization (Docker), and orchestration (Kubernetes).  
.Proficiency with CI/CD tools and practices (GitHub, Jenkins, uDeploy, Git strategies).  
.Experience using Copilot or similar Gen AI Development tool to generate code, automated tests, and accelerate other development tasks.  
.Experience resolving complex technical challenges across distributed systems and hybrid cloud environments.  
.A collaborative mindset with a passion for mentoring and elevating engineering teams.  
Good to have:  
.Experience in financial services.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$87,600\.00 \- $153,300\.00\.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\#LI\-TSCH1
**Skills:**
-----------
* Angular
* Java
* Kubernetes
* RESTful (Rest\-APIs)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70">
      <c r="A70" t="inlineStr">
        <is>
          <t>in-8582fc76b5c1291d</t>
        </is>
      </c>
      <c r="B70" t="inlineStr">
        <is>
          <t>Senior Staff Software Engineer - Java - HYBRID</t>
        </is>
      </c>
      <c r="C70" t="inlineStr">
        <is>
          <t>GEICO</t>
        </is>
      </c>
      <c r="D70" t="inlineStr">
        <is>
          <t>indeed</t>
        </is>
      </c>
      <c r="E70">
        <f>HYPERLINK("https://www.indeed.com/viewjob?jk=8582fc76b5c1291d", "https://www.indeed.com/viewjob?jk=8582fc76b5c1291d")</f>
        <v/>
      </c>
      <c r="F70">
        <f>HYPERLINK("https://click.appcast.io/t/ERku6b_kmSsv1t7CAGR7d4450wCRNK4s00i17Ggqk8M=", "https://click.appcast.io/t/ERku6b_kmSsv1t7CAGR7d4450wCRNK4s00i17Ggqk8M=")</f>
        <v/>
      </c>
      <c r="G70" t="inlineStr">
        <is>
          <t>New York, NY, US</t>
        </is>
      </c>
      <c r="H70" s="2" t="n">
        <v>46044</v>
      </c>
      <c r="I7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Senior Staff Engineer, you will play a critical role in the architecture, design, and development of this platform, bringing advanced AI and machine learning techniques into the heart of our marketing processes.
Our Senior Staff Engineer is a key member of the engineering staff working on Web solutions ensuring that we provide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 Microservices, Containers (Kubernetes), and design, implementing, and maintaining front\-end UIs.
 **Position Responsibilities**
As a Senior Staff Engineer, you will:
*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Build and maintain platform observability infrastructure including monitoring dashboards, alerting systems, and incident response procedures
* Define, create, and support reusable application components/patterns from a business and technology perspective
* Utilize programming languages like Java,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and coach engineers across multiple teams, providing technical guidance, career development support, and constructive feedback to help them grow into senior technical roles
* Consistently share best practices and improve processes within and across teams
* Design and implement data pipelines and analytics solutions using Snowflake and Power BI to drive marketing insights
 **Qualifications:**
* Experience with design, develop and deploy machine learning solutions to solve complex problems and integrate them into software systems
* Experience building MarTech applications, including implementation solution design
* Fluency with Java, Spring Framework, Python,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platform stability and observability including building Grafana dashboards, configuring alerts, and implementing monitoring solutions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 Experience with Snowflake data platform including data warehousing, data modeling, and query optimization
* Proficiency in Power BI for creating interactive dashboards, reports, and data visualizations
**Experience:**
* 10\+ years of professional software development experience within Web frameworks/SDKs/languages
* 8\+ years of experience with architecture and design
* 4\+ years of experience with AWS, GCP, Azure, or another cloud service
* 3\+ years of experience in open\-source frameworks
* 2\+ years of experience with AI/ML
**Education:**
* Bachelor’s degree in Computer Science, Information Systems, or equivalent education
 **Annual Salary**
$100,000\.00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1">
      <c r="A71" t="inlineStr">
        <is>
          <t>in-414b67900e13a67e</t>
        </is>
      </c>
      <c r="B71" t="inlineStr">
        <is>
          <t>Senior Staff Software Engineer - Java - HYBRID</t>
        </is>
      </c>
      <c r="C71" t="inlineStr">
        <is>
          <t>GEICO</t>
        </is>
      </c>
      <c r="D71" t="inlineStr">
        <is>
          <t>indeed</t>
        </is>
      </c>
      <c r="E71">
        <f>HYPERLINK("https://www.indeed.com/viewjob?jk=414b67900e13a67e", "https://www.indeed.com/viewjob?jk=414b67900e13a67e")</f>
        <v/>
      </c>
      <c r="F71">
        <f>HYPERLINK("https://click.appcast.io/t/67nyaAJBTD3X-BfeInoJWnHpR2Lf8zVGTHWFmSGU0tY=", "https://click.appcast.io/t/67nyaAJBTD3X-BfeInoJWnHpR2Lf8zVGTHWFmSGU0tY=")</f>
        <v/>
      </c>
      <c r="G71" t="inlineStr">
        <is>
          <t>Chevy Chase, MD, US</t>
        </is>
      </c>
      <c r="H71" s="2" t="n">
        <v>46044</v>
      </c>
      <c r="I7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Senior Staff Engineer, you will play a critical role in the architecture, design, and development of this platform, bringing advanced AI and machine learning techniques into the heart of our marketing processes.
Our Senior Staff Engineer is a key member of the engineering staff working on Web solutions ensuring that we provide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 Microservices, Containers (Kubernetes), and design, implementing, and maintaining front\-end UIs.
 **Position Responsibilities**
As a Senior Staff Engineer, you will:
*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Build and maintain platform observability infrastructure including monitoring dashboards, alerting systems, and incident response procedures
* Define, create, and support reusable application components/patterns from a business and technology perspective
* Utilize programming languages like Java,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and coach engineers across multiple teams, providing technical guidance, career development support, and constructive feedback to help them grow into senior technical roles
* Consistently share best practices and improve processes within and across teams
* Design and implement data pipelines and analytics solutions using Snowflake and Power BI to drive marketing insights
 **Qualifications:**
* Experience with design, develop and deploy machine learning solutions to solve complex problems and integrate them into software systems
* Experience building MarTech applications, including implementation solution design
* Fluency with Java, Spring Framework, Python,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platform stability and observability including building Grafana dashboards, configuring alerts, and implementing monitoring solutions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 Experience with Snowflake data platform including data warehousing, data modeling, and query optimization
* Proficiency in Power BI for creating interactive dashboards, reports, and data visualizations
**Experience:**
* 10\+ years of professional software development experience within Web frameworks/SDKs/languages
* 8\+ years of experience with architecture and design
* 4\+ years of experience with AWS, GCP, Azure, or another cloud service
* 3\+ years of experience in open\-source frameworks
* 2\+ years of experience with AI/ML
**Education:**
* Bachelor’s degree in Computer Science, Information Systems, or equivalent education
 **Annual Salary**
$100,000\.00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2">
      <c r="A72" t="inlineStr">
        <is>
          <t>in-dd0e7563ca8328fe</t>
        </is>
      </c>
      <c r="B72" t="inlineStr">
        <is>
          <t>Senior Staff Software Engineer - Java - HYBRID</t>
        </is>
      </c>
      <c r="C72" t="inlineStr">
        <is>
          <t>GEICO</t>
        </is>
      </c>
      <c r="D72" t="inlineStr">
        <is>
          <t>indeed</t>
        </is>
      </c>
      <c r="E72">
        <f>HYPERLINK("https://www.indeed.com/viewjob?jk=dd0e7563ca8328fe", "https://www.indeed.com/viewjob?jk=dd0e7563ca8328fe")</f>
        <v/>
      </c>
      <c r="F72">
        <f>HYPERLINK("https://click.appcast.io/t/H-ST4glqoUQUJ9FzLEOTpiG8TE4zL4p8UXrTkxkryCc=", "https://click.appcast.io/t/H-ST4glqoUQUJ9FzLEOTpiG8TE4zL4p8UXrTkxkryCc=")</f>
        <v/>
      </c>
      <c r="G72" t="inlineStr">
        <is>
          <t>Seattle, WA, US</t>
        </is>
      </c>
      <c r="H72" s="2" t="n">
        <v>46044</v>
      </c>
      <c r="I7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Senior Staff Engineer, you will play a critical role in the architecture, design, and development of this platform, bringing advanced AI and machine learning techniques into the heart of our marketing processes.
Our Senior Staff Engineer is a key member of the engineering staff working on Web solutions ensuring that we provide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 Microservices, Containers (Kubernetes), and design, implementing, and maintaining front\-end UIs.
 **Position Responsibilities**
As a Senior Staff Engineer, you will:
*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Build and maintain platform observability infrastructure including monitoring dashboards, alerting systems, and incident response procedures
* Define, create, and support reusable application components/patterns from a business and technology perspective
* Utilize programming languages like Java,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and coach engineers across multiple teams, providing technical guidance, career development support, and constructive feedback to help them grow into senior technical roles
* Consistently share best practices and improve processes within and across teams
* Design and implement data pipelines and analytics solutions using Snowflake and Power BI to drive marketing insights
 **Qualifications:**
* Experience with design, develop and deploy machine learning solutions to solve complex problems and integrate them into software systems
* Experience building MarTech applications, including implementation solution design
* Fluency with Java, Spring Framework, Python,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platform stability and observability including building Grafana dashboards, configuring alerts, and implementing monitoring solutions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 Experience with Snowflake data platform including data warehousing, data modeling, and query optimization
* Proficiency in Power BI for creating interactive dashboards, reports, and data visualizations
**Experience:**
* 10\+ years of professional software development experience within Web frameworks/SDKs/languages
* 8\+ years of experience with architecture and design
* 4\+ years of experience with AWS, GCP, Azure, or another cloud service
* 3\+ years of experience in open\-source frameworks
* 2\+ years of experience with AI/ML
**Education:**
* Bachelor’s degree in Computer Science, Information Systems, or equivalent education
 **Annual Salary**
$100,000\.00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3">
      <c r="A73" t="inlineStr">
        <is>
          <t>in-f00c967c9c7dced6</t>
        </is>
      </c>
      <c r="B73" t="inlineStr">
        <is>
          <t>Senior Staff Software Engineer - Java - HYBRID</t>
        </is>
      </c>
      <c r="C73" t="inlineStr">
        <is>
          <t>GEICO</t>
        </is>
      </c>
      <c r="D73" t="inlineStr">
        <is>
          <t>indeed</t>
        </is>
      </c>
      <c r="E73">
        <f>HYPERLINK("https://www.indeed.com/viewjob?jk=f00c967c9c7dced6", "https://www.indeed.com/viewjob?jk=f00c967c9c7dced6")</f>
        <v/>
      </c>
      <c r="F73">
        <f>HYPERLINK("https://click.appcast.io/t/MuqR4h1egeUZhbbB2LtXoC_PHC-pmGtUpVfN3iwFIGE=", "https://click.appcast.io/t/MuqR4h1egeUZhbbB2LtXoC_PHC-pmGtUpVfN3iwFIGE=")</f>
        <v/>
      </c>
      <c r="G73" t="inlineStr">
        <is>
          <t>Richardson, TX, US</t>
        </is>
      </c>
      <c r="H73" s="2" t="n">
        <v>46044</v>
      </c>
      <c r="I7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Senior Staff Engineer, you will play a critical role in the architecture, design, and development of this platform, bringing advanced AI and machine learning techniques into the heart of our marketing processes.
Our Senior Staff Engineer is a key member of the engineering staff working on Web solutions ensuring that we provide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 Microservices, Containers (Kubernetes), and design, implementing, and maintaining front\-end UIs.
 **Position Responsibilities**
As a Senior Staff Engineer, you will:
*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Build and maintain platform observability infrastructure including monitoring dashboards, alerting systems, and incident response procedures
* Define, create, and support reusable application components/patterns from a business and technology perspective
* Utilize programming languages like Java,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and coach engineers across multiple teams, providing technical guidance, career development support, and constructive feedback to help them grow into senior technical roles
* Consistently share best practices and improve processes within and across teams
* Design and implement data pipelines and analytics solutions using Snowflake and Power BI to drive marketing insights
 **Qualifications:**
* Experience with design, develop and deploy machine learning solutions to solve complex problems and integrate them into software systems
* Experience building MarTech applications, including implementation solution design
* Fluency with Java, Spring Framework, Python,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platform stability and observability including building Grafana dashboards, configuring alerts, and implementing monitoring solutions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 Experience with Snowflake data platform including data warehousing, data modeling, and query optimization
* Proficiency in Power BI for creating interactive dashboards, reports, and data visualizations
**Experience:**
* 10\+ years of professional software development experience within Web frameworks/SDKs/languages
* 8\+ years of experience with architecture and design
* 4\+ years of experience with AWS, GCP, Azure, or another cloud service
* 3\+ years of experience in open\-source frameworks
* 2\+ years of experience with AI/ML
**Education:**
* Bachelor’s degree in Computer Science, Information Systems, or equivalent education
 **Annual Salary**
$100,000\.00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4">
      <c r="A74" t="inlineStr">
        <is>
          <t>in-34282164a13556ff</t>
        </is>
      </c>
      <c r="B74" t="inlineStr">
        <is>
          <t>Senior Staff Software Engineer - Java - HYBRID</t>
        </is>
      </c>
      <c r="C74" t="inlineStr">
        <is>
          <t>GEICO</t>
        </is>
      </c>
      <c r="D74" t="inlineStr">
        <is>
          <t>indeed</t>
        </is>
      </c>
      <c r="E74">
        <f>HYPERLINK("https://www.indeed.com/viewjob?jk=34282164a13556ff", "https://www.indeed.com/viewjob?jk=34282164a13556ff")</f>
        <v/>
      </c>
      <c r="F74">
        <f>HYPERLINK("https://click.appcast.io/t/nlbi0hpVf_jYZ9un_PuAtsFRcbu2SCf6FK-jqM1P5A8=", "https://click.appcast.io/t/nlbi0hpVf_jYZ9un_PuAtsFRcbu2SCf6FK-jqM1P5A8=")</f>
        <v/>
      </c>
      <c r="G74" t="inlineStr">
        <is>
          <t>Chicago, IL, US</t>
        </is>
      </c>
      <c r="H74" s="2" t="n">
        <v>46044</v>
      </c>
      <c r="I7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Senior Staff Engineer, you will play a critical role in the architecture, design, and development of this platform, bringing advanced AI and machine learning techniques into the heart of our marketing processes.
Our Senior Staff Engineer is a key member of the engineering staff working on Web solutions ensuring that we provide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 Microservices, Containers (Kubernetes), and design, implementing, and maintaining front\-end UIs.
 **Position Responsibilities**
As a Senior Staff Engineer, you will:
*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Build and maintain platform observability infrastructure including monitoring dashboards, alerting systems, and incident response procedures
* Define, create, and support reusable application components/patterns from a business and technology perspective
* Utilize programming languages like Java,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and coach engineers across multiple teams, providing technical guidance, career development support, and constructive feedback to help them grow into senior technical roles
* Consistently share best practices and improve processes within and across teams
* Design and implement data pipelines and analytics solutions using Snowflake and Power BI to drive marketing insights
 **Qualifications:**
* Experience with design, develop and deploy machine learning solutions to solve complex problems and integrate them into software systems
* Experience building MarTech applications, including implementation solution design
* Fluency with Java, Spring Framework, Python,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platform stability and observability including building Grafana dashboards, configuring alerts, and implementing monitoring solutions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 Experience with Snowflake data platform including data warehousing, data modeling, and query optimization
* Proficiency in Power BI for creating interactive dashboards, reports, and data visualizations
**Experience:**
* 10\+ years of professional software development experience within Web frameworks/SDKs/languages
* 8\+ years of experience with architecture and design
* 4\+ years of experience with AWS, GCP, Azure, or another cloud service
* 3\+ years of experience in open\-source frameworks
* 2\+ years of experience with AI/ML
**Education:**
* Bachelor’s degree in Computer Science, Information Systems, or equivalent education
 **Annual Salary**
$100,000\.00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5">
      <c r="A75" t="inlineStr">
        <is>
          <t>in-91ca31c523f46c55</t>
        </is>
      </c>
      <c r="B75" t="inlineStr">
        <is>
          <t>Senior Staff Software Engineer - Java - HYBRID</t>
        </is>
      </c>
      <c r="C75" t="inlineStr">
        <is>
          <t>GEICO</t>
        </is>
      </c>
      <c r="D75" t="inlineStr">
        <is>
          <t>indeed</t>
        </is>
      </c>
      <c r="E75">
        <f>HYPERLINK("https://www.indeed.com/viewjob?jk=91ca31c523f46c55", "https://www.indeed.com/viewjob?jk=91ca31c523f46c55")</f>
        <v/>
      </c>
      <c r="F75">
        <f>HYPERLINK("https://click.appcast.io/t/9CNgeJX8Pr9QSmWq9WodVg9ho-jWQ237F476NtOKSIc=", "https://click.appcast.io/t/9CNgeJX8Pr9QSmWq9WodVg9ho-jWQ237F476NtOKSIc=")</f>
        <v/>
      </c>
      <c r="G75" t="inlineStr">
        <is>
          <t>Austin, TX, US</t>
        </is>
      </c>
      <c r="H75" s="2" t="n">
        <v>46044</v>
      </c>
      <c r="I7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Senior Staff Engineer, you will play a critical role in the architecture, design, and development of this platform, bringing advanced AI and machine learning techniques into the heart of our marketing processes.
Our Senior Staff Engineer is a key member of the engineering staff working on Web solutions ensuring that we provide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 Microservices, Containers (Kubernetes), and design, implementing, and maintaining front\-end UIs.
 **Position Responsibilities**
As a Senior Staff Engineer, you will:
*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Build and maintain platform observability infrastructure including monitoring dashboards, alerting systems, and incident response procedures
* Define, create, and support reusable application components/patterns from a business and technology perspective
* Utilize programming languages like Java,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and coach engineers across multiple teams, providing technical guidance, career development support, and constructive feedback to help them grow into senior technical roles
* Consistently share best practices and improve processes within and across teams
* Design and implement data pipelines and analytics solutions using Snowflake and Power BI to drive marketing insights
 **Qualifications:**
* Experience with design, develop and deploy machine learning solutions to solve complex problems and integrate them into software systems
* Experience building MarTech applications, including implementation solution design
* Fluency with Java, Spring Framework, Python,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platform stability and observability including building Grafana dashboards, configuring alerts, and implementing monitoring solutions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 Experience with Snowflake data platform including data warehousing, data modeling, and query optimization
* Proficiency in Power BI for creating interactive dashboards, reports, and data visualizations
**Experience:**
* 10\+ years of professional software development experience within Web frameworks/SDKs/languages
* 8\+ years of experience with architecture and design
* 4\+ years of experience with AWS, GCP, Azure, or another cloud service
* 3\+ years of experience in open\-source frameworks
* 2\+ years of experience with AI/ML
**Education:**
* Bachelor’s degree in Computer Science, Information Systems, or equivalent education
 **Annual Salary**
$100,000\.00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6">
      <c r="A76" t="inlineStr">
        <is>
          <t>in-2b9f39b04d89d387</t>
        </is>
      </c>
      <c r="B76" t="inlineStr">
        <is>
          <t>Senior Staff Software Engineer - Java - HYBRID</t>
        </is>
      </c>
      <c r="C76" t="inlineStr">
        <is>
          <t>GEICO</t>
        </is>
      </c>
      <c r="D76" t="inlineStr">
        <is>
          <t>indeed</t>
        </is>
      </c>
      <c r="E76">
        <f>HYPERLINK("https://www.indeed.com/viewjob?jk=2b9f39b04d89d387", "https://www.indeed.com/viewjob?jk=2b9f39b04d89d387")</f>
        <v/>
      </c>
      <c r="F76">
        <f>HYPERLINK("https://click.appcast.io/t/ZdHw3o8jcdou4tBL7UdxLBEIUsGHkiqUAroG-u7h7Xc=", "https://click.appcast.io/t/ZdHw3o8jcdou4tBL7UdxLBEIUsGHkiqUAroG-u7h7Xc=")</f>
        <v/>
      </c>
      <c r="G76" t="inlineStr">
        <is>
          <t>Palo Alto, CA, US</t>
        </is>
      </c>
      <c r="H76" s="2" t="n">
        <v>46044</v>
      </c>
      <c r="I7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Senior Staff Engineer, you will play a critical role in the architecture, design, and development of this platform, bringing advanced AI and machine learning techniques into the heart of our marketing processes.
Our Senior Staff Engineer is a key member of the engineering staff working on Web solutions ensuring that we provide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 Microservices, Containers (Kubernetes), and design, implementing, and maintaining front\-end UIs.
 **Position Responsibilities**
As a Senior Staff Engineer, you will:
*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Build and maintain platform observability infrastructure including monitoring dashboards, alerting systems, and incident response procedures
* Define, create, and support reusable application components/patterns from a business and technology perspective
* Utilize programming languages like Java,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and coach engineers across multiple teams, providing technical guidance, career development support, and constructive feedback to help them grow into senior technical roles
* Consistently share best practices and improve processes within and across teams
* Design and implement data pipelines and analytics solutions using Snowflake and Power BI to drive marketing insights
 **Qualifications:**
* Experience with design, develop and deploy machine learning solutions to solve complex problems and integrate them into software systems
* Experience building MarTech applications, including implementation solution design
* Fluency with Java, Spring Framework, Python,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platform stability and observability including building Grafana dashboards, configuring alerts, and implementing monitoring solutions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 Experience with Snowflake data platform including data warehousing, data modeling, and query optimization
* Proficiency in Power BI for creating interactive dashboards, reports, and data visualizations
**Experience:**
* 10\+ years of professional software development experience within Web frameworks/SDKs/languages
* 8\+ years of experience with architecture and design
* 4\+ years of experience with AWS, GCP, Azure, or another cloud service
* 3\+ years of experience in open\-source frameworks
* 2\+ years of experience with AI/ML
**Education:**
* Bachelor’s degree in Computer Science, Information Systems, or equivalent education
 **Annual Salary**
$100,000\.00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7">
      <c r="A77" t="inlineStr">
        <is>
          <t>in-7a743f3d7ca49b39</t>
        </is>
      </c>
      <c r="B77" t="inlineStr">
        <is>
          <t>Senior Software Engineer (SDE III)</t>
        </is>
      </c>
      <c r="C77" t="inlineStr">
        <is>
          <t>Fanatics</t>
        </is>
      </c>
      <c r="D77" t="inlineStr">
        <is>
          <t>indeed</t>
        </is>
      </c>
      <c r="E77">
        <f>HYPERLINK("https://www.indeed.com/viewjob?jk=7a743f3d7ca49b39", "https://www.indeed.com/viewjob?jk=7a743f3d7ca49b39")</f>
        <v/>
      </c>
      <c r="F77">
        <f>HYPERLINK("https://fa-exki-saasfaprod1.fa.ocs.oraclecloud.com:443/hcmUI/CandidateExperience/en/job/26455", "https://fa-exki-saasfaprod1.fa.ocs.oraclecloud.com:443/hcmUI/CandidateExperience/en/job/26455")</f>
        <v/>
      </c>
      <c r="G77" t="inlineStr">
        <is>
          <t>US</t>
        </is>
      </c>
      <c r="H77" s="2" t="n">
        <v>46044</v>
      </c>
      <c r="I77" t="inlineStr">
        <is>
          <t>**Overview**
Fanatics Betting \&amp; Gaming (FBG) is seeking a **Senior Platform Engineer** to join our Platform Engineering team. This role will sit in either our Runtime/Compute or the Developer Experience/CICD squad.
As a Senior Platform Engineer, you will work across cloud infrastructure, Kubernetes platforms, CI/CD systems, and internal developer tooling. You will work closely with Product Engineering, Security, Infrastructure IT, and other platform teams to build, enhance, and support our developer platform. You will help define standards and best practices, and act as a force multiplier for engineering teams by improving reliability, scalability, and developer productivity.
**What You’ll Do**
* Own and deliver medium\-to\-large platform projects from implementation through production
* Build and maintain internal platform services and tooling that improve developer experience and delivery velocity
* Partner with application teams to unblock delivery and align platform capabilities with developer needs
* Drive cloud cost efficiency and optimization across our cloud and infrastructure
* Improve operational excellence through observability, automation, and incident response
* Help evolve CI/CD pipelines and GitOps\-based workflows
* Mentor junior engineers through code reviews and knowledge sharing
* Participate in on\-call rotations and incident response
**What You Bring**
* 5–7 years of experience in platform, infrastructure, DevOps, or software engineering
* Proficiency with Python and Java. Familiarity with Kotlin, Go a plus
* Deep Kubernetes and container orchestration knowledge
* Proven CI/CD and GitOps experience
* Infrastructure as Code expertise (Terraform)
* Strong AWS and cloud\-native experience
* Experience operating distributed, high\-availability systems
* Strong ownership mindset and ability to deliver defined projects independently
* Clear communication and strong collaboration skills
* A Bachelor’s degree, or professional certification, or a combination of education and experience
**Nice to Have**
* Experience with internal developer platforms or tooling
* Exposure to regulated or high\-availability environments
* Backend development experience (Java, Python, Go, or similar)
* Familiarity with observability and reliability engineering practices
**Working Across Regions**
This role works closely with engineering teams across multiple regions. Success requires clear communication, effective collaboration, and comfort working with distributed teams.
**Travel Expectations**
This role includes occasional domestic travel and periodic travel for team offsites, planning sessions, or cross\-team collaboration.
**Why Platform Engineering at FBG**
Platform Engineering at FBG operates with a product\-first mindset. Our mission is to empower developers with reliable, scalable, and intuitive platforms that accelerate innovation and delivery.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$121,000 \- $160,000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 may also be eligible for a home office setup stipend.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78">
      <c r="A78" t="inlineStr">
        <is>
          <t>in-3999901dc54cb8fd</t>
        </is>
      </c>
      <c r="B78" t="inlineStr">
        <is>
          <t>Software Engineer</t>
        </is>
      </c>
      <c r="C78" t="inlineStr">
        <is>
          <t>Texas Instruments</t>
        </is>
      </c>
      <c r="D78" t="inlineStr">
        <is>
          <t>indeed</t>
        </is>
      </c>
      <c r="E78">
        <f>HYPERLINK("https://www.indeed.com/viewjob?jk=3999901dc54cb8fd", "https://www.indeed.com/viewjob?jk=3999901dc54cb8fd")</f>
        <v/>
      </c>
      <c r="F78">
        <f>HYPERLINK("https://edbz.fa.us2.oraclecloud.com/hcmUI/CandidateExperience/en/sites/CX/job/25008840", "https://edbz.fa.us2.oraclecloud.com/hcmUI/CandidateExperience/en/sites/CX/job/25008840")</f>
        <v/>
      </c>
      <c r="G78" t="inlineStr">
        <is>
          <t>Lehi, UT, US</t>
        </is>
      </c>
      <c r="H78" s="2" t="n">
        <v>46044</v>
      </c>
      <c r="I78" t="inlineStr">
        <is>
          <t>**Position Overview:**
Texas Instruments is seeking a full\-stack software development engineer who is experienced with AI code generation platforms and tools. This role is critical to accelerating our digital transformation through rapid development of quality and test solutions using cutting\-edge development techniques. The position offers the opportunity to revolutionize how our Smart Manufacturing and Automation team builds software while establishing best practices and scaling development capabilities across the organization.
The ideal candidate is someone who is not just a software engineer, but is also experienced with leveraging platforms like Claude Code, GitHub Copilot, Cursor and emerging agentic frameworks to dramatically accelerate development while maintaining high quality standards. You'll be building solutions that directly impact manufacturing quality and test operations while helping transform how our entire team approaches software development.
The Smart Manufacturing and Automation team at Texas Instruments develops software solutions to address challenges faced by manufacturing and engineering teams. As a global organization, we strive to create solutions that are compatible with all TI sites. We invite you to join our team as we leverage modern technologies to deliver software and data solutions that enhance quality and productivity in semiconductor manufacturing.
**Primary Responsibilities:**
* Build and sustain full\-stack web applications that support manufacturing and engineering teams
* Rapidly develop and deploy applications, scripts, and automation solutions using AI code generation platforms (Claude, Copilot, Cursor, etc.)
* Work with project managers and internal customers to define requirements and develop solutions that meet manufacturing needs
* Provide data solutions/pipelines that enhance software applications
* Host software and data solutions in containerized production environment
* Create automation for releasing code into production (CI/CD)
* Review and provide feedback on code releases
* Document software systems, usage requirements, and troubleshooting guides for other team members
* Deliver high quality software in a timely manner
* Make applications compatible with other TI sites and data systems
* Automate repetitive tasks to drive increased efficiency
* Support and enhance legacy software solutions
* Mentor team members across the organizations on proper software development and management techniques
QUALIFICATIONS
**Minimum Requirements:**
* Bachelor of Science degree in Computer Science, Engineering, Software Engineering, Mathematics, or another related field
* 2\+ years of experience with full\-stack development without co\-development tools
* Demonstrated experience with AI agentic frameworks (such as Claude, Copilot, Cursor or similar AI co\-development tools) for accelerating programming tasks.
**Preferred Qualifications:**
* Experience with React/JavaScript/TypeScript or other frontend web development frameworks
* Experience with Python or other coding languages
* Experience with FastAPI or other backend web development python frameworks
* Experience with relational database management systems (Oracle, MSSQL, PostgresSQL) and SQL
* Experience with container orchestration, CI/CD, and other DevOps philosophies and practices. Including Kubernetes, Airflow, Jenkins, Docker, etc.
* Experience with developing software systems in a Linux OS environment
* Strong focus on gathering customer requirements and meeting customer needs
* Demonstrated ability to work in teams and collaborate effectively across several different functions
* Demonstrated ability to take the initiative and drive for results
* Strong critical thinking and problem\-solving skills
* Good listener and excellent verbal and written communication skills
* Strong time management skills that enable on\-time project delivery
* Passion for the job and willingness to dig in and learn from those around you
ABOUT US
**Why TI?**
* Engineer your future. We empower our employees to truly own their career and development. Come collaborate with some of the smartest people in the world to shape the future of electronics.
* We're different by design. Diverse backgrounds and perspectives are what push innovation forward and what make TI stronger. We value each and every voice, and look forward to hearing yours. Meet the people of TI
* Benefits that benefit you. We offer competitive pay and benefits designed to help you and your family live your best life. Your well\-being is important to us.
**About Texas Instruments**
Texas Instruments Incorporated (Nasdaq: TXN) is a global semiconductor company that designs, manufactures and sells analog and embedded processing chips for markets such as industrial, automotive, personal electronics, communications equipment and enterprise systems. At our core, we have a passion to create a better world by making electronics more affordable through semiconductors. This passion is alive today as each generation of innovation builds upon the last to make our technology more reliable, more affordable and lower power, making it possible for semiconductors to go into electronics everywhere. Learn more at TI.com.  
Texas Instruments is an equal opportunity employer and supports a diverse, inclusive work environment. All qualified applicants will receive consideration for employment without regard to race, color, religion, creed, disability, genetic information, national origin, gender, gender identity and expression, age, sexual orientation, marital status, veteran status, or any other characteristic protected by federal, state, or local laws.  
If you are interested in this position, please apply to this requisition.
TI does not make recruiting or hiring decisions based on citizenship, immigration status or national origin. However, if TI determines that information access or export control restrictions based upon applicable laws and regulations would prohibit you from working in this position without first obtaining an export license, TI expressly reserves the right not to seek such a license for you and either offer you a different position that does not require an export license or decline to move forward with your employment.
JOB INFO
Job Identification
25008840
Job Category
Engineering \- Product Dev
Posting Date
01/23/2026, 01:41 PM
Degree Level
Bachelor's Degree
Locations
 4000 Flash Drive, Lehi, UT, 84043, US
Shift/Work Schedule
1
ECL/GTC Required
Yes</t>
        </is>
      </c>
    </row>
    <row r="79">
      <c r="A79" t="inlineStr">
        <is>
          <t>in-2f8179374c75652b</t>
        </is>
      </c>
      <c r="B79" t="inlineStr">
        <is>
          <t>Senior Software Engineer II, Robotic Controls</t>
        </is>
      </c>
      <c r="C79" t="inlineStr">
        <is>
          <t>Siemens Healthineers</t>
        </is>
      </c>
      <c r="D79" t="inlineStr">
        <is>
          <t>indeed</t>
        </is>
      </c>
      <c r="E79">
        <f>HYPERLINK("https://www.indeed.com/viewjob?jk=2f8179374c75652b", "https://www.indeed.com/viewjob?jk=2f8179374c75652b")</f>
        <v/>
      </c>
      <c r="F79">
        <f>HYPERLINK("https://careers.siemens-healthineers.com/global/en/job/SHDSHWUSR26296EXTERNALENGLOBAL/Senior-Software-Engineer-II-Robotic-Controls?utm_source=indeed&amp;utm_medium=phenom-feeds", "https://careers.siemens-healthineers.com/global/en/job/SHDSHWUSR26296EXTERNALENGLOBAL/Senior-Software-Engineer-II-Robotic-Controls?utm_source=indeed&amp;utm_medium=phenom-feeds")</f>
        <v/>
      </c>
      <c r="G79" t="inlineStr">
        <is>
          <t>Newton, MA, US</t>
        </is>
      </c>
      <c r="H79" s="2" t="n">
        <v>46044</v>
      </c>
      <c r="I79"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Company: Siemens Healthineers Endovascular Robotics, Inc.
Location: 275 Grove Street, Suite 1\-110, Newton, MA 02466
Position Title: Senior Software Engineer II, Robotic Controls
Salary: $171,000 \- $248,230 / Year
Hours: Monday – Friday, 8:00 am to 5:00 pm, 40 Hours/ Week
Summary of Duties: Lead development of real\-time software for endovascular robotics. Lead design and implement software using development best practices, including continuous software testing. Provide and maintain domain expertise of relevant software technologies and products. Utilize novel software technologies for a real\-time robotic controls. Generate software requirements documents, design specifications, and software test protocols. Up to 10% domestic travel required. Hybrid work permitted.
Qualifications: The position requires a Bachelor’s degree in Electrical Engineering, Computer Science, Software Engineering, Computer Engineering, Robotics, or a related field and seven (7\) years in the job offered or as a Software Developer or an acceptable alternate occupation. The position requires experience with the following skills: Seven (7\) years of experience with C and C\+\+; Five (5\) years of experience with object\-oriented program languages and object\-oriented program concepts; Three (3\) years of experience with the following skills: Developing software for Real\-Time Operating System (RTOS), such as QNX or VxWorks; Developing software using Object\-Oriented Design and Analysis, with the use of UML; and Applying standards, such as ISO or IEC for software development lifecycle in a regulated industry. Two (2\) years of experience with the following skills: Real\-time communication using fieldbus protocols, such as CAN and EtherCAT; Communication protocol such as TCP, UDP, or IP; Device Driver Development; Developing devices in a regulatory environment. One (1\) year of experience with GUI frameworks, such as Qt/QML. Up to 10% domestic travel required. Hybrid work permitted.
 **Who we are**: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To find out more about Siemens Healthineers businesses, please visit our company page here.
**Equal Employment Opportunity Statement:** Siemens Healthineers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**Reasonable Accommodations:** Siemens Healthineers is committed to equal employment opportunity. As part of this commitment, we will ensure that persons with disabilities are provided reasonable accommodations.
If you require a reasonable accommodation in completing a job application, interviewing, completing any pre\-employment testing, or otherwise participating in the employee selection process, please fill out the accommodations form here. If you’re unable to complete the form, you can reach out to our HR People Connect Peop le Contact Center for support at peopleconnectvendorsnam.func@siemens\-healthineers.com. Please note HR People Connect People Contact Center will not have visibility of your application or interview status.
**California Privacy Notice:** California residents have the right to receive additional notices about their personal information. To learn more, click here.
**Export Control:** “A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**Data Privacy:**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Register here to get started.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**To all recruitment agencies:** Siemens Healthineers does not accept agency resumes. Please do not forward resumes to our jobs alias, employees, or any other company location. Siemens Healthineers is not responsible for any fees related to unsolicited resumes.</t>
        </is>
      </c>
    </row>
    <row r="80">
      <c r="A80" t="inlineStr">
        <is>
          <t>in-e6b0deba442d55ff</t>
        </is>
      </c>
      <c r="B80" t="inlineStr">
        <is>
          <t>Structural Engineering Software Developer</t>
        </is>
      </c>
      <c r="C80" t="inlineStr">
        <is>
          <t>Computers &amp; Structures</t>
        </is>
      </c>
      <c r="D80" t="inlineStr">
        <is>
          <t>indeed</t>
        </is>
      </c>
      <c r="E80">
        <f>HYPERLINK("https://www.indeed.com/viewjob?jk=e6b0deba442d55ff", "https://www.indeed.com/viewjob?jk=e6b0deba442d55ff")</f>
        <v/>
      </c>
      <c r="F80">
        <f>HYPERLINK("https://www.csiamerica.com/employment-opportunities", "https://www.csiamerica.com/employment-opportunities")</f>
        <v/>
      </c>
      <c r="G80" t="inlineStr">
        <is>
          <t>Walnut Creek, CA, US</t>
        </is>
      </c>
      <c r="H80" s="2" t="n">
        <v>46044</v>
      </c>
      <c r="I80" t="inlineStr">
        <is>
          <t>CSI has long been at the forefront of software development and our products are used by the most sophisticated
 design professionals in over 160 countries worldwide. We are a company with an unmatched record of innovation
 and an unrivaled commitment to meeting the ever\-evolving needs of the structural engineering profession. We are
 pleased to offer an excellent salary package plus benefits including 401(k), health coverage, dental coverage,
 vision coverage, and more.
CSI is an Equal Opportunity Employer (EOE). All qualified applicants will receive consideration for employment
 without regard to race, color, religion, sex, age or national origin.
**Duties**
 With a high level of independent decision\-making authority, will be responsible for the following: Integrate AI\-driven methodologies, including large language models (LLMs) and optimization algorithms, to enhance structural engineering software capabilities in areas such as Automated structural modeling, Structural design optimization, Predictive analysis through surrogate modeling. Validate and benchmark computational models through advanced research, comparative studies, and large\-scale testing to ensure accuracy, reliability, and suitability for release in real\-world structural engineering applications. Be responsible for the complete feature development cycle, including exhaustive technical research, requirements analysis, algorithm design, implementation, testing, and technical documentation. Work closely with cross\-functional teams—including engineers, software developers, and QA testers—to ensure the successful development, integration, and delivery of structural engineering software features.
**Requirements**
 Requires master’s degree or foreign academic equivalent in Civil Engineering, Structural Engineering, Advanced Computational \&amp; Civil Engineering, Computational Engineering, or a related field. Requires 1 year of experience in job offered or as a Civil Engineer, Structural Engineer, Researcher, or a related field. Required experience must include experience in SAP2000, ETABS, Python, NumPy, SciPy, TensorFlow, PyTorch
**SALARY:** **$161,637/YEAR; 40 HRS/WEEK**</t>
        </is>
      </c>
    </row>
    <row r="81">
      <c r="A81" t="inlineStr">
        <is>
          <t>in-5e02270dcfcd4da9</t>
        </is>
      </c>
      <c r="B81" t="inlineStr">
        <is>
          <t>Software Engineer, Platform Systems</t>
        </is>
      </c>
      <c r="C81" t="inlineStr">
        <is>
          <t>OpenAI</t>
        </is>
      </c>
      <c r="D81" t="inlineStr">
        <is>
          <t>indeed</t>
        </is>
      </c>
      <c r="E81">
        <f>HYPERLINK("https://www.indeed.com/viewjob?jk=5e02270dcfcd4da9", "https://www.indeed.com/viewjob?jk=5e02270dcfcd4da9")</f>
        <v/>
      </c>
      <c r="F81">
        <f>HYPERLINK("https://openai.com/careers/software-engineer-platform-systems-san-francisco/", "https://openai.com/careers/software-engineer-platform-systems-san-francisco/")</f>
        <v/>
      </c>
      <c r="G81" t="inlineStr">
        <is>
          <t>San Francisco, CA, US</t>
        </is>
      </c>
      <c r="H81" s="2" t="n">
        <v>46044</v>
      </c>
      <c r="I81" t="inlineStr">
        <is>
          <t>About the Team
The Platform Systems team at OpenAI operates at the intersection of cutting\-edge AI and large\-scale distributed systems. We build the engineering and research infrastructure required to train OpenAI’s flagship models on some of the world’s largest, custom\-built supercomputers.
Our team develops core model training software and works deep in the stack \- spanning collective communication, compute efficiency, parallelism strategies, fault tolerance, failure detection, and observability. The systems we build are foundational to OpenAI’s research velocity, enabling reliable, efficient training at frontier scale.
We collaborate closely with researchers across the organization, continuously incorporating learnings from across OpenAI into the evolution of our training platform.
About the Role
As a Software Engineer, Platform Systems, you will design and build distributed systems that provide visibility into large\-scale training workloads and help operate them reliably at scale.
You’ll work on failure detection, tracing, and observability systems that identify slow or faulty nodes, surface performance bottlenecks, and help engineers understand and optimize massive distributed training jobs. This infrastructure is critical to operating OpenAI’s training stack and is actively evolving to support new use cases and increasingly complex workloads.
This role sits at the core of our training infrastructure, blending systems engineering, performance analysis, and large\-scale debugging.
In This Role, You Will
Design and build distributed failure detection, tracing, and profiling systems for large\-scale AI training jobs
Develop tooling to identify slow, faulty, or misbehaving nodes and provide actionable visibility into system behavior
Improve observability, reliability, and performance across OpenAI’s training platform
Debug and resolve issues in complex, high\-throughput distributed systems
Collaborate with systems, infrastructure, and research teams to evolve platform capabilities
Extend and adapt failure detection systems or tracing systems to support new training paradigms and workloads
You Might Thrive in This Role If You
Care deeply about performance, stability, and observability in distributed systems
Enjoy finding and fixing issues in large\-scale systems and automating operational workflows
Have experience writing low\-level software where system details matter
Understand hardware, operating systems, networking, concurrency, and distributed systems
Have a background in high\-performance computing or low\-level systems engineering
Are excited to work on critical infrastructure that powers frontier AI research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$310K – $460K \+ Offers Equity</t>
        </is>
      </c>
    </row>
    <row r="82">
      <c r="A82" t="inlineStr">
        <is>
          <t>in-676587bc612d0c9e</t>
        </is>
      </c>
      <c r="B82" t="inlineStr">
        <is>
          <t>NextGen Software Developer (Per Diem)</t>
        </is>
      </c>
      <c r="C82" t="inlineStr">
        <is>
          <t>Desert Oasis Healthcare</t>
        </is>
      </c>
      <c r="D82" t="inlineStr">
        <is>
          <t>indeed</t>
        </is>
      </c>
      <c r="E82">
        <f>HYPERLINK("https://www.indeed.com/viewjob?jk=676587bc612d0c9e", "https://www.indeed.com/viewjob?jk=676587bc612d0c9e")</f>
        <v/>
      </c>
      <c r="F82">
        <f>HYPERLINK("https://careers.mydohc.com/spa/listing/312", "https://careers.mydohc.com/spa/listing/312")</f>
        <v/>
      </c>
      <c r="G82" t="inlineStr">
        <is>
          <t>Palm Springs, CA, US</t>
        </is>
      </c>
      <c r="H82" s="2" t="n">
        <v>46044</v>
      </c>
      <c r="I82" t="inlineStr">
        <is>
          <t>##### **Description**
The NextGen Software Developer analyzes, designs and develops creative solutions improving workflows and performance in the NextGen environment.
##### **Professional Duties**
* Analyzes, designs, and develops various applications that streamline and improve workflows.
* Develops enhancements and modifications for the NextGen system.
* Understands and analyzes the system for various applications, servers, and databases.
* Documents operational processes as part of the NextGen application and other tasks created by the development team.
* Identifies and recommends opportunities to improve performance through improvements in NextGen application, database, and server configuration.
* Works collaboratively with team following standards and procedures to deploy effective and efficient NextGen solutions.
* Shares knowledge and information within the team to maintain integrated processes.
* Performs all other duties as assigned.
* Be knowledgeable about your job so that you can serve others effectively
* Do your share. Do what you say you will do and take action, follow through. Be willing to pitch in and help
* Be an active listener (make eye contact, validate)
* Assume a neutral position and suspend judgment of others
* Be accountable for your work
* Speak positively about your work, co\-workers and Desert Oasis Healthcare and Family Hospice Care
* See the positive in situations and in others
* Avoid gossip and negativity
##### **Qualifications**
* Bachelor’s degree required, may be substituted with 3\-5 years of experience in a related Information Technology field.
* Minimum of 2 years experience in software development, management and utilization, required.
* Knowledge of NextGen development, or Microsoft Access development, or similar database form design, SQL queries and stored procedures, XML, HL7, database structure and administration, APIs. Familiarity with database reports, server administration, and network protocols.
* Proficiency in User Interface (UI) and User Experience (UX) design. EHR and Microsoft Access experience, preferred.
* Excellent communication skills, detail oriented, critical thinking and problem solving skills. Excellent customer service and telephone etiquette skills.
* Able to work well with others and maintain positive working relationships.
* Clinical experience preferred.
* At the discretion of DOHC/FHC management, this position has the potential to be a full or hybrid telecommuting position.
##### **Physical Demands**
**Type** **Description**  
Sitting Approximately 70% of day.  
Standing Approximately \&gt; 15% of day.  
Walking Approximately \&gt; 15% of day.  
Lifting 0 \- 20 lbs. (equipment, supplies) approximately \&gt;10% of day.  
Bending Approximately \&gt;10% of day. Kneeling \&lt;20%.  
Hearing/Visual Acuity Adequate for use with computers, telephone and/or Blackberry. Approximately 50% of day.  
Computer Highly technical work environment. Must be able to work minimum of 6 hours a day using keyboard, mouse and monitor.  
Reaching Above head 75 degrees approximately 25% of day.  
Hand grip dexterity Approximately 40% of day.</t>
        </is>
      </c>
    </row>
    <row r="83">
      <c r="A83" t="inlineStr">
        <is>
          <t>in-c4e1e3d1fc2f161d</t>
        </is>
      </c>
      <c r="B83" t="inlineStr">
        <is>
          <t>Staff Backend Engineer</t>
        </is>
      </c>
      <c r="C83" t="inlineStr"/>
      <c r="D83" t="inlineStr">
        <is>
          <t>indeed</t>
        </is>
      </c>
      <c r="E83">
        <f>HYPERLINK("https://www.indeed.com/viewjob?jk=c4e1e3d1fc2f161d", "https://www.indeed.com/viewjob?jk=c4e1e3d1fc2f161d")</f>
        <v/>
      </c>
      <c r="F83">
        <f>HYPERLINK("https://jobs.lever.co/getcircuit/0eec35cd-dd05-405f-85f0-d59b3304802e", "https://jobs.lever.co/getcircuit/0eec35cd-dd05-405f-85f0-d59b3304802e")</f>
        <v/>
      </c>
      <c r="G83" t="inlineStr">
        <is>
          <t>Austin, TX, US</t>
        </is>
      </c>
      <c r="H83" s="2" t="n">
        <v>46044</v>
      </c>
      <c r="I83" t="inlineStr">
        <is>
          <t>**About Circuit**
Circuit is building the world’s first company\-centric knowledge network. Our AI\-powered platform turns fragmented information into actionable knowledge that can be securely shared across partners, vendors, and customers. Backed by a senior team and early enterprise traction, we’re moving fast, and we’re looking for a Staff Backend Engineer to help us scale our backend infrastructure as we onboard more customers and expand our agentic capabilities. **The Role**
As a Staff Backend Engineer, you’ll play a critical role in shaping and scaling Circuit’s backend systems and infrastructure. You’ll own complex backend services built primarily in Go, with a focus on resilience, scalability, and performance under increasing load. A significant portion of Circuit’s agentic functionality lives in the backend, and you’ll be instrumental in ensuring it can evolve and handle new levels of demand.  
Our teams operate with a high degree of independence and ownership. Engineers are expected to communicate early and clearly to avoid surprises, act with urgency, and fix issues without waiting to be asked. We hold a high bar for quality while shipping frequently, testing assumptions early, and learning quickly from real\-world feedback. You’ll often work through ambiguity—framing problems, asking the right questions, and making progress with incomplete information. Curiosity and internal drive matter: we expect engineers to deeply understand the systems they build, the customers they serve, and how their work creates real\-world impact.### **Key Responsibilities**
+ Lead design, implementation, and scaling of backend infrastructure and services, primarily in Go.
+ Ensure backend systems are resilient, observable, and performant under high customer load.
+ Drive architectural decisions for long\-term scalability and maintainability.
+ Contribute significant code to core backend systems, focusing on efficiency, robustness, and developer velocity.
+ Establish and promote engineering best practices across the backend team.
+ Collaborate closely with product, ML, and frontend teams to deliver high\-quality features.
+ Mentor and support other engineers, fostering growth and knowledge sharing.
### **Experience**
+ Proven track record turning ambiguous problem statements into shipped, reliable backend systems, owning work end\-to\-end from design through production.
+ Significant expertise in Go, with deep knowledge of performance optimization, concurrency, and distributed systems.
+ Experience running services at scale (thousands to millions of requests per second), anticipating scalability, reliability and downstream system impactStrong background in service\-oriented architecture, microservices, and API design, with a systems\-level view of lifecycle costs and long\-term maintainability.
+ Proficiency with containerization and orchestration (Docker, Kubernetes).
+ Hands\-on experience designing observable and operable systems, using metrics, logs, traces, testing, and alerts to detect and diagnose issues early. (Datadog, Prometheus, OpenTelemetry, etc.).Experience with databases (SQL and NoSQL) and designing data\-intensive systems.
+ Hands\-on experience stepping outside core backend ownership into one or more of infrastructure (cloud, IaC), ML systems (Python), or frontend (React) to solve integration problems, unblock teams, and directly implement features end\-to\-end when that is the fastest path to impact.
### **Human Skills**
+ Team first, low ego. Optimizes for team and company outcomes over individual wins; challenges ideas with data and reasoning, shares context early, and commits fully once decisions are made.
+ Strong sense of ownership; takes responsibility for outcomes, not just tasks, acts with urgency without waiting to be asked, and leaves systems better than they found them.
+ Bias to action and learning; ships frequently, tests high\-impact assumptions early, and uses small, safe\-to\-fail experiments to learn from real feedback.
+ Customer\-impact focused; cares deeply about how reliability, latency, and correctness shape real\-world user outcomes and trust.
+ Intrinsically motivated; maintains momentum without external pressure and pushes work through ambiguity to real outcomes.
+ Curious and continuously learning; seeks deep understanding of the product, systems, and users, and challenges assumptions in pursuit of better results.
### **What We Offer**
+ **Early\-Stage Ownership:** Join at the ground floor of a company with real traction and momentum.
+ **Empowered Culture:** We value autonomy, candor, and craft. You'll be trusted to lead.
+ **Cutting\-Edge Tech:** Work with the latest in AI, backend systems, and intelligent infrastructure.
+ **Meaningful Impact:** Shape a platform that transforms how organizations activate knowledge.
+ **Holistic Benefits:** Competitive comp, equity, 100% paid healthcare, 401K, flexible PTO, and a team that truly cares.
**Equal\-Opportunity Employer**
We are an equal\-opportunity employer and value diversity at our company. We do not discriminate on the basis of race, religion, color, national origin, gender, sexual orientation, age, marital status, veteran status, or disability status. **Who Should Apply**If you’re a senior backend engineer with deep Go expertise, excited about scaling infrastructure under real\-world load, and motivated to shape the future of agentic systems at a fast\-moving startup, we’d love to hear from you!</t>
        </is>
      </c>
    </row>
    <row r="84">
      <c r="A84" t="inlineStr">
        <is>
          <t>in-2092d370e7aba528</t>
        </is>
      </c>
      <c r="B84" t="inlineStr">
        <is>
          <t>Senior Software Engineer (.NET Backend)</t>
        </is>
      </c>
      <c r="C84" t="inlineStr">
        <is>
          <t>EX Squared</t>
        </is>
      </c>
      <c r="D84" t="inlineStr">
        <is>
          <t>indeed</t>
        </is>
      </c>
      <c r="E84">
        <f>HYPERLINK("https://www.indeed.com/viewjob?jk=2092d370e7aba528", "https://www.indeed.com/viewjob?jk=2092d370e7aba528")</f>
        <v/>
      </c>
      <c r="F84">
        <f>HYPERLINK("https://exsquaredlatam.breezy.hr/p/b03ccf136f74-senior-software-engineer-net-backend", "https://exsquaredlatam.breezy.hr/p/b03ccf136f74-senior-software-engineer-net-backend")</f>
        <v/>
      </c>
      <c r="G84" t="inlineStr">
        <is>
          <t>Remote, US</t>
        </is>
      </c>
      <c r="H84" s="2" t="n">
        <v>46044</v>
      </c>
      <c r="I84" t="inlineStr">
        <is>
          <t>**Senior Software Engineer (.NET Backend)**
At EX Squared LATAM, we partner with leading engineering organizations to build scalable, high\-impact digital products. We are looking for a Senior Software Engineer (.NET Backend) with strong backend fundamentals and experience designing and building robust, scalable APIs and microservices. This role is ideal for an engineer who applies modern software engineering practices, architectural thinking, and clean code principles in cloud\-ready environments.
**What You Will Do**
* Design, develop, and maintain backend services and RESTful APIs using .NET Core and C\#.
* Build and evolve microservices\-based architectures, ensuring scalability, reliability, and maintainability.
* Design and optimize SQL Server schemas, queries, and stored procedures with a strong focus on performance.
* Apply design patterns and solid architectural principles to backend systems.
* Develop containerized applications using Docker and contribute to container\-based workflows.
* Collaborate within Agile (Scrum) teams, participating in planning, refinements, reviews, and retrospectives.
* Own the full engineering lifecycle, including development, code reviews, testing, documentation, and continuous improvement.
* Work closely with product managers, architects, and other engineers to deliver long\-term, sustainable solutions.
* Evaluate technical tradeoffs and propose backend designs that align with business and scalability needs.
**What You Will Bring**
* 7\+ years of experience as a Software Engineer, primarily in backend development.
* Strong hands\-on experience with .NET Core and C\#.
* Proven experience designing and developing REST APIs.
* Solid experience working with microservices architectures.
* Advanced knowledge of SQL Server, including query optimization and database design.
* Strong understanding and practical application of design patterns and clean code principles.
* Experience using Docker for containerized applications.
* Familiarity with Agile methodologies, particularly Scrum.
* Strong analytical and problem\-solving skills.
* Intermediate English proficiency for technical communication and collaboration.
* Experience with cloud platforms (AWS, Azure, or equivalent).
* Exposure to CI/CD pipelines and DevOps practices.
* Experience working in enterprise\-scale or distributed systems.
* Familiarity with monitoring, logging, or observability tools.
**Why Join EX Squared?**
* A modern engineering culture focused on technical excellence and autonomy.
* Collaboration with senior engineers across LATAM on impactful systems for U.S.\-based clients.
* Emphasis on code quality, ownership, and long\-term architecture, not just short\-term delivery.
* Opportunities to grow technically and take on leadership responsibilities.
**What We Offer**
* Competitive compensation in USD, aligned with senior backend engineering experience.
* 100% remote work from anywhere in Latin America.
* Exposure to modern architectures, backend technologies, and complex systems.
* Continuous learning opportunities and professional development programs.
* A collaborative and inclusive environment where your work creates real impact.</t>
        </is>
      </c>
    </row>
    <row r="85">
      <c r="A85" t="inlineStr">
        <is>
          <t>in-41b0a9168d0d77d2</t>
        </is>
      </c>
      <c r="B85" t="inlineStr">
        <is>
          <t>Software Engineer/Test - Lead</t>
        </is>
      </c>
      <c r="C85" t="inlineStr">
        <is>
          <t>Peraton</t>
        </is>
      </c>
      <c r="D85" t="inlineStr">
        <is>
          <t>indeed</t>
        </is>
      </c>
      <c r="E85">
        <f>HYPERLINK("https://www.indeed.com/viewjob?jk=41b0a9168d0d77d2", "https://www.indeed.com/viewjob?jk=41b0a9168d0d77d2")</f>
        <v/>
      </c>
      <c r="F85">
        <f>HYPERLINK("https://www.careers.peraton.com/jobs/software-engineer-test-lead-undefined-undefined-162933-jobs--information-technology--", "https://www.careers.peraton.com/jobs/software-engineer-test-lead-undefined-undefined-162933-jobs--information-technology--")</f>
        <v/>
      </c>
      <c r="G85" t="inlineStr">
        <is>
          <t>US</t>
        </is>
      </c>
      <c r="H85" s="2" t="n">
        <v>46044</v>
      </c>
      <c r="I85"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seeking a **Test Lead** to support the **NOAA AWIPS** program, the nationwide weather forecasting platform relied upon by more than 150 operational sites. In this role, you will lead system\-level testing, verification, and validation efforts to ensure AWIPS delivers reliable, high\-performance capabilities critical to national weather operations.  
**This position is hybrid. Must be local to one of the following Peraton facilities: Melbourne, FL, Aurora, CO, Herndon, VA, San Antonio, TX, Houston, TX, Omaha, NE, Huntsville, AL, King of Prussia, PA, or Silver Spring, MD**  
**What You'll Do:**  
* Lead system, integration, regression, and acceptance testing activities
* Develop test plans, procedures, traceability matrices, and final reports
* Coordinate test execution with engineers and stakeholders
* Support test readiness reviews, defect tracking, and requirements compliance
* Perform system\-level integration and testing of COTS and custom software
* Execute testing in Linux environments; create and modify scripts (Bash, Python, etc.)
* Support Agile development using JIRA and automated testing tools.
**Qualifications**  
**Required Qualifications:**  
* Minimum of 12 years with BS/BA; Minimum of 10 years with MS/MA; Minimum of 7 years with Ph.D.
* 4 years of relevant experience will be considered in lieu of a bachelor's degree.
* 5\+ years of test engineering, verification/validation, or system integration experience.
* Experience developing test plans, procedures, and traceability matrices.
* Familiarity with Linux, distributed systems, and operational testing.
* Experience supporting regression and integration testing in Agile environments.
* Ability to obtain and maintain a Public Trust.
**Preferred Qualifications:**  
* Experience supporting NOAA, NWS, or other environmental or weather\-focused operational systems.
* Active/Current Public Trust
**\*\* This position is contingent upon contract award \*\***  
\#AWIPS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86">
      <c r="A86" t="inlineStr">
        <is>
          <t>in-59bee2a7045dd18e</t>
        </is>
      </c>
      <c r="B86" t="inlineStr">
        <is>
          <t>Junior Cloud Software Engineer</t>
        </is>
      </c>
      <c r="C86" t="inlineStr">
        <is>
          <t>Peraton</t>
        </is>
      </c>
      <c r="D86" t="inlineStr">
        <is>
          <t>indeed</t>
        </is>
      </c>
      <c r="E86">
        <f>HYPERLINK("https://www.indeed.com/viewjob?jk=59bee2a7045dd18e", "https://www.indeed.com/viewjob?jk=59bee2a7045dd18e")</f>
        <v/>
      </c>
      <c r="F86">
        <f>HYPERLINK("https://www.careers.peraton.com/jobs/junior-cloud-software-engineer-laurel-maryland-163033-jobs--information-technology--", "https://www.careers.peraton.com/jobs/junior-cloud-software-engineer-laurel-maryland-163033-jobs--information-technology--")</f>
        <v/>
      </c>
      <c r="G86" t="inlineStr">
        <is>
          <t>Laurel, MD, US</t>
        </is>
      </c>
      <c r="H86" s="2" t="n">
        <v>46044</v>
      </c>
      <c r="I8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Overview**Provides IC data management support to modernize mega data repositories, dataflow management, data provenance and compliance validation, and streaming solutions.  
**About The Role**  
**Job Description**: This is a position on an integrated product development team. The candidate will have a primary focus of supporting all aspects of agile software design and development for a full featured service hosted on large scale compute clusters and AWS Cloud Infrastructure. Duties include design, development, testing and integration of capabilities, optimization \&amp; performance tuning, and operation \&amp; sustainment functions.  
**Key Role:** As a Cloud Software Engineer, you are expected to perform requirements analysis, software design, development, installation, integration, evaluation, enhancement, maintenance, testing, and problem diagnosis/resolution at a high level of proficiency and independence. You are expected to communicate directions and provide guidance to more junior programmer/analysts, as required. Cloud Software Engineers must be adept at developing solutions which balance cost, capability, availability and resilience. Additionally, Cloud Software Engineers may be responsible for evaluating project needs, determining tasks and durations, and generating and reviewing designs for technical accuracy, completeness.  
**Qualifications**  
* A Bachelor's Degree in Computer Science or in a related technical field from an accredited college or university is highly desired which will be considered equivalent to two (2\) years of experience. NOTE: A degree in Mathematics, Information Systems, Engineering, or similar degree will be considered as a technical field.
* Shall have a total of at least 2 years of experience in software development/engineering, including requirements analysis, software development, installation, evaluation, enhancement, maintenance, and problem diagnosis/resolution. Understanding of how to construct Gherkin to capture the desired behavior of a system
* Active TS/SCI security clearance with current polygraph is required
* Experience with Large Language Models (LLM) and Retrieval\-Augmented Generation (RAG)
* Proficiency in using AWS SDKs and APIs
* Expertise in Continuous Integration, Deployment, Testing and Monitoring practices
* Java programming for distributed systems, with experience in networking and multi\-threading
* Agile development experience with source code management practices and tools
* Well\-grounded in Linux fundamentals and knowledge in at least one scripting language (e.g. Python, Ruby, Perl, etc.)
* Familiarity with microservices software development techniques and container\-orchestration (e.g., Kubernetes)
* Knowledge of security and compliance best practices
Benefits:  
Peraton offers enhanced benefits to employees supporting this critical National Security program, which include heavily subsidized employee benefits coverage for you and your dependents, 25 days of PTO accrued annually up to a generous PTO cap, and eligibility to participate in an attractive bonus plan.  
**SCA / Union / Intern Rate or Range**  
**Details**  
Target Salary Range: $80,000 \- $128,000\.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87">
      <c r="A87" t="inlineStr">
        <is>
          <t>in-e9738097ee5c78ae</t>
        </is>
      </c>
      <c r="B87" t="inlineStr">
        <is>
          <t>Software Engineer &amp; Cloud Solutions Architect</t>
        </is>
      </c>
      <c r="C87" t="inlineStr">
        <is>
          <t>RED COATS, INC.</t>
        </is>
      </c>
      <c r="D87" t="inlineStr">
        <is>
          <t>indeed</t>
        </is>
      </c>
      <c r="E87">
        <f>HYPERLINK("https://www.indeed.com/viewjob?jk=e9738097ee5c78ae", "https://www.indeed.com/viewjob?jk=e9738097ee5c78ae")</f>
        <v/>
      </c>
      <c r="F87">
        <f>HYPERLINK("https://careers-redcoats.icims.com/jobs/16123/job?utm_source=indeed_integration&amp;iis=Job%20Board&amp;iisn=Indeed&amp;indeed-apply-token=73a2d2b2a8d6d5c0a62696875eaebd669103652d3f0c2cd5445d3e66b1592b0f", "https://careers-redcoats.icims.com/jobs/16123/job?utm_source=indeed_integration&amp;iis=Job%20Board&amp;iisn=Indeed&amp;indeed-apply-token=73a2d2b2a8d6d5c0a62696875eaebd669103652d3f0c2cd5445d3e66b1592b0f")</f>
        <v/>
      </c>
      <c r="G87" t="inlineStr">
        <is>
          <t>Bethesda, MD, US</t>
        </is>
      </c>
      <c r="H87" s="2" t="n">
        <v>46044</v>
      </c>
      <c r="I87" t="inlineStr">
        <is>
          <t>Overview:
Job Title: **Software Engineer \&amp; Cloud Solutions Architect**
Department: Information Technology
Reports To: Director of Information Technology Services
Location: Red Coats, Inc. Bethesda MD. 20814 (IN OFFICE)
Employment Type: Full\-Time Salaried Exempt **Position Summary**  
The Software Engineer \&amp; Cloud Solutions Architect serves as a technical leader responsible for designing, architecting, and delivering enterprise\-grade custom applications and cloud modernization initiatives. This strategic role bridges complex business requirements with robust technical execution, leading full\-stack development, mission\-critical third\-party integrations, and the organization\-wide transition from legacy on\-premises infrastructure to secure, scalable cloud environments.
The position functions as the Tier 3 escalation authority for critical technical incidents and provides executive\-level architectural guidance to senior leadership on modernization strategy, security compliance, and long\-term technology roadmaps.
Responsibilities:
**Key Responsibilities*** Lead the design, development, and deployment of scalable, custom enterprise applications using a modern technology stack including HTML, CSS, JavaScript (Liquid), C\#, Python, and Microsoft Power Platform (Power Pages, Power Automate, Dataverse).
* Architect and implement high\-impact business solutions, such as the Card Shop v2 e\-commerce platform, with seamless integration of third\-party RESTful APIs (FedEx shipping, Stripe payments, Google services).
* Drive the strategic migration of legacy on\-premises systems to cloud\-native architecture (primarily Azure), evaluating infrastructure, defining modernization paths, and optimizing cost, performance, and security.
* Identify and automate manual business processes, including API\-driven workflows for shipping label generation, data synchronization, and cross\-system orchestration.
* Perform advanced root\-cause analysis, network forensics, and log interpretation for Tier 3 incident resolution, serving as the final point of escalation for high\-severity issues.
* Participate in strategic planning sessions, delivering technical feasibility assessments, risk evaluations, and recommendations for new platforms and initiatives.
* Mentor technical team members and champion best practices in secure coding, cloud governance, and architectural standards.
Qualifications:
**Qualifications \&amp; Experience*** 5\+ years of progressive professional experience in software engineering, systems architecture, and cloud infrastructure modernization.
* Expert\-level proficiency in full\-stack web development (HTML, CSS, JavaScript/Liquid) and backend development (C\#, Python, or equivalent).
* Deep expertise in Microsoft Power Platform, Azure cloud services, SQL Server, and identity management technologies (OAuth, Auth0\).
* Proven track record designing and implementing complex API integrations and enterprise automation solutions.
* Demonstrated ability to troubleshoot and resolve mission\-critical systems at Tier 3 level.
* Strong understanding of secure development practices, compliance frameworks, and cloud security principles.
* Excellent communication skills with the ability to translate technical concepts for executive stakeholders.
 **Preferred Qualifications*** Experience leading cloud migration programs and modernizing legacy environments.
* Familiarity with government compliance standards (e.g., CMMC, DFARS) and penetration testing methodologies.
* Prior success delivering revenue\-impacting solutions through automation and process optimization.
* Bachelor’s degree in computer science, information technology, software engineering, or a closely related field is preferred, or equivalent relevant prior experience.
* Relevant industry certifications are a strong plus.
This role is ideal for a seasoned technical leader who thrives at the intersection of strategic architecture, hands\-on development, and high\-stakes problem resolution. Compensation will be commensurate with experience and market benchmarks for software engineering and architecture roles in the DC Metro region.  
Note: We place primary emphasis on demonstrated hand\-on experience, proven impact through complex project delivery, and the ability to solve mission\-critical technical challenges. Candidates with significant real\-world expertise who may not possess a traditional degree are strongly encouraged to apply.  
We are an equal opportunity employer committed to building a diverse and inclusive workforce. **Why Join Red Coats?**
* Collaborative and professional work environment with opportunities for growth and advancement.
* Competitive salary and comprehensive benefits package.
* Opportunity to make a meaningful impact on the company’s financial performance and long\-term success.</t>
        </is>
      </c>
    </row>
    <row r="88">
      <c r="A88" t="inlineStr">
        <is>
          <t>in-c86165afec85cc09</t>
        </is>
      </c>
      <c r="B88" t="inlineStr">
        <is>
          <t>Software Engineer, GPU</t>
        </is>
      </c>
      <c r="C88" t="inlineStr">
        <is>
          <t>Waymo</t>
        </is>
      </c>
      <c r="D88" t="inlineStr">
        <is>
          <t>indeed</t>
        </is>
      </c>
      <c r="E88">
        <f>HYPERLINK("https://www.indeed.com/viewjob?jk=c86165afec85cc09", "https://www.indeed.com/viewjob?jk=c86165afec85cc09")</f>
        <v/>
      </c>
      <c r="F88">
        <f>HYPERLINK("https://careers.withwaymo.com/jobs/software-engineer-gpu-mountain-view-california-united-states-new-york-city-new-york-255f286a-20cd-4ded-a5c5-7060007002f3", "https://careers.withwaymo.com/jobs/software-engineer-gpu-mountain-view-california-united-states-new-york-city-new-york-255f286a-20cd-4ded-a5c5-7060007002f3")</f>
        <v/>
      </c>
      <c r="G88" t="inlineStr">
        <is>
          <t>Mountain View, CA, US</t>
        </is>
      </c>
      <c r="H88" s="2" t="n">
        <v>46044</v>
      </c>
      <c r="I88" t="inlineStr">
        <is>
          <t>MOUNTAIN VIEW, CALIFORNIA, UNITED STATES. NEW YORK CITY, NEW YORK, UNITED STATES
FULL\-TIME
SOFTWARE ENGINEERING
4531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Compute Team is tasked with a critical and exciting mission: We deliver the compute platform responsible for running the fully autonomous vehicle’s software stack. To achieve our mission, we architect and create high\-performance custom silicon; we develop system\-level compute architectures that push the boundaries of performance, power, and latency; and we collaborate closely with many other teammates to ensure we design and optimize hardware and software for maximum performance. We are a multidisciplinary team seeking curious and talented teammates to work on one of the world’s highest performance automotive compute platforms.
In this hybrid role, you will report to a Senior Software Engineer.
**You will:**
* Develop high\-performance GPU primitives and abstractions to enable Waymo to scale its accelerator codebase across diverse GPU backends
* Collaborate with Waymo's internal hardware team and external partners on SoC projects with a focus on the GPU portion
* Manage the bring\-up, correctness, and performance of the Waymo onboard stack on new GPU platforms
* Contribute to testing infrastructure that enhances the CI/CD flow for GPUs, detects bugs early, and generates automated alerts to maintain the GPU stack's functionality and performance
* Create profiler and debugger tools for new GPU platforms
**You have:**
* Proven expertise in C\+\+ programming
* Bachelor degrees in EECS, coupled with a minimum of three years of industry experience
* Experience with full\-system simulation frameworks (SystemC, Gem5 or similar)
* Solid understanding of GPU hardware architecture
* Proficiency in utilizing performance analysis tools and debuggers
* Enthusiasm for developing the complete GPU software stack, from the hardware level to real\-world applications
**We prefer:**
* Knowledge of Linux device drivers and embedded firmware
* Experience with diverse GPU deployment environments
* Proficiency in GPU optimization techniques, including memory coalescing, register/shared memory tiling, pinned memory, and warp\-level programming
* Familiarity with GPU libraries such as Thrust, CUB, CUTLASS, or Eigen
* Experience collaborating with external operators to ensure high quality standards
* Experience contributing to open\-source compiler projects such as LLVM or SPIR\-V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89">
      <c r="A89" t="inlineStr">
        <is>
          <t>in-dfee5cbd75bbcd83</t>
        </is>
      </c>
      <c r="B89" t="inlineStr">
        <is>
          <t>Principal Software Engineer, ML Flywheel Technical Lead</t>
        </is>
      </c>
      <c r="C89" t="inlineStr">
        <is>
          <t>Waymo</t>
        </is>
      </c>
      <c r="D89" t="inlineStr">
        <is>
          <t>indeed</t>
        </is>
      </c>
      <c r="E89">
        <f>HYPERLINK("https://www.indeed.com/viewjob?jk=dfee5cbd75bbcd83", "https://www.indeed.com/viewjob?jk=dfee5cbd75bbcd83")</f>
        <v/>
      </c>
      <c r="F89">
        <f>HYPERLINK("https://careers.withwaymo.com/jobs/principal-software-engineer-ml-flywheel-technical-lead-mountain-view-california-united-states-san-francisco", "https://careers.withwaymo.com/jobs/principal-software-engineer-ml-flywheel-technical-lead-mountain-view-california-united-states-san-francisco")</f>
        <v/>
      </c>
      <c r="G89" t="inlineStr">
        <is>
          <t>Mountain View, CA, US</t>
        </is>
      </c>
      <c r="H89" s="2" t="n">
        <v>46044</v>
      </c>
      <c r="I89" t="inlineStr">
        <is>
          <t>MOUNTAIN VIEW, CALIFORNIA, UNITED STATES \| SAN FRANCISCO, CALIFORNIA, UNITED STATES
FULL\-TIME
SOFTWARE ENGINEERING
4515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Every mile driven by a Waymo car is a unique and valuable piece of data that can be leveraged into improving our machine learning models, and ultimately the safety and capabilities of the Waymo Driver. Charting the path from collection of a piece of data, to curation, (auto\-)labeling, model training and evaluation, all the way to model deployment and monitoring is a process of continuous scaling and quality improvement of the entire ML lifecycle. The Area Technical Lead for the Waymo machine learning flywheel is responsible for architecting, connecting, automating and improving the entire span of this self\-improvement process in close collaboration with Waymo’s infrastructure, modeling and evaluation teams. They are directly accountable to Waymo’s leadership for the organization’s ML data strategy and its impact on Driver quality.
You will report directly to our Distinguished Engineer, Foundation Models.
**You Will:**
* Architect a path towards every autonomous mile driven by a Waymo car to be automatically incorporated into an automated data\-driven self\-improvement loop for the Waymo Driver.
* Enable a data flywheel to serve the demands of scalable pre\-training, post\-training targeted to relevant critical behaviors, as well as Driver simulation and validation.
* Enable a modeling flywheel to efficiently consume that data to reliably generate updated models that are validated and deployable with minimal human toil.
* Coordinate cross\-functional efforts in partnership with data and ML infrastructure teams, resource planning, logging infrastructure, modeling and validation teams to accelerate the velocity, impact and leverage of driving data on the Waymo Driver.
* Act as the steward of data quality, by providing tooling and metrics to evaluate the impact of mining, selection and curation on the modeling pipeline performance.
* Articulate the strategy for incorporating diverse data sources, including third\-party and synthetic data into that improvement flywheel.
* Drive innovation across all axes of performance and efficiency, from Driver quality, to scalability, cost, engineering velocity, model architecture and performance.
**You Have:**
* Master's degree or PhD in Computer Science, Engineering, or a related technical field
* 10\+ years of experience in ML model development, and you have 2\+ years experience with large\-scale vision, video, or multi\-modal foundation model development and their integration in end\-to\-end models
* 6\+ years of experience in ML\-driven production systems that develops models with large\-scale data, training, evaluation, and deployment
* 6\+ years of experience in a technical leadership role leading technical teams and setting technical directions in large ML Engineering organizations
* Demonstrated expertise in large\-scale machine learning and its key components: pre\-training, post\-training, and validation. Deep understanding of both infrastructure and quality aspects.
* Track record of architecting and standing up a machine learning flywheel at scale for mission critical applications.
* Experience with driving model quality improvements through systematic data scaling and curation.
* Communication and interpersonal skills. Ability to inspire, influence and coordinate across functions and disciplines.
**We Prefer:**
* PhD in computer science.
* Experience in multi\-modal LLM model development, and their infrastructure.
* Familiarity with multi\-task, end\-to\-end models and their development challenges.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$332,000—$421,000 USD</t>
        </is>
      </c>
    </row>
    <row r="90">
      <c r="A90" t="inlineStr">
        <is>
          <t>in-67e7622012ac5950</t>
        </is>
      </c>
      <c r="B90" t="inlineStr">
        <is>
          <t>Software Engineer 1</t>
        </is>
      </c>
      <c r="C90" t="inlineStr">
        <is>
          <t>Knorr-Bremse</t>
        </is>
      </c>
      <c r="D90" t="inlineStr">
        <is>
          <t>indeed</t>
        </is>
      </c>
      <c r="E90">
        <f>HYPERLINK("https://www.indeed.com/viewjob?jk=67e7622012ac5950", "https://www.indeed.com/viewjob?jk=67e7622012ac5950")</f>
        <v/>
      </c>
      <c r="F90">
        <f>HYPERLINK("https://careers.knorr-bremse.com/job/Westminster-Software-Engineer-1-MD-21157/1286894601/", "https://careers.knorr-bremse.com/job/Westminster-Software-Engineer-1-MD-21157/1286894601/")</f>
        <v/>
      </c>
      <c r="G90" t="inlineStr">
        <is>
          <t>Westminster, MD, US</t>
        </is>
      </c>
      <c r="H90" s="2" t="n">
        <v>46044</v>
      </c>
      <c r="I90" t="inlineStr">
        <is>
          <t>**LOCATION:** Westminster / Maryland (US\-MD), United States \| **BRAND:** Knorr Brake Company \| **REQUISITION ID:** 9583 \| **JOB GRADE:**14 \| **ON\-SITE/REMOTE:** On\-site
Knorr Brake Company is the innovative leader in the manufacture and supply of braking systems, passenger doors and climate\-control equipment for all types of Mass Transit customers such as: METRO, Light Rail Vehicles, High\-Speed Trains, Commuter Rail and Monorail Vehicles for the North America market. We’re part of the Knorr\-Bremse Group, the global leader in braking technologies. As part of our team, you’ll collaborate with a world of talented and dedicated colleagues whose sense of purpose complements your own. You’ll find rewarding opportunities, diverse experiences, partnerships, and an unwavering commitment to ethics and integrity. Innovation is part of our DNA. Achievement drives our culture. Learn more today at www.KnorrBrake.com!
**JOB DESCRIPTION:**
**Position Summary:**  
The Software Engineer will have the primarily responsibility of providing assurance that the software portion of a project fulfills commitments for the software product:  
* As specified in the customer and end user’s technical specifications and contract documents; In compliance with project\-specific, software related plans; Consistent with internal process requirements.
* The software product will be developed for HVAC systems.
**Essential Functions**
* Review customer and end user specifications and support proposal development.
* Prepare, maintain, and implement documentation to IEEE and/or EN standards
* Prepare and/or review software design documentation submitted to customers.
* Oversee specified software verification and validation tasks.
* Work with all other departments to execute projects
* Execute full software development life cycle (SDLC)
* Produce specifications and determine operational feasibility
* Integrate software components into a fully functional software system
* Develop software verification plans and quality assurance procedures
* Document and maintain software functionality
* Troubleshoot, debug and upgrade existing systems
* Deploy programs and evaluate user feedback
* Comply with project plans and industry standards
* Ensure software is updated with latest features
**Knowledge:**  
Must be familiar with embedded control system environments typical in hardware systems.  
A secondary responsibility is to provide support for format and correctness of software design documents required for submittal to the customer:  
* Meet IEEE or EN document content requirements
* Are correctly formatted for maximum readability
* Consistent with Merak's existing document templates
**Experience:**  
* 3\-5 years of similar experience working withing industrial environment.
* Executing full lifecycle software development including executing full SQA
* Programming well\-designed, testable, efficient code (Linux, Python, C, C\+\+,)
* Producing specifications and determining operational feasibility
* Supporting testing in and out of house
* Working with customers and other engineering groups to complete work on time and to requirements
**Skills:**  
* Maintain a safe, clean and healthy environment and ensure the compliance with company's rules and policies.
* Must be able to comply with quality, product safety, and HSE rules, guidelines and regulations. Be energy conscious, if applicable.
* Must understand and comply with applicable standards. ( i.e.: ISO 9001, ISO 22163, ISO 14001, ISO 45001, ISO 50001, AAR, and CMMI).
* Maintain and safeguard business
* Records.
**Education**  
* Bachelors degree in Engineering
The anticipated salary range for candidates who will work in Westminster, MD is $65,000 to $97,000 per year. The final pay offered to a successful candidate will be dependent on several factors that may include but are not limited to the type and years of experience within the job, the type of years and experience within the industry and education. Westminster Merak RAIL is a multi\-state employer, and this pay scale may not reflect positions that work in other states or locations. Provided they meet all eligibility requirements under the applicable plan documents, employees (and their eligible dependents) will be eligible to enroll in group healthcare plans that offer medical, dental, vision, and basic life and disability insurance. Employees also will be able to enroll in our company’s 401k plan. Employees will also receive 120 hours of vacation leave and 40 hours of Personal Paid Absence every year. Employees will also enjoy 12 paid holidays, and 1 floating holiday throughout the calendar year, subject to relevant terms outlined in the employee handbook. 6 weeks of paid parental leave will also be available for use. Requirements for these benefits will be controlled by applicable plan documents and policies. Employees working on federal contracts covered by the Federal Paid Sick Leave requirements will be notified and will receive benefits consistent and compliant with the FPSL requirements. Hired applicant will be able to purchase company stock, subject to the relevant plan documents and annual bonuses based on achievement of certain metrics of up to 4% of annual salary. This is intended to provide a general description of benefits and other compensation and is not a substitute for applicable plan documents or company policies. Applications for this position are accepted on an ongoing basis.  
*Please note: At this time, we are not able to offer immigration sponsorship for new hires. All applicants must be currently authorized to work in the United States on a full\-time basis without the need for current or future employment\-based visa sponsorship.***What does Knorr Brake Company have to offer you?**
* Competitive Health Benefits, including Medical, Prescription, Dental, Vision and Virtual visits
* Company\-paid Basic Life and Accidental Death \&amp; Dismemberment Insurance
* Company\-paid Short\-Term Disability Coverage
* Voluntary life, Disability and other Supplemental coverages
* Identity Theft and Legal Protection benefits
* Health and Dependent Care Flexible Spending Accounts
* Health Savings Accounts
* Generous 401(k) plan
* Tuition Reimbursement
* Free corporate passes to the Baltimore Zoo and Aquarium
* Free gym membership
* Additional discounts include cellular, auto, theme park \&amp; attraction tickets, local restaurants, bank partnerships, etc.
* Generous Paid Time Off
* Paid “KBC Cares” Volunteer Time Off
* 12 company\-paid holidays (includes full week between Christmas and New Year’s)
* Monthly employee welfare events and corporate outreach (Crab Feast, Take Your Daughters and Sons to Work Day, Chili Cook\-Off, etc.)
Knorr Brake Company LLC is an Equal Employment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t>
        </is>
      </c>
    </row>
    <row r="91">
      <c r="A91" t="inlineStr">
        <is>
          <t>in-6c93d05ff0f3765f</t>
        </is>
      </c>
      <c r="B91" t="inlineStr">
        <is>
          <t>Software Engineer Lead - Capital Markets</t>
        </is>
      </c>
      <c r="C91" t="inlineStr">
        <is>
          <t>Truist</t>
        </is>
      </c>
      <c r="D91" t="inlineStr">
        <is>
          <t>indeed</t>
        </is>
      </c>
      <c r="E91">
        <f>HYPERLINK("https://www.indeed.com/viewjob?jk=6c93d05ff0f3765f", "https://www.indeed.com/viewjob?jk=6c93d05ff0f3765f")</f>
        <v/>
      </c>
      <c r="F91">
        <f>HYPERLINK("https://careers.truist.com/us/en/job/TBJTBFUSR0110508EXTERNALENUS/Software-Engineer-Lead-Capital-Markets?utm_source=indeed&amp;utm_medium=phenom-feeds", "https://careers.truist.com/us/en/job/TBJTBFUSR0110508EXTERNALENUS/Software-Engineer-Lead-Capital-Markets?utm_source=indeed&amp;utm_medium=phenom-feeds")</f>
        <v/>
      </c>
      <c r="G91" t="inlineStr">
        <is>
          <t>Charlotte, NC, US</t>
        </is>
      </c>
      <c r="H91" s="2" t="n">
        <v>46044</v>
      </c>
      <c r="I9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highly complex solutions with significant system linkages and dependencies and associated risk. Focus on applications specific to the Capital Markets technology platform. Lead and perform development efforts such as analysis, design, coding/creating, and testing. Participate in testing, implementation, maintenance, and escalated support of Truist's most complex solutions.**ESSENTIAL DUTIES AND RESPONSIBILITIES**
Following is a summary of the essential functions for this job. Other duties may be performed, both major and minor, which are not mentioned below. Specific activities may change from time to time.
1\. Development includes but not limited to analysis, technical design, customized coding, software integration, configuring solutions, or using applications supporting Equities, Fixed Income, Derivatives, Foreign Exchange, Loan Trading and Syndication, Investment Banking, Credit, Risk, and integration tools such as MuleSoft, TIBCO or other event\-driven message transmission capabilities or integration products to customize or generate a product.  
2\. Lead / conduct robust unit testing associated to user stories completed during the current sprint. Where possible, drive to achieve automated unit testing leveraging DevSecOps practices and tools implemented in the software development pipeline.  
3\. As a lead. ensures adherence to company and industry standards.  
4\. Provide technical consultation on extremely challenging or unusual situations.  
5\. Provide leadership / direction in the design, development and maintenance of solutions as well as play an active role as part of a platform team through the Product Development lifecycle.  
6\. Works within feature team framework providing oversight to scrum teams and engineering functions. As a member of this servant based team, will analyze features and facilitate decomposition to user story level using experience, judgment and precedents to solve product challenges requiring software solutions.  
7\. Work directly and consult with business stakeholders from initiation of the design process, the successful candidate will be responsible for delivering innovative, high quality working software to satisfy the business objective.  
8\. Leverage continuous engineering practices to effectively deliver business value. Responsible for supporting / overseeing integration and functional testing. Insure code is developed in accordance with the acceptance criteria established by the Product Owner.  
9\. Mentor less experienced teammates to build technical expertise.  
10\. May have people management responsibilities.
 **QUALIFICATIONS**
**Required Qualifications:**
The requirements listed below are representative of the knowledge, skill and/or ability required. Reasonable accommodations may be made to enable individuals with disabilities to perform the essential functions.
1\. Bachelor’s degree in computer science or information systems and seven years of experience as a developer or an equivalent combination of education and work experience  
2\. Ability to manage multiple competing priorities  
3\. Ability to solve problems in straightforward situations by analyzing possible solutions using experience, judgment, innovative thinking and precedents  
4\. Experience participating in Capital Markets initiatives with a focus on IT Delivery  
5\. Ability to communicate complex information in a logical and straightforward manner  
6\. Demonstrable experience working in an Agile delivery methodology  
7\. Capital Markets domain expertise – specific knowledge of the sales and trading lifecycle, relevant products being supported and a general understanding of the regulatory requirements  
8\. Ability to lead complex projects, ability to break the work down into manageable and easily understood scope  
9\. Sophisticated analytical skills and the ability to solve complex technical and business problems  
10\. Ability to influence others at senior levels to adopt a new perspective
 **Preferred Qualifications:**
1\. Master’s degree or MBA, CFA and ten years of experience or an equivalent combination of education and work experience  
2\. Banking or financial services experience  
3\. SaFE Agile certification or commensurate designation  
4\. Knowledge of one or more of the following: Data Analysis/Mining (R, Python), Business Intelligence (Qlikview, Tableau, MSPowerBI), Distributed (e.g. J2EE, .Net, Middleware, MuleSoft/TIBCO, WebServices, javascript), Database platforms such as SQL Server, Oracle, SnowFlake, PostgreSQL, Hadoop  
5\. Experience with automated development and operations (DevSecOps) leveraging an automated Software Development Lifecycle (Dev, Build, Test, Release) leveraging public cloud provider (AWS, Azure, Google, Oracle)  
6\. Experience supporting Capital Markets Regulatory Environment – (SEC, FINRA, CFTC, NFA, FED)  
7\. Experience supporting / integrating quant libraries  
8\. Experience to machine learning / AI principals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92">
      <c r="A92" t="inlineStr">
        <is>
          <t>in-4972be3ae84966cc</t>
        </is>
      </c>
      <c r="B92" t="inlineStr">
        <is>
          <t>Senior Software Engineer</t>
        </is>
      </c>
      <c r="C92" t="inlineStr">
        <is>
          <t>Team Penske</t>
        </is>
      </c>
      <c r="D92" t="inlineStr">
        <is>
          <t>indeed</t>
        </is>
      </c>
      <c r="E92">
        <f>HYPERLINK("https://www.indeed.com/viewjob?jk=4972be3ae84966cc", "https://www.indeed.com/viewjob?jk=4972be3ae84966cc")</f>
        <v/>
      </c>
      <c r="F92">
        <f>HYPERLINK("https://workforcenow.adp.com/mascsr/default/mdf/recruitment/recruitment.html?cid=1a56a2c9-ef1e-4c36-9a77-290e5ccc8338&amp;ccId=19000101_000001&amp;jobId=573961&amp;source=IN&amp;lang=en_US", "https://workforcenow.adp.com/mascsr/default/mdf/recruitment/recruitment.html?cid=1a56a2c9-ef1e-4c36-9a77-290e5ccc8338&amp;ccId=19000101_000001&amp;jobId=573961&amp;source=IN&amp;lang=en_US")</f>
        <v/>
      </c>
      <c r="G92" t="inlineStr">
        <is>
          <t>Mooresville, NC, US</t>
        </is>
      </c>
      <c r="H92" s="2" t="n">
        <v>46044</v>
      </c>
      <c r="I92" t="inlineStr">
        <is>
          <t>**Job Description:**
Team Penske is looking for a senior level Software Engineer in Mooresville, NC (on\-site position, this is not a remote or hybrid position) with expertise in C\#, ASP.NET Blazor, HTML/CSS, SQL, Docker containers, CI/CD pipelines, Windows \&amp; Linux file systems, and server\-side development. The successful candidate will be responsible for designing, developing, testing, deploying, and maintaining software applications that support our racing operations.
**Responsibilities**
* Design, develop, test, deploy, and maintain high\-quality software applications using C\#, ASP.NET Blazor, HTML/CSS, SQL
* Develop containerized applications using Docker containers and manage CI/CD pipelines to ensure efficient deployment of code changes
* Work with Linux file system and develop server\-side solutions for Linux environments
* Collaborate with cross\-functional teams to identify requirements and deliver software solutions that meet business needs
* Self\-manage projects and deadlines, prioritizing tasks effectively to meet project timelines
**Qualification**
* 5\+ years of experience in software development using C\#, ASP.NET Blazor, HTML/CSS, SQL
* Bachelor’s degree in Computer Science, Software Engineering, Information Technology, or a related field
* Experience developing containerized applications with Docker containers and managing CI/CD pipelines (e.g., Azure DevOps, Jenkins)
* Strong understanding of Windows \&amp; Linux file systems
* Experience with server\-side development for Linux environments
* Excellent problem\-solving skills, attention to detail, and ability to work independently in a fast\-paced environment
**Preferred Qualifications**
* Experience working with cloud\-based services such as Azure
* Familiarity with Agile methodologies (e.g., Scrum)
* Knowledge of DevOps practices and tools</t>
        </is>
      </c>
    </row>
    <row r="93">
      <c r="A93" t="inlineStr">
        <is>
          <t>in-fe1d6fa24f2474b2</t>
        </is>
      </c>
      <c r="B93" t="inlineStr">
        <is>
          <t>Software Developer</t>
        </is>
      </c>
      <c r="C93" t="inlineStr">
        <is>
          <t>Caribou Thunder</t>
        </is>
      </c>
      <c r="D93" t="inlineStr">
        <is>
          <t>indeed</t>
        </is>
      </c>
      <c r="E93">
        <f>HYPERLINK("https://www.indeed.com/viewjob?jk=fe1d6fa24f2474b2", "https://www.indeed.com/viewjob?jk=fe1d6fa24f2474b2")</f>
        <v/>
      </c>
      <c r="F93">
        <f>HYPERLINK("https://caribouthunder.com/careers/155?source=Indeed", "https://caribouthunder.com/careers/155?source=Indeed")</f>
        <v/>
      </c>
      <c r="G93" t="inlineStr">
        <is>
          <t>Colorado Springs, CO, US</t>
        </is>
      </c>
      <c r="H93" s="2" t="n">
        <v>46044</v>
      </c>
      <c r="I93" t="inlineStr">
        <is>
          <t>**Software Developer**</t>
        </is>
      </c>
    </row>
    <row r="94">
      <c r="A94" t="inlineStr">
        <is>
          <t>in-8d5e625cbdbadc41</t>
        </is>
      </c>
      <c r="B94" t="inlineStr">
        <is>
          <t>Software Engineer</t>
        </is>
      </c>
      <c r="C94" t="inlineStr">
        <is>
          <t>Caribou Thunder</t>
        </is>
      </c>
      <c r="D94" t="inlineStr">
        <is>
          <t>indeed</t>
        </is>
      </c>
      <c r="E94">
        <f>HYPERLINK("https://www.indeed.com/viewjob?jk=8d5e625cbdbadc41", "https://www.indeed.com/viewjob?jk=8d5e625cbdbadc41")</f>
        <v/>
      </c>
      <c r="F94">
        <f>HYPERLINK("https://caribouthunder.com/careers/151?source=Indeed", "https://caribouthunder.com/careers/151?source=Indeed")</f>
        <v/>
      </c>
      <c r="G94" t="inlineStr">
        <is>
          <t>Colorado Springs, CO, US</t>
        </is>
      </c>
      <c r="H94" s="2" t="n">
        <v>46044</v>
      </c>
      <c r="I94" t="inlineStr">
        <is>
          <t>**Software Engineer**  
Mid–Senior Level \| Colorado Springs, CO (50% OCONUS Travel – Australia) \| Active DoD Secret Clearance Required  
Deploy, stabilize, and defend next\-generation deep\-space radar systems—where software engineering meets global mission impact.  
**A Day in the Life – What You’ll Do**
* Install, deploy, and configure DARC software across mission\-critical radar systems in both CONUS and OCONUS environments
* Serve as a software subject matter expert during formal system integration, testing, and operational deployments
* Troubleshoot, debug, and implement corrective actions to resolve software deficiencies in live operational environments
* Collaborate closely with U.S.\-based development teams to support ongoing feature integration and future software releases
* Document issues, corrective actions, and system behavior to support long\-term stability and mission readiness
**Required Qualifications**  
**Citizenship \&amp; Clearance**
* U.S. Citizenship required
* Active DoD Secret clearance at time of application
**Education \&amp; Experience**
* Bachelor’s degree in Science or related field with 5\+ years of experience
* OR Master’s degree with 3\+ years of experience
* OR PhD with 1\+ years of experience
**Technical Skills**
* Software development experience in C\+\+, Java, and JavaScript
* Strong debugging expertise in complex software systems
* Experience working with MATLAB
* Familiarity with Linux (Red Hat), Windows environments
* Experience working in Agile development environments using JIRA and Confluence
**Certifications**
* CompTIA Security\+ (Security\+) certification required
**Travel**
* Ability and willingness to travel up to 50% of the time
* Ability to deploy OCONUS for extended durations (up to \~60 days per trip)
**Preferred Qualifications**
* Experience with Digital Signal Processing (DSP)
* Experience with Radar Signal Processing
* Prior OCONUS deployment experience supporting large, integrated technical teams
* Experience supporting system integration and testing in operational environments
**Who is Caribou Thunder?**  
Caribou Thunder is a HUBZone\-certified small business providing advanced technical and engineering services to the U.S. Department of War and its mission partners.  
35\+ states and 20\+ countries. We’ve delivered trusted solutions for over two decades—strengthening national readiness across missions on land, undersea, in the air, and throughout LEO, MEO, GEO, and deep space.
**Why Caribou Thunder?**  
**TEAM THUNDER — Mission Focused. Delivery Proven. Ready to Serve.**  
Employee Advocacy  
Mission Proven  
Global Reach  
Skilled Teams  
Modern Tools  
Empowering Culture  
Our engineers and innovators ensure capability from sea floor to space frontier—delivering on time, maintaining compliance, and performing with precision in high\-consequence environments.  
We specialize in Engineering Services, Cybersecurity, Software Development, Modeling \&amp; Simulation, Digital Engineering, and Artificial Intelligence—disciplines powering the nation’s most complex technical missions.
**Employee Advocacy \+ Benefits**  
Our people are the heart of Caribou Thunder. We invest in their growth, flexibility, and well\-being—knowing their success drives ours.  
**Benefits include:**
* Premium Health, Dental \&amp; Vision Insurance
* 401(k) with 6% Company Match
* Flexible PTO \&amp; Work Schedule
* Education \&amp; Certification Reimbursement
* Support for Military Leave
* Work–Life Balance \&amp; Traditional Family Values
Your future, your flexibility, your well\-being—we invest in you. Apply and let’s connect.</t>
        </is>
      </c>
    </row>
    <row r="95">
      <c r="A95" t="inlineStr">
        <is>
          <t>in-1fa37e69940f9cc9</t>
        </is>
      </c>
      <c r="B95" t="inlineStr">
        <is>
          <t>Software Developer</t>
        </is>
      </c>
      <c r="C95" t="inlineStr">
        <is>
          <t>Caribou Thunder</t>
        </is>
      </c>
      <c r="D95" t="inlineStr">
        <is>
          <t>indeed</t>
        </is>
      </c>
      <c r="E95">
        <f>HYPERLINK("https://www.indeed.com/viewjob?jk=1fa37e69940f9cc9", "https://www.indeed.com/viewjob?jk=1fa37e69940f9cc9")</f>
        <v/>
      </c>
      <c r="F95">
        <f>HYPERLINK("https://caribouthunder.com/careers/150?source=Indeed", "https://caribouthunder.com/careers/150?source=Indeed")</f>
        <v/>
      </c>
      <c r="G95" t="inlineStr">
        <is>
          <t>Colorado Springs, CO, US</t>
        </is>
      </c>
      <c r="H95" s="2" t="n">
        <v>46044</v>
      </c>
      <c r="I95" t="inlineStr">
        <is>
          <t>Senior Level \| Elgin AFB \| Active DoD Secret Clearance Required  
Deploy, stabilize, and defend next\-generation deep\-space radar systems—where software engineering meets global mission impact.  
**A Day in the Life – What You’ll Do**
* Install, deploy, and configure DARC software across mission\-critical radar systems in both CONUS and OCONUS environments
* Serve as a software subject matter expert during formal system integration, testing, and operational deployments
* Troubleshoot, debug, and implement corrective actions to resolve software deficiencies in live operational environments
* Collaborate closely with U.S.\-based development teams to support ongoing feature integration and future software releases
* Document issues, corrective actions, and system behavior to support long\-term stability and mission readiness
**Required Qualifications**  
**Citizenship \&amp; Clearance**
* U.S. Citizenship required
* Active DoD Secret clearance at time of application
**Education \&amp; Experience**
* Bachelor’s degree in Science or related field with 5\+ years of experience
* OR Master’s degree with 3\+ years of experience
* OR PhD with 1\+ years of experience
**Technical Skills**
* Software development experience in C\+\+, Java, and JavaScript
* Strong debugging expertise in complex software systems
* Experience working with MATLAB
* Familiarity with Linux (Red Hat), Windows environments
* Experience working in Agile development environments using JIRA and Confluence
**Certifications**
* CompTIA Security\+ (Security\+) certification required
**Travel**
* Ability and willingness to travel up to 50% of the time
* Ability to deploy OCONUS for extended durations (up to \~60 days per trip)
**Preferred Qualifications**
* Experience with Digital Signal Processing (DSP)
* Experience with Radar Signal Processing
* Prior OCONUS deployment experience supporting large, integrated technical teams
* Experience supporting system integration and testing in operational environments
**Who is Caribou Thunder?**  
Caribou Thunder is a HUBZone\-certified small business providing advanced technical and engineering services to the U.S. Department of War and its mission partners.  
35\+ states and 20\+ countries. We’ve delivered trusted solutions for over two decades—strengthening national readiness across missions on land, undersea, in the air, and throughout LEO, MEO, GEO, and deep space.
**Why Caribou Thunder?**  
**TEAM THUNDER — Mission Focused. Delivery Proven. Ready to Serve.**  
Employee Advocacy  
Mission Proven  
Global Reach  
Skilled Teams  
Modern Tools  
Empowering Culture  
Our engineers and innovators ensure capability from sea floor to space frontier—delivering on time, maintaining compliance, and performing with precision in high\-consequence environments.  
We specialize in Engineering Services, Cybersecurity, Software Development, Modeling \&amp; Simulation, Digital Engineering, and Artificial Intelligence—disciplines powering the nation’s most complex technical missions.
**Employee Advocacy \+ Benefits**  
Our people are the heart of Caribou Thunder. We invest in their growth, flexibility, and well\-being—knowing their success drives ours.  
**Benefits include:**
* Premium Health, Dental \&amp; Vision Insurance
* 401(k) with 6% Company Match
* Flexible PTO \&amp; Work Schedule
* Education \&amp; Certification Reimbursement
* Support for Military Leave
* Work–Life Balance \&amp; Traditional Family Values
Your future, your flexibility, your well\-being—we invest in you. Apply and let’s connect.</t>
        </is>
      </c>
    </row>
    <row r="96">
      <c r="A96" t="inlineStr">
        <is>
          <t>in-1108e7901c092a5e</t>
        </is>
      </c>
      <c r="B96" t="inlineStr">
        <is>
          <t>Software Engineer</t>
        </is>
      </c>
      <c r="C96" t="inlineStr">
        <is>
          <t>Booz Allen Hamilton</t>
        </is>
      </c>
      <c r="D96" t="inlineStr">
        <is>
          <t>indeed</t>
        </is>
      </c>
      <c r="E96">
        <f>HYPERLINK("https://www.indeed.com/viewjob?jk=1108e7901c092a5e", "https://www.indeed.com/viewjob?jk=1108e7901c092a5e")</f>
        <v/>
      </c>
      <c r="F96">
        <f>HYPERLINK("https://careers.boozallen.com/careers/JobDetail?jobId=119901", "https://careers.boozallen.com/careers/JobDetail?jobId=119901")</f>
        <v/>
      </c>
      <c r="G96" t="inlineStr">
        <is>
          <t>McLean, VA, US</t>
        </is>
      </c>
      <c r="H96" s="2" t="n">
        <v>46044</v>
      </c>
      <c r="I96" t="inlineStr">
        <is>
          <t>Software Engineer**The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3\+ years of experience as a software engineer
* 3\+ years of experience with SpringBoot, Java, Python, Go, JavaScript, Angular, or React
* Experience with AWS
* Experience writing source code for new applications or generating and enhancing code samples for existing applications
* Experience using back\-end and front\-end languages to develop complete solutions
* Experience creating solutions to complex problems within a collaborative team environment
* Secret clearance
* Bachelor's degree
**Nice If You Have:**
* Experience with Agile methodology, extreme programming, product management, and software products
* Ability to acquire client requirements and resolve workflow problems through automation optimization
* Ability to work with automated testing tools to perform testing and maintenance
* Top Secret clearance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7">
      <c r="A97" t="inlineStr">
        <is>
          <t>in-5433861e336b39b7</t>
        </is>
      </c>
      <c r="B97" t="inlineStr">
        <is>
          <t>Software Developer</t>
        </is>
      </c>
      <c r="C97" t="inlineStr">
        <is>
          <t>Booz Allen Hamilton</t>
        </is>
      </c>
      <c r="D97" t="inlineStr">
        <is>
          <t>indeed</t>
        </is>
      </c>
      <c r="E97">
        <f>HYPERLINK("https://www.indeed.com/viewjob?jk=5433861e336b39b7", "https://www.indeed.com/viewjob?jk=5433861e336b39b7")</f>
        <v/>
      </c>
      <c r="F97">
        <f>HYPERLINK("https://careers.boozallen.com/careers/JobDetail?jobId=119831", "https://careers.boozallen.com/careers/JobDetail?jobId=119831")</f>
        <v/>
      </c>
      <c r="G97" t="inlineStr">
        <is>
          <t>Melbourne, FL, US</t>
        </is>
      </c>
      <c r="H97" s="2" t="n">
        <v>46044</v>
      </c>
      <c r="I97" t="inlineStr">
        <is>
          <t>Software Developer**The Opportunity:**
Participate in the development, testing, and delivery of software products or components to maintain existing systems. Apply basic principles, theories, and concepts, including limited industry knowledge. Solve routine problems of limited scope and complexity, and refer more complex issues to higher levels. Work under direct supervision.
**You Have:**
* Experience with programming languages, including Java, C\+\+, Python, or JavaScript, in industry or academic environments
* Experience researching, designing, developing, or modifying enterprise\-wide systems, architectures, or applications software in an internship or academic environment
* Ability to analyze and solve problems
* Ability to work independently and within a team
* Ability to obtain and maintain a Public Trust or Suitability/Fitness determination based on client requirements
* HS diploma or GED
**Nice If You Have:**
* Experience with Agile software development processes and tools, including the Atlassian Tool Suite
* Experience documenting testing and maintenance of system corrections
* Knowledge of web protocols
* Knowledge of relational databases, including Oracle or Microsoft SQL
* Bachelor's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$52,900\.00 to $108,000\.00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8">
      <c r="A98" t="inlineStr">
        <is>
          <t>in-cf81ecebf87c7b37</t>
        </is>
      </c>
      <c r="B98" t="inlineStr">
        <is>
          <t>Backend Engineer</t>
        </is>
      </c>
      <c r="C98" t="inlineStr">
        <is>
          <t>Booz Allen Hamilton</t>
        </is>
      </c>
      <c r="D98" t="inlineStr">
        <is>
          <t>indeed</t>
        </is>
      </c>
      <c r="E98">
        <f>HYPERLINK("https://www.indeed.com/viewjob?jk=cf81ecebf87c7b37", "https://www.indeed.com/viewjob?jk=cf81ecebf87c7b37")</f>
        <v/>
      </c>
      <c r="F98">
        <f>HYPERLINK("https://careers.boozallen.com/careers/JobDetail?jobId=119865", "https://careers.boozallen.com/careers/JobDetail?jobId=119865")</f>
        <v/>
      </c>
      <c r="G98" t="inlineStr">
        <is>
          <t>McLean, VA, US</t>
        </is>
      </c>
      <c r="H98" s="2" t="n">
        <v>46044</v>
      </c>
      <c r="I98" t="inlineStr">
        <is>
          <t>Backend Engineer**The Opportunity:**
As a back\-end developer, you know that a good site or system needs the right combination of clean code, APIs, analytics, and infrastructure to develop a user\-focused solution. We’re looking for a back\-end developer with the software engineering skills it takes to help identify potential risks, contribute to solution development, and create efficient and effective systems for our clients.
As a back\-end developer at Booz Allen, you’ll use the latest architectural approaches and open\-source frameworks and tools to help deliver solutions. Using your software engineering knowledge, you’ll work with and learn from the development team to create custom tools, systems, and sites with consistent performance and scalability.
In this role, you’ll make a mission\-forward impact as you sharpen your skillset and grow your career. Work with us as we shape systems for the better. Due to the nature of work performed within this facility, U.S. citizenship is required.
Join us. The world can’t wait.
**You Have:**
* 2\+ years of experience developing website backends using Frameworks such as Django, Spring Boot, Laravel, or Next.js
* 1\+ years of experience working with AWS, Azure, or Google Cloud
* Experience with Jenkins or Git Hub Actions
* Experience with basic shell scripting or Python
* Experience using AI tools for delivery like Claude, Bedrock, or Cursor
* Public Trust
* Bachelor's degree
**Nice If You Have:**
* Experience with Apache Spark or other similar big data products
* Experience with NoSQL Databases like MongoDB, Cassandra, or DynamoDB
* Experience in Developing Docker Images
* Experience with serverless functions or AWS Fargate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9">
      <c r="A99" t="inlineStr">
        <is>
          <t>in-834b66b91f9989a6</t>
        </is>
      </c>
      <c r="B99" t="inlineStr">
        <is>
          <t>Software Developer</t>
        </is>
      </c>
      <c r="C99" t="inlineStr">
        <is>
          <t>Booz Allen Hamilton</t>
        </is>
      </c>
      <c r="D99" t="inlineStr">
        <is>
          <t>indeed</t>
        </is>
      </c>
      <c r="E99">
        <f>HYPERLINK("https://www.indeed.com/viewjob?jk=834b66b91f9989a6", "https://www.indeed.com/viewjob?jk=834b66b91f9989a6")</f>
        <v/>
      </c>
      <c r="F99">
        <f>HYPERLINK("https://careers.boozallen.com/careers/JobDetail?jobId=119832", "https://careers.boozallen.com/careers/JobDetail?jobId=119832")</f>
        <v/>
      </c>
      <c r="G99" t="inlineStr">
        <is>
          <t>Charleston, SC, US</t>
        </is>
      </c>
      <c r="H99" s="2" t="n">
        <v>46044</v>
      </c>
      <c r="I99" t="inlineStr">
        <is>
          <t>Software Developer**The Opportunity:**
Participate in the development, testing, and delivery of software products or components to maintain existing systems. Apply basic principles, theories, and concepts, including limited industry knowledge. Solve routine problems of limited scope and complexity, and refer more complex issues to higher levels. Work under direct supervision.
**You Have:**
* Experience with programming languages, including Java, C\+\+, Python, or JavaScript, in industry or academic environments
* Experience researching, designing, developing, or modifying enterprise\-wide systems, architectures, or applications software in an internship or academic environment
* Ability to analyze and solve problems
* Ability to work independently and within a team
* Ability to obtain and maintain a Public Trust or Suitability/Fitness determination based on client requirements
* HS diploma or GED
**Nice If You Have:**
* Experience with Agile software development processes and tools, including the Atlassian Tool Suite
* Experience documenting testing and maintenance of system corrections
* Knowledge of web protocols
* Knowledge of relational databases, including Oracle or Microsoft SQL
* Bachelor's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$52,900\.00 to $108,000\.00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0">
      <c r="A100" t="inlineStr">
        <is>
          <t>in-5093b14004ce11d2</t>
        </is>
      </c>
      <c r="B100" t="inlineStr">
        <is>
          <t>Software Engineer, Senior</t>
        </is>
      </c>
      <c r="C100" t="inlineStr">
        <is>
          <t>Booz Allen Hamilton</t>
        </is>
      </c>
      <c r="D100" t="inlineStr">
        <is>
          <t>indeed</t>
        </is>
      </c>
      <c r="E100">
        <f>HYPERLINK("https://www.indeed.com/viewjob?jk=5093b14004ce11d2", "https://www.indeed.com/viewjob?jk=5093b14004ce11d2")</f>
        <v/>
      </c>
      <c r="F100">
        <f>HYPERLINK("https://careers.boozallen.com/careers/JobDetail?jobId=119833", "https://careers.boozallen.com/careers/JobDetail?jobId=119833")</f>
        <v/>
      </c>
      <c r="G100" t="inlineStr">
        <is>
          <t>Ashburn, VA, US</t>
        </is>
      </c>
      <c r="H100" s="2" t="n">
        <v>46044</v>
      </c>
      <c r="I100" t="inlineStr">
        <is>
          <t>Software Engineer,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 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5\+ years of experience designing, modifying, developing, writing, and implementing software programming applications using agile methods
* 5\+ years of experience in software development with basic programming languages, technologies, tools, or web development stacks
* Experience with Agile methodology, extreme programming, software engineering, product management, and software products
* Experience writing source code for new applications or generating and enhancing code samples for existing applications
* Experience using back\-end and front\-end languages to develop complete solutions
* Experience creating solutions to complex problems within a collaborative, cross\-functional team
* Ability to obtain and maintain a Public Trust or Suitability/Fitness determination based on client requirements
* Bachelor's degree, or 8\+ years of experience in software engineering in lieu of a degree
**Nice If You Have:**
* Experience acquiring client requirements and resolving workflow problems through automation optimization
* Experience with Java, Python, C\#, C, C\+\+, .NET, JavaScript, React, NodeJS, PHP, or Drupal
* Ability to work with automated testing tools to perform testing and maintenance
* Master’s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1">
      <c r="A101" t="inlineStr">
        <is>
          <t>in-77e97908d3a0db15</t>
        </is>
      </c>
      <c r="B101" t="inlineStr">
        <is>
          <t>API Software Engineer</t>
        </is>
      </c>
      <c r="C101" t="inlineStr">
        <is>
          <t>Booz Allen Hamilton</t>
        </is>
      </c>
      <c r="D101" t="inlineStr">
        <is>
          <t>indeed</t>
        </is>
      </c>
      <c r="E101">
        <f>HYPERLINK("https://www.indeed.com/viewjob?jk=77e97908d3a0db15", "https://www.indeed.com/viewjob?jk=77e97908d3a0db15")</f>
        <v/>
      </c>
      <c r="F101">
        <f>HYPERLINK("https://careers.boozallen.com/careers/JobDetail?jobId=119861", "https://careers.boozallen.com/careers/JobDetail?jobId=119861")</f>
        <v/>
      </c>
      <c r="G101" t="inlineStr">
        <is>
          <t>McLean, VA, US</t>
        </is>
      </c>
      <c r="H101" s="2" t="n">
        <v>46044</v>
      </c>
      <c r="I101" t="inlineStr">
        <is>
          <t>API Software Engineer**The Opportunity:**
As a back\-end developer, you know that a good site or system needs the right combination of clean code, APIs, analytics, and infrastructure to develop a user\-focused solution. We’re looking for a back\-end developer with the software engineering skills it takes to help identify potential risks, contribute to solution development, and create efficient and effective systems for our clients.
As a back\-end developer at Booz Allen, you’ll use the latest architectural approaches and open\-source frameworks and tools to help deliver solutions. Using your software engineering knowledge, you’ll work with and learn from the development team to create custom tools, systems, and sites with consistent performance and scalability.
In this role, you’ll make a mission\-forward impact as you sharpen your skillset and grow your career. Work with us as we shape systems for the better. Due to the nature of work performed within this facility, U.S. citizenship is required.
Join us. The world can’t wait.
**You Have:**
* 3\+ years of experience developing backend APIs using a modern API Framework such as Django, Spring Boot, Laravel, or Next.js
* 3\+ years of experience developing Mircoservices
* 1\+ years of experience working with AWS, Azure, or Google Cloud
* Experience Developing Swagger Documentation
* Public Trust
* Bachelor's degree
**Nice If You Have:**
* Experience with Apache Spark or other similar big data products.
* Experience with NoSQL Databases like MongoDB, Cassandra, or DynamoDB
* Experience with Jenkins or Git Hub Actions
* Experience with basic shell scripting or python.
* Experience in Developing Docker Images
* Experience with serverless function or AWS Fargate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2">
      <c r="A102" t="inlineStr">
        <is>
          <t>in-d9dc1aecb846892f</t>
        </is>
      </c>
      <c r="B102" t="inlineStr">
        <is>
          <t>Software Engineer, Mid</t>
        </is>
      </c>
      <c r="C102" t="inlineStr">
        <is>
          <t>Booz Allen Hamilton</t>
        </is>
      </c>
      <c r="D102" t="inlineStr">
        <is>
          <t>indeed</t>
        </is>
      </c>
      <c r="E102">
        <f>HYPERLINK("https://www.indeed.com/viewjob?jk=d9dc1aecb846892f", "https://www.indeed.com/viewjob?jk=d9dc1aecb846892f")</f>
        <v/>
      </c>
      <c r="F102">
        <f>HYPERLINK("https://careers.boozallen.com/careers/JobDetail?jobId=119838", "https://careers.boozallen.com/careers/JobDetail?jobId=119838")</f>
        <v/>
      </c>
      <c r="G102" t="inlineStr">
        <is>
          <t>Ashburn, VA, US</t>
        </is>
      </c>
      <c r="H102" s="2" t="n">
        <v>46044</v>
      </c>
      <c r="I102" t="inlineStr">
        <is>
          <t>Software Engineer, Mid**The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 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2\+ years of experience designing, modifying, developing, writing, and implementing software programming applications
* 2\+ years of experience in software development with basic programming languages, technologies, tools, or web development stacks
* Experience writing source code for new applications or generating and enhancing code samples for existing applications
* Experience using back\-end and front\-end languages to develop complete solutions
* Experience creating solutions to complex problems within a collaborative team environment
* Ability to obtain and maintain a Public Trust or Suitability/Fitness determination based on client requirements
* Bachelor's degree, or 5\+ years of experience in software engineering in lieu of a degree
**Nice If You Have:**
* Experience with Agile methodology, extreme programming, software engineering, product management, and software products
* Experience with Java, Python, C\#, C, C\+\+, .NET, JavaScript, React, NodeJS, PHP, or Drupal
* Ability to acquire client requirements and resolve workflow problems through automation optimization
* Ability to work with automated testing tools to perform testing and maintenance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3">
      <c r="A103" t="inlineStr">
        <is>
          <t>in-40c9f5369b548edd</t>
        </is>
      </c>
      <c r="B103" t="inlineStr">
        <is>
          <t>CNO Software Engineer</t>
        </is>
      </c>
      <c r="C103" t="inlineStr">
        <is>
          <t>Booz Allen Hamilton</t>
        </is>
      </c>
      <c r="D103" t="inlineStr">
        <is>
          <t>indeed</t>
        </is>
      </c>
      <c r="E103">
        <f>HYPERLINK("https://www.indeed.com/viewjob?jk=40c9f5369b548edd", "https://www.indeed.com/viewjob?jk=40c9f5369b548edd")</f>
        <v/>
      </c>
      <c r="F103">
        <f>HYPERLINK("https://careers.boozallen.com/careers/JobDetail?jobId=119761", "https://careers.boozallen.com/careers/JobDetail?jobId=119761")</f>
        <v/>
      </c>
      <c r="G103" t="inlineStr">
        <is>
          <t>Annapolis Junction, MD, US</t>
        </is>
      </c>
      <c r="H103" s="2" t="n">
        <v>46044</v>
      </c>
      <c r="I103" t="inlineStr">
        <is>
          <t>CNO Software Engineer**The Opportunity:**
As a computer network operations (CNO) specialist, you know that embedded and application developers, reverse engineers, and vulnerability analysts all play key roles in the CNO capability development lifecycle. We’re looking for someone like you to flex your problem\-solving prowess in a rapidly evolving systems security research and development environment.
As a senior CNO capability development specialist on our team, you’ll support full project lifecycles. Guiding an agile team of professionals, you’ll manage reverse engineering and vulnerability analysis on a range of software problems. You’ll inform operational parameters for complex systems, as well as leverage artificial intelligence and machine learning to influence the delivery of your work. Using your network operations experience, you’ll determine what the art of the possible is and what can be done—and then you’ll bring it to life for your clients.
Help us combat the most advanced adversaries and defend national security.
Join us. The world can’t wait.
**You Have:**
* 5\+ years of experience with computer network operations capability development and engineering services, including defense and exploitation to gain strategic advantages
* Experience with advanced software development, analytic development, and DevOps techniques for malware variants, advancing crypt capabilities, and emerging unknown protocols
* Experience gathering requirements, designing and developing approaches for product security and resilience, cryptographic solutions, and anti\-forensic measures
* Experience with analyzing and understanding network protocols with tools, such as Wireshark or tshark
* Experience with indigenous and vendor proprietary protocols
* Experience using automation and virtualization to deploy, maintain, and sustain capabilities, developing and executing strategies for countering or mitigating environmental challenges, security and policy constraints, and system and architecture limitations
* Experience with Linux operating systems
* Knowledge of scripting languages, such as Python, Ruby, or BASH
* TS/SCI clearance with a polygraph
* Bachelor’s degree
 **Nice If You Have:**
* 3\+ years of experience with computer programming in C/C\+\+, Python, Assembly, or PerlScript
* 2\+ years of experience in the areas of computer engineering, computer science, electronic and electrical engineering, or applied mathematics
* 2\+ years of experience in big data platforms, black box testing, cloud computing, disassembly, or global telecommunications system architectures and protocols, protocol analysis, ICS/SCADA design and systems, software debugging, streaming analytics, vulnerability management, or mitigation
* Experience in telecommunications operations, computer network operations, SIGINT collection operations, information security (INFOSEC) or information assurance, or research and development
* Experience in exploit development, malware reverse engineering
* Experience with Unix, Linux, or RTOS, Wind River VxWorks
* Ability to communicate technical information clearly, orally, and in writing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$86,900\.00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4">
      <c r="A104" t="inlineStr">
        <is>
          <t>in-44c40ed6c6ae2c69</t>
        </is>
      </c>
      <c r="B104" t="inlineStr">
        <is>
          <t>Software Engineer, Mid</t>
        </is>
      </c>
      <c r="C104" t="inlineStr">
        <is>
          <t>Booz Allen Hamilton</t>
        </is>
      </c>
      <c r="D104" t="inlineStr">
        <is>
          <t>indeed</t>
        </is>
      </c>
      <c r="E104">
        <f>HYPERLINK("https://www.indeed.com/viewjob?jk=44c40ed6c6ae2c69", "https://www.indeed.com/viewjob?jk=44c40ed6c6ae2c69")</f>
        <v/>
      </c>
      <c r="F104">
        <f>HYPERLINK("https://careers.boozallen.com/careers/JobDetail?jobId=119774", "https://careers.boozallen.com/careers/JobDetail?jobId=119774")</f>
        <v/>
      </c>
      <c r="G104" t="inlineStr">
        <is>
          <t>McLean, VA, US</t>
        </is>
      </c>
      <c r="H104" s="2" t="n">
        <v>46044</v>
      </c>
      <c r="I104" t="inlineStr">
        <is>
          <t>Software Engineer, Mid**The Opportunity:**
As a full\-stack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Due to the nature of work performed within this facility, U.S. citizenship is required.
Work with us as we shape systems for the better.
Join us. The world can’t wait.
**You Have:**
* 2\+ years of experience designing, modifying, developing, writing, and implementing software programming applications
* 2\+ years of experience in software development with basic programming languages, technologies, tools, or web development stacks
* Experience writing source code for new applications or generating and enhancing code samples for existing applications
* Experience using back\-end and front\-end languages to develop complete solutions
* Experience creating solutions to complex problems within a collaborative team environment
* Ability to obtain and maintain a Public Trust or Suitability/Fitness determination based on client requirements
* Bachelor's degree or 5\+ years of experience in software engineering in lieu of a degree
**Nice If You Have:**
* Experience with Agile methodology, extreme programming, software engineering, product management, and software products
* Experience with Java, Python, C\#, C/C\+\+, .NET, JavaScript, React, NodeJS, PHP, or Drupal
* Ability to acquire client requirements and resolve workflow problems through automation optimization
* Ability to work with automated testing tools to perform testing and maintenance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5">
      <c r="A105" t="inlineStr">
        <is>
          <t>in-b0d3c037c27f5bc6</t>
        </is>
      </c>
      <c r="B105" t="inlineStr">
        <is>
          <t>Agentic AI Software Engineer</t>
        </is>
      </c>
      <c r="C105" t="inlineStr">
        <is>
          <t>Booz Allen Hamilton</t>
        </is>
      </c>
      <c r="D105" t="inlineStr">
        <is>
          <t>indeed</t>
        </is>
      </c>
      <c r="E105">
        <f>HYPERLINK("https://www.indeed.com/viewjob?jk=b0d3c037c27f5bc6", "https://www.indeed.com/viewjob?jk=b0d3c037c27f5bc6")</f>
        <v/>
      </c>
      <c r="F105">
        <f>HYPERLINK("https://careers.boozallen.com/careers/JobDetail?jobId=119772", "https://careers.boozallen.com/careers/JobDetail?jobId=119772")</f>
        <v/>
      </c>
      <c r="G105" t="inlineStr">
        <is>
          <t>Chantilly, VA, US</t>
        </is>
      </c>
      <c r="H105" s="2" t="n">
        <v>46044</v>
      </c>
      <c r="I105" t="inlineStr">
        <is>
          <t>Agentic AI Software Engineer**The Opportunity:**  
As an artificial intelligence (AI) software engineer, you know that good software is more than just a nice\-looking interface and data. Today, you need to develop user\-focused solutions that increase organizational efficiency and enable better decision\-making. Booz Allen is the leading provider of AI services to the nation, and we’re looking for a software engineer like you to create AI and machine learning (ML) solutions that help solve our clients' toughest problems.
On our team, you’ll create and implement complete end\-to\-end solutions that modernize client systems. You’ll ensure that your team’s solutions consider the broader ecosystem and operating environment as well as future functionality and enhancements. Additionally, you’ll deepen your skill set in areas like cloud and DevOps engineering.
Ready to transform space systems for the better with AI technology?
Join us. The world can’t wait.
**You Have:**
* 3\+ years of experience building production\-level AI or ML systems, including LLMs, agents, or complex automation frameworks
* 3\+ years of experience with Python and Python tools, including Pandas or NumPy
* Experience with Large Language Models (LLMs), ML, Deep Learning (DL), and Reinforcement Learning (RL)
* Experience with tools and AI agent frameworks such as TensorFlow, PyTorch, or LangChain
* Experience in acquiring client requirements and resolving workflow problems through automation optimization
* Ability to work with automated testing tools to perform testing and maintenance
* TS/SCI clearance with a polygraph
* Bachelor's degree and 3\+ years of experience in software engineering, or 7\+ years of experience in software engineering in lieu of a degree
* Ability to obtain a Security\+ Certification within 6 months of start date
**Nice If You Have:**
* Experience with the administration of continuous integration and continuous deployment (CI/CD) pipelines using Kubernetes, Docker, or Jenkins
* Master’s degree
* ML, AI, or Solution Architecture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6">
      <c r="A106" t="inlineStr">
        <is>
          <t>in-2f6729a25b975408</t>
        </is>
      </c>
      <c r="B106" t="inlineStr">
        <is>
          <t>Software Developer, Senior</t>
        </is>
      </c>
      <c r="C106" t="inlineStr">
        <is>
          <t>Booz Allen Hamilton</t>
        </is>
      </c>
      <c r="D106" t="inlineStr">
        <is>
          <t>indeed</t>
        </is>
      </c>
      <c r="E106">
        <f>HYPERLINK("https://www.indeed.com/viewjob?jk=2f6729a25b975408", "https://www.indeed.com/viewjob?jk=2f6729a25b975408")</f>
        <v/>
      </c>
      <c r="F106">
        <f>HYPERLINK("https://careers.boozallen.com/careers/JobDetail?jobId=119808", "https://careers.boozallen.com/careers/JobDetail?jobId=119808")</f>
        <v/>
      </c>
      <c r="G106" t="inlineStr">
        <is>
          <t>Huntsville, AL, US</t>
        </is>
      </c>
      <c r="H106" s="2" t="n">
        <v>46044</v>
      </c>
      <c r="I106" t="inlineStr">
        <is>
          <t>Software Developer,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8\+ years of experience with front\-facing web development, API\-endpoint integration, or backend service development that delivers complete stack solutions in an Agile environment
* Experience developing, deploying, or sustaining software on enterprise systems
* Experience with scripting and programming languages, including Python, Java, and JavaScript
* Experience with programming in modern Java frameworks, including Angular, Spring Boot, and React
* Experience with AWS cloud services
* Experience working on and across development teams
* Top Secret clearance
* Bachelor's degree and 8\+ years of experience in software development, or 12\+ years of experience in software development in lieu of a degree
**Nice If You Have:**
* Experience with technical competencies that support information and systems administration, database administration, data analysis and visualization, or research and development
* Master's degree
* AWS Certifications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7">
      <c r="A107" t="inlineStr">
        <is>
          <t>in-8f7d11a59a180036</t>
        </is>
      </c>
      <c r="B107" t="inlineStr">
        <is>
          <t>Software Developer, Senior</t>
        </is>
      </c>
      <c r="C107" t="inlineStr">
        <is>
          <t>Booz Allen Hamilton</t>
        </is>
      </c>
      <c r="D107" t="inlineStr">
        <is>
          <t>indeed</t>
        </is>
      </c>
      <c r="E107">
        <f>HYPERLINK("https://www.indeed.com/viewjob?jk=8f7d11a59a180036", "https://www.indeed.com/viewjob?jk=8f7d11a59a180036")</f>
        <v/>
      </c>
      <c r="F107">
        <f>HYPERLINK("https://careers.boozallen.com/careers/JobDetail?jobId=119764", "https://careers.boozallen.com/careers/JobDetail?jobId=119764")</f>
        <v/>
      </c>
      <c r="G107" t="inlineStr">
        <is>
          <t>Huntsville, AL, US</t>
        </is>
      </c>
      <c r="H107" s="2" t="n">
        <v>46044</v>
      </c>
      <c r="I107" t="inlineStr">
        <is>
          <t>Software Developer, Senior**The Opportunity:**
As a full\-stack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Experience programming in ASP.NET, Vue.js, and C\#
* Experience in web development using HTML and JavaScript
* Experience using Angular and React frameworks
* Experience using Docker
* Experience applying cloud computing in AWS to develop and deploy more efficient, secure, and cost\-effective software
* Ability to apply critical and analytic thinking to improve and troubleshoot code
* Top Secret clearance
* Bachelor’s degree and 8\+ years of experience designing, modifying, developing, writing, and implementing software programming applications using Agile methods, or 12\+ years of experience designing, modifying, developing, writing, and implementing software programming applications using Agile methods in lieu of a degree
**Nice If You Have:**
* Experience with object\-oriented design (OOD) to develop flexible and maintainable programs
* Experience with database design, SQL, and relational databases
* Knowledge of database design principles
* Knowledge of web standards, protocols, frameworks, and full\-stack development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8">
      <c r="A108" t="inlineStr">
        <is>
          <t>in-f23cc82f57f2d86f</t>
        </is>
      </c>
      <c r="B108" t="inlineStr">
        <is>
          <t>Software Developer, Senior</t>
        </is>
      </c>
      <c r="C108" t="inlineStr">
        <is>
          <t>Booz Allen Hamilton</t>
        </is>
      </c>
      <c r="D108" t="inlineStr">
        <is>
          <t>indeed</t>
        </is>
      </c>
      <c r="E108">
        <f>HYPERLINK("https://www.indeed.com/viewjob?jk=f23cc82f57f2d86f", "https://www.indeed.com/viewjob?jk=f23cc82f57f2d86f")</f>
        <v/>
      </c>
      <c r="F108">
        <f>HYPERLINK("https://careers.boozallen.com/careers/JobDetail?jobId=119770", "https://careers.boozallen.com/careers/JobDetail?jobId=119770")</f>
        <v/>
      </c>
      <c r="G108" t="inlineStr">
        <is>
          <t>Huntsville, AL, US</t>
        </is>
      </c>
      <c r="H108" s="2" t="n">
        <v>46044</v>
      </c>
      <c r="I108" t="inlineStr">
        <is>
          <t>Software Developer,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Experience with programming in ASP.NET, Vue.js, and C
* Experience in web development using HTML and JavaScript
* Experience using Angular and React frameworks
* Experience using Docker
* Experience with applying cloud computing in AWS to develop and deploy more efficient, secure, and cost\-effective software
* Ability to apply critical and analytic thinking to improve and troubleshoot code
* Top Secret clearance
* Bachelor’s degree and 8\+ years of experience designing, modifying, developing, writing, and implementing software programming applications using Agile methods, or 12\+ years of experience designing, modifying, developing, writing, and implementing software programming applications using Agile methods in lieu of a degree
**Nice If You Have:**
* Experience with object\-oriented design (OOD) to develop flexible and maintainable programs
* Experience with database design, SQL, and relational databases
* Knowledge of database design principles
* Knowledge of web standards, protocols, frameworks, and full\-stack development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9">
      <c r="A109" t="inlineStr">
        <is>
          <t>in-fed7a1198e84bac3</t>
        </is>
      </c>
      <c r="B109" t="inlineStr">
        <is>
          <t>Software Developer</t>
        </is>
      </c>
      <c r="C109" t="inlineStr">
        <is>
          <t>Oracle</t>
        </is>
      </c>
      <c r="D109" t="inlineStr">
        <is>
          <t>indeed</t>
        </is>
      </c>
      <c r="E109">
        <f>HYPERLINK("https://www.indeed.com/viewjob?jk=fed7a1198e84bac3", "https://www.indeed.com/viewjob?jk=fed7a1198e84bac3")</f>
        <v/>
      </c>
      <c r="F109">
        <f>HYPERLINK("https://eeho.fa.us2.oraclecloud.com/hcmUI/CandidateExperience/en/sites/CX_1/job/322013", "https://eeho.fa.us2.oraclecloud.com/hcmUI/CandidateExperience/en/sites/CX_1/job/322013")</f>
        <v/>
      </c>
      <c r="G109" t="inlineStr">
        <is>
          <t>US</t>
        </is>
      </c>
      <c r="H109" s="2" t="n">
        <v>46044</v>
      </c>
      <c r="I109" t="inlineStr">
        <is>
          <t>Preferred Skills and Background
* Automation with AI testing skills, experience with machine learning technologies, strong programming skills in languages such as Python or Java, and excellent problem\-solving and analytical skills.
* Bachelors/Masters in CS or equivalent from reputed universities with consistently good academic record with 6 to 10\+ years of experience in Software development preferable \- Test and Tool Automation
* Functional expertise in Business Intelligence will be a Plus
* Automation experience in Java, Python , Scripting , Selenium , Jenkins etc
* Strong in SQL and worked on various DB's (Oracle, DB2, Terradata..)
* Experience with Prompt engineering / ML Model testing
* Experience with Unix/Linux platform.
* Excellent verbal and written communication skills.
* Strong automated white box testing experience for multi\-tier application
* Experience working with distributed team – development, UX, PM and QA
* Strong QA experience of creating Test Specs using multiple documents, automating , executing and reporting results
* Great debugging skills, self starter
* Experience with Perl, Python, Maven
* Experience developing automation test frameworks
* Knowledge of Relational and Multidimensional Databases
As a member of the Analytics Automation Group, you will:
1\) Understand AI Design and Functional Specifications for Analytics Apps and write Test specifications for the same
2\) Develop, enhance and integrate automated tests into release/build frameworks.
3\) Develop test suites for complex UI and customer scenarios.
4\) Analyze, evaluate and plan methods of approach and organize means to achieve solutions to complex problems.
5\) Work closely with developers, product managers, UI designers to ensure completeness of test cases, bug fixing and increase code coverage.
6\) Participate in defect and issue resolution process
7\) Participate in reviews of other development document deliverable such as requirements, functional designs, technical designs, functional test specifications</t>
        </is>
      </c>
    </row>
    <row r="110">
      <c r="A110" t="inlineStr">
        <is>
          <t>in-200839b587526853</t>
        </is>
      </c>
      <c r="B110" t="inlineStr">
        <is>
          <t>Software Engineer III</t>
        </is>
      </c>
      <c r="C110" t="inlineStr">
        <is>
          <t>Trellis Company</t>
        </is>
      </c>
      <c r="D110" t="inlineStr">
        <is>
          <t>indeed</t>
        </is>
      </c>
      <c r="E110">
        <f>HYPERLINK("https://www.indeed.com/viewjob?jk=200839b587526853", "https://www.indeed.com/viewjob?jk=200839b587526853")</f>
        <v/>
      </c>
      <c r="F110">
        <f>HYPERLINK("https://workforcenow.adp.com/mascsr/default/mdf/recruitment/recruitment.html?cid=91f06c3c-175d-4277-bfe1-94882447fb1e&amp;ccId=19000101_000001&amp;jobId=584078&amp;source=IN&amp;lang=en_US", "https://workforcenow.adp.com/mascsr/default/mdf/recruitment/recruitment.html?cid=91f06c3c-175d-4277-bfe1-94882447fb1e&amp;ccId=19000101_000001&amp;jobId=584078&amp;source=IN&amp;lang=en_US")</f>
        <v/>
      </c>
      <c r="G110" t="inlineStr">
        <is>
          <t>Round Rock, TX, US</t>
        </is>
      </c>
      <c r="H110" s="2" t="n">
        <v>46044</v>
      </c>
      <c r="I110" t="inlineStr">
        <is>
          <t>**Who We Are:**
Trellis Company is a nonprofit 501(c)3 corporation focused on helping people leverage the power of post\-secondary education and learning to improve their quality of life and the communities where they live.
For more than 40 years Trellis has served as a student loan guarantor, helping to provide trusted guidance and services that help student borrowers successfully repay their federal loans. In addition to pioneering several technologies and services along the way, we have invested in improving student success programs through numerous grants to colleges, universities, and research groups.
Today we have expanded our services beyond higher education to include working with employers and community organizations who are focused on aligning the dreams, goals, and skills needs of employees and employers. Connecting these resources and learning pathways together with our expertise in improving student outcomes helps us all to create better and more predictable futures for those we serve.
Our stability and vision create a unique intersection: a startup environment at a company that also has a stable foundation, resulting in an opportunity for the right candidate to help shape our company's future. This is an exciting time to join the Trellis team!
As we move into the future, we’re drawing on our history, branching into new sectors beyond student loans, and delivering the same level of exceptional care and service that our customers have come to depend on. We remain invested in the success of students and higher education institutions. This combination of stability and vision creates a unique intersection: a startup environment at a company that also has a stable foundation, resulting in an opportunity for the right candidate to help shape our company's future. This is an exciting time to join the Trellis team!
**Who You Are:**
You are an experienced and collaborative software engineer who enjoys solving complex problems and building reliable, high quality applications. You bring strong technical expertise in modern web, mobile, and cloud based technologies, along with a solid understanding of application development best practices. You are comfortable working in an agile environment, partnering with business and technical stakeholders, and taking ownership of your work from design through production support.
You are detail oriented, proactive, and committed to continuous improvement, whether that means enhancing application performance, addressing production issues, or contributing to team knowledge through code reviews and collaboration. Most importantly, you value building solutions that support organizational goals and deliver meaningful impact to end users.
**LOCATION:**
The position is hybrid, two days weekly required in office. Office location is Round Rock, Texas. **JOB SUMMARY**
Software Engineer III serves as a key member of the Distributed Applications team with primary responsibility for designing, developing and maintaining Web, Mobile, artificial intelligence (AI)/ machine learning (ML), and Legacy applications. This role develops, implements, and maintains IT applications using modern development technologies and tools, and involves close collaboration with Solution Architects, developers, and business stakeholders to analyze business requirements, participate in design sessions, and develop application features. Additionally, the Software Engineer III researches and addresses technical issues and requests, identifies root causes, and resolves production problems.
**ESSENTIAL DUTIES AND RESPONSIBILITIES**
The position incumbent is expected to perform the following essential duties and responsibilities with reasonable accommodation.
* Design, develop, test, and deploy software features for web, mobile, and AI applications.
* Work in a team\-oriented environment with flexibility to work independently.
* Provide ongoing support for business applications in production through on\-call rotation.
* Implement DevOps practices (Continuous Integration and Continuous Delivery / Deployment (CI/CD), containerization with Docker/Kubernetes).
* Integrate AI/ML frameworks and develop data pipelines (Kafka, Spark).
* Write and automate test scripts; participate in code reviews and performance optimization.
* Research emerging technologies and propose solutions to improve processes.
* Provides information by collecting, analyzing, and summarizing development and service issues.
* Participate in peer code reviews, application standards and application performance reviews
* Identify and resolve issues that arise during the design, testing and maintenance processes using problem\-solving skills.
* Participate in team meetings, code reviews, requirements analysis, design meetings etc. using productivity tools like O365, Copilot, Teams, Jira, Confluence etc.
* Mentor team members and provide technical guidance.
**NON\-ESSENTIAL DUTIES AND RESPONSIBILITIES**
* Support Information Technology's vision, strategic direction, development, and future growth.
* Support other functions and responsibilities of the departments.
* Contribute to the development of department and company strategic initiatives.
* Assist with special projects as assigned.
* Interact with all levels of management
* Must be available to work flexible hours.
* All other duties and responsibilities as assigned.
**COMPETENCIES**
* Action Oriented
* Business Insight
* Collaborates
* Communicates Effectively
* Customer Service
* Ensures Accountability
* Resourcefulness
* Self\-Development
* Situational Adaptability
* Strategic Mindset
* Tech Savvy
 **KNOWLEDGE, SKILLS, AND ABILITIES**
* Strong working experience of modern programming languages and frameworks (e.g., Java, Python, Spring Boot, Angular, React)
* Proficient in deploying applications to servers (Oracle WebLogic, Tomcat) and integrating with databases (SQL Server, DB2, MySQL)
* Demonstrated experience in requirements analysis, software design, development, testing, and production implementation
* Excellent communication and collaboration skills
* Strong interpersonal and team building skills when interacting with internal and external customers.
* Strong ability to coordinate/facilitate across business areas and gain collaborative support at all organizational levels.
* Strong organizational and planning skills with the ability to simultaneously handle multiple concurrent activities.
* Demonstrated ability to effectively work with dynamic, cross\-functional teams in support of corporate goals and objectives, and in the enhancement of the corporation's technology products, services, and capabilities.
**QUALIFICATIONS**
Education
Required:
* Bachelor’s degree in Computer Science, Computer Engineering, or related field. Experience beyond the minimum work experience requirement can be substituted for degree on a year\-for\-year basis.
Experience
Required:
* Five (5\) years' of application software development experience using a combination of web/mobile technologies, AI/ML, cloud applications and software tools.
* Four (4\) years' of experience in developing, debugging, testing, deploying and maintaining Java applications \&amp; Restful Webservices.
* Three (3\) years’ experience in version control systems, agile methodologies, software designs and diagrams, build and deployment tools, issue/bug tracking tools, data access tools, and SQL with relational and non\-relational databases.
* Two (2\) years’ experience with DevOps tools such as Docker, Kubernetes, Jenkins, Maven, Git, Nexus; experience with CI/CD and cloud deployments (Azure, AWS, or GCP).
 Preferred:
* Experience with AI / ML, and Data Analytics technologies.
* Experience with AI code assistant tools, large language models (LLMs), and AI models
* Data Transformation experience using extract, transform, and load (ETL) tools.
* Familiarity with migration of legacy systems (COBOL on z/OS) to modern technologies.
**PHYSICAL AND MENTAL DEMANDS**
* Occasionally must move about inside the office.
* Repetitive motion. Regularly operates a computer, phone, and general office equipment.
* Regularly required to handle, feel, grasp objects, and reach across a work area.
* Regularly communicates with other employees and on the phone, virtually, or in person with clients. Regularly converses with internal and external contacts.
* Visual acuity. Regularly must have close visual acuity to view and enter information into computer and software systems, analyze data, develop presentations and reports, and other materials.
* Mental focus. Requires worker to maintain focus and exchange detailed and accurate information through oral and written communication.
**WORK ENVIRONMENT**
* Work may be conducted remotely or in an office with a surrounding small cubicle environment.
* Office work environment is climate controlled with no substantial exposure to adverse environmental conditions.
* Participates in rotating on\-call support for web and mobile business applications.
**CAREER PROGRESSION ROLES**
List possible positions the employee(s) could move into as a next step.
* Software Engineer IV
* Solutions Architect
**COMPENSATION AND BENEFITS**
* Base Salary: $84,098\.00 \- $112,131\.00 per year (commensurate with experience)
* Corporate Annual Incentive: This position is eligible for a corporate annual incentive, subject to the discretion and approval of the Board of Directors and not guaranteed.
* Paid Holidays: 11 holidays \+ 1 floating holiday per year
* Comprehensive benefits package including health, dental, vision, and retirement plans.</t>
        </is>
      </c>
    </row>
    <row r="111">
      <c r="A111" t="inlineStr">
        <is>
          <t>in-d0f4bf7d36c77e14</t>
        </is>
      </c>
      <c r="B111" t="inlineStr">
        <is>
          <t>Senior Principal/Staff Cyber Software Engineer</t>
        </is>
      </c>
      <c r="C111" t="inlineStr">
        <is>
          <t>VTG Defense</t>
        </is>
      </c>
      <c r="D111" t="inlineStr">
        <is>
          <t>indeed</t>
        </is>
      </c>
      <c r="E111">
        <f>HYPERLINK("https://www.indeed.com/viewjob?jk=d0f4bf7d36c77e14", "https://www.indeed.com/viewjob?jk=d0f4bf7d36c77e14")</f>
        <v/>
      </c>
      <c r="F111">
        <f>HYPERLINK("https://careers.vtgdefense.com/jobs/8222/job?utm_source=indeed_integration&amp;iis=Job%20Board&amp;iisn=Indeed&amp;indeed-apply-token=73a2d2b2a8d6d5c0a62696875eaebd669103652d3f0c2cd5445d3e66b1592b0f", "https://careers.vtgdefense.com/jobs/8222/job?utm_source=indeed_integration&amp;iis=Job%20Board&amp;iisn=Indeed&amp;indeed-apply-token=73a2d2b2a8d6d5c0a62696875eaebd669103652d3f0c2cd5445d3e66b1592b0f")</f>
        <v/>
      </c>
      <c r="G111" t="inlineStr">
        <is>
          <t>Chantilly, VA, US</t>
        </is>
      </c>
      <c r="H111" s="2" t="n">
        <v>46043</v>
      </c>
      <c r="I111" t="inlineStr">
        <is>
          <t>**Overview:**  
Byte Systems, a subsidiary of VTG, is seeking a Software Engineer to join our diverse team at our Herndon, VA, office. The candidate will work within a cross\-functional Agile Scrum Team primarily focusing on building and maintaining systems running in a containerized environment.
**Responsibilities:**  
**Required Qualifications:**  
Significant Java and Python development experience. Experience with SQL Shell Script experience Hands\-on experience with Unix/Linux TS/SCI with Poly.
**Preferred Qualifications:**  
Security\+ or equivalent certification and willingness to serve as a
Security\+ privileged user supporting deployed systems testing
Experience with Kubernetes (Red Hat OpenShift or another variant) Familiarity with NiFi Experience with cross\-domain systems Experience with JavaScript.
**Qualifications:**  
**For Senior Principal level:** A Bachelor’s degree with 9\+ years of relevant experience; OR a Master’s degree with 7\+ years of relevant experience; OR a PhD with 4\+ years of relevant experience an additional 4 years of experience may be considered in lieu of a degree requirement.
**For Staff level:** A Bachelor’s degree with 14\+ years of relevant experience; OR a Master’s degree with 12\+ years of relevant experience; OR a PhD with 9\+ years of relevant experience an additional 4 years of experience may be considered in lieu of a degree requirement.</t>
        </is>
      </c>
    </row>
    <row r="112">
      <c r="A112" t="inlineStr">
        <is>
          <t>in-918ad1e2209f09ad</t>
        </is>
      </c>
      <c r="B112" t="inlineStr">
        <is>
          <t>Software Developer</t>
        </is>
      </c>
      <c r="C112" t="inlineStr">
        <is>
          <t>Oracle</t>
        </is>
      </c>
      <c r="D112" t="inlineStr">
        <is>
          <t>indeed</t>
        </is>
      </c>
      <c r="E112">
        <f>HYPERLINK("https://www.indeed.com/viewjob?jk=918ad1e2209f09ad", "https://www.indeed.com/viewjob?jk=918ad1e2209f09ad")</f>
        <v/>
      </c>
      <c r="F112">
        <f>HYPERLINK("https://eeho.fa.us2.oraclecloud.com/hcmUI/CandidateExperience/en/sites/CX_1/job/323332", "https://eeho.fa.us2.oraclecloud.com/hcmUI/CandidateExperience/en/sites/CX_1/job/323332")</f>
        <v/>
      </c>
      <c r="G112" t="inlineStr">
        <is>
          <t>Nashville, TN, US</t>
        </is>
      </c>
      <c r="H112" s="2" t="n">
        <v>46042</v>
      </c>
      <c r="I112" t="inlineStr">
        <is>
          <t>Design, develop, troubleshoot and debug software programs for databases, applications, tools, networks etc.
Department Description
Oracle Cloud Infrastructure (OCI) combines the elasticity and utility of public cloud with the granular control, security, and predictability of on\-premises infrastructure to deliver high\-performance, high availability, and cost\-effective infrastructure services. Multiple compute options provide the flexibility to run the most demanding workloads and less compute\-intensive applications in a secure and highly available cloud environment. Customers can self\-service provision virtual machines alongside bare metal servers and clusters on the same virtual cloud networks through a unified web console, APIs, CLI, or via industry\-standard tools such as Terraform and Chef. OCI's approach gives the customer choices for storage, such as industry\-leading local NVME storage or elastic network block storage.
The Oracle Kubernetes Engine (OKE) builds the OCI service that runs our managed Kubernetes experience. It is used by various internal and external customers, and we're actively adding features—from Kubernetes to deeper integrations with OCI and to better allow cluster management. The team operates a 24x7 service at scale. We have a large roadmap of features to enable scenarios for new customers coming on board in the coming quarters.
Position Overview
We’re looking for hands\-on engineers with expertise and passion for solving difficult problems in distributed systems, virtualized infrastructure, and highly available services. If this is you, at Oracle, you can design and build innovative new systems from the ground up. These are exciting times in our space—we are growing fast, still at an early stage, and working on ambitious new initiatives. An engineer at any level can have a significant technical and business impact.
The ideal software engineer candidate for this team is a proficient programmer with a wide breadth of knowledge and experience, including areas such as networking, storage, internet protocols, and operating systems. We write distributed, highly available systems to build, update, and deploy Kubernetes, plus automation and tooling for testing, deployments, and other needs.
Qualifications
* BS degree in Computer Science or related technical field involving coding or equivalent practical experience.
* 8\+ years of experience delivering and operating large\-scale, highly available distributed systems.
* 8\+ years of working in large Java or Golang codebases
* Strong knowledge of data structures, algorithms, operating systems, and distributed systems.
* Systematic problem\-solving approach, strong communication skills, a sense of ownership, and drive.
* Experience building multi\-tenant, virtualized infrastructure.
* Experience in developing or managing containerized workloads using Kubernetes along with one of the following two areas will be considered a strong plus:
	+ Overlay networking and container networking on Linux
	System and service management on Linux  
	+
Responsibilities
* Architect and design new features and systems for our customers.
* Work across teams to engineer the best system (for operations and customers) regardless of organizational boundaries or ownership.
* Independently debug, maintain, and improve existing systems, focusing especially on reducing operational burden and improving performance.
* Be a generalist who can debug issues across a wide breadth of our stack.
* Scale our systems by building tooling and automation.
* Work with partner teams outside our organization and externally with Oracle.
* Participate in an on\-call shift to help address service issues, and respond to customer support issues, and escalations.
Partake routine or mitigating operational tasks necessary to run a globally deployed high\-availability service.  
*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1\. Medical, dental, and vision insurance, including expert medical opinion
2\. Short term disability and long term disability
3\. Life insurance and AD\&amp;D
4\. Supplemental life insurance (Employee/Spouse/Child)
5\. Health care and dependent care Flexible Spending Accounts
6\. Pre\-tax commuter and parking benefits
7\. 401(k) Savings and Investment Plan with company match
8\.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9\. 11 paid holidays
10\. Paid sick leave: 72 hours of paid sick leave upon date of hire. Refreshes each calendar year. Unused balance will carry over each year up to a maximum cap of 112 hours.
11\. Paid parental leave
12\. Adoption assistance
13\. Employee Stock Purchase Plan
14\. Financial planning and group legal
15\. Voluntary benefits including auto, homeowner and pet insurance
The role will generally accept applications for at least three calendar days from the posting date or as long as the job remains posted.
Career Level \- IC4  
Employer Description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row>
    <row r="113">
      <c r="A113" t="inlineStr">
        <is>
          <t>in-3aab244fd3221c1f</t>
        </is>
      </c>
      <c r="B113" t="inlineStr">
        <is>
          <t>Software Engineer Backend(Django)</t>
        </is>
      </c>
      <c r="C113" t="inlineStr">
        <is>
          <t>Uvation</t>
        </is>
      </c>
      <c r="D113" t="inlineStr">
        <is>
          <t>indeed</t>
        </is>
      </c>
      <c r="E113">
        <f>HYPERLINK("https://www.indeed.com/viewjob?jk=3aab244fd3221c1f", "https://www.indeed.com/viewjob?jk=3aab244fd3221c1f")</f>
        <v/>
      </c>
      <c r="F113">
        <f>HYPERLINK("https://uvation.breezy.hr/p/e4c20e485f25-software-engineer-backend-django?source=indeed", "https://uvation.breezy.hr/p/e4c20e485f25-software-engineer-backend-django?source=indeed")</f>
        <v/>
      </c>
      <c r="G113" t="inlineStr">
        <is>
          <t>Remote, US</t>
        </is>
      </c>
      <c r="H113" s="2" t="n">
        <v>46022</v>
      </c>
      <c r="I113" t="inlineStr">
        <is>
          <t>**Job Overview:**
As a Backend Software Engineer, you will be responsible for server\-side web application logic. You will work hand in hand with frontend developers to integrate their work with the server\-side logic, ensuring the development of robust and efficient systems.
**Responsibilities:**
**Development and Design:** Develop high\-quality software design and architecture. Design and implement efficient APIs for the front\-end team.
**Coding and Implementation:** Write clean, functional, and scalable code for the back\-end of web applications. Implement and manage databases and applications.
**Integration:** Integrate front\-end elements with server\-side logic. Coordinate with front\-end developers to align server\-side with client\-side.
**Optimization:** Optimize applications for speed, scalability, and security. Address and improve any technical issues.
**Testing:** Collaborate with QA engineers to develop effective strategies and test plans. Write and execute testing scripts.
**Maintenance and Upgrades:** Perform regular updates to improve system functionality and develop new features.
**Requirements:**
**Education:** Bachelor's degree in Computer Science, Software Engineering, or a related field.
**Experience:** At least 2\-5 years of experience as a Backend Developer or similar role.
**Technical Skills:** Proficiency in server\-side languages such as Python with Django and Django Rest Framework. Experience with database technology like MySQL, Oracle, MongoDB, etc. Familiarity with front\-end languages such as HTML, JavaScript, and CSS. Basic understanding of Data Structures and Algorithms (DSA)
**Soft Skills:** Excellent problem\-solving skills, a strong attention to detail, and the ability to work in a team\-oriented environment. Good communication skills for coordinating with other teams.
**Other:** Familiarity with Agile development methodologies.
**Disclaimer:**
This job description is not an exhaustive list of the skills, efforts, duties, and responsibilities associated with the position. The company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**Note:** The actual duties and responsibilities may vary depending on the department's needs and the evolution of the role.</t>
        </is>
      </c>
    </row>
    <row r="114">
      <c r="A114" t="inlineStr">
        <is>
          <t>in-11d2f7caa8866c53</t>
        </is>
      </c>
      <c r="B114" t="inlineStr">
        <is>
          <t>Software Engineer Backend(Django)</t>
        </is>
      </c>
      <c r="C114" t="inlineStr">
        <is>
          <t>Uvation</t>
        </is>
      </c>
      <c r="D114" t="inlineStr">
        <is>
          <t>indeed</t>
        </is>
      </c>
      <c r="E114">
        <f>HYPERLINK("https://www.indeed.com/viewjob?jk=11d2f7caa8866c53", "https://www.indeed.com/viewjob?jk=11d2f7caa8866c53")</f>
        <v/>
      </c>
      <c r="F114">
        <f>HYPERLINK("https://uvation.breezy.hr/p/e27726edba32-software-engineer-backend-django?source=indeed", "https://uvation.breezy.hr/p/e27726edba32-software-engineer-backend-django?source=indeed")</f>
        <v/>
      </c>
      <c r="G114" t="inlineStr">
        <is>
          <t>Remote, US</t>
        </is>
      </c>
      <c r="H114" s="2" t="n">
        <v>46022</v>
      </c>
      <c r="I114" t="inlineStr">
        <is>
          <t>**Job Overview:**
As a Backend Software Engineer, you will be responsible for server\-side web application logic. You will work hand in hand with frontend developers to integrate their work with the server\-side logic, ensuring the development of robust and efficient systems.
**Responsibilities:**
**Development and Design:** Develop high\-quality software design and architecture. Design and implement efficient APIs for the front\-end team.
**Coding and Implementation:** Write clean, functional, and scalable code for the back\-end of web applications. Implement and manage databases and applications.
**Integration:** Integrate front\-end elements with server\-side logic. Coordinate with front\-end developers to align server\-side with client\-side.
**Optimization:** Optimize applications for speed, scalability, and security. Address and improve any technical issues.
**Testing:** Collaborate with QA engineers to develop effective strategies and test plans. Write and execute testing scripts.
**Maintenance and Upgrades:** Perform regular updates to improve system functionality and develop new features.
**Requirements:**
**Education:** Bachelor's degree in Computer Science, Software Engineering, or a related field.
**Experience:** At least 2\-5 years of experience as a Backend Developer or similar role.
**Technical Skills:** Proficiency in server\-side languages such as Python with Django and Django Rest Framework. Experience with database technology like MySQL, Oracle, MongoDB, etc. Familiarity with front\-end languages such as HTML, JavaScript, and CSS. Basic understanding of Data Structures and Algorithms (DSA)
**Soft Skills:** Excellent problem\-solving skills, a strong attention to detail, and the ability to work in a team\-oriented environment. Good communication skills for coordinating with other teams.
**Other:** Familiarity with Agile development methodologies.
**Disclaimer:**
This job description is not an exhaustive list of the skills, efforts, duties, and responsibilities associated with the position. The company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**Note:** The actual duties and responsibilities may vary depending on the department's needs and the evolution of the role.</t>
        </is>
      </c>
    </row>
    <row r="115">
      <c r="A115" t="inlineStr">
        <is>
          <t>in-fdb99ba94683c77c</t>
        </is>
      </c>
      <c r="B115" t="inlineStr">
        <is>
          <t>Software Engineer Frontend - React</t>
        </is>
      </c>
      <c r="C115" t="inlineStr">
        <is>
          <t>Uvation</t>
        </is>
      </c>
      <c r="D115" t="inlineStr">
        <is>
          <t>indeed</t>
        </is>
      </c>
      <c r="E115">
        <f>HYPERLINK("https://www.indeed.com/viewjob?jk=fdb99ba94683c77c", "https://www.indeed.com/viewjob?jk=fdb99ba94683c77c")</f>
        <v/>
      </c>
      <c r="F115">
        <f>HYPERLINK("https://uvation.breezy.hr/p/dd344bfeb5fb-software-engineer-frontend-react?source=indeed", "https://uvation.breezy.hr/p/dd344bfeb5fb-software-engineer-frontend-react?source=indeed")</f>
        <v/>
      </c>
      <c r="G115" t="inlineStr">
        <is>
          <t>Remote, US</t>
        </is>
      </c>
      <c r="H115" s="2" t="n">
        <v>46022</v>
      </c>
      <c r="I115" t="inlineStr">
        <is>
          <t>**Job Overview**:
As a React Frontend Software Engineer, you will be responsible for developing and implementing user interface components using React.js and workflows (such as Flux or Redux). You will ensure that these components and the overall application are robust and easy to maintain, ensuring a seamless user experience.
**Responsibilities:**
**Development and Design:** Develop new user\-facing features using React.js. Build reusable components and front\-end libraries for future use. Translate designs and wireframes into high\-quality code.
**Performance Optimization:** Optimize components for maximum performance across a vast array of web\-capable devices and browsers.
**Collaboration:** Collaborate with product team and back\-end developers for defining and implementing innovative solutions for the product direction, visuals, and user experience.
**Testing and Debugging:** Write and maintain test cases to ensure the robustness and reliability of the code. Debug and fix issues reported in the production environment.
**Maintenance and Upgrades:** Keep up\-to\-date with the latest React.js trends and industry best practices.
**Requirements:**
**Education:** Bachelor's degree in Computer Science, Software Engineering, or a related field.
**Experience:** At least 5\-6 years of experience in React.js development. Experience with popular React.js workflows (such as Flux or Redux) is a must.
**Technical Skills:** Proficiency in JavaScript, including DOM manipulation and the JavaScript object model. Familiarity with newer specifications of ECMAScript. Experience with data structure libraries.
**Soft Skills:** Strong problem\-solving skills, a keen eye for detail, and a team\-oriented mindset. Excellent communication skills for coordinating with other teams.
**Other:** Familiarity with RESTful APIs, modern front\-end build pipelines and tools, code versioning tools such as Git.
**Disclaimer:**
This job description is not an exhaustive list of the skills, efforts, duties, and responsibilities associated with the position. The company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**Note:** The actual duties and responsibilities may vary depending on the department's needs and the evolution of the role.</t>
        </is>
      </c>
    </row>
    <row r="116">
      <c r="A116" t="inlineStr">
        <is>
          <t>in-c52ca3c5a35bb1bf</t>
        </is>
      </c>
      <c r="B116" t="inlineStr">
        <is>
          <t>Software Engineer</t>
        </is>
      </c>
      <c r="C116" t="inlineStr">
        <is>
          <t>Your Money Line</t>
        </is>
      </c>
      <c r="D116" t="inlineStr">
        <is>
          <t>indeed</t>
        </is>
      </c>
      <c r="E116">
        <f>HYPERLINK("https://www.indeed.com/viewjob?jk=c52ca3c5a35bb1bf", "https://www.indeed.com/viewjob?jk=c52ca3c5a35bb1bf")</f>
        <v/>
      </c>
      <c r="F116">
        <f>HYPERLINK("https://your-money-line.breezy.hr/p/b88da642e6b3-software-engineer?source=indeed", "https://your-money-line.breezy.hr/p/b88da642e6b3-software-engineer?source=indeed")</f>
        <v/>
      </c>
      <c r="G116" t="inlineStr">
        <is>
          <t>Indianapolis, IN, US</t>
        </is>
      </c>
      <c r="H116" s="2" t="n">
        <v>46022</v>
      </c>
      <c r="I116" t="inlineStr">
        <is>
          <t>**Software Engineer**
Location: Indianapolis, IN
Our growing company is searching for a **Software Engineer** to play a critical role in developing our software platform. The Software Engineer will work on a team that has a significant impact on helping our customers improve their financial lives. In this role, you will work closely with engineering and product peers to refine the user experience of the Your Money Line platform. You will work iteratively, ship often, and use a mindset of experimentation, and you will develop new features using Nextjs, AWS, and GraphQL.
*This role is primarily hybrid, with some required in\-person collaboration at Your Money Line's Indianapolis headquarters.*
**About Your Money Line**
Money is stressful. We're on a mission to fix it. Your Money Line is one of the leading financial wellness benefits in the nation. We pair AI\-powered software with empathetic human coaching to increase financial stability and confidence in thousands of households—from teachers to nurses and everyone in between. With YML, employees get help with everyday money challenges, and employers see gains in team wellness, retention, and engagement. Your Money Line was founded by Peter Dunn (aka Pete the PlannerTM) and is funded by leading Midwest investors like Ground Game Ventures, Elevate Ventures, Rehab Industries, InnovateMap Ventures, and Gravity Ventures.
**Requirements**
* At least 2 years experience building software on growing teams
* You have built production apps with Nextjs or React
* Experience integrating with third\-party systems like Salesforce, Stripe, and Typeform
* You have built GraphQL APIs using Postgres
* You are well\-versed in using Typescript both on the front end and on the back end
* You are comfortable building full\-stack applications, though you probably have a part of the stack that you prefer
* You are comfortable working in a distributed team
* You communicate well synchronously and asynchronously
**Benefits**
* Base salary of $115,000\-$125,000, based on experience
* Company equity options
* Work laptop
* Unlimited paid wellness time off
* Hybrid office model
* Unlimited paid time off (PTO)
* Paid holidays
* Paid maternity, paternity, and adoption leave
* Medical insurance and health savings account (HSA)
* Dental and vision insurance
* 100% employer\-provided life insurance
* 401K and 401K Match
* Healthcare FSA and Dependent Care FSA
* Regular employee events
* Office snacks
* Flexible working hours
* Voted a “Best Place to Work in Indiana” 2023, 2024, 2025
* Fun startup culture
If you feel you meet these qualifications, you get excited by helping millions of people achieve financial stability, and you want to work with a diverse, hardworking team – we'd love to meet you.</t>
        </is>
      </c>
    </row>
    <row r="117">
      <c r="A117" t="inlineStr">
        <is>
          <t>in-46e23d22eda2fa07</t>
        </is>
      </c>
      <c r="B117" t="inlineStr">
        <is>
          <t>Software Engineer Backend(Django)</t>
        </is>
      </c>
      <c r="C117" t="inlineStr">
        <is>
          <t>Uvation</t>
        </is>
      </c>
      <c r="D117" t="inlineStr">
        <is>
          <t>indeed</t>
        </is>
      </c>
      <c r="E117">
        <f>HYPERLINK("https://www.indeed.com/viewjob?jk=46e23d22eda2fa07", "https://www.indeed.com/viewjob?jk=46e23d22eda2fa07")</f>
        <v/>
      </c>
      <c r="F117">
        <f>HYPERLINK("https://uvation.breezy.hr/p/a9f060db93cc-software-engineer-backend-django?source=indeed", "https://uvation.breezy.hr/p/a9f060db93cc-software-engineer-backend-django?source=indeed")</f>
        <v/>
      </c>
      <c r="G117" t="inlineStr">
        <is>
          <t>Remote, US</t>
        </is>
      </c>
      <c r="H117" s="2" t="n">
        <v>46022</v>
      </c>
      <c r="I117" t="inlineStr">
        <is>
          <t>**Job Overview:**
As a Backend Software Engineer, you will be responsible for server\-side web application logic. You will work hand in hand with frontend developers to integrate their work with the server\-side logic, ensuring the development of robust and efficient systems.
**Responsibilities:**
**Development and Design:** Develop high\-quality software design and architecture. Design and implement efficient APIs for the front\-end team.
**Coding and Implementation:** Write clean, functional, and scalable code for the back\-end of web applications. Implement and manage databases and applications.
**Integration:** Integrate front\-end elements with server\-side logic. Coordinate with front\-end developers to align server\-side with client\-side.
**Optimization:** Optimize applications for speed, scalability, and security. Address and improve any technical issues.
**Testing:** Collaborate with QA engineers to develop effective strategies and test plans. Write and execute testing scripts.
**Maintenance and Upgrades:** Perform regular updates to improve system functionality and develop new features.
**Requirements:**
**Education:** Bachelor's degree in Computer Science, Software Engineering, or a related field.
**Experience:** At least 2\-5 years of experience as a Backend Developer or similar role.
**Technical Skills:** Proficiency in server\-side languages such as Python with Django and Django Rest Framework. Experience with database technology like MySQL, Oracle, MongoDB, etc. Familiarity with front\-end languages such as HTML, JavaScript, and CSS. Basic understanding of Data Structures and Algorithms (DSA)
**Soft Skills:** Excellent problem\-solving skills, a strong attention to detail, and the ability to work in a team\-oriented environment. Good communication skills for coordinating with other teams.
**Other:** Familiarity with Agile development methodologies.
**Disclaimer:**
This job description is not an exhaustive list of the skills, efforts, duties, and responsibilities associated with the position. The company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**Note:** The actual duties and responsibilities may vary depending on the department's needs and the evolution of the role.</t>
        </is>
      </c>
    </row>
    <row r="118">
      <c r="A118" t="inlineStr">
        <is>
          <t>in-891436cc990d5ce2</t>
        </is>
      </c>
      <c r="B118" t="inlineStr">
        <is>
          <t>Software Engineer Frontend - React</t>
        </is>
      </c>
      <c r="C118" t="inlineStr">
        <is>
          <t>Uvation</t>
        </is>
      </c>
      <c r="D118" t="inlineStr">
        <is>
          <t>indeed</t>
        </is>
      </c>
      <c r="E118">
        <f>HYPERLINK("https://www.indeed.com/viewjob?jk=891436cc990d5ce2", "https://www.indeed.com/viewjob?jk=891436cc990d5ce2")</f>
        <v/>
      </c>
      <c r="F118">
        <f>HYPERLINK("https://uvation.breezy.hr/p/a61df868db14-software-engineer-frontend-react?source=indeed", "https://uvation.breezy.hr/p/a61df868db14-software-engineer-frontend-react?source=indeed")</f>
        <v/>
      </c>
      <c r="G118" t="inlineStr">
        <is>
          <t>Remote, US</t>
        </is>
      </c>
      <c r="H118" s="2" t="n">
        <v>46022</v>
      </c>
      <c r="I118" t="inlineStr">
        <is>
          <t>**Job Overview**:
As a React Frontend Software Engineer, you will be responsible for developing and implementing user interface components using React.js and workflows (such as Flux or Redux). You will ensure that these components and the overall application are robust and easy to maintain, ensuring a seamless user experience.
**Responsibilities:**
**Development and Design:** Develop new user\-facing features using React.js. Build reusable components and front\-end libraries for future use. Translate designs and wireframes into high\-quality code.
**Performance Optimization:** Optimize components for maximum performance across a vast array of web\-capable devices and browsers.
**Collaboration:** Collaborate with product team and back\-end developers for defining and implementing innovative solutions for the product direction, visuals, and user experience.
**Testing and Debugging:** Write and maintain test cases to ensure the robustness and reliability of the code. Debug and fix issues reported in the production environment.
**Maintenance and Upgrades:** Keep up\-to\-date with the latest React.js trends and industry best practices.
**Requirements:**
**Education:** Bachelor's degree in Computer Science, Software Engineering, or a related field.
**Experience:** At least 5\-6 years of experience in React.js development. Experience with popular React.js workflows (such as Flux or Redux) is a must.
**Technical Skills:** Proficiency in JavaScript, including DOM manipulation and the JavaScript object model. Familiarity with newer specifications of ECMAScript. Experience with data structure libraries.
**Soft Skills:** Strong problem\-solving skills, a keen eye for detail, and a team\-oriented mindset. Excellent communication skills for coordinating with other teams.
**Other:** Familiarity with RESTful APIs, modern front\-end build pipelines and tools, code versioning tools such as Git.
**Disclaimer:**
This job description is not an exhaustive list of the skills, efforts, duties, and responsibilities associated with the position. The company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**Note:** The actual duties and responsibilities may vary depending on the department's needs and the evolution of the role.</t>
        </is>
      </c>
    </row>
    <row r="119">
      <c r="A119" t="inlineStr">
        <is>
          <t>in-02eb4e89df6f7bd8</t>
        </is>
      </c>
      <c r="B119" t="inlineStr">
        <is>
          <t>Software Engineer Frontend - React</t>
        </is>
      </c>
      <c r="C119" t="inlineStr">
        <is>
          <t>Uvation</t>
        </is>
      </c>
      <c r="D119" t="inlineStr">
        <is>
          <t>indeed</t>
        </is>
      </c>
      <c r="E119">
        <f>HYPERLINK("https://www.indeed.com/viewjob?jk=02eb4e89df6f7bd8", "https://www.indeed.com/viewjob?jk=02eb4e89df6f7bd8")</f>
        <v/>
      </c>
      <c r="F119">
        <f>HYPERLINK("https://uvation.breezy.hr/p/8d85e7f770de-software-engineer-frontend-react?source=indeed", "https://uvation.breezy.hr/p/8d85e7f770de-software-engineer-frontend-react?source=indeed")</f>
        <v/>
      </c>
      <c r="G119" t="inlineStr">
        <is>
          <t>Remote, US</t>
        </is>
      </c>
      <c r="H119" s="2" t="n">
        <v>46022</v>
      </c>
      <c r="I119" t="inlineStr">
        <is>
          <t>**Job Overview**:
As a React Frontend Software Engineer, you will be responsible for developing and implementing user interface components using React.js and workflows (such as Flux or Redux). You will ensure that these components and the overall application are robust and easy to maintain, ensuring a seamless user experience.
**Responsibilities:**
**Development and Design:** Develop new user\-facing features using React.js. Build reusable components and front\-end libraries for future use. Translate designs and wireframes into high\-quality code.
**Performance Optimization:** Optimize components for maximum performance across a vast array of web\-capable devices and browsers.
**Collaboration:** Collaborate with product team and back\-end developers for defining and implementing innovative solutions for the product direction, visuals, and user experience.
**Testing and Debugging:** Write and maintain test cases to ensure the robustness and reliability of the code. Debug and fix issues reported in the production environment.
**Maintenance and Upgrades:** Keep up\-to\-date with the latest React.js trends and industry best practices.
**Requirements:**
**Education:** Bachelor's degree in Computer Science, Software Engineering, or a related field.
**Experience:** At least 5\-6 years of experience in React.js development. Experience with popular React.js workflows (such as Flux or Redux) is a must.
**Technical Skills:** Proficiency in JavaScript, including DOM manipulation and the JavaScript object model. Familiarity with newer specifications of ECMAScript. Experience with data structure libraries.
**Soft Skills:** Strong problem\-solving skills, a keen eye for detail, and a team\-oriented mindset. Excellent communication skills for coordinating with other teams.
**Other:** Familiarity with RESTful APIs, modern front\-end build pipelines and tools, code versioning tools such as Git.
**Disclaimer:**
This job description is not an exhaustive list of the skills, efforts, duties, and responsibilities associated with the position. The company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**Note:** The actual duties and responsibilities may vary depending on the department's needs and the evolution of the role.</t>
        </is>
      </c>
    </row>
    <row r="120">
      <c r="A120" t="inlineStr">
        <is>
          <t>in-1a6fdbfec0647cbf</t>
        </is>
      </c>
      <c r="B120" t="inlineStr">
        <is>
          <t>Sr. Software Engineer</t>
        </is>
      </c>
      <c r="C120" t="inlineStr">
        <is>
          <t>reveleer</t>
        </is>
      </c>
      <c r="D120" t="inlineStr">
        <is>
          <t>indeed</t>
        </is>
      </c>
      <c r="E120">
        <f>HYPERLINK("https://www.indeed.com/viewjob?jk=1a6fdbfec0647cbf", "https://www.indeed.com/viewjob?jk=1a6fdbfec0647cbf")</f>
        <v/>
      </c>
      <c r="F120">
        <f>HYPERLINK("https://reveleer.breezy.hr/p/60d34c3fbaff-sr-software-engineer?source=indeed", "https://reveleer.breezy.hr/p/60d34c3fbaff-sr-software-engineer?source=indeed")</f>
        <v/>
      </c>
      <c r="G120" t="inlineStr">
        <is>
          <t>Remote, US</t>
        </is>
      </c>
      <c r="H120" s="2" t="n">
        <v>46022</v>
      </c>
      <c r="I120" t="inlineStr">
        <is>
          <t>**Sr Software** **Engineer**
**Remote Opportunity**
**Why This Role Is Important**
The Sr Software Engineer at Reveleer is a highly experienced individual contributor responsible for designing, building, and maintaining reliable software within a defined problem space. This role focuses on strong execution, sound technical decision making, and helping the team deliver high quality software that meets product and business needs.
This role supports modernization and quality improvements through hands\-on development and day\-to\-day technical leadership. Without strong senior engineers, teams struggle with consistency, code quality, and delivery efficiency. This role helps ensure work is done correctly, pragmatically, and with long term maintainability in mind.
**What Success Looks Like**
* Features and services are well designed, implemented correctly, and operate reliably in production.
* Technical decisions within owned areas balance delivery speed with maintainability and performance.
* Code quality improves through strong implementation practices and thoughtful code reviews.
* Engineers benefit from informal mentorship and practical guidance on design and implementation.
* Work is delivered predictably and aligns with agreed product requirements and timelines.
**What You Will Do**
* Design and implement features and services within Reveleer's platform using established architectural patterns.
* Write high quality, maintainable code and take ownership of systems within your domain.
* Contribute to system reliability, performance, and security through disciplined engineering practices.
* Participate in design discussions, offering input and recommendations within a defined scope.
* Review code, share best practices, and support the growth of less experienced engineers.
* Collaborate closely with product managers, designers, and other engineers to deliver agreed outcomes.
**What Makes You a Great Fit**
* Strong experience building and evolving backend systems using C\#, .NET, and SQL Server in AWS Cloud.
* 4\+ years of designing scalable, distributed systems and cloud\-based architectures.
* Proven ability to contribute to complex technical initiatives from concept through deployment, with clear ownership and follow through.
* Strong technical judgment and the ability to influence without formal authority, aligning teams around sound engineering decisions.
* Demonstrated ability to mentor engineers and elevate quality through clear standards and practical coaching.
* A bias for action, paired with a high bar for reliability, security, and maintainability.
**WHAT YOU'LL RECEIVE:**
* Competitive salary
* Medical, Dental and Vision benefits
* 401k match
* Generous PTO plan
 Our compensation reflects the cost of labor across several US geographic markets. Pay is based on several factors including market location and may vary depending on job\-related knowledge, skills, and experience.
Reveleer E\-Verifies all new hires.
Reveleer is an equal opportunity employer. We do not discriminate on the basis of race, religion, color, national origin, gender, gender identity, sexual orientation, age, marital status, veteran status, disability status or genetic information, in compliance with applicable federal, state and local law.</t>
        </is>
      </c>
    </row>
    <row r="121">
      <c r="A121" t="inlineStr">
        <is>
          <t>in-2148f1787547eb8f</t>
        </is>
      </c>
      <c r="B121" t="inlineStr">
        <is>
          <t>Senior Software Engineer</t>
        </is>
      </c>
      <c r="C121" t="inlineStr">
        <is>
          <t>Avantos</t>
        </is>
      </c>
      <c r="D121" t="inlineStr">
        <is>
          <t>indeed</t>
        </is>
      </c>
      <c r="E121">
        <f>HYPERLINK("https://www.indeed.com/viewjob?jk=2148f1787547eb8f", "https://www.indeed.com/viewjob?jk=2148f1787547eb8f")</f>
        <v/>
      </c>
      <c r="F121">
        <f>HYPERLINK("https://avantos.breezy.hr/p/4a707ef4f952-senior-software-engineer?source=indeed", "https://avantos.breezy.hr/p/4a707ef4f952-senior-software-engineer?source=indeed")</f>
        <v/>
      </c>
      <c r="G121" t="inlineStr">
        <is>
          <t>St. Louis, MO, US</t>
        </is>
      </c>
      <c r="H121" s="2" t="n">
        <v>46022</v>
      </c>
      <c r="I121" t="inlineStr">
        <is>
          <t>**Company overview**
====================
Avantos is building the industry's first **AI\-native operating system for financial services**, redefining how firms onboard clients, deliver advice, and manage core servicing workflows. We're a product\-led team composed of founders and leaders from Wharton, MIT, top design programs, and prior unicorn SaaS companies.
**Tech Stack**
==============
Our full tech stack includes the following \- experience with these will be considered a plus, but not required:
* **Languages**: Go, Typescript
* **Frontend:** React
* **Database:** Postgresql
* **AWS:** ECS Fargate, AppFlow, S3, SQS, Bedrock
* **IaC:** Terraform
* **Observability:** Datadog
**Upcoming Projects**
=====================
* React Native Mobile app with AI Chat
* Prefill AI \- Feeding LLMs meeting transcripts so that they can use the data discussed to prefill forms on behalf on financial advisors
* Agentic chat tool expansion \- We have lots of data. We need to expose that data to our chat via tool calls. We use Mastra as our agent framework.
View a technical talk that gives an overview of a previous project here (https://www.youtube.com/watch?v\=uapJ75b34FY).
**Team Overview**
=================
**Matt Dupree**
---------------
Was going to be a philosophy professor but got into tech instead. I've built mobile apps and web apps, worked on a data science team, and founded a VC\-backed startup. Was hired as the 5th engineer at Avantos. Favorite movie: *The Prestige.* (I generally like anything Christopher Nolan does.)
**Tristan Mortimer**
--------------------
Most recently worked at a crypto startup. Before that, Amazon. x\-Rust\-user\-group organizer. Outside of work, I spend time enjoying the great outdoors and traveling to different places. Favorite movie: *Cars 3\.* (This might be a joke. We're not sure.)
**Rishabh Garg**
----------------
Was working on Bedrock at AWS but wanted to get some startup experience, so I jumped ship and joined Avantos in the Summer of 2025\. Favorite movie: *The Grand Budapest Hotel*
**Interview Process**
=====================
* 10\-minute async coding challenge
* Hiring manager chat and 20\-minute coding challenge
* 45\-minute live Coding Challenge w/ another Engineer or React App Take\-Home Challenge
* System Design Interview
* Chat w/ Head of Product</t>
        </is>
      </c>
    </row>
    <row r="122">
      <c r="A122" t="inlineStr">
        <is>
          <t>in-ca7015e8b757357b</t>
        </is>
      </c>
      <c r="B122" t="inlineStr">
        <is>
          <t>Senior Software Engineer</t>
        </is>
      </c>
      <c r="C122" t="inlineStr">
        <is>
          <t>Avantos</t>
        </is>
      </c>
      <c r="D122" t="inlineStr">
        <is>
          <t>indeed</t>
        </is>
      </c>
      <c r="E122">
        <f>HYPERLINK("https://www.indeed.com/viewjob?jk=ca7015e8b757357b", "https://www.indeed.com/viewjob?jk=ca7015e8b757357b")</f>
        <v/>
      </c>
      <c r="F122">
        <f>HYPERLINK("https://avantos.breezy.hr/p/4a707ef4f952-senior-software-engineer?source=indeed", "https://avantos.breezy.hr/p/4a707ef4f952-senior-software-engineer?source=indeed")</f>
        <v/>
      </c>
      <c r="G122" t="inlineStr">
        <is>
          <t>New York, NY, US</t>
        </is>
      </c>
      <c r="H122" s="2" t="n">
        <v>46022</v>
      </c>
      <c r="I122" t="inlineStr">
        <is>
          <t>**Company overview**
====================
Avantos is building the industry's first **AI\-native operating system for financial services**, redefining how firms onboard clients, deliver advice, and manage core servicing workflows. We're a product\-led team composed of founders and leaders from Wharton, MIT, top design programs, and prior unicorn SaaS companies.
**Tech Stack**
==============
Our full tech stack includes the following \- experience with these will be considered a plus, but not required:
* **Languages**: Go, Typescript
* **Frontend:** React
* **Database:** Postgresql
* **AWS:** ECS Fargate, AppFlow, S3, SQS, Bedrock
* **IaC:** Terraform
* **Observability:** Datadog
**Upcoming Projects**
=====================
* React Native Mobile app with AI Chat
* Prefill AI \- Feeding LLMs meeting transcripts so that they can use the data discussed to prefill forms on behalf on financial advisors
* Agentic chat tool expansion \- We have lots of data. We need to expose that data to our chat via tool calls. We use Mastra as our agent framework.
View a technical talk that gives an overview of a previous project here (https://www.youtube.com/watch?v\=uapJ75b34FY).
**Team Overview**
=================
**Matt Dupree**
---------------
Was going to be a philosophy professor but got into tech instead. I've built mobile apps and web apps, worked on a data science team, and founded a VC\-backed startup. Was hired as the 5th engineer at Avantos. Favorite movie: *The Prestige.* (I generally like anything Christopher Nolan does.)
**Tristan Mortimer**
--------------------
Most recently worked at a crypto startup. Before that, Amazon. x\-Rust\-user\-group organizer. Outside of work, I spend time enjoying the great outdoors and traveling to different places. Favorite movie: *Cars 3\.* (This might be a joke. We're not sure.)
**Rishabh Garg**
----------------
Was working on Bedrock at AWS but wanted to get some startup experience, so I jumped ship and joined Avantos in the Summer of 2025\. Favorite movie: *The Grand Budapest Hotel*
**Interview Process**
=====================
* 10\-minute async coding challenge
* Hiring manager chat and 20\-minute coding challenge
* 45\-minute live Coding Challenge w/ another Engineer or React App Take\-Home Challenge
* System Design Interview
* Chat w/ Head of Product</t>
        </is>
      </c>
    </row>
    <row r="123">
      <c r="A123" t="inlineStr">
        <is>
          <t>in-a7118a4f3d0cb14f</t>
        </is>
      </c>
      <c r="B123" t="inlineStr">
        <is>
          <t>Full Stack Engineer</t>
        </is>
      </c>
      <c r="C123" t="inlineStr">
        <is>
          <t>Lilo Social</t>
        </is>
      </c>
      <c r="D123" t="inlineStr">
        <is>
          <t>indeed</t>
        </is>
      </c>
      <c r="E123">
        <f>HYPERLINK("https://www.indeed.com/viewjob?jk=a7118a4f3d0cb14f", "https://www.indeed.com/viewjob?jk=a7118a4f3d0cb14f")</f>
        <v/>
      </c>
      <c r="F123">
        <f>HYPERLINK("https://lilo-social.breezy.hr/p/4321234aa8c1-full-stack-engineer?source=indeed", "https://lilo-social.breezy.hr/p/4321234aa8c1-full-stack-engineer?source=indeed")</f>
        <v/>
      </c>
      <c r="G123" t="inlineStr">
        <is>
          <t>Remote, US</t>
        </is>
      </c>
      <c r="H123" s="2" t="n">
        <v>46022</v>
      </c>
      <c r="I123" t="inlineStr">
        <is>
          <t>**About Lilo Social**
---------------------
Lilo Social is a full\-funnel eCommerce growth agency specializing in acquisition and retention for direct\-to\-consumer brands. With a team of over 50 professionals, we deliver best\-in\-class paid media, email marketing, and creative services to help brands scale profitably. We work across the entire customer lifecycle—from content creation and paid advertising to conversion rate optimization and retention marketing.
Our partnership\-first approach has earned us a 90% client retention rate and recognition as an Inc. 5000 honoree for three consecutive years (2023, 2024, 2025\). We are proud to be a Klaviyo Master Elite Agency, a distinction held by only 0\.2% of Klaviyo's 6,500\+ partners. To date, we have driven billions of dollars in attributed revenue for our partners.
**The Role**
------------
As a Full Stack Engineer at Lilo Social, you will build the internal tools and AI\-powered systems that enable our team to scale efficiently and deliver exceptional results for clients. You will own projects end\-to\-end, from identifying workflow bottlenecks to shipping solutions that save hours of manual work across our media buying, creative, and retention teams. This is a ground\-floor opportunity to shape how a high\-growth performance marketing agency operates through custom software, intelligent automation, and strategic technical leadership.
**What success looks like:**
* Internal tools that measurably increase team efficiency and reduce manual work across departments
* AI\-powered features successfully integrated into daily workflows, driving automation and insights
* High adoption rates of your solutions across media buyers, strategists, and creative teams
* Continuous iteration based on team feedback, with regular feature releases that address evolving needs
**Responsibilities**
--------------------
* Build internal dashboards and tools that help media buyers and strategists manage client accounts more efficiently
* Develop AI\-powered features using large language models (LLMs) to automate creative analysis, campaign reporting, and workflow tasks
* Create integrations with advertising platforms including Facebook Ads API, Google Ads API, and other marketing technology tools
* Design and maintain databases to aggregate performance data across clients and enable cross\-account insights
* Work directly with media buyers, strategists, and creative team members to understand pain points and build solutions
* Own the full development lifecycle for internal projects including scoping, technical design, implementation, deployment, and ongoing iteration
* Implement authentication, permissions, and security best practices for internal tools handling client data
* Build APIs and backend services to support internal applications and integrate with third\-party platforms
* Deploy and manage applications in cloud environments with appropriate monitoring and error handling
* Document technical specifications, APIs, and system architecture for team reference
* Stay current on AI/ML developments and identify opportunities to incorporate new capabilities into internal tools
* Collaborate with leadership on technical roadmap and prioritization of internal tool development
**Requirements**
----------------
* 3\+ years of professional experience building web applications with React, Next.js, or similar modern frontend frameworks
* 3\+ years of backend development experience with Node.js, Python, or similar server\-side technologies
* Strong proficiency in TypeScript and modern JavaScript development practices
* Solid understanding of SQL and experience designing relational database schemas (PostgreSQL, MySQL, or similar)
* Experience building and consuming RESTful APIs and working with third\-party integrations
* Comfortable deploying and managing applications in cloud environments such as AWS, Google Cloud Platform, or Azure
* Strong problem\-solving skills and ability to independently scope and deliver projects from concept to production
* Excellent communication skills and ability to translate technical concepts for non\-technical stakeholders
* Experience building with large language models and AI APIs including OpenAI, Anthropic Claude, or similar platforms
* Familiarity with advertising platform APIs such as Shopify API, Meta API, Google Ads API, TikTok Ads API, or Klaviyo API
* Experience at a marketing agency, DTC brand, or high\-growth startup environment
* Knowledge of data visualization libraries and dashboard building (Chart.js, D3\.js, Recharts, or similar)
* Experience with workflow automation tools, internal tool development, or building operational software
**Compensation and Benefits**
-----------------------------
* 401(k) Retirement Plan: Fully customizable 401(k) with up to 4% company match
* Comprehensive Health Coverage: Fully\-covered medical, dental, and vision insurance
* Generous Time Off: Competitive PTO policy and paid holidays to maintain work\-life balance
* Wellness Benefits: Complimentary Headspace subscription and fitness stipend
* Fully Remote: Work from anywhere with flexible hours and a distributed team culture
* Technology Supplied: Equipped with the latest laptop and necessary tools for success
* Professional Development: Opportunities for growth, training, and expanded responsibilities
* Compensation: Competitive salary commensurate with experience.</t>
        </is>
      </c>
    </row>
    <row r="124">
      <c r="A124" t="inlineStr">
        <is>
          <t>in-ae68497970adc954</t>
        </is>
      </c>
      <c r="B124" t="inlineStr">
        <is>
          <t>Software Engineer Frontend - React</t>
        </is>
      </c>
      <c r="C124" t="inlineStr">
        <is>
          <t>Uvation</t>
        </is>
      </c>
      <c r="D124" t="inlineStr">
        <is>
          <t>indeed</t>
        </is>
      </c>
      <c r="E124">
        <f>HYPERLINK("https://www.indeed.com/viewjob?jk=ae68497970adc954", "https://www.indeed.com/viewjob?jk=ae68497970adc954")</f>
        <v/>
      </c>
      <c r="F124">
        <f>HYPERLINK("https://uvation.breezy.hr/p/071b013023ba-software-engineer-frontend-react?source=indeed", "https://uvation.breezy.hr/p/071b013023ba-software-engineer-frontend-react?source=indeed")</f>
        <v/>
      </c>
      <c r="G124" t="inlineStr">
        <is>
          <t>Remote, US</t>
        </is>
      </c>
      <c r="H124" s="2" t="n">
        <v>46022</v>
      </c>
      <c r="I124" t="inlineStr">
        <is>
          <t>**Job Overview**:
As a React Frontend Software Engineer, you will be responsible for developing and implementing user interface components using React.js and workflows (such as Flux or Redux). You will ensure that these components and the overall application are robust and easy to maintain, ensuring a seamless user experience.
**Responsibilities:**
**Development and Design:** Develop new user\-facing features using React.js. Build reusable components and front\-end libraries for future use. Translate designs and wireframes into high\-quality code.
**Performance Optimization:** Optimize components for maximum performance across a vast array of web\-capable devices and browsers.
**Collaboration:** Collaborate with product team and back\-end developers for defining and implementing innovative solutions for the product direction, visuals, and user experience.
**Testing and Debugging:** Write and maintain test cases to ensure the robustness and reliability of the code. Debug and fix issues reported in the production environment.
**Maintenance and Upgrades:** Keep up\-to\-date with the latest React.js trends and industry best practices.
**Requirements:**
**Education:** Bachelor's degree in Computer Science, Software Engineering, or a related field.
**Experience:** At least 5\-6 years of experience in React.js development. Experience with popular React.js workflows (such as Flux or Redux) is a must.
**Technical Skills:** Proficiency in JavaScript, including DOM manipulation and the JavaScript object model. Familiarity with newer specifications of ECMAScript. Experience with data structure libraries.
**Soft Skills:** Strong problem\-solving skills, a keen eye for detail, and a team\-oriented mindset. Excellent communication skills for coordinating with other teams.
**Other:** Familiarity with RESTful APIs, modern front\-end build pipelines and tools, code versioning tools such as Git.
**Disclaimer:**
This job description is not an exhaustive list of the skills, efforts, duties, and responsibilities associated with the position. The company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**Note:** The actual duties and responsibilities may vary depending on the department's needs and the evolution of the role.</t>
        </is>
      </c>
    </row>
    <row r="125">
      <c r="A125" t="inlineStr">
        <is>
          <t>in-411787eee3e6e0f2</t>
        </is>
      </c>
      <c r="B125" t="inlineStr">
        <is>
          <t>Software Engineer Backend(Django)</t>
        </is>
      </c>
      <c r="C125" t="inlineStr">
        <is>
          <t>Uvation</t>
        </is>
      </c>
      <c r="D125" t="inlineStr">
        <is>
          <t>indeed</t>
        </is>
      </c>
      <c r="E125">
        <f>HYPERLINK("https://www.indeed.com/viewjob?jk=411787eee3e6e0f2", "https://www.indeed.com/viewjob?jk=411787eee3e6e0f2")</f>
        <v/>
      </c>
      <c r="F125">
        <f>HYPERLINK("https://uvation.breezy.hr/p/06b2bf6945dc-software-engineer-backend-django?source=indeed", "https://uvation.breezy.hr/p/06b2bf6945dc-software-engineer-backend-django?source=indeed")</f>
        <v/>
      </c>
      <c r="G125" t="inlineStr">
        <is>
          <t>Remote, US</t>
        </is>
      </c>
      <c r="H125" s="2" t="n">
        <v>46022</v>
      </c>
      <c r="I125" t="inlineStr">
        <is>
          <t>**Job Overview:**
As a Backend Software Engineer, you will be responsible for server\-side web application logic. You will work hand in hand with frontend developers to integrate their work with the server\-side logic, ensuring the development of robust and efficient systems.
**Responsibilities:**
**Development and Design:** Develop high\-quality software design and architecture. Design and implement efficient APIs for the front\-end team.
**Coding and Implementation:** Write clean, functional, and scalable code for the back\-end of web applications. Implement and manage databases and applications.
**Integration:** Integrate front\-end elements with server\-side logic. Coordinate with front\-end developers to align server\-side with client\-side.
**Optimization:** Optimize applications for speed, scalability, and security. Address and improve any technical issues.
**Testing:** Collaborate with QA engineers to develop effective strategies and test plans. Write and execute testing scripts.
**Maintenance and Upgrades:** Perform regular updates to improve system functionality and develop new features.
**Requirements:**
**Education:** Bachelor's degree in Computer Science, Software Engineering, or a related field.
**Experience:** At least 2\-5 years of experience as a Backend Developer or similar role.
**Technical Skills:** Proficiency in server\-side languages such as Python with Django and Django Rest Framework. Experience with database technology like MySQL, Oracle, MongoDB, etc. Familiarity with front\-end languages such as HTML, JavaScript, and CSS. Basic understanding of Data Structures and Algorithms (DSA)
**Soft Skills:** Excellent problem\-solving skills, a strong attention to detail, and the ability to work in a team\-oriented environment. Good communication skills for coordinating with other teams.
**Other:** Familiarity with Agile development methodologies.
**Disclaimer:**
This job description is not an exhaustive list of the skills, efforts, duties, and responsibilities associated with the position. The company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**Note:** The actual duties and responsibilities may vary depending on the department's needs and the evolution of the role.</t>
        </is>
      </c>
    </row>
    <row r="126">
      <c r="A126" t="inlineStr">
        <is>
          <t>in-a66ccb9cb4e40060</t>
        </is>
      </c>
      <c r="B126" t="inlineStr">
        <is>
          <t>Software Developer</t>
        </is>
      </c>
      <c r="C126" t="inlineStr">
        <is>
          <t>Oracle</t>
        </is>
      </c>
      <c r="D126" t="inlineStr">
        <is>
          <t>indeed</t>
        </is>
      </c>
      <c r="E126">
        <f>HYPERLINK("https://www.indeed.com/viewjob?jk=a66ccb9cb4e40060", "https://www.indeed.com/viewjob?jk=a66ccb9cb4e40060")</f>
        <v/>
      </c>
      <c r="F126">
        <f>HYPERLINK("https://eeho.fa.us2.oraclecloud.com/hcmUI/CandidateExperience/en/sites/CX_1/job/319362", "https://eeho.fa.us2.oraclecloud.com/hcmUI/CandidateExperience/en/sites/CX_1/job/319362")</f>
        <v/>
      </c>
      <c r="G126" t="inlineStr">
        <is>
          <t>US</t>
        </is>
      </c>
      <c r="H126" s="2" t="n">
        <v>46002</v>
      </c>
      <c r="I126" t="inlineStr">
        <is>
          <t>The Oracle Cloud Infrastructure (OCI) team builds and manages a suite of massive scale, integrated cloud services in a broadly distributed, multi\-tenant cloud environment. OCI is committed to providing the best in cloud products that meet the needs of our customers who are tackling some of the world’s biggest challenges.
This is an opportunity to become a part of Observability, a core OCI team that has an impact on external and internal customers along with all other OCI cloud services. Observability org of OCI is on a continued mission of delivering a world\-class Integrated Observability and Management platform for our customers, that can work seamlessly across OCI, other clouds, and on\-premises to provide a uniform view. Our integrated Observability and Management platform combines Logging, Monitoring, Auditing, SIEM, Events, and other services. We will continue to innovate on each of these services to make them feature\-rich world\-class services on their own and integrate them seamlessly to provide meaningful insights into your resources and data.
We offer unique opportunities for smart, hands\-on engineers with the expertise and passion to solve complex problems in distributed, highly available services and virtualized infrastructure. Our engineers have a significant technical and business impact at every level designing and building innovative new systems to power our customer’s business\-critical applications.
**Who are we looking for?**
We are looking for engineers with distributed systems expertise. You should have experience with the design of major features and launching them into production. You’ve operated high\-scale services and understand how to make them more resilient. You will own projects and work on tasks independently while guiding other engineers in the team.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Leading contributor individually and as a team member, providing direction and mentoring to others.  
**What are the biggest challenges for the team?**  
The team is building brand new service features. The dynamic and fast growth of the business is driving us to build brand new innovative technologies. We understand that software is living and needs investment. The challenge is making the right tradeoff s, communicating those decisions effectively, and crisp execution. We need engineers who can build services that can reliably protect our customer cloud environment. We need engineers who can figure out how we can keep up our solution in a fast pace to securely protect our customers.We need engineers who can build services that enable us to off er even more options to customers and contribute to the overall growth of Oracle Cloud.  
**Required Qualifications**
* BS or MS degree in Computer Science or relevant technical field involving coding or equivalent practical experience
* 3\-5 years of total experience in software development
* Demonstrated ability to write great code using Java, C\#,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 site servicing
* Systematic problem\-solving approach, strong communication skills, a sense of ownership, and drive
Experience designing architectures that demonstrate deep technical depth in one area, or span many products, to enable high availability, scalability, market\-leading features and flexibility to meet future business demands  
* 
**Preferred Qualifications**
* Experience with Kafka, Apache Spark, Lucene, Kubernetes and other big data technologies
* Hands\-on experience developing and maintaining services on a public cloud platform (e.g., AWS, Azure,Oracle)
* Knowledge of Infrastructure as Code (IAC) languages, preferably Terraform
* Strong knowledge of databases (SQL and NoSQL)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li-4365620804</t>
        </is>
      </c>
      <c r="B2" t="inlineStr">
        <is>
          <t>Software Engineer Lead - Capital Markets</t>
        </is>
      </c>
      <c r="C2" t="inlineStr">
        <is>
          <t>Truist</t>
        </is>
      </c>
      <c r="D2" t="inlineStr">
        <is>
          <t>linkedin</t>
        </is>
      </c>
      <c r="E2">
        <f>HYPERLINK("https://www.linkedin.com/jobs/view/4365620804", "https://www.linkedin.com/jobs/view/4365620804")</f>
        <v/>
      </c>
      <c r="F2">
        <f>HYPERLINK("https://careers.truist.com/us/en/job/TBJTBFUSR0110508EXTERNALENUS/Software-Engineer-Lead-Capital-Markets?utm_source=linkedin&amp;utm_medium=phenom-feeds&amp;source=LinkedIn&amp;urlHash=6HJv", "https://careers.truist.com/us/en/job/TBJTBFUSR0110508EXTERNALENUS/Software-Engineer-Lead-Capital-Markets?utm_source=linkedin&amp;utm_medium=phenom-feeds&amp;source=LinkedIn&amp;urlHash=6HJv")</f>
        <v/>
      </c>
      <c r="G2" t="inlineStr">
        <is>
          <t>Charlotte, NC</t>
        </is>
      </c>
      <c r="H2" t="inlineStr"/>
      <c r="I2"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highly complex solutions with significant system linkages and dependencies and associated risk. Focus on applications specific to the Capital Markets technology platform. Lead and perform development efforts such as analysis, design, coding/creating, and testing. Participate in testing, implementation, maintenance, and escalated support of Truist's most complex solutions.
**Essential Duties And Responsibilities**
 Following is a summary of the essential functions for this job. Other duties may be performed, both major and minor, which are not mentioned below. Specific activities may change from time to time.
* Development includes but not limited to analysis, technical design, customized coding, software integration, configuring solutions, or using applications supporting Equities, Fixed Income, Derivatives, Foreign Exchange, Loan Trading and Syndication, Investment Banking, Credit, Risk, and integration tools such as MuleSoft, TIBCO or other event\-driven message transmission capabilities or integration products to customize or generate a product.
* Lead / conduct robust unit testing associated to user stories completed during the current sprint. Where possible, drive to achieve automated unit testing leveraging DevSecOps practices and tools implemented in the software development pipeline.
* As a lead. ensures adherence to company and industry standards.
* Provide technical consultation on extremely challenging or unusual situations.
* Provide leadership / direction in the design, development and maintenance of solutions as well as play an active role as part of a platform team through the Product Development lifecycle.
* Works within feature team framework providing oversight to scrum teams and engineering functions. As a member of this servant based team, will analyze features and facilitate decomposition to user story level using experience, judgment and precedents to solve product challenges requiring software solutions.
* Work directly and consult with business stakeholders from initiation of the design process, the successful candidate will be responsible for delivering innovative, high quality working software to satisfy the business objective.
* Leverage continuous engineering practices to effectively deliver business value. Responsible for supporting / overseeing integration and functional testing. Insure code is developed in accordance with the acceptance criteria established by the Product Owner.
* Mentor less experienced teammates to build technical expertise.
* May have people management responsibilities.
**Qualifications**
******Required Qualifications:******
 The requirements listed below are representative of the knowledge, skill and/or ability required. Reasonable accommodations may be made to enable individuals with disabilities to perform the essential functions.
* Bachelor’s degree in computer science or information systems and seven years of experience as a developer or an equivalent combination of education and work experience
* Ability to manage multiple competing priorities
* Ability to solve problems in straightforward situations by analyzing possible solutions using experience, judgment, innovative thinking and precedents
* Experience participating in Capital Markets initiatives with a focus on IT Delivery
* Ability to communicate complex information in a logical and straightforward manner
* Demonstrable experience working in an Agile delivery methodology
* Capital Markets domain expertise – specific knowledge of the sales and trading lifecycle, relevant products being supported and a general understanding of the regulatory requirements
* Ability to lead complex projects, ability to break the work down into manageable and easily understood scope
* Sophisticated analytical skills and the ability to solve complex technical and business problems
* Ability to influence others at senior levels to adopt a new perspective
******Preferred Qualifications:******
* Master’s degree or MBA, CFA and ten years of experience or an equivalent combination of education and work experience
* Banking or financial services experience
* SaFE Agile certification or commensurate designation
* Knowledge of one or more of the following: Data Analysis/Mining (R, Python), Business Intelligence (Qlikview, Tableau, MSPowerBI), Distributed (e.g. J2EE, .Net, Middleware, MuleSoft/TIBCO, WebServices, javascript), Database platforms such as SQL Server, Oracle, SnowFlake, PostgreSQL, Hadoop
* Experience with automated development and operations (DevSecOps) leveraging an automated Software Development Lifecycle (Dev, Build, Test, Release) leveraging public cloud provider (AWS, Azure, Google, Oracle)
* Experience supporting Capital Markets Regulatory Environment – (SEC, FINRA, CFTC, NFA, FED)
* Experience supporting / integrating quant libraries
* Experience to machine learning / AI principals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3">
      <c r="A3" t="inlineStr">
        <is>
          <t>li-4365611735</t>
        </is>
      </c>
      <c r="B3" t="inlineStr">
        <is>
          <t>Software Developer/Data Engineer - Entry Level</t>
        </is>
      </c>
      <c r="C3" t="inlineStr">
        <is>
          <t>Lensa</t>
        </is>
      </c>
      <c r="D3" t="inlineStr">
        <is>
          <t>linkedin</t>
        </is>
      </c>
      <c r="E3">
        <f>HYPERLINK("https://www.linkedin.com/jobs/view/4365611735", "https://www.linkedin.com/jobs/view/4365611735")</f>
        <v/>
      </c>
      <c r="F3" t="inlineStr"/>
      <c r="G3" t="inlineStr">
        <is>
          <t>Atlanta, GA</t>
        </is>
      </c>
      <c r="H3" t="inlineStr"/>
      <c r="I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Georgia, Atlanta
**Position ID:** 
 J0825\-1339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Atlanta, GA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4">
      <c r="A4" t="inlineStr">
        <is>
          <t>li-4321353779</t>
        </is>
      </c>
      <c r="B4" t="inlineStr">
        <is>
          <t>Software Developer</t>
        </is>
      </c>
      <c r="C4" t="inlineStr">
        <is>
          <t>Amdocs</t>
        </is>
      </c>
      <c r="D4" t="inlineStr">
        <is>
          <t>linkedin</t>
        </is>
      </c>
      <c r="E4">
        <f>HYPERLINK("https://www.linkedin.com/jobs/view/4321353779", "https://www.linkedin.com/jobs/view/4321353779")</f>
        <v/>
      </c>
      <c r="F4">
        <f>HYPERLINK("https://jobs.amdocs.com/careers/job/563431011945153&amp;urlHash=0MMJ", "https://jobs.amdocs.com/careers/job/563431011945153&amp;urlHash=0MMJ")</f>
        <v/>
      </c>
      <c r="G4" t="inlineStr">
        <is>
          <t>Plano, TX</t>
        </is>
      </c>
      <c r="H4" t="inlineStr"/>
      <c r="I4" t="inlineStr">
        <is>
          <t>**Job ID:** 
 208003
**Required Travel** 
 :No Travel
**Managerial \- No**
**Location:** 
 Plano, Tx
**Who are we?**
 Amdocs helps those who build the future to make it amazing. With our market\-leading portfolio of software products and services, we unlock our customers’ innovative potential, empowering them to provide next\-generation communication and media experiences for both the individual end user and enterprise customers. Our employees around the globe are here to accelerate service providers’ migration to the cloud, enable them to differentiate in the 5G era, and digitalize and automate their operations. Listed on the NASDAQ Global Select Market, Amdocs had revenue of $5\.00 billion in fiscal 2024\. For more information, visit www.amdocs.com
 At Amdocs, our mission is to empower our employees to 'Live Amazing, Do Amazing' every day. We believe in creating a workplace where you not only excel professionally but also thrive personally. Through our culture of making a real impact, fostering growth, embracing flexibility, and building connections, we enable them to live meaningful lives while making a difference in the world.
* Work Location Requirement\*\*\*
 \*\*\*Position requires employee to work out of customer office in Plano, Tx 5 days a week\*\*\*
* Work Authorization Requirement\*\*\*
 \*\*\*Applicants must be legally authorized to work in the United States for any employer. We are unable to sponsor or take over sponsorship of an employment visa at this time or in the future for this position.\*\*\*
**In one sentence**
 Responsible for design, development, modification, testing, debugging, and/or maintenance of Artificial Intelligence (AI) software systems.
**What will your job look like?**
* As an AI Engineer, you will develop AI\-driven innovative software applications \- design, develop, modify, test \&amp; debug and/or maintain software code according to functional, non\-functional and technical design specifications.
* You will follow AI trends and Amdocs software engineering standards, applicable software development methodology and release processes, to ensure code is maintainable, scalable, and supportable, and demo the software products to stakeholders.
* You will investigate issues by reviewing/debugging code, provide fixes and workarounds, and review changes for operability to maintain existing software solutions.
* You will work within a team, collaborate with customers and add value through participation in peer design/code reviews, provide comments and suggestions, and work with cross functional teams to achieve goals.
* You will assume technical accountability for your specific work products within an application and provide technical support during solution design for new requirements/enhancements.
* You will be encouraged to actively look for innovation, continuous improvement, and efficiency in all assigned tasks.
**All you need is...**
* Bachelor's or Master’s degree in Science/IT/Computer Science/Computer Engineering or related area.
* 2\+ year’s experience in developing Generative AI/LLM/Agentic AI\-based applications using Python and AI frameworks.
* Demonstrate detailed understanding of AI workflow frameworks \- LangGraph, LangChain, AutoGen, CrewAI \&amp; Prompt Engineering.
* Hands\-on coding expertise using Python, Databricks, RDBMS (SQL) \&amp; NO\-SQL (MongoDB), Spark/PySpark
* Strong understanding of RESTful APIs, Microservices, Software integration, and Security.
* Familiarity with version control systems and CI/CD pipelines (GitHub, Jenkins)
* Strong problem\-solving abilities and attention to details
* Passionate to learn and grow as a strong individual contributor, open to exploring new platforms, skills and coding languages.
**Nice to Have**
* Kubernetes/Docker and container orchestration knowledge
* Familiarity with python web frameworks – Flask, FastAPIs, Django
* Exposure to cloud platforms (Azure, AWS, etc.)
**Why You Will Love This Job**
* You will be challenged to design and develop new AI\-driven software applications.
* You will have the opportunity to work in a growing organization, with ever growing opportunities for personal growth.
* We are a dynamic, multi\-cultural organization that constantly innovates and empowers our employees to grow. Our people our passionate, daring, and phenomenal teammates that stand by each other with a dedication to creating a diverse, inclusive workplace!
* We offer a wide range of stellar benefits including health, dental, vision, and life insurance as well as paid time off, sick time, and parental leave!
**Amdocs is an equal opportunity employer. We welcome applicants from all backgrounds and are committed to fostering a diverse and inclusive workforce**</t>
        </is>
      </c>
    </row>
    <row r="5">
      <c r="A5" t="inlineStr">
        <is>
          <t>li-4365619903</t>
        </is>
      </c>
      <c r="B5" t="inlineStr">
        <is>
          <t>Senior Software Engineer Manager</t>
        </is>
      </c>
      <c r="C5" t="inlineStr">
        <is>
          <t>Hikaflow</t>
        </is>
      </c>
      <c r="D5" t="inlineStr">
        <is>
          <t>linkedin</t>
        </is>
      </c>
      <c r="E5">
        <f>HYPERLINK("https://www.linkedin.com/jobs/view/4365619903", "https://www.linkedin.com/jobs/view/4365619903")</f>
        <v/>
      </c>
      <c r="F5" t="inlineStr"/>
      <c r="G5" t="inlineStr"/>
      <c r="H5" t="inlineStr"/>
      <c r="I5" t="inlineStr">
        <is>
          <t>**Machine Learning Engineer (AI Systems)** 
 Hikaflow is building an AI\-powered developer productivity platform focused on automated code review, security analysis, regression detection, contributor insights, and intelligent documentation. We are looking for a motivated Machine Learning Engineer who wants hands\-on experience working on real production AI systems used by engineering teams.
 This is an internship designed for individuals who want deep, practical exposure to applied AI in a startup environment, strong portfolio material, and direct collaboration with the founding team.
**What You’ll Work On** 
* Designing and improving ML\-powered systems for code analysis, pattern detection, and developer insights
* Working with LLMs for tasks such as code understanding, summarization, and automated review workflows
* Building and evaluating data pipelines for model inputs and outputs
* Improving signal quality, reducing false positives, and designing trustable AI outputs for engineers
* Collaborating on system design decisions across ML, backend, and product
**What We’re Looking For** 
* Background or strong interest in machine learning, AI, or data\-driven systems
* Familiarity with Python and common ML or AI tooling
* Comfort working with APIs, structured data, and experimentation
* Strong curiosity and willingness to learn quickly in an unstructured environment
* Ability to work independently and take ownership of meaningful tasks
**Nice to Have (Not Required)** 
* Experience with LLMs, embeddings, or prompt engineering
* Experience analyzing or working with source code programmatically
* Exposure to backend systems, developer tools, or SaaS products
* Prior internships, research, or strong personal projects
**What You’ll Get** 
* Real\-world experience building AI systems used by actual teams
* Direct mentorship and feedback from the founding team
* Strong resume and portfolio material tied to concrete product features
* Insight into how early\-stage AI products are designed, built, and shipped
**Apply if you want to work on real AI systems and build something that matters.**</t>
        </is>
      </c>
    </row>
    <row r="6">
      <c r="A6" t="inlineStr">
        <is>
          <t>li-4365642391</t>
        </is>
      </c>
      <c r="B6" t="inlineStr">
        <is>
          <t>Software Engineer</t>
        </is>
      </c>
      <c r="C6" t="inlineStr">
        <is>
          <t>Uber</t>
        </is>
      </c>
      <c r="D6" t="inlineStr">
        <is>
          <t>linkedin</t>
        </is>
      </c>
      <c r="E6">
        <f>HYPERLINK("https://www.linkedin.com/jobs/view/4365642391", "https://www.linkedin.com/jobs/view/4365642391")</f>
        <v/>
      </c>
      <c r="F6" t="inlineStr"/>
      <c r="G6" t="inlineStr">
        <is>
          <t>Seattle, WA</t>
        </is>
      </c>
      <c r="H6" t="inlineStr"/>
      <c r="I6" t="inlineStr">
        <is>
          <t>This Notice is provided as a result of the filing of applications for permanent alien labor certification for the positions noted below. Any person may provide documentary evidence bearing on an application to the Certifying Officer, U.S. Department of Labor, Employment and Training Administration, Office of Foreign Labor Certification, 200 Constitution Avenue NW, Room N\-5311, Washington, DC 20210\.
**Employer:** 
 Uber Technologies, Inc.
**Job Title:** 
 Software Engineer
**Job ID:** 
 U10548
**Job Location:** 
 Seattle, Washington
**Job Type:** 
 Full Time
**Duties:** 
 Design, develop, and test software applications. Design, develop, and/or test software applications using company technology stack. May telecommute
**\_\_\_\_\_\_\_\_\_\_\_\_\_\_\_\_\_\_\_\_\_\_\_\_\_\_\_\_\_\_\_**
 Rate of Pay: $167,000 to $204,000 per year You will be eligible to participate in Uber's bonus program, and may be offered other types of comp. You will also be eligible for various benefits. More details can be found at the following link https://www.uber.com/careers/benefits., Rate of Pay: $167,000 to $204,000 per year You will be eligible to participate in Uber's bonus program, and may be offered other types of comp. You will also be eligible for various benefits. More details can be found at the following link https://www.uber.com/careers/benefits.</t>
        </is>
      </c>
    </row>
    <row r="7">
      <c r="A7" t="inlineStr">
        <is>
          <t>li-4365617906</t>
        </is>
      </c>
      <c r="B7" t="inlineStr">
        <is>
          <t>Backend Software Engineer</t>
        </is>
      </c>
      <c r="C7" t="inlineStr">
        <is>
          <t>Findigs, Inc.</t>
        </is>
      </c>
      <c r="D7" t="inlineStr">
        <is>
          <t>linkedin</t>
        </is>
      </c>
      <c r="E7">
        <f>HYPERLINK("https://www.linkedin.com/jobs/view/4365617906", "https://www.linkedin.com/jobs/view/4365617906")</f>
        <v/>
      </c>
      <c r="F7">
        <f>HYPERLINK("https://jobs.lever.co/findigs/5e865781-244f-4e4f-b7bd-e0997308c509/apply?lever-source=LinkedIn&amp;urlHash=J88Q", "https://jobs.lever.co/findigs/5e865781-244f-4e4f-b7bd-e0997308c509/apply?lever-source=LinkedIn&amp;urlHash=J88Q")</f>
        <v/>
      </c>
      <c r="G7" t="inlineStr">
        <is>
          <t>New York, NY</t>
        </is>
      </c>
      <c r="H7" t="inlineStr"/>
      <c r="I7" t="inlineStr">
        <is>
          <t>**Who We Are**
 Findigs is on a mission to make renting work for all of us: to support every path, and simplify the way forward. We’re making every aspect of renting fairer, stress\-free, and more convenient by changing the fundamentals of renting.
 Our digital rental application offers a safe and seamless way to apply and get approved for your next home. We specialize in developing software and services for property managers nationwide, empowering them to deliver exceptional service to renters, while evaluating applications with unmatched speed and precision.
 The Role
 As a Backend Software Engineer, you will play a pivotal role in delivering innovative and fast\-paced software solutions within Findigs. In this role, you will own durable integrations, working alongside strategic partners to implement functional solutions across various systems. You’ll enable event orchestration and data access across internal and external systems, powering data science to drive the property management industry forward. You will also have the opportunity to occasionally collaborate and problem\-solve with our customers directly.
**Where you will make an impact:**
* Build robust and scalable software that joins large interconnected systems of disparate capabilities
* Help improve our code quality through writing unit tests, automation, and performing code reviews
* Participate in brainstorming sessions and contribute ideas to our technology, algorithms, and products
* Partner with others to understand end\-user requirements and formulate use cases, and then translate that into a pragmatic and effective technical solution
* Dive into difficult problems and successfully deliver results on schedule
* Debug production issues across services and several levels of the stack
**We’d love to hear from you if you have:**
* Bachelor’s Degree in Computer Science/Engineering, bootcamp or equivalent work experience
* 3\+ years of experience in backend or full stack software development
* Experience in at least 2 backend languages (such as Python, Ruby, Java, or Typescript), automating software systems, building API integrations with REST, and relational databases
* Experience with monitoring tooling (like Datadog or Sentry)
* Experience working with continuous delivery methodologies and systems
* Past experience testing best practices in production systems, implementing unit tests, and defining test cases
* Ability to work independently and as part of a team, and effectively collaborate with other Engineering and Product teams
* Demonstrate strong problem\-solving skills and a bias for action, with the ability to independently find and implement effective solutions
**Nice\-to\-haves:**
* Proptech experience
* Integrations experience
**What we offer:**
* Location: We operate on a hybrid schedule (3\-4x times in\-office per week), with in\-office days at our newly renovated NoHo office.
* Mission\-Driven Culture: A collaborative, high\-impact workplace where we challenge each other to grow, innovate, and drive meaningful change
* Competitive Compensation: Competitive base salary \+ Pre\-IPO equity
* Generous Time Off: We trust our team to manage their own time and workload. That's why we offer a Unlimited Paid Time Off (PTO) policy, allowing you to take the time you need to rest and recharge. We also observe all\-company holidays
* Wellness Perks: Health benefits, 401(k) matching up to 4%, monthly gym stipend, and lunch provided every day
**Interviewing with Us**
 We're committed to making our interview process as effective and candidate\-friendly as possible. We use a tool called Brighthire.ai to record our interviews so that our interviewers can focus entirely on the conversation and not get distracted by taking notes. Please note, if you move forward with the interview process, you'll always have the option to opt out of the recording.
 We are an equal opportunity employer and, as such, all applicants will be considered based solely upon merit and directly relevant professional competencies.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Disclosure As Required By NYC Pay Transparency Law.**
 Actual compensation packages are based on a wide array of factors unique to each candidate, including but not limited to skill set, years and depth of experience, and the scope of responsibilities in the role. In addition to cash compensation, all full time employees receive an equity compensation package.</t>
        </is>
      </c>
    </row>
    <row r="8">
      <c r="A8" t="inlineStr">
        <is>
          <t>li-4365604301</t>
        </is>
      </c>
      <c r="B8" t="inlineStr">
        <is>
          <t>Back-End Software Engineer</t>
        </is>
      </c>
      <c r="C8" t="inlineStr">
        <is>
          <t>OneApp</t>
        </is>
      </c>
      <c r="D8" t="inlineStr">
        <is>
          <t>linkedin</t>
        </is>
      </c>
      <c r="E8">
        <f>HYPERLINK("https://www.linkedin.com/jobs/view/4365604301", "https://www.linkedin.com/jobs/view/4365604301")</f>
        <v/>
      </c>
      <c r="F8" t="inlineStr"/>
      <c r="G8" t="inlineStr">
        <is>
          <t>Portland, OR</t>
        </is>
      </c>
      <c r="H8" t="inlineStr"/>
      <c r="I8" t="inlineStr">
        <is>
          <t>**Department:** 
 Engineering
**Location:** 
 Portland Metro
**Compensation:** 
 $125,000 \- $130,000 / year
**Description**
**About OneApp:**
 OneApp is a mission\-driven company that increases access to rental housing by removing financial and systemic barriers for renters while reducing risk for property managers. We're building market\-based solutions to unlock housing opportunities at scale, with a bold 10\-year goal to help 1 million people gain access to housing.
**Role Overview:**
 As a Backend Software Engineer at OneApp, you will play a critical role in designing and scaling the systems that power our platform. This is a hands\-on, high\-impact role with meaningful ownership over backend architecture, reliability, and performance.
 You will work closely with product, frontend engineering, and leadership to build solutions that are secure, scalable, and aligned with OneApp’s long\-term growth.
**Details:** 
* **Job Title** 
 : Back\-End Software Engineer
* **Location** 
 : Remote
* **Salary** 
 : $125,000\-$130,000, with a variable annual bonus of up to $10,000 paid quarterly
* **Reports to** 
 : Principle Engineer
* **Work Hours** 
 : Full Time, Hours Monday\-Friday 9:00am\-5:00pm (your local time)
**Key Responsibilities**
* Design, build, and maintain scalable backend services and APIs using TypeScript/Node.js and our React\-based frontend
* Manage and optimize our MySQL databases with a focus on complex query optimization and performance tuningCollaborate with product and frontend teams to translate business needs into technical solutions
* Own the evolution and maintenance of our legacy Java/Spring platform while driving modernization effortsEnsure data integrity and system observability across backend services
* Integrate and maintain connections to third\-party APIs, ensuring reliability and proper error handling
* Implement secure authentication and authorization using JWT, OAuth, and other modern auth patterns
* Lead contractor teams and coordinate distributed engineering efforts across multiple work streams
* Build and maintain Docker containerized applications with strict adherence to CI/CD
 pipelines using GitHub Actions
* Write comprehensive tests using Jest for backend services and support Selenium
 **\-** 
 based frontend testing
* Conduct load testing and performance analysis to ensure systems can handle production scale
* Respond to and resolve production incidents, including participating in on\-call rotation as needed
* Ensure data integrity, system observability, and monitoring across all backend services
* Participate in code reviews and contribute to shared engineering standards and documentation
* Mentor and support junior and mid\-level engineers through collaboration and feedback
* Contribute to technical direction as OneApp continues to scale
**Qualifications \&amp; Criteria**
* 5\+ years of backend engineering experience in a production environment
* Strong proficiency in TypeScript/Node.js for modern backend development or ability to learn quickly
* Experience with Java/Spring and managing legacy systems
* Deep knowledge of MySQL including complex queries, indexing, and performance optimization
* Proven ability to design and implement RESTful APIs and integrate third\-party services
* Strong understanding of authentication and authorization (JWT, OAuth 2\.0, session management)
* Expertise in Docker containerization and CI/CD pipelines (GitHub Actions preferred)
* Experience with testing frameworks (Jest or similar) and test automation strategies
* Hands\-on experience with load testing tools and methodologies (JMeter, k6, Artillery, etc.)
* Track record of handling production incidents and on\-call responsibilities
* Solid understanding of system design, scalable architecture, and distributed systems
* Experience leading or coordinating contractor teams and distributed engineering efforts
* Strong communication skills with an emphasis on clarity, documentation, and cross\-functional collaboration
**Preferred Qualifications:** 
* Experience in fintech, proptech, or other regulated environments
* Exposure to event\-driven or service\-oriented architectures
* Experience improving or modernizing legacy systems
* Experience with
 **AWS services** 
 (RDS, EC2, ECS, Lambda, etc.)
* Familiarity with monitoring and observability tools (CloudWatch, Datadog, New Relic)
* Prior experience mentoring or providing technical guidance
**Benefits**
* This is a full\-time position
* Salary: $125,000\-$130,000, with a variable annual bonus of up to $10,000 paid quarterly
* Medical, Dental and Vision Benefits
* 401K Plan
* Unlimited PTO</t>
        </is>
      </c>
    </row>
    <row r="9">
      <c r="A9" t="inlineStr">
        <is>
          <t>li-4321353791</t>
        </is>
      </c>
      <c r="B9" t="inlineStr">
        <is>
          <t>Software Engineer</t>
        </is>
      </c>
      <c r="C9" t="inlineStr">
        <is>
          <t>Circleback</t>
        </is>
      </c>
      <c r="D9" t="inlineStr">
        <is>
          <t>linkedin</t>
        </is>
      </c>
      <c r="E9">
        <f>HYPERLINK("https://www.linkedin.com/jobs/view/4321353791", "https://www.linkedin.com/jobs/view/4321353791")</f>
        <v/>
      </c>
      <c r="F9" t="inlineStr"/>
      <c r="G9" t="inlineStr">
        <is>
          <t>San Francisco, CA</t>
        </is>
      </c>
      <c r="H9" t="inlineStr"/>
      <c r="I9" t="inlineStr">
        <is>
          <t>We're looking for software engineers who take pride in their craft and love to ship to join us in San Francisco.
 What you'll do
 The problems here are genuinely new. How do you proactively surface useful context across thousands of conversations? How do you package that into a product experience that feels magic, not noisy? These are greenfield problems–no established playbook, lots of room to define the right approach.
**Day To Day, You'll**
* Ship end\-to\-end across our web (React, Next.js), desktop (Electron, Swift), and mobile apps (React Native)–from database models to API endpoints to UI
* Design and architect new systems while raising the bar for code quality
* Drive product and technical decisions, not just implement them
* Work on hard foundations: AI\-powered outcomes, search, transcription, on\-device recording, performance, automations
* Experiment with the latest AI models and techniques–we ship AI features constantly and need engineers who stay curious about what's newly possible
* Build processes and tools that make the whole team more productive over time
 Who you are
 You've built and shipped software at a high level before. You have strong product sense–you notice details, you have opinions about how things should work, and you can mentor other engineers through code review and technical guidance.
 You're drawn to work that compounds. On the team side: you'd rather spend an extra half\-hour building something reusable than copy\-paste your way to done. You think about how decisions today affect velocity next month. On the product side: our foundations stack on each other–better transcription means better AI outcomes, which means better search and automations. And when the product gets noticeably better, people tell their friends–that's how we grow.</t>
        </is>
      </c>
    </row>
    <row r="10">
      <c r="A10" t="inlineStr">
        <is>
          <t>li-4365629216</t>
        </is>
      </c>
      <c r="B10" t="inlineStr">
        <is>
          <t>Software Engineer, Robotics</t>
        </is>
      </c>
      <c r="C10" t="inlineStr">
        <is>
          <t>Cobot</t>
        </is>
      </c>
      <c r="D10" t="inlineStr">
        <is>
          <t>linkedin</t>
        </is>
      </c>
      <c r="E10">
        <f>HYPERLINK("https://www.linkedin.com/jobs/view/4365629216", "https://www.linkedin.com/jobs/view/4365629216")</f>
        <v/>
      </c>
      <c r="F10" t="inlineStr"/>
      <c r="G10" t="inlineStr">
        <is>
          <t>Santa Clara, CA</t>
        </is>
      </c>
      <c r="H10" t="inlineStr"/>
      <c r="I10" t="inlineStr">
        <is>
          <t>Are you passionate about developing cutting\-edge algorithms for autonomous robots? Our rapidly growing startup is looking for a Robotics Software Engineer to join our Software and Autonomy team. This role is ideal for software engineers eager to innovate and craft software that drives autonomy and reliability.
 At Collaborative Robotics, the development of on\-robot and cloud software is at the core of our mission to create highly reliable, fully autonomous, and collaborative robots. As a Software Engineer, Robotics, you will play a crucial role in enhancing our current software stack and driving the design and implementation of next\-generation robotic capabilities.
 Collaborative Robotics is a team of innovators and builders redefining the future of human\-robot interaction. We are working to realize a world where robots are a trusted extension of your surroundings. They work, adapt, and react around you. Not the other way around.
**This role is located in our Santa Clara, CA office onsite.**
 Applicants must graduate prior to Spring 2026 to be eligible for this role. Applications are immediately being reviewed, and full\-time onsite start date is required for February 2026\.
**Key Responsibilities:**
* Develop on\-robot algorithms for autonomous mobile robot behaviors.
* Push the envelope on what current state of the art sensors can do through advanced algorithm development.
* Implement, debug, test and maintain on\-robot software and cloud software.
* Root cause software failures and bugs and use learnings to improve process and testing.
* Write software across the full\-stack on\-robot to enable new capabilities.
* Create reliable robotic system performance through robust algorithm development, success measurement, and recovery actions.
**Minimum Qualifications:**
* Bachelor’s Degree in Computer Science or related field.
* Participation in at least one relevant robotics internship or university project.
* Skilled in Python or C\+\+.
* Excellent communication skills and a highly motivated, team\-oriented attitude.
* Ability to thrive in a fast\-paced, collaborative, and dynamic start\-up environment.
* Must have and maintain US work authorization.
* Must be willing and able to start work in February 2026\.
**Preferred Qualifications:**
* Advanced degree (Master’s or PhD) in Computer Science, Computer Engineering, or Electrical Engineering or similar field.
* Experience working on autonomy systems.
* Familiarity with ROS2\.
* Proficiency in C\+\+.
* Experience with obstacle detection, SLAM, mapping, planning, or sensor integration.
* Familiarity with Docker and containerization technologies.
*The base salary range for this position is $160,000\-$170,000 plus equity and comprehensive benefits. Our salary ranges are determined by role and experience level. The range reflects the minimum and maximum target for new hire salaries for the position in Santa Clara, CA. Within the range, individual pay is determined by additional factors, including job\-related skills, experience, and relevant education or training.*
*Cobot is an Equal Opportunity Employer. All qualified applicants will receive consideration for employment without regard to legally protected characteristics. We are committed to providing reasonable accommodations for candidates with disabilities in our recruiting process. If you need any assistance or accommodations due to a disability, please let your recruiter know.*
*To all recruitment agencies: Collaborative Robotics does not accept agency resumes. Please do not forward resumes to our employees. Collaborative Robotics is not responsible for any fees related to unsolicited resumes.*</t>
        </is>
      </c>
    </row>
    <row r="11">
      <c r="A11" t="inlineStr">
        <is>
          <t>li-4365004808</t>
        </is>
      </c>
      <c r="B11" t="inlineStr">
        <is>
          <t>Senior/Principal Software Engineer</t>
        </is>
      </c>
      <c r="C11" t="inlineStr">
        <is>
          <t>Bellota Labs</t>
        </is>
      </c>
      <c r="D11" t="inlineStr">
        <is>
          <t>linkedin</t>
        </is>
      </c>
      <c r="E11">
        <f>HYPERLINK("https://www.linkedin.com/jobs/view/4365004808", "https://www.linkedin.com/jobs/view/4365004808")</f>
        <v/>
      </c>
      <c r="F11" t="inlineStr"/>
      <c r="G11" t="inlineStr">
        <is>
          <t>Redwood City, CA</t>
        </is>
      </c>
      <c r="H11" t="inlineStr"/>
      <c r="I11" t="inlineStr">
        <is>
          <t>At
 **Bellota Labs** 
 , we are a fast\-paced, hypergrowth startup poised to revolutionize the gaming world with
 **ClubWPT Gold** 
 —a groundbreaking product from the
 **World Poker Tour** 
 . Driven by innovation, game integrity, and exceptional customer experiences, we are on a mission to set new standards in online gaming. We are now looking for a
 **Senior/Principal Software Engineer** 
 to join our dynamic team. This key role will help shape the architecture, design, and development of our platform, driving innovation while ensuring the highest technical standards. Join us and be part of something big as we redefine the gaming landscape!
**Key Responsibilities:** 
* Design, implement, and maintain robust CI/CD pipelines across local, development, staging, and production environments
* Integrate third\-party services to streamline and enhance product development
* Lead end\-to\-end projects, write high\-quality code, and take ownership of deliverables
* Collaborate effectively with engineering teams across Asia to ensure alignment and success
* Mentor and support new team members, fostering growth and development
* Drive key architectural decisions, contribute to product roadmaps, and participate in feature planning and discussions
**Experience:** 
* 5\+ years of experience as a software engineer, successfully delivering complex, high\-quality projects on schedule
* Proven ability to thrive in roles requiring cross\-functional communication and collaboration
* Deep expertise in data structures, algorithms, modern design patterns, and data architecture
* Advanced knowledge of distributed systems and the design of high\-scale, high\-availability services
* Demonstrated success in delivering impactful, large\-scale projects involving PII and banking information with a focus on security and compliance
* Exceptional communication skills, with a talent for bringing clarity and insight to collaborative projects
**Preferred Technologies (Nice to Have):** 
* Proficiency in
 **GoLang** 
 ,
 **TypeScript** 
 ,
 **React** 
 , or
 **Vue**
* Hands\-on experience with
 **CI/CD pipeline development and management**
* Familiarity with
 **microservices architecture and implementation**
* Experience collaborating with
 **global or overseas teams**
 If you are excited to be part of a fast\-growing team that is redefining the online gaming experience, we would love to hear from you. Join us at Bellota Labs and help shape the future of gaming innovation!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
      <c r="A12" t="inlineStr">
        <is>
          <t>li-4365623695</t>
        </is>
      </c>
      <c r="B12" t="inlineStr">
        <is>
          <t>Full Stack Engineer</t>
        </is>
      </c>
      <c r="C12" t="inlineStr">
        <is>
          <t>Reality Defender</t>
        </is>
      </c>
      <c r="D12" t="inlineStr">
        <is>
          <t>linkedin</t>
        </is>
      </c>
      <c r="E12">
        <f>HYPERLINK("https://www.linkedin.com/jobs/view/4365623695", "https://www.linkedin.com/jobs/view/4365623695")</f>
        <v/>
      </c>
      <c r="F12" t="inlineStr"/>
      <c r="G12" t="inlineStr">
        <is>
          <t>New York, NY</t>
        </is>
      </c>
      <c r="H12" t="inlineStr"/>
      <c r="I12" t="inlineStr">
        <is>
          <t>**Who We Are.**
 Reality Defender is an award\-winning cybersecurity company helping enterprises and governments detect deepfakes and AI\-generated media. Utilizing a patented multi\-model approach, Reality Defender is robust against the bleeding edge of generative platforms producing video, audio, imagery, and text media. Reality Defender's API\-first deepfake detection platform empowers teams and developers alike to identify fraud, disinformation campaigns, and harmful deepfakes in real time.
 Backed by world class investors including DCVC, Illuminate Financial, Y Combinator, Booz Allen Hamilton, IBM, Accenture, Rackhouse, and Argon VC, Reality Defender works with leading enterprise clients, financial institutions, and governments in order to ensure AI\-generated media is not used for malicious purposes.
*Youtube: Reality Defender Wins RSA Most Innovative Startup*
**The Full Stack Engineer Role.**
 As a Full Stack Engineer, you’ll build end\-to\-end features across our customer\-facing platform, internal tools, and APIs. You’ll work on everything from detection result dashboards and workflows to backend services that power real\-time inference—owning projects from design through production.This role is ideal for engineers who enjoy broad technical ownership and building products that directly impact customers. Responsibilities include:
* Design and implement end\-to\-end product features across frontend, backend, and infrastructure.
* Build scalable APIs and backend services that power real\-time deepfake detection.
* Create intuitive, high\-performance UIs that make complex AI outputs understandable and actionable.
* Collaborate closely with ML engineers, product managers, and designers.
* Own technical decisions and contribute to system architecture.
* Improve performance, reliability, and security across the stack.
* Mentor other engineers and help define engineering best practices.
**Who you are.**
* 3\+ years of professional software engineering experience.
* Strong experience on both:
+ Frontend: React \+ TypeScript (or similar modern frameworks)
+ Backend: Python, Go, or Node.js
* Experience designing and consuming REST or streaming APIs.
* Solid understanding of databases, caching, and distributed systems fundamentals.
* Experience deploying and operating services in cloud environments (AWS/Azure).
* Strong product mindset and ability to work independently in fast\-moving teams.
**What we offer.**
 Reality Defender offers the following benefits to all our employees, regardless of location:
* Healthcare plans with 100% premium coverage for employees and partial coverage available for dependents
* Dental and Vision plans with 100% premium coverage for employees and their dependents
* Short/Long\-term disability and life insurance plans with 100% premium coverage for employees
* FSA/HSA and 401k programs
* Equity compensation
* 20 days of PTO per year
* 12 weeks of Parental Leave
* Learning and Development budget
* Monthly wellness benefits
* Annual company\-sponsored offsite
 For employees working from Reality Defender’s HQ in NYC, we offer the following benefits:
* Daily in\-office lunch through UberEats
* Commuter benefits
* Remote Fridays
* Happy Hours and other local events
 Compensation Range: $100K \- $180K</t>
        </is>
      </c>
    </row>
    <row r="13">
      <c r="A13" t="inlineStr">
        <is>
          <t>li-4365634671</t>
        </is>
      </c>
      <c r="B13" t="inlineStr">
        <is>
          <t>Senior Software Engineer - Data Platform</t>
        </is>
      </c>
      <c r="C13" t="inlineStr">
        <is>
          <t>Highnote</t>
        </is>
      </c>
      <c r="D13" t="inlineStr">
        <is>
          <t>linkedin</t>
        </is>
      </c>
      <c r="E13">
        <f>HYPERLINK("https://www.linkedin.com/jobs/view/4365634671", "https://www.linkedin.com/jobs/view/4365634671")</f>
        <v/>
      </c>
      <c r="F13" t="inlineStr"/>
      <c r="G13" t="inlineStr">
        <is>
          <t>San Francisco, CA</t>
        </is>
      </c>
      <c r="H13" t="inlineStr"/>
      <c r="I13" t="inlineStr">
        <is>
          <t>**About Highnote**
 Founded in 2020 by a team of leaders from Braintree, PayPal, and Lending Club, Highnote is an embedded finance company that sets the standard in modern card platform management. As an all\-in\-one card issuer processor and program management platform, we provide digital\-first organizations with the flexibility to seamlessly issue and process payment cards, embed virtual and physical card payments, and integrate ledger and wallet functionalities—empowering businesses to drive growth and profitability.
 We've raised $145M\+ and have grown our team to 140\+ employees. Headquartered in San Francisco, we've managed to build one of the most advanced payments teams in the industry, with team members in 25\+ US states.
 Operating through our core values of customer obsession, executional excellence, intentional inclusion, we're helping businesses grow for the future by creating the payment products demanded by tomorrow, with the ability to solve for use cases that don't exist yet.
 We are fast\-moving, hands\-on, and strongly believe everyone deserves a seat at the table. We believe we're unlocking incredible opportunities that can change the future of payments, as long as we have the right people to make it happen.
**Job Description**
 The Data Platform Team is part of the Data Organization and is responsible for designing and building modern scalable, secure and reliable data platforms and data pipelines. With the data platforms, we will be able to serve the product/customer data needs, improve operational efficiency and increase revenue.
**What you'll be doing**
* Building secure and scalable data platforms that support our product/customer needs and power data driven decision making.
* Writing high quality and robustly tested code, mostly in Java and Python.
* Understanding business/data needs and growth to build the right solutions.
* Documenting your work to support our rapidly\-scaling company.
* Interfacing with internal business stakeholders and technology partners to support day to day operations and create new data products.
**What we are looking for**
* 8\+ years experience building high volume and low latency data platform and data pipelines using distributed event technology, e.g. Pubsub, Kafka, Kinesis, etc., and data storage system, e.g. Spanner/Postgres, BigQuery, Cassandra, data lakes, etc.
+ Preferred experience with BigQuery and Snowflake.
* Able to model and design modern data structures in SQL/NoSQL databases
* A history of writing scalable, performant and maintainable code
* Experience with Java \&gt;\= 11 or Python \&gt;\= 3\.7
**Bonus skills**
* Experience with cloud platforms such as GCP or AWS
* Docker and Kubernetes
* Able to model and design modern data structured in data lakes and data warehouses
* A background in the fin\-tech space
**Why Highnote?**
* We're a startup that allows for our employees to truly build from the ground up and impact every layer of our organization.
* We're a team of payments obsessed individuals. While some of us come from the fintech world, some of us don't. We value the varied backgrounds and the diverse perspectives of our employees.
* We're small on hierarchy and big on growth. We're a flat organization that allows everyone to have direct exposure to our leadership team. We are looking for builders who thrive in ambiguity.
* We're backed by Oak HC/FT, Costanoa Ventures, Adams Street Partners, Westcap, and Pinegrove Venture Partners. Angel Investors include Bill Ready (CEO at Pinterest) and Renaud Laplanche (Co\-Founder \&amp; CEO of Upgrade).
**Highnote benefits**
* Flexible Paid Time Off
* 100% healthcare coverage \+ 75% coverage for dependents
* 401k program
* Paid Parental Leave: Up to 16 weeks paid leave for the birth parent, and up to 6 weeks paid leave for the non\-birth parent
* Equity in Highnote
* Stipend to build out your home office; internet reimbursement
* At Highnote we have built a total rewards philosophy that includes fair, equitable, geo\-based compensation that is performance and potential based. Our compensation packages are competitive based on robust market research and are a combination of a cash salary, equity, and benefits. In compliance with the Equal Pay for Equal Work Act, the annual salary range for applicants is $170,000\-$230,000\.
 Please note that positions located in San Francisco are hybrid and include core working days of Tuesday, Wednesday, Thursday in office. We provide flexible work options based on distance from our downtown SF office. Highnote believes in the power of face\-to\-face, personal connection. As a result, we prioritize in\-person candidates.
 Highnote is a diverse and inclusive company committed to growing a diverse and inclusive team. We invite people from all backgrounds and identities to apply. We do not discriminate based on gender identity or expression, sexual orientation, race, religion, age, national origin, citizenship, disability, pregnancy status, veteran status, or any other characteristics protected by US federal state or local laws, or the laws of the country or jurisdiction where you work. Additionally, we encourage everyone to share which pronouns you wish for us to use when addressing you (i.e.: she/her, he/him, they/them, etc).</t>
        </is>
      </c>
    </row>
    <row r="14">
      <c r="A14" t="inlineStr">
        <is>
          <t>li-4365609691</t>
        </is>
      </c>
      <c r="B14" t="inlineStr">
        <is>
          <t>Software Engineer - Early Career (USA)</t>
        </is>
      </c>
      <c r="C14" t="inlineStr">
        <is>
          <t>Lensa</t>
        </is>
      </c>
      <c r="D14" t="inlineStr">
        <is>
          <t>linkedin</t>
        </is>
      </c>
      <c r="E14">
        <f>HYPERLINK("https://www.linkedin.com/jobs/view/4365609691", "https://www.linkedin.com/jobs/view/4365609691")</f>
        <v/>
      </c>
      <c r="F14">
        <f>HYPERLINK("https://lensa.com/cgw/3fabe2c2ca44415d8ee4edd58489c66atjo1?jpsi=directemployers&amp;publisher_preference=easier_apply&amp;utm_campaign=Computer%20Occupations&amp;utm_medium=slot&amp;utm_source=linkedin&amp;utm_term=jse&amp;urlHash=xZBc", "https://lensa.com/cgw/3fabe2c2ca44415d8ee4edd58489c66atjo1?jpsi=directemployers&amp;publisher_preference=easier_apply&amp;utm_campaign=Computer%20Occupations&amp;utm_medium=slot&amp;utm_source=linkedin&amp;utm_term=jse&amp;urlHash=xZBc")</f>
        <v/>
      </c>
      <c r="G14" t="inlineStr">
        <is>
          <t>New York, NY</t>
        </is>
      </c>
      <c r="H14" t="inlineStr"/>
      <c r="I1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15">
      <c r="A15" t="inlineStr">
        <is>
          <t>li-4363437220</t>
        </is>
      </c>
      <c r="B15" t="inlineStr">
        <is>
          <t>Software Engineer, Backend</t>
        </is>
      </c>
      <c r="C15" t="inlineStr">
        <is>
          <t>Normal Computing</t>
        </is>
      </c>
      <c r="D15" t="inlineStr">
        <is>
          <t>linkedin</t>
        </is>
      </c>
      <c r="E15">
        <f>HYPERLINK("https://www.linkedin.com/jobs/view/4363437220", "https://www.linkedin.com/jobs/view/4363437220")</f>
        <v/>
      </c>
      <c r="F15">
        <f>HYPERLINK("https://jobs.ashbyhq.com/Normal%20Computing%20AI/4f4b2088-b42c-40fc-93de-c692624dfebf?source=LinkedIn&amp;urlHash=wevz", "https://jobs.ashbyhq.com/Normal%20Computing%20AI/4f4b2088-b42c-40fc-93de-c692624dfebf?source=LinkedIn&amp;urlHash=wevz")</f>
        <v/>
      </c>
      <c r="G15" t="inlineStr"/>
      <c r="H15" t="inlineStr"/>
      <c r="I15" t="inlineStr">
        <is>
          <t>**Normal Computing \| Incredible Opportunities**
 The Normal Team builds foundational software and hardware that help move technology forward \- supporting the semiconductor industry, critical AI infrastructure, and the broader systems that power our world. We work as one team across New York, San Francisco, Copenhagen, and London.
**Your Role In Our Mission**
 As a Software Engineer focused on product engineering in Normal EDA, you will be responsible for building the systems and workflows used by hardware engineers to build and verify the chips that power modern AI. Previous experience with the semiconductor or hardware industry is valued, but not required.
 You'll regularly be faced with sophisticated technical problems at the intersection of AI and product engineering, requiring you to scope out solution designs and find incremental paths to shipping new features. As part of this, you will own APIs and schemas that power core product functionality, collaborating closely with other engineers in developing them.
 We're hiring engineers who are passionate about solving real\-world problems in complex, technical domains and building systems that empower users to work optimally. If you're motivated to develop reliable, performant systems and design intuitive experiences for AI\-powered workflows, this role offers the opportunity to make a significant impact on how an entire industry works.
**Responsibilities**
* Building complete, integrated prototypes that bring AI capabilities to life in production\-grade services, and polished frontend interfaces to create working V0s that users can actually test and the ML team can validate.
* Architecting and developing backend systems that support complex verification workflows.
* Owning API contracts between frontend and backend systems.
* Driving engineering roadmaps in collaboration with researchers, hardware experts, and product managers to discover and propose features that drive user stickiness.
**What Makes You A Great Fit**
* 5\-8 years of software engineering experience, with a strong focus on building reliable, scalable systems as well as shipping end to end features Experience as a former zero\-to\-one engineering lead or startup founder is highly valued.
* Experience building complex systems with a strong intuition for reliability, performance, and maintainability. You avoid the failure mode of shipping features quickly without ensuring the system design and implementation are truly excellent.
* Experience working with LLMs or building AI\-powered applications. You're excited about understanding the nuances of different model paradigms (agents, multimodality, simulation methods) and how to design product experiences that augment rather than detract from user workflows.
* Proven ability to learn continuously, work independently, and make decisions with minimal supervision. You deliver on your commitments, value outcomes, and adapt quickly when priorities shift.
* Skill and comfort working in a constantly evolving environment with dynamic objectives and iteration with users.
**Bonus Points For**
* Experience building IDE extensions, developer tools, or design\-to\-code systems.
* Meaningful experience working and building within or for the semiconductor industry, or developing hardware products or software for hardware products.
***Equal Employment Opportunity Statement***
*Normal Computing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veteran status, or any other legally protected status.*
***Accessibility Accommodations***
*Normal Computing is committed to providing reasonable accommodations to individuals with disabilities. If you need assistance or an accommodation due to a disability, please let us know at accomodations@normalcomputing.ai.*
***Privacy Notice***
*By submitting your application, you agree that Normal Computing may collect, use, and store your personal information for employment\-related purposes in accordance with our Privacy Policy.*</t>
        </is>
      </c>
    </row>
    <row r="16">
      <c r="A16" t="inlineStr">
        <is>
          <t>li-4363497450</t>
        </is>
      </c>
      <c r="B16" t="inlineStr">
        <is>
          <t>Software Engineer</t>
        </is>
      </c>
      <c r="C16" t="inlineStr">
        <is>
          <t>Toyota North America</t>
        </is>
      </c>
      <c r="D16" t="inlineStr">
        <is>
          <t>linkedin</t>
        </is>
      </c>
      <c r="E16">
        <f>HYPERLINK("https://www.linkedin.com/jobs/view/4363497450", "https://www.linkedin.com/jobs/view/4363497450")</f>
        <v/>
      </c>
      <c r="F16" t="inlineStr"/>
      <c r="G16" t="inlineStr">
        <is>
          <t>Plano, TX</t>
        </is>
      </c>
      <c r="H16" t="inlineStr"/>
      <c r="I16"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**This position is based in Plano, TX.**
**Who We’re Looking For**
 The TFS Banking and Commercial Lending team is seeking highly motivated Software Engineers to join to support Internal Applications.
**What You’ll Be Doing**
 As a Software Engineer supporting internal platforms, you will:
* Design and develop scalable backend services using Java, Spring Boot, and Python to support internal engineering workflows.
* Build intuitive, responsive front\-end interfaces using modern UI/UX frameworks (e.g., React, Angular) tailored for Engineering, Quality, and Product teams.
* Collaborate closely with internal stakeholders to understand user needs and translate them into efficient, user\-friendly applications.
* Implement robust APIs and microservices for seamless integration across internal tools and systems.
* Leverage cloud\-native technologies (e.g., AWS, Azure) to deploy, monitor, and maintain applications with high availability and performance.
* Apply modern software engineering practices, including CI/CD, automated testing, and agile methodologies.
* Continuously explore and adopt emerging technologies, including LLMs and AI\-assisted development tools, to enhance productivity and innovation.
**What You Bring**
* Bachelor degree in Computer Science or other related/equivalent experience.
* Strong programming experience in Java (Spring Boot) and/or Python.
* Proficiency in front\-end development using frameworks like React, Angular, or Vue.js.
* Experience designing and building RESTful APIs and microservices architectures.
* Familiarity with cloud platforms (AWS, Azure, or GCP) and containerization (Docker, Kubernetes).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Advantaged Accounts (Health Savings Account, Health Care FSA, Dependent Care FSA).
* Relocation assistance (if applicable).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17">
      <c r="A17" t="inlineStr">
        <is>
          <t>li-4363486879</t>
        </is>
      </c>
      <c r="B17" t="inlineStr">
        <is>
          <t>Senior Software Engineer (Backend)</t>
        </is>
      </c>
      <c r="C17" t="inlineStr">
        <is>
          <t>Terzo</t>
        </is>
      </c>
      <c r="D17" t="inlineStr">
        <is>
          <t>linkedin</t>
        </is>
      </c>
      <c r="E17">
        <f>HYPERLINK("https://www.linkedin.com/jobs/view/4363486879", "https://www.linkedin.com/jobs/view/4363486879")</f>
        <v/>
      </c>
      <c r="F17">
        <f>HYPERLINK("https://terzo.ai/careers/?jobId=vsN1HlIg6w-9&amp;ft_source=6000090417&amp;ft_medium=6000093406&amp;urlHash=c88b", "https://terzo.ai/careers/?jobId=vsN1HlIg6w-9&amp;ft_source=6000090417&amp;ft_medium=6000093406&amp;urlHash=c88b")</f>
        <v/>
      </c>
      <c r="G17" t="inlineStr">
        <is>
          <t>Los Angeles, CA</t>
        </is>
      </c>
      <c r="H17" t="inlineStr"/>
      <c r="I17" t="inlineStr">
        <is>
          <t>**Senior Fullstack Software Engineer (Backend)**
**Location** 
 : US
**Level** 
 : Senior Individual Contributor
**Team** 
 : Engineering
**Reports to** 
 : Director of Engineering
**Company**
 Terzo builds an AI\-native enterprise data platform designed to power the commercial and financial operating system of modern companies. The platform transforms complex, unstructured enterprise data into structured, actionable intelligence used directly in operational and financial decision\-making. Terzo sits at the intersection of data platforms, AI systems, and enterprise software, focusing on real production use cases rather than demos or point solutions.
 The platform is built to handle enterprise\-scale complexity. Terzo ingests and normalizes data from fragmented systems and documents, applies advanced AI to extract meaning, and delivers reliable, secure, and scalable capabilities customers depend on every day. Architectural decisions prioritize durability, correctness, and long\-term evolution, creating a foundation capable of supporting a multi\-layer AI platform over time.
 Culture at Terzo centers on ownership, momentum, and craftsmanship. Engineers operate with real autonomy, take responsibility for end\-to\-end systems, and collaborate closely across disciplines. The team values high standards, direct communication, and continuous learning, attracting builders who want meaningful impact while helping shape the future of an ambitious enterprise AI platform.
**Opportunity**
 Terzo is seeking an experienced Software Engineer to build and own the core platform foundation and product experiences powering Terzo’s vision. This role will lead the delivery of our AI Intelligence Platform, the Terzo Commercial Graph, and AI Platform APIs all designed to power critical enterprise intelligence. The opportunity is for builders seeking end\-to\-end ownership, from platform foundation through customer\-facing experiences, while shaping the long\-term architecture of an enterprise AI platform.
**Roles \&amp; Responsibilities**
* Design and implement core services spanning platform APIs, data models, and application layers
* Build and evolve the Terzo commercial graph, including entities, relationships, metrics, and signals
* Own platform foundations supporting analytics, workflows, AI agents, and marketplace experiences
* Develop scalable backend systems supporting high\-volume, multi\-source enterprise data
* Collaborate closely with product, design, and AI partners to deliver cohesive AI platform capabilities
* Establish engineering standards and frameworks around reliability, performance, security, and maintainability
**Success Criteria**
 Core Backend Engineering Experience
* 5\+ years of experience designing and building backend systems or developer platforms in distributed, cloud\-native environments.
* Experience building or scaling data platforms, backend systems, or core infrastructure
* Experience designing APIs for critical services processing highly sensitive data.
* Solid understanding of relational and non\-relational data stores, data modeling, and performance optimization
* Strong backend development experience in Go or Python
 Ways of Working
* High ownership mentality with comfort making architectural decisions
* Strong product intuition paired with disciplined engineering judgment
* Comfort operating in environments with evolving requirements and incomplete information
* Clear communication skills across engineering, product, and business stakeholders
 Nice to Have
* Experience building AI\-driven or machine learning\-enabled platforms
* Prior work on B2B SaaS, enterprise data platforms, or financial systems
* Experience operating production systems on AWS, Azure.
* Exposure to distributed systems, workflow engines, or streaming technologies
**Why Join Terzo**
* Opportunity to build and own a foundational enterprise data platform
* High\-impact role with real influence on architecture and technical direction
* Complex problems involving data, AI, scale, and enterprise customers
* Small, senior team with strong ownership and minimal bureaucracy
* Clear runway for technical and leadership growth as the platform scales
**Benefits \&amp; Perks**
* Competitive salary, annual performance bonus \&amp; employee stock option plan
* 100% paid medical, dental, and vision coverage
* 401(k) with employer contribution
* Generous vacation and sick leave
* Flexible work arrangements
* High\-quality equipment for home and office
* Strong culture of collaboration, mentorship, and continuous improvement
 Terzo is an equal opportunity employer and is committed to creating an inclusive workplace for all employees. We do not discriminate on the basis of race, color, religion, sex, gender identity or expression, sexual orientation, national origin, age, disability, veteran status, genetic information, or any other protected characteristic under applicable law. All employment decisions at Terzo are based on business needs, job requirements, and individual qualifications.</t>
        </is>
      </c>
    </row>
    <row r="18">
      <c r="A18" t="inlineStr">
        <is>
          <t>li-4365603613</t>
        </is>
      </c>
      <c r="B18" t="inlineStr">
        <is>
          <t>Software Engineer (L2)</t>
        </is>
      </c>
      <c r="C18" t="inlineStr">
        <is>
          <t>Twilio</t>
        </is>
      </c>
      <c r="D18" t="inlineStr">
        <is>
          <t>linkedin</t>
        </is>
      </c>
      <c r="E18">
        <f>HYPERLINK("https://www.linkedin.com/jobs/view/4365603613", "https://www.linkedin.com/jobs/view/4365603613")</f>
        <v/>
      </c>
      <c r="F18" t="inlineStr"/>
      <c r="G18" t="inlineStr"/>
      <c r="H18" t="inlineStr"/>
      <c r="I18"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Software Engineer (Fullstack), L2\.
****About The Job****
 This Full Stack Software Engineer (L2\) role is focused on delivering scalable capabilities in the Phone Numbers domain powering how customers search, buy, provision, configure, and manage numbers globally. You’ll help build products that developers love and are fast to adopt, easy to understand, and dependable at scale. You’ll own end\-to\-end experiences across modern, responsive UIs and the backend systems behind them, building low\-latency APIs and services designed for high throughput and operational reliability. You’ll be part of a team that values clean architecture, pragmatic iteration, and engineering excellence.
 We’re entering a stage where platform maturity and speed both matter. You’ll help evolve core Phone Numbers experiences, reduce friction in onboarding and provisioning, and ensure our systems perform under real\-world traffic while still shipping features customers can feel.
****Responsibilities****
* Collaborate with Product, Design, and Engineering to brainstorm, scope, and deliver new customer\-facing capabilities
* Design, build, and maintain highly available, scalable backend services that perform reliably under real\-world traffic
* Build lovable, accessible UI experiences that are intuitive, performant, and maintainable
* Continuously improve performance, reliability, and maintainability for services that power key products and drive meaningful business impact
* Own production outcomes: contribute to SLA/SLO goals, participate in on\-call rotations, drive incident resolution, incorporate customer feedback, and participate in blameless postmortems
* Demonstrate strong engagement in the team setting through design reviews, code reviews, documentation, and collaboration that raises engineering quality across the stack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 3\+ years of experience building and operating mission critical user facing production systems in a distributed environment including on\-call/incident response, SLA/SLOs \&amp; observability
* Proficiency in object oriented programming language such as Java and familiarity with common frameworks in that ecosystem
* Experience building modern web UIs using React \+ TypeScript (or equivalent), including integrating with APIs and maintaining component\-based frontends
* Experience with datastores (relational like MySQL/Postgres and/or NoSQL), including data modeling, indexing and performance/debugging fundamentals
* Familiarity with scalable architecture patterns (caching, background jobs/queues, rate limiting) and reliability practices (timeouts, retries, monitoring/alerting)
* Strong cross\-team communication and collaboration skills; comfortable giving/receiving feedback in an Agile environment
* Knowledge of SDLC best practices across build, test, release, and operation (code reviews, testing, CI/CD)
* Bachelor’s degree (or equivalent practical experience)
****Desired:****
* Experience with cloud platforms (AWS, GCP, or Azure), containerization (Docker), and/or orchestration (Kubernetes)
* Experience with event streaming/messaging systems (e.g., Kafka, Pub/Sub, SQS) and asynchronous processing patterns
* Familiarity with additional languages commonly used in web stacks (e.g., PHP) and/or Node.js services at scale
* Experience using AI\-assisted development tools (e.g., GitHub Copilot, ChatGPT/Claude/Gemini) to accelerate coding, debugging, test generation, and documentation, with effective prompting and careful evaluation of outputs (correctness, security, and bias) before use.
**Location**
 This role will be remote, but is not eligible to be hired in CA, CT, NJ, NY, PA, WA.
* This role will be remote, but is not eligible to be hired in San Francisco, CA, Oakland, CA, San Jose, CA, or the surrounding areas.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the salary range information provided applies only to candidates residing in California, Colorado, Hawaii, Illinois, Maryland, Massachusetts, Minnesota, New Jersey, New York, Vermont, Washington D.C., and Washington State due to local requirements. Compensation for candidates in other locations will be discussed during the hiring process. Please note that hiring for this role is not restricted to the locations listed above.
* The estimated pay ranges for this role are as follows:
****Compensation****
 The estimated pay ranges for this role are as follows:
* 
+ Based in Colorado, Hawaii, Illinois, Maryland, Massachusetts, Minnesota, Vermont or Washington D.C. : $116,960\.00\-146,200\.00
+ Based in New York, New Jersey, Washington State, or California (outside of the San Francisco Bay area): 123,760\.00\-154,700\.00
+ Based in the San Francisco Bay area, California:137,520\.00\-171,900\.00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**April 7th,**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9">
      <c r="A19" t="inlineStr">
        <is>
          <t>li-4321343119</t>
        </is>
      </c>
      <c r="B19" t="inlineStr">
        <is>
          <t>Software Engineer I</t>
        </is>
      </c>
      <c r="C19" t="inlineStr">
        <is>
          <t>Neighborly Software</t>
        </is>
      </c>
      <c r="D19" t="inlineStr">
        <is>
          <t>linkedin</t>
        </is>
      </c>
      <c r="E19">
        <f>HYPERLINK("https://www.linkedin.com/jobs/view/4321343119", "https://www.linkedin.com/jobs/view/4321343119")</f>
        <v/>
      </c>
      <c r="F19" t="inlineStr"/>
      <c r="G19" t="inlineStr">
        <is>
          <t>Atlanta, GA</t>
        </is>
      </c>
      <c r="H19" t="inlineStr"/>
      <c r="I19" t="inlineStr">
        <is>
          <t>**Who We Are** 
 Neighborly Software is a dynamic and rapidly growing software company dedicated to innovation and excellence. Neighborly Software was built to help communities make a difference in the lives of low\-income families and vulnerable populations. Our mission is simple, “Helping Communities, Help People.” We live this every day through our Neighbors and by volunteering serving in our local communities. Headquartered in Atlanta, GA, we offer a cloud\-based technology platform for the administration and disbursement of governments funds for programs such as Housing, Economic, Community Development, Disaster Recovery/MIT, Home Energy Rebate Programs, and Housing Choice Voucher programs. Since 2016 we have delivered software solutions to 540\+ public and private sector entities across the country, making us the proud market leaders of our industry. We were recently voted as one of the "Best And Brightest Companies to work for". Our office is located in the amazing Atlanta Tech Village.
**Software Engineer I (Sustaining Engineering)** 
 We are looking for a
 **Software Engineer I** 
 who can assist in the analysis, investigation, and resolution of platform production items to support neighbors (clients), client\-success, and client\-support teams. This role focuses on maintaining system stability, executing tactical data updates, and learning the architecture of an enterprise SaaS platform.
**What You Will Be Doing** 
**Key Responsibilities:**
 Feature \&amp; Code Delivery
* Implement well\-defined features, fixes, and enhancements following established coding standards and SDLC processes
* Participate in code reviews and apply feedback to improve code quality and consistency
* Support small automation or tooling enhancements for repetitive tasks
 Support, Troubleshooting \&amp;Operations
* Investigate and resolve assigned support tickets and basic production defects
* Perform initial debugging, contribute to RCA documentation for moderate\-severity issues, and escalate complex cases appropriately
* Participate in on\-call rotations and provide timely, clear updates during incident handling
 Collaboration \&amp; Process Alignment
* Work with Product, QA, Security, DevOps, and Client\-Facing teams to clarify requirements and support issue investigations
* Follow established communication and incident\-management processes to ensure consistent, reliable handoffs and responsiveness
* Contribute to maintaining documentation related to features, fixes, and operational learnings
 Qualifications
* BS/MS degree or equivalent in Computer Science, Information Systems, or related field
* Proficiency in C\#/.NET, React, Azure Services(preferred) or AWS
* Exposure to services in Azure (or equivalent in AWS): ADF, API\-Management, Service Bus, Power BI, Azure Functions
* Experience working with monitoring tools App Insights etc.
* Familiarity with Azure DevOps, SDLC Tools like JIRA/Confluence
* Ability to debug and fix application issues
**Why You’ll Love Working Here:** 
* **Comprehensive Benefits** 
 – Enjoy Medical, Dental, Vision, and Company\-Paid Life Insurance
* **401K Contributions** 
 – We invest in your future, with a generous match
* **Exceptional Perks** 
 – Paid Parental Leave, Employee Recognition Programs, and more!
* **Generous Time Off** 
 – PTO, Paid Holidays, and Charity Hours to support volunteer opportunities
 Neighborly Software is proud to be an equal opportunity workplace. We are committed to equal employment opportunity regardless of race, color, religion, age, sex, national origin, disability status, genetics, protected veteran status, sexual orientation, gender identity or expression, or any other characteristic protected by federal, state, or local laws.</t>
        </is>
      </c>
    </row>
    <row r="20">
      <c r="A20" t="inlineStr">
        <is>
          <t>li-4365647146</t>
        </is>
      </c>
      <c r="B20" t="inlineStr">
        <is>
          <t>Fullstack Engineer</t>
        </is>
      </c>
      <c r="C20" t="inlineStr">
        <is>
          <t>Tamnoon</t>
        </is>
      </c>
      <c r="D20" t="inlineStr">
        <is>
          <t>linkedin</t>
        </is>
      </c>
      <c r="E20">
        <f>HYPERLINK("https://www.linkedin.com/jobs/view/4365647146", "https://www.linkedin.com/jobs/view/4365647146")</f>
        <v/>
      </c>
      <c r="F20" t="inlineStr"/>
      <c r="G20" t="inlineStr"/>
      <c r="H20" t="inlineStr"/>
      <c r="I20" t="inlineStr">
        <is>
          <t>**Role Overview:**
 Tamnoon is building software that helps teams streamline and scale cloud security remediation. As a Full Stack Engineer, you'll design, develop, and maintain secure, reliable, high\-performing web applications—working across the stack with a strong emphasis on React \+ TypeScript (and Nest.js is a big plus). You'll collaborate closely with Product, Design, and Engineering to ship customer\-facing features, iterate quickly, and continuously improve quality over time.
**Requirements**
**What you'll get to do:**
* Build end\-to\-end product features using TypeScript, React, and Node.js—from UI to APIs to production\-ready releases
* Translate UI/UX designs into pixel\-perfect, accessible, responsive components, ensuring a polished customer experience
* Develop and consume RESTful APIs to enable smooth integration between front\-end and back\-end systems
* Ensure strong integration, data integrity, and security across the application stack
* Identify and resolve performance, reliability, and UX issues, balancing robustness with time\-to\-market and improving iteratively
* Write and maintain tests (unit, integration, and end\-to\-end) using tools like Vitest, Mocha/Chai, or Playwright
* Participate in code reviews and technical discussions, contributing to architecture decisions and better engineering practices
* Own deployed code: monitor production behavior, investigate issues, and drive remediation.
 Support CI/CD workflows including automated testing and deployment processes to keep delivery reliable and repeatable
* Communicate clearly about trade\-offs, design decisions, and implementation plans with teammates across varying technical backgrounds.
**What you'll bring:**
* Strong proficiency building web applications with TypeScript, React, and Node.js
* Experience designing and implementing REST APIs
* A "pixel\-perfect" mindset and strong attention to UI details (spacing, states, responsiveness, accessibility)
* Comfort with modern testing practices and frameworks (e.g., Jest, Mocha/Chai, Cypress, Playwright)
* Ability to analyze ambiguous problems, propose solutions, and execute effectively
* Strong collaboration and communication skills—able to explain technical concepts to both technical and non\-technical partners
* System design basics: understanding core concepts like API design, data modeling fundamentals, performance considerations, reliability patterns, and security best practices
* **Bonus Experience:**
+ Experience with Nest.js and modern front\-end best practices
+ Experience with Copilot tools such as Claude code, codex, and cursor
+ Experience working with in AWS environment
**Benefits**
 In addition to base compensation, Tamnooners receive a competitive benefits package, including:
* Flexible PTO, paid sick days, and paid parental leave
* 401k plan
* Excellent medical, dental, and vision insurance — 100% coverage for all employees
* Health savings and flexible spending accounts
* Remote First Community
* Training and career development programs
 Tamnoon is proud to be an equal\-opportunity workplace and affirmative\-action employer. We celebrate diversity and are committed to creating an inclusive environment for all employees. If you need assistance or accommodations during the application process, please contact us at hr@tamnoon.io</t>
        </is>
      </c>
    </row>
    <row r="21">
      <c r="A21" t="inlineStr">
        <is>
          <t>li-4321344167</t>
        </is>
      </c>
      <c r="B21" t="inlineStr">
        <is>
          <t>Senior Software Engineer</t>
        </is>
      </c>
      <c r="C21" t="inlineStr">
        <is>
          <t>Apple</t>
        </is>
      </c>
      <c r="D21" t="inlineStr">
        <is>
          <t>linkedin</t>
        </is>
      </c>
      <c r="E21">
        <f>HYPERLINK("https://www.linkedin.com/jobs/view/4321344167", "https://www.linkedin.com/jobs/view/4321344167")</f>
        <v/>
      </c>
      <c r="F21">
        <f>HYPERLINK("https://jobs.apple.com/en-us/details/200636203?board_id=17682&amp;urlHash=Fc41", "https://jobs.apple.com/en-us/details/200636203?board_id=17682&amp;urlHash=Fc41")</f>
        <v/>
      </c>
      <c r="G21" t="inlineStr">
        <is>
          <t>Cupertino, CA</t>
        </is>
      </c>
      <c r="H21" t="inlineStr"/>
      <c r="I21" t="inlineStr">
        <is>
          <t>**Summary**
 In Applied Sensing and Health (AS\&amp;H), we develop real time algorithms fusing different sensing modalities to infer impactful metrics, detect meaningful events or project enlightening insights, that we present to our users in the clearest and most beautiful way. To cite a few, ASH has built:
 VO2max metrics, a state of the art measure of your health level you can find in the Health app...
 Fall and Crash detection, features that are saving lives of Apple Watch and iPhone users across the planet...
 Journaling Suggestions, a feature that understands how you go about your day and surfaces personalized content you can bootstrap your journaling experience with...
 and many more, and even more to come!
 Our sensing\-based features are designed close to the silicon and firmware layers, and span across many platforms. We deliver end to end experiences in health and wellbeing, that require full stack systems software expertise from sensing and algorithms to the user interface. Our North Star is delivering the best possible feature for our customers with strong product definition and data\-driven validation. Our software supports the design of data collection and prototyping apps to drive forward the science and development of sensing\-based metrics like VO2max, crash detection and more.
 As a member of our dynamic group, you will have the unique and rewarding opportunity to shape upcoming products that will delight and inspire millions of Apple's customers every single day. Come be part of the adventure and work on life changing features for our users!
**Description**
 Roles and responsibilities include architecting, implementing and maintaining user experiences across platforms for the features we deliver to the world. You will work closely with scientists, engineers, QA, study and project managers throughout the software lifecycle in successfully delivering best\-in\-class application and experiences. When relevant, you will also design and contribute to APIs to help expose our metrics to third party developers or internal cross functional teams. You will work collaboratively on large projects with many other software engineers and functions, like human design, hardware sensing, AI/ML and others.
 Most importantly, you will help ship interactive features that impact millions of users on a daily basis. You take responsibility; you can demonstrate creativity, initiative, and the ability to work to deadlines. You feel a personal stake in the product you ship. You thrive in uncertainty and strive to bring order to it. You keep your eye on the ball; you build strong relationships; and you are constantly looking to improve yourself and your team.
**Minimum Qualifications**
* Master’s degree or PhD in Computer Science with at least 10 years of experience as software engineer, 5 years in a technical leadership role
* Extensive experience with programming languages such as C\+\+, Objective\-C, Swift or SwiftUI
**Preferred Qualifications**
* Strong and intuitive understanding of computer science fundamentals, and how to architect complex systems for embedded devices
* Effective communication skills, written and verbal, and attention to detail
* Prior experience machine learning (e.g. large language models, foundation models, CNNs, Bayesian methods, etc.)
* Passion or experience with mentoring other team members
* Passion for product definition, user experience, and being the first user for your own features
* Prior experience with sensors, sensor fusion, fitness and health technologies is a big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
      <c r="A22" t="inlineStr">
        <is>
          <t>li-4365623412</t>
        </is>
      </c>
      <c r="B22" t="inlineStr">
        <is>
          <t>Software Developer</t>
        </is>
      </c>
      <c r="C22" t="inlineStr">
        <is>
          <t>Retirement Clearinghouse</t>
        </is>
      </c>
      <c r="D22" t="inlineStr">
        <is>
          <t>linkedin</t>
        </is>
      </c>
      <c r="E22">
        <f>HYPERLINK("https://www.linkedin.com/jobs/view/4365623412", "https://www.linkedin.com/jobs/view/4365623412")</f>
        <v/>
      </c>
      <c r="F22" t="inlineStr"/>
      <c r="G22" t="inlineStr">
        <is>
          <t>Charlotte, NC</t>
        </is>
      </c>
      <c r="H22" t="inlineStr"/>
      <c r="I22" t="inlineStr">
        <is>
          <t>**Job Title**
 Software Developer—Hybrid Work Opportunity
**This position will work in our Charlotte, NC office at least once per week.**
**Company Intro**
 Retirement Clearinghouse was voted one of the top places to work by Charlotte Magazine in 2024 and 2025! When you join the team, you'll make a real difference and can learn, grow and make a positive impact every day. At Retirement Clearinghouse we are helping millions of Americans preserve their retirement savings. We use innovative technology and provide exceptional customer service to help participants make informed decisions about their retirement accounts without using high pressure sales pitches.
**Job Position Description**
 We are looking for an experienced Software Developer. The ideal candidate will:
* Be responsible for timely completion of projects from start to finish while collaborating with their teammates.
* Participate in the complete software development lifecycle from documenting requirements through implementation and testing.
* Participate in Peer Code Reviews with your teammates.
* Provide support and maintenance to existing applications including performance tuning and bug fixing.
* Remain technically current on related software and technology.
* Effectively communicate and work with the director, team members and other departments.
* Perform other duties as may be assigned.
**This position is required to work in our Charlotte, NC office at least once a week.**
**Salary Range:** 
 $100k\-110k annually
**Top Benefits Or Perks**
 As a team member at Retirement Clearinghouse, you’ll enjoy:
* A culture that fosters a positive work life balance.
* Hybrid work opportunities.
* Competitive hourly rate with Bonus potential.
* 18 days of Paid Time Off per year, 5 sick days per year, 3 Floating Holidays per year (actual time off is prorated the first year and is based upon date of hire)
* Paid holidays
* Medical, dental, vision, short\-term disability, long\-term disability, life insurance benefits on day 1 of employment
* 401k eligibility and 100% vesting with employer matching on day 1 of employment.
* Professional Growth and Career Advancement Opportunities
 Training is provided to all new hires to help you achieve your goals and ensure your success! Upon successful completion of the onsite training, candidates will be permitted to work remotely on the same terms and conditions as other employees in the position. Employees who wish to work onsite may do so in our state\-of\-the\-art office!
**Location:**
 Retirement Clearinghouse is in the Ayrsley area located in Charlotte, NC, the second largest banking center in the United States.</t>
        </is>
      </c>
    </row>
    <row r="23">
      <c r="A23" t="inlineStr">
        <is>
          <t>li-4354557139</t>
        </is>
      </c>
      <c r="B23" t="inlineStr">
        <is>
          <t>Software Engineer, 2</t>
        </is>
      </c>
      <c r="C23" t="inlineStr">
        <is>
          <t>People Inc.</t>
        </is>
      </c>
      <c r="D23" t="inlineStr">
        <is>
          <t>linkedin</t>
        </is>
      </c>
      <c r="E23">
        <f>HYPERLINK("https://www.linkedin.com/jobs/view/4354557139", "https://www.linkedin.com/jobs/view/4354557139")</f>
        <v/>
      </c>
      <c r="F23" t="inlineStr"/>
      <c r="G23" t="inlineStr">
        <is>
          <t>New York, NY</t>
        </is>
      </c>
      <c r="H23" t="inlineStr"/>
      <c r="I23" t="inlineStr">
        <is>
          <t>**Job Title**
 Software Engineer, 2
**Job Description**
 People Inc. is looking for a Full\-stack web developer with an interest in working on integrations and service level functionality for our ad tech to work on our Revenue Development team.
 Working across the entire People Inc. portfolio of brands and sites, you will be helping to build out implementations of advertising, data management, and consent management platforms. You will have a direct and immediate impact on the revenue technology space at People Inc.
**Hybrid 3x a week\- NYC**
 In\-office Expectations: This position is hybrid in\-office, with the ability to work remotely for up to 2 days per week
**About Your Contributions**
* Work in a full\-stack web development environment consisting of HTML, Javascript, CSS, and Java.
* Help develop ad\-tech integrations with our server\-rendered sites, including using libraries like prebid.js to improve existing header\-bidding functionality, or leveraging IAB standards guidance to enable new revenue partnerships.
* Build and maintain APIs and integrate with third party vendors.
* Investigate and integrate with new ad technologies.
* Integrate with external consent and data management platforms such as OneTrust, Lotame and Permutive.
**About You**
* 2\+ years of experience with Javascript, preferably vanilla Javascript (ES5\+).2\+ years of experience with HTML and CSS.
* Java experience is also an asset.
* Comfortable using the tools of modern collaborative Agile\+Scrum SDLC, including Git, Jira, planning poker, etc
* Enjoy working and integrating with multiple third party providers in the ad technology space.
* Demonstrated ability in creating and working with APIs, and integrating solutions from third party vendors.
* An eye for performance, ensuring that third party integrations meet a high threshold of performance
 It is the policy of People Inc.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Company will provide reasonable accommodations for qualified individuals with disabilities. Accommodation requests can be made by emailing hr@people.inc.
 The Company participates in the federal E\-Verify program to confirm the identity and employment authorization of all newly hired employees. For further information about the E\-Verify program, please click here: https://www.e\-verify.gov/employees
**Pay Range**
 Salary: New York: $105,000 \- $125,000
 The pay range above represents the anticipated low and high end of the pay range for this position and may change in the future. Actual pay may vary and may be above or below the range based on various factors including but not limited to work location, experience, and performance. The range listed is just one component of People Inc's total compensation package for employees. Other compensation may include annual bonuses, and short\- and long\-term incentives. In addition, People Inc. provides to employees (and their eligible family members) a variety of benefits, including medical, dental, vision, prescription drug coverage, unlimited paid time off (PTO), adoption or surrogate assistance, donation matching, tuition reimbursement, basic life insurance, basic accidental death \&amp; dismemberment, supplemental life insurance, supplemental accident insurance, commuter benefits, short term and long term disability, health savings and flexible spending accounts, family care benefits, a generous 401K savings plan with a company match program, 10\-12 paid holidays annually, and generous paid parental leave (birthing and non\-birthing parents), all of which may vary depending on the specific nature of your employment with People Inc. and your work location. We also offer voluntary benefits such as pet insurance, accident, critical and hospital indemnity health insurance coverage, life and disability insurance.
 \#NMG\#</t>
        </is>
      </c>
    </row>
    <row r="24">
      <c r="A24" t="inlineStr">
        <is>
          <t>li-4363397308</t>
        </is>
      </c>
      <c r="B24" t="inlineStr">
        <is>
          <t>Software Engineer - Generative AI</t>
        </is>
      </c>
      <c r="C24" t="inlineStr">
        <is>
          <t>Abacus.AI</t>
        </is>
      </c>
      <c r="D24" t="inlineStr">
        <is>
          <t>linkedin</t>
        </is>
      </c>
      <c r="E24">
        <f>HYPERLINK("https://www.linkedin.com/jobs/view/4363397308", "https://www.linkedin.com/jobs/view/4363397308")</f>
        <v/>
      </c>
      <c r="F24" t="inlineStr"/>
      <c r="G24" t="inlineStr"/>
      <c r="H24" t="inlineStr"/>
      <c r="I24" t="inlineStr">
        <is>
          <t>**About the job** 
**Company Description** 
 Abacus.AI is a leading Generative AI company building a future where AI assists and automates most work and business processes for enterprises and professionals.
 We are a fully remote company with a very strong ownership culture and minimal management.
 Our DeepAgent product has gained significant traction, both with enterprises and professionals, experiencing rapid month on month growth over the last few months.
**Role Description** 
 We are looking for highly effective software engineers who can work on a large codebase with a lot of infrastructure components, building out our rapidly growing and very effective general purpose Agent product \- Abacus.AI DeepAgent. You will need to be good at working with LLMs, have sound technical judgement, strong debugging and infrastructure skills, and enjoy working on hard engineering problems.
 The ideal candidate will:
* Be highly skilled and effective engineer
* Have a CS degree from a top ranked undergraduate program
* Be able to work autonomously and have a strong sense of ownership
* Be very productive \- we have a high rate of shipping new features
* Be someone with the the ability to jump in and take on responsibility and ownership of key parts of the product
* Have strong python and Unix skills
* Be comfortable using AI to upskill themselves
* Be someone who has worked in a startup, or other fast paced, high agency environment
 The company is fully remote, but we have an office in downtown San Francisco that you are welcome to work out of. We have a slight preference for people who live in San Francisco \- we do have social get\-togethers at the office.</t>
        </is>
      </c>
    </row>
    <row r="25">
      <c r="A25" t="inlineStr">
        <is>
          <t>li-4365645272</t>
        </is>
      </c>
      <c r="B25" t="inlineStr">
        <is>
          <t>Senior Software Engineer - FullStack Eng / AI</t>
        </is>
      </c>
      <c r="C25" t="inlineStr">
        <is>
          <t>Uber</t>
        </is>
      </c>
      <c r="D25" t="inlineStr">
        <is>
          <t>linkedin</t>
        </is>
      </c>
      <c r="E25">
        <f>HYPERLINK("https://www.linkedin.com/jobs/view/4365645272", "https://www.linkedin.com/jobs/view/4365645272")</f>
        <v/>
      </c>
      <c r="F25">
        <f>HYPERLINK("https://tnl2.jometer.com/v2/job?jz=5wqzs63c8440eed67458b14cb01dd606728beKMAGUCAAAABQ&amp;iis=Job%20Board%20-%20Recruitment%20Marketing&amp;iisn=LinkedIn&amp;urlHash=Rr60", "https://tnl2.jometer.com/v2/job?jz=5wqzs63c8440eed67458b14cb01dd606728beKMAGUCAAAABQ&amp;iis=Job%20Board%20-%20Recruitment%20Marketing&amp;iisn=LinkedIn&amp;urlHash=Rr60")</f>
        <v/>
      </c>
      <c r="G25" t="inlineStr">
        <is>
          <t>Sunnyvale, CA</t>
        </is>
      </c>
      <c r="H25" t="inlineStr"/>
      <c r="I25" t="inlineStr">
        <is>
          <t>**About The Role**
 The 3P team brings together Uber's products, state of the art cognitive technologies and Uber's engineering infrastructure to deliver automated conversational assistants a.k.a chatbots to provide enhanced customer experience for our third party customers beyond the Uber ecosystem. Our chatbots are capable of interacting with customers, performing cognitive analysis of customer interactions in real time and responding and interacting automatically with the customers. Our automated assistants are built on dialog management frameworks, Uber's support logic, natural language understanding models and customer communication data to deliver automated support experience that reduces burden on human agents and provides faster response to the customers. We constantly thrive on providing the next generation of customer assistants which are a result of Uber's big bold bets. As a result we are building the next generation chatbots leveraging GenAI models to provide more personalized, empathetic, human\-like conversations that are also compliant with Uber's business policies .
 What You'll Do
 We are seeking a strong and passionate software engineer with experience in building software platforms leveraging microservices and front end stack for web experiences. You will be responsible for creating scalable, reliable, manageable platforms that deliver on customer support requirements at Uber by leveraging AI at Uber. You will be owning customer facing platforms that impact the support experience of millions of customers. You will also be leading the GenAI based support experiences as well as augmenting the existing platforms with new features and capabilities. Your responsibility will include identifying required changes across Uber's engineering ecosystem, collaborating with engineering teams, driving consensus, implementing extensible, maintainable changes required to build state\-of\-the\-art support experiences.
 We are looking for someone who has passion for designing and driving large projects from inception to production. The right person will work with stakeholders, product managers, scientists, partner engineering teams to gather requirements and translate them into a platform feature. Must be a great communicator, team player, and a technical powerhouse.
**Basic Qualifications**
* Bachelors Degree, or above, in Comp Science or related field
* Scalable system architecture design
* Production\-quality services, deployment, monitoring, and reliability.
* Microservice designs, gRPC or REST API development
* Ability to decompose complex business problems into clean, extensible, performant services and systems
* Logging, monitoring, performance troubleshooting and tuning experience
* Excellent problem\-solving skills and the ability to work in a collaborative team environment
* Comfortable in navigating multi\-disciplinary teams with respect
* Focus on code quality in terms of coverage, code reviews
* Excellent technical writing skills to communicate design, requirements, flows, architecture
* Fluent in one of these programming languages: Golang, Scala, Java,
* Comfortable in one of these scripting languages: Javascript, python
* Solid understanding of algorithms, data structures, and software design principles.
* Experience with version control systems such as Git.
**Preferred Qualifications**
* Experience in machine learning, GenAI, or LLM technologies.
* Experience with building conversational assistants
* Dialog management systems like Google Dialogflow, Amazon Alexa
* Familiarity with large scale distributed systems like Kafka and cloud platforms like AWS, GCP, or Azure.
* Familiarity with communication channel interfaces eg: WhatsApp, SMS, slack
 For Sunnyvale, CA\-based roles: The base salary range for this role is USD$202,000 per year \- USD$224,000 per year. You will be eligible to participate in Uber's bonus program, and may be offered an equity award \&amp; other types of comp. You will also be eligible for various benefits. More details can be found at the following link https://www.uber.com/careers/benefits., For Sunnyvale, CA\-based roles: The base salary range for this role is USD$202,000 per year \- USD$224,000 per year. You will be eligible to participate in Uber's bonus program, and may be offered an equity award \&amp; other types of comp. You will also be eligible for various benefits. More details can be found at the following link https://www.uber.com/careers/benefits.</t>
        </is>
      </c>
    </row>
    <row r="26">
      <c r="A26" t="inlineStr">
        <is>
          <t>li-4321393231</t>
        </is>
      </c>
      <c r="B26" t="inlineStr">
        <is>
          <t>Software Engineer III</t>
        </is>
      </c>
      <c r="C26" t="inlineStr">
        <is>
          <t>GoEngineer</t>
        </is>
      </c>
      <c r="D26" t="inlineStr">
        <is>
          <t>linkedin</t>
        </is>
      </c>
      <c r="E26">
        <f>HYPERLINK("https://www.linkedin.com/jobs/view/4321393231", "https://www.linkedin.com/jobs/view/4321393231")</f>
        <v/>
      </c>
      <c r="F26">
        <f>HYPERLINK("https://careers.goengineer.com/jobs/542838-software-engineer-iii&amp;urlHash=BIJM", "https://careers.goengineer.com/jobs/542838-software-engineer-iii&amp;urlHash=BIJM")</f>
        <v/>
      </c>
      <c r="G26" t="inlineStr">
        <is>
          <t>Midvale, UT</t>
        </is>
      </c>
      <c r="H26" t="inlineStr"/>
      <c r="I26" t="inlineStr">
        <is>
          <t>**About this opportunity:**
 GoEngineer is a provider of the most compelling design platforms in the industry, deploying engineering software and 3D Printing technology to make the design process innovative, efficient, and intelligent.
 GoEngineer is looking for a Software Engineer III to join our team. GoEngineer is headquartered in Salt Lake City, UT and has sales and training centers throughout the United States. We offer competitive salary, benefits, and career path options, in a casual work environment.
 The Software Engineer III will be responsible for designing, developing, testing, and deploying enterprise software solutions.
**Your key contributions in this role will be:**
* Lead the design and development of enterprise\-grade software solutions using modern .NET technologies (.NET LTS, ASP.NET, EF Core, SQL).
* Architect and implement high\-performance web applications with clean, maintainable code.
* Migrate legacy ASP.NET MVC applications to modern Single Page Application (SPA) frameworks such as React or Angular.
* Design and build secure, scalable RESTful APIs with proper authentication and authorization (OAuth, OpenID Connect, JWT).
* Ensure software meets industry security and performance best practices.
* Configure and maintain CI/CD pipelines using Azure DevOps and Bicep for efficient, automated deployments.
* Conduct application load testing, profiling, and performance optimization.
* Build event\-driven, cloud\-based architectures leveraging Azure services such as Azure App Service, Azure SQL, and Azure Service Bus.
* Mentor junior engineers and contribute to team knowledge\-sharing and technical design reviews.
* Participate actively in Agile/Scrum ceremonies and collaborate with cross\-functional teams.
* Act as an escalation point for helpdesk support, resolving advanced issues and guiding junior team members.
* Oversee bug triaging, prioritization, and backlog management for critical issues.
***We are looking for candidates with the below experience and skills, however, even if you do not meet all the listed requirements, very interested candidates should still apply:***
* Bachelor’s or Master’s Degree in Computer Science, Software Engineering, or at least 5\-7 years industry equivalent experience.
* 5 years of full\-time back\-end development experience using technologies such as C\#, .NET Core, ASP.NET MVC, EF Core, and SQL database.
* 3 years of full\-time front\-end development using modern UI frameworks, such as React or Angular.
* Strong knowledge of different software development design patterns and architecture.
* Experience migrating ASP.NET MVC applications to modern SPA UI frameworks.
* Experience with unit testing and integration testing frameworks, such as MSTest, NUnit, or xUnit.
* Experience with setting up and managing CI/CD pipelines using Biceps and Azure DevOps.
* Experience working in an Agile/Scrum development environment.
**More about what GoEngineer offers:**
 At GoEngineer, we understand that our value comes from our employees, and we celebrate and respect their unique experiences. We are working to build a culture where both our employees and customers are centered in the work we do, and employees feel welcomed as they are from the first day.
**Generous Benefits Include:**
* Participation in GoEngineer's unlimited PTO program from day one of employment.
* 401(k) Plan that includes up to a 6% company match, 100% vested day one.
* Choice of Traditional PPO or High\-Deductible Medical plans, and corresponding FSA or HSA accounts.
* Generous HSA Contribution with participation in the High\-Deductible Health Plan.
* Employer paid Life Insurance policy; optional Supplemental Life available.
* Employer paid Short\-Term and Long\-Term Disability Benefits.
* Dental, Vision, and other Ancillary benefits.</t>
        </is>
      </c>
    </row>
    <row r="27">
      <c r="A27" t="inlineStr">
        <is>
          <t>li-4365634678</t>
        </is>
      </c>
      <c r="B27" t="inlineStr">
        <is>
          <t>Software Engineer</t>
        </is>
      </c>
      <c r="C27" t="inlineStr">
        <is>
          <t>ServiceNow</t>
        </is>
      </c>
      <c r="D27" t="inlineStr">
        <is>
          <t>linkedin</t>
        </is>
      </c>
      <c r="E27">
        <f>HYPERLINK("https://www.linkedin.com/jobs/view/4365634678", "https://www.linkedin.com/jobs/view/4365634678")</f>
        <v/>
      </c>
      <c r="F27" t="inlineStr"/>
      <c r="G27" t="inlineStr">
        <is>
          <t>Santa Clara, CA</t>
        </is>
      </c>
      <c r="H27" t="inlineStr"/>
      <c r="I27"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Design software that is simple to use to allow customers to extend and customize the functionality to meet their specific needs
* Help design and implement new products and features while also enhancing the existing product suite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0\-2\+ years of experience with Java or a similar OO language
* Passion for JavaScript and the Web as a platform, reusability, and componentization
* Experience with data structures, algorithms, object\-oriented design, design patterns, and performance/scale considerations
* Experience with any of the modern UI frameworks like Angular, React or Vue
* Analytical and design skills
* Working knowledge and ability to use tools to assist with daily tasks (IDE, debugger, build tools, source control, ServiceNow instances, profilers, system administration/Unix tools)
 FD21
 For positions in this location, we offer a base pay of $125,700 \- $194,800,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28">
      <c r="A28" t="inlineStr">
        <is>
          <t>li-4355413842</t>
        </is>
      </c>
      <c r="B28" t="inlineStr">
        <is>
          <t>Software Developer (Full‑Stack &amp; DevOps)</t>
        </is>
      </c>
      <c r="C28" t="inlineStr">
        <is>
          <t>PeopleTec, Inc.</t>
        </is>
      </c>
      <c r="D28" t="inlineStr">
        <is>
          <t>linkedin</t>
        </is>
      </c>
      <c r="E28">
        <f>HYPERLINK("https://www.linkedin.com/jobs/view/4355413842", "https://www.linkedin.com/jobs/view/4355413842")</f>
        <v/>
      </c>
      <c r="F28" t="inlineStr"/>
      <c r="G28" t="inlineStr">
        <is>
          <t>Huntsville, AL</t>
        </is>
      </c>
      <c r="H28" t="inlineStr"/>
      <c r="I28" t="inlineStr">
        <is>
          <t>**Opportunity**
 PeopleTec is currently seeking a
 **Software Developer** 
 to support our
 **Huntsville, AL** 
 location.
 PeopleTec is currently seeking a highly motivated, self‑driven software developer who excels at building end‑to‑end solutions while simultaneously mastering DevOps practices to support our Huntsville, AL, location. The ideal candidate will be comfortable moving seamlessly between front‑end and back‑end code, configuring virtualized infrastructure, and leveraging modern container and automation tooling. You will work closely with onsite teams, debug integration issues in real time, and will be required to hold, or obtain, a security clearance to access sensitive data and systems.
**Qualifications**
**Required Skills/Experience:**
* Ability and willingness to sit on the customer site
* Develop front\-end solutions using React, Angular, Vue, or similar frameworks
* Build back\-end services using Java (Spring Boot), C\# (.NET Core), Node.js, Python, or Go
* Configure and manage Git repositories and issue tracking in Jira
* Build and maintain CI/CD pipelines using Bamboo or equivalent tools (Jenkins, TeamCity)
* Manage binary and artifact repositories using Artifactory (JFrog)
* Deploy, configure, and maintain virtual machines and environments using VMware vSphere
* Build, test, and deploy containerized applications using Docker
* Orchestrate multi\-container workloads using Docker Compose, Kubernetes, or OpenShift
* Collaborate with onsite teams to support system integration and live troubleshooting
* Follow security best practices and support compliance requirements
* Maintain or obtain required security clearance within specified timelines
* Continuously evaluate and adopt emerging technologies, including AI/ML tools such as Ollama
* Produce clear technical documentation and participate in code reviews
* Mentor junior developers and contribute to knowledge transfer
* Full\-Stack Development
+ Front\-end: React, Angular, Vue
+ Back\-end: Java, C\#, Node.js, Python, Go
+ 3\+ years of professional full\-stack web development experience
* DevOps \&amp; CI/CD
+ Git (GitHub, GitLab, Bitbucket)
+ Jira for issue tracking
+ CI/CD tools such as Bamboo, Jenkins, or TeamCity
+ Artifactory (JFrog)
+ 2\+ years managing end\-to\-end CI/CD pipelines
* Virtualization
+ VMware vSphere (ESXi, vCenter)
+ 1–2 years administering virtualized environments
* Containerization
+ Docker, Docker Compose, Docker Swarm
+ 1–2 years building and deploying containers
* AI/ML
+ Familiarity with Ollama or similar LLM frameworks
+ Willingness to learn and apply AI/ML tools
* Security Clearance
+ Current or obtainable clearance
+ Must be able to obtain clearance within 90 days of hire
* Soft Skills
+ Strong written and verbal communication skills
+ Ability to collaborate effectively onsite
+ Strong problem\-solving skills under time pressure
* An active DoD TS/SCI clearance is required to perform this work. Candidates are required to have an active Secret clearance upon hire, and the ability to get a TS/SCI level of clearance during their employment.
**Education Requirements**
* Bachelor’s degree in Computer Science, Software Engineering, IT, or related field
* Equivalent professional experience accepted
* Minimum of 3 years of professional software development experience
**Desired Skills**
* Advanced Technical Skills
+ Experience with Kubernetes, OpenShift, and Helm charts
+ Experience with cloud platforms such as AWS, Azure, and GCP
+ Familiarity with Infrastructure\-as\-Code tools (Terraform, Pulumi)
+ Experience orchestrating complex, multi\-container workloads
* AI / ML Experience
+ Familiarity with AI/ML tooling such as Ollama
+ Experience with AI/ML inference pipelines (TensorFlow, PyTorch)
* Domain \&amp; Industry Experience
+ Prior experience supporting regulated environments (Defense, Healthcare, Finance)
+ Experience working in hybrid or secure on\-prem environments
* Certifications
+ VMware Certified Professional (VCP)
+ AWS Certified Developer
+ Docker Certified Associate
* Additional Attributes
+ Demonstrated adaptability and continuous learning mindset
+ Experience mentoring junior developers
+ Prior experience contributing to Agile development teams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
 \#cjpost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is>
      </c>
    </row>
    <row r="29">
      <c r="A29" t="inlineStr">
        <is>
          <t>li-4321393826</t>
        </is>
      </c>
      <c r="B29" t="inlineStr">
        <is>
          <t>Software Engineer</t>
        </is>
      </c>
      <c r="C29" t="inlineStr">
        <is>
          <t>Texas Instruments</t>
        </is>
      </c>
      <c r="D29" t="inlineStr">
        <is>
          <t>linkedin</t>
        </is>
      </c>
      <c r="E29">
        <f>HYPERLINK("https://www.linkedin.com/jobs/view/4321393826", "https://www.linkedin.com/jobs/view/4321393826")</f>
        <v/>
      </c>
      <c r="F29">
        <f>HYPERLINK("https://edbz.fa.us2.oraclecloud.com/hcmUI/CandidateExperience/en/job/25008840/?utm_medium=jobboard&amp;utm_source=linkedin&amp;urlHash=8ZzA", "https://edbz.fa.us2.oraclecloud.com/hcmUI/CandidateExperience/en/job/25008840/?utm_medium=jobboard&amp;utm_source=linkedin&amp;urlHash=8ZzA")</f>
        <v/>
      </c>
      <c r="G29" t="inlineStr">
        <is>
          <t>Lehi, UT</t>
        </is>
      </c>
      <c r="H29" t="inlineStr"/>
      <c r="I29" t="inlineStr">
        <is>
          <t>**Job Description**
**Position Overview:**
 Texas Instruments is seeking a full\-stack software development engineer who is experienced with AI code generation platforms and tools. This role is critical to accelerating our digital transformation through rapid development of quality and test solutions using cutting\-edge development techniques. The position offers the opportunity to revolutionize how our Smart Manufacturing and Automation team builds software while establishing best practices and scaling development capabilities across the organization.
 The ideal candidate is someone who is not just a software engineer, but is also experienced with leveraging platforms like Claude Code, GitHub Copilot, Cursor and emerging agentic frameworks to dramatically accelerate development while maintaining high quality standards. You'll be building solutions that directly impact manufacturing quality and test operations while helping transform how our entire team approaches software development.
 The Smart Manufacturing and Automation team at Texas Instruments develops software solutions to address challenges faced by manufacturing and engineering teams. As a global organization, we strive to create solutions that are compatible with all TI sites. We invite you to join our team as we leverage modern technologies to deliver software and data solutions that enhance quality and productivity in semiconductor manufacturing.
**Primary Responsibilities**
* Build and sustain full\-stack web applications that support manufacturing and engineering teams
* Rapidly develop and deploy applications, scripts, and automation solutions using AI code generation platforms (Claude, Copilot, Cursor, etc.)
* Work with project managers and internal customers to define requirements and develop solutions that meet manufacturing needs
* Provide data solutions/pipelines that enhance software applications
* Host software and data solutions in containerized production environment
* Create automation for releasing code into production (CI/CD)
* Review and provide feedback on code releases
* Document software systems, usage requirements, and troubleshooting guides for other team members
* Deliver high quality software in a timely manner
* Make applications compatible with other TI sites and data systems
* Automate repetitive tasks to drive increased efficiency
* Support and enhance legacy software solutions
* Mentor team members across the organizations on proper software development and management techniques
**Qualifications**
**Minimum Requirements:**
* Bachelor of Science degree in Computer Science, Engineering, Software Engineering, Mathematics, or another related field
* 2\+ years of experience with full\-stack development without co\-development tools
* Demonstrated experience with AI agentic frameworks (such as Claude, Copilot, Cursor or similar AI co\-development tools) for accelerating programming tasks.
**Preferred Qualifications**
* Experience with React/JavaScript/TypeScript or other frontend web development frameworks
* Experience with Python or other coding languages
* Experience with FastAPI or other backend web development python frameworks
* Experience with relational database management systems (Oracle, MSSQL, PostgresSQL) and SQL
* Experience with container orchestration, CI/CD, and other DevOps philosophies and practices. Including Kubernetes, Airflow, Jenkins, Docker, etc.
* Experience with developing software systems in a Linux OS environment
* Strong focus on gathering customer requirements and meeting customer needs
* Demonstrated ability to work in teams and collaborate effectively across several different functions
* Demonstrated ability to take the initiative and drive for results
* Strong critical thinking and problem\-solving skills
* Good listener and excellent verbal and written communication skills
* Strong time management skills that enable on\-time project delivery
* Passion for the job and willingness to dig in and learn from those around you
**About Us**
**Why TI?**
* Engineer your future. We empower our employees to truly own their career and development. Come collaborate with some of the smartest people in the world to shape the future of electronics.
* We're different by design. Diverse backgrounds and perspectives are what push innovation forward and what make TI stronger. We value each and every voice, and look forward to hearing yours. Meet the people of TI
* Benefits that benefit you. We offer competitive pay and benefits designed to help you and your family live your best life. Your well\-being is important to us.
**About Texas Instruments**
 Texas Instruments Incorporated (Nasdaq: TXN) is a global semiconductor company that designs, manufactures and sells analog and embedded processing chips for markets such as industrial, automotive, personal electronics, communications equipment and enterprise systems. At our core, we have a passion to create a better world by making electronics more affordable through semiconductors. This passion is alive today as each generation of innovation builds upon the last to make our technology more reliable, more affordable and lower power, making it possible for semiconductors to go into electronics everywhere. Learn more at TI.com .
 Texas Instruments is an equal opportunity employer and supports a diverse, inclusive work environment. All qualified applicants will receive consideration for employment without regard to race, color, religion, creed, disability, genetic information, national origin, gender, gender identity and expression, age, sexual orientation, marital status, veteran status, or any other characteristic protected by federal, state, or local laws.
 If you are interested in this position, please apply to this requisition.
**About The Team**
 TI does not make recruiting or hiring decisions based on citizenship, immigration status or national origin. However, if TI determines that information access or export control restrictions based upon applicable laws and regulations would prohibit you from working in this position without first obtaining an export license, TI expressly reserves the right not to seek such a license for you and either offer you a different position that does not require an export license or decline to move forward with your employment.</t>
        </is>
      </c>
    </row>
    <row r="30">
      <c r="A30" t="inlineStr">
        <is>
          <t>li-4355550360</t>
        </is>
      </c>
      <c r="B30" t="inlineStr">
        <is>
          <t>Software Engineer 1</t>
        </is>
      </c>
      <c r="C30" t="inlineStr">
        <is>
          <t>Knorr-Bremse Lisieux – Systèmes pour Véhicules Utilitaires</t>
        </is>
      </c>
      <c r="D30" t="inlineStr">
        <is>
          <t>linkedin</t>
        </is>
      </c>
      <c r="E30">
        <f>HYPERLINK("https://www.linkedin.com/jobs/view/4355550360", "https://www.linkedin.com/jobs/view/4355550360")</f>
        <v/>
      </c>
      <c r="F30" t="inlineStr"/>
      <c r="G30" t="inlineStr">
        <is>
          <t>Westminster, MD</t>
        </is>
      </c>
      <c r="H30" t="inlineStr"/>
      <c r="I30" t="inlineStr">
        <is>
          <t>**Position Summary**
 The Software Engineer will have the primarily responsibility of providing assurance that the software portion of a project fulfills commitments for the software product:
* As specified in the customer and end user’s technical specifications and contract documents; In compliance with project\-specific, software related plans; Consistent with internal process requirements.
* The software product will be developed for HVAC systems.
**Essential Functions**
* Review customer and end user specifications and support proposal development.
* Prepare, maintain, and implement documentation to IEEE and/or EN standards
* Prepare and/or review software design documentation submitted to customers.
* Oversee specified software verification and validation tasks.
* Work with all other departments to execute projects
* Execute full software development life cycle (SDLC)
* Produce specifications and determine operational feasibility
* Integrate software components into a fully functional software system
* Develop software verification plans and quality assurance procedures
* Document and maintain software functionality
* Troubleshoot, debug and upgrade existing systems
* Deploy programs and evaluate user feedback
* Comply with project plans and industry standards
* Ensure software is updated with latest features
**Knowledge**
 Must be familiar with embedded control system environments typical in hardware systems.
**Required**
 A secondary responsibility is to provide support for format and correctness of software design documents required for submittal to the customer:
* Meet IEEE or EN document content requirements
* Are correctly formatted for maximum readability
* Consistent with Merak's existing document templates
**Experience**
* 3\-5 years of similar experience working withing industrial environment.
* Executing full lifecycle software development including executing full SQA
* Programming well\-designed, testable, efficient code (Linux, Python, C, C\+\+,)
* Producing specifications and determining operational feasibility
* Supporting testing in and out of house
* Working with customers and other engineering groups to complete work on time and to requirements
**Skills**
* Maintain a safe, clean and healthy environment and ensure the compliance with company's rules and policies.
* Must be able to comply with quality, product safety, and HSE rules, guidelines and regulations. Be energy conscious, if applicable.
* Must understand and comply with applicable standards. ( i.e.: ISO 9001, ISO 22163, ISO 14001, ISO 45001, ISO 50001, AAR, and CMMI).
* Maintain and safeguard business
* Records.
**Education**
* Bachelors degree in Engineering
 The anticipated salary range for candidates who will work in Westminster, MD is $65,000 to $97,000 per year. The final pay offered to a successful candidate will be dependent on several factors that may include but are not limited to the type and years of experience within the job, the type of years and experience within the industry and education. Westminster Merak RAIL is a multi\-state employer, and this pay scale may not reflect positions that work in other states or locations. Provided they meet all eligibility requirements under the applicable plan documents, employees (and their eligible dependents) will be eligible to enroll in group healthcare plans that offer medical, dental, vision, and basic life and disability insurance. Employees also will be able to enroll in our company’s 401k plan. Employees will also receive 120 hours of vacation leave and 40 hours of Personal Paid Absence every year. Employees will also enjoy 12 paid holidays, and 1 floating holiday throughout the calendar year, subject to relevant terms outlined in the employee handbook. 6 weeks of paid parental leave will also be available for use. Requirements for these benefits will be controlled by applicable plan documents and policies. Employees working on federal contracts covered by the Federal Paid Sick Leave requirements will be notified and will receive benefits consistent and compliant with the FPSL requirements. Hired applicant will be able to purchase company stock, subject to the relevant plan documents and annual bonuses based on achievement of certain metrics of up to 4% of annual salary. This is intended to provide a general description of benefits and other compensation and is not a substitute for applicable plan documents or company policies. Applications for this position are accepted on an ongoing basis.
*Please note: At this time, we are not able to offer immigration sponsorship for new hires. All applicants must be currently authorized to work in the United States on a full\-time basis without the need for current or future employment\-based visa sponsorship.*</t>
        </is>
      </c>
    </row>
    <row r="31">
      <c r="A31" t="inlineStr">
        <is>
          <t>li-4365612601</t>
        </is>
      </c>
      <c r="B31" t="inlineStr">
        <is>
          <t>Software Developer/Data Engineer - Entry Level</t>
        </is>
      </c>
      <c r="C31" t="inlineStr">
        <is>
          <t>Lensa</t>
        </is>
      </c>
      <c r="D31" t="inlineStr">
        <is>
          <t>linkedin</t>
        </is>
      </c>
      <c r="E31">
        <f>HYPERLINK("https://www.linkedin.com/jobs/view/4365612601", "https://www.linkedin.com/jobs/view/4365612601")</f>
        <v/>
      </c>
      <c r="F31" t="inlineStr"/>
      <c r="G31" t="inlineStr">
        <is>
          <t>Nashville, TN</t>
        </is>
      </c>
      <c r="H31" t="inlineStr"/>
      <c r="I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32">
      <c r="A32" t="inlineStr">
        <is>
          <t>li-4365628134</t>
        </is>
      </c>
      <c r="B32" t="inlineStr">
        <is>
          <t>Full Stack Software Engineer AI/LLM (remote)</t>
        </is>
      </c>
      <c r="C32" t="inlineStr">
        <is>
          <t>NoRedInk</t>
        </is>
      </c>
      <c r="D32" t="inlineStr">
        <is>
          <t>linkedin</t>
        </is>
      </c>
      <c r="E32">
        <f>HYPERLINK("https://www.linkedin.com/jobs/view/4365628134", "https://www.linkedin.com/jobs/view/4365628134")</f>
        <v/>
      </c>
      <c r="F32" t="inlineStr"/>
      <c r="G32" t="inlineStr"/>
      <c r="H32" t="inlineStr"/>
      <c r="I32" t="inlineStr">
        <is>
          <t>Teaching kids to think critically and communicate effectively has never been more important \- and NoRedInk helps students become better writers in more than 60% of U.S. school districts. We’re looking for a
 **Full\-Stack Software Engineer (remote)** 
 with
 **experience using large language models (LLMs) to build product features** 
 to join our team and help us unlock every writer’s potential.
 As an engineer at NoRedInk, you’ll work closely with product managers, designers, and other engineers to build
 **engaging, pedagogically sound experiences** 
 that help students develop stronger writing skills and help teachers assess student work more efficiently. You’ll build and maintain features across the stack, and apply your experience with AI/LLMs where useful to improve instruction, feedback, and workflow for teachers and learners.
 NoRedInk knows the value of a diverse team and welcomes applicants from a wide diversity of backgrounds and approaches.
**In This Role, You Will**
* Build, ship, and maintain full\-stack product features that support teaching and learning at scale, from backend services to polished user interfaces.
* Apply your experience with LLMs and AI tools to enhance existing functionality and introduce new capabilities when appropriate
* Collaborate with product, design, and curriculum to translate learner needs and research\-backed pedagogy into reliable, intuitive software.
* Optimize systems for performance, scalability, observability, and cost, including where AI/LLMs are involved.
* Contribute to engineering practices, code quality, technical design, and team culture.
* Evaluate emerging technologies (AI and otherwise) and help assess when and how to incorporate them responsibly.
**About You**
* 4\+ years of professional experience building and deploying production software.
* Experience shipping at least one production feature that uses LLMs (required).
* A solid foundation in full\-stack web development and working on multi\-component systems.
* Familiarity with LLM techniques such as prompt engineering, fine\-tuning, or retrieval augmentation.
* Experience building and operating applications on AWS.
* Comfortable working with languages such as Python, Ruby, Javascript and interested in functional languages (Elm, Haskell) is a plus.
* Able to communicate clearly with both technical and non\-technical partners, and make thoughtful trade\-offs.
* Curious, pragmatic, and focused on improving student outcomes and teacher experience.
**Nice to Have**
* Experience with MLOps, model lifecycle management, or AI infrastructure.
* Exposure to NLP, deep learning, or supervised learning.
* Prior experience building products in education, writing, or learning science contexts.
**What NoRedInk Offers**
* A competitive salary and equity package in a high\-growth, well\-funded startup with massive traction
* UHC health, vision, and dental benefits (U.S. Only) \- 100% of premiums paid for employees
* A remote\-first culture
* Annual department or company\-wide in\-person conference and teambuilding
* A flexible PTO policy and paid parental leave
* 7 standard Holidays \+ a holiday week between Christmas Eve and New Years
* 401(k) (U.S. Only)
* The ability to help millions of students and teachers and address a critical societal need
 Compensation at NoRedInk is competitive and includes a comprehensive benefits package and meaningful equity. Salary ranges are determined based on role expectations, location\-specific market data, internal equity, and individual skills and experience.
 **The compensation range for this role is $130,000–$175,000 USD.** 
 Recruiters will discuss compensation openly during the first conversation to ensure alignment.
*Note: Agencies or third\-party recruiters may not submit unsolicited candidate information to any NoRedInk employee without a signed agreement and explicit approval from the Talent Acquisition team.*
**About NoRedInk**
 NoRedInk helps students in over 60% of U.S. school districts become stronger writers. Our adaptive, engaging curriculum personalizes learning, supports students through the writing process, and builds skills through targeted practice. With over 10 billion exercises completed, our mission is to help every student harness the power of the written word.
 Check out our press page, including our 2\-minute pitch on NBC and articles in The Washington Post, Wall Street Journal, and Forbes.
 NoRedInk believes that diversity and inclusion are essential to our success. We are committed to recruiting, developing, and retaining talented teammates from diverse backgrounds and to providing an inclusive, respectful workplace with equal employment opportunities for all applicants and employees, in accordance with applicable law.ponsibly into a learning context.</t>
        </is>
      </c>
    </row>
    <row r="33">
      <c r="A33" t="inlineStr">
        <is>
          <t>li-4363447617</t>
        </is>
      </c>
      <c r="B33" t="inlineStr">
        <is>
          <t>Software Engineer, GPU</t>
        </is>
      </c>
      <c r="C33" t="inlineStr">
        <is>
          <t>Waymo</t>
        </is>
      </c>
      <c r="D33" t="inlineStr">
        <is>
          <t>linkedin</t>
        </is>
      </c>
      <c r="E33">
        <f>HYPERLINK("https://www.linkedin.com/jobs/view/4363447617", "https://www.linkedin.com/jobs/view/4363447617")</f>
        <v/>
      </c>
      <c r="F33" t="inlineStr"/>
      <c r="G33" t="inlineStr">
        <is>
          <t>New York, NY</t>
        </is>
      </c>
      <c r="H33" t="inlineStr"/>
      <c r="I3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Compute Team is tasked with a critical and exciting mission: We deliver the compute platform responsible for running the fully autonomous vehicle’s software stack. To achieve our mission, we architect and create high\-performance custom silicon; we develop system\-level compute architectures that push the boundaries of performance, power, and latency; and we collaborate closely with many other teammates to ensure we design and optimize hardware and software for maximum performance. We are a multidisciplinary team seeking curious and talented teammates to work on one of the world’s highest performance automotive compute platforms.
 In this hybrid role, you will report to a Senior Software Engineer.
**You Will**
* Develop high\-performance GPU primitives and abstractions to enable Waymo to scale its accelerator codebase across diverse GPU backends
* Collaborate with Waymo's internal hardware team and external partners on SoC projects with a focus on the GPU portion
* Manage the bring\-up, correctness, and performance of the Waymo onboard stack on new GPU platforms
* Contribute to testing infrastructure that enhances the CI/CD flow for GPUs, detects bugs early, and generates automated alerts to maintain the GPU stack's functionality and performance
* Create profiler and debugger tools for new GPU platforms
**You Have**
* Proven expertise in C\+\+ programming
* Bachelor degrees in EECS, coupled with a minimum of three years of industry experience
* Experience with full\-system simulation frameworks (SystemC, Gem5 or similar)
* Solid understanding of GPU hardware architecture
* Proficiency in utilizing performance analysis tools and debuggers
* Enthusiasm for developing the complete GPU software stack, from the hardware level to real\-world applications
**We Prefer**
* Knowledge of Linux device drivers and embedded firmware
* Experience with diverse GPU deployment environments
* Proficiency in GPU optimization techniques, including memory coalescing, register/shared memory tiling, pinned memory, and warp\-level programming
* Familiarity with GPU libraries such as Thrust, CUB, CUTLASS, or Eigen
* Experience collaborating with external operators to ensure high quality standards
* Experience contributing to open\-source compiler projects such as LLVM or SPIR\-V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34">
      <c r="A34" t="inlineStr">
        <is>
          <t>li-4365607711</t>
        </is>
      </c>
      <c r="B34" t="inlineStr">
        <is>
          <t>Entry Level Software Engineer</t>
        </is>
      </c>
      <c r="C34" t="inlineStr">
        <is>
          <t>Lensa</t>
        </is>
      </c>
      <c r="D34" t="inlineStr">
        <is>
          <t>linkedin</t>
        </is>
      </c>
      <c r="E34">
        <f>HYPERLINK("https://www.linkedin.com/jobs/view/4365607711", "https://www.linkedin.com/jobs/view/4365607711")</f>
        <v/>
      </c>
      <c r="F34">
        <f>HYPERLINK("https://lensa.com/cgw/adb08a7e0bc6403f9a159d3c6b7725c9tjo1?jpsi=directemployers_no_redirect&amp;publisher_preference=easier_apply&amp;utm_campaign=Computer%20Occupations&amp;utm_medium=slot&amp;utm_source=linkedin&amp;utm_term=jse&amp;urlHash=Cw9p", "https://lensa.com/cgw/adb08a7e0bc6403f9a159d3c6b7725c9tjo1?jpsi=directemployers_no_redirect&amp;publisher_preference=easier_apply&amp;utm_campaign=Computer%20Occupations&amp;utm_medium=slot&amp;utm_source=linkedin&amp;utm_term=jse&amp;urlHash=Cw9p")</f>
        <v/>
      </c>
      <c r="G34" t="inlineStr">
        <is>
          <t>Kent, WA</t>
        </is>
      </c>
      <c r="H34" t="inlineStr"/>
      <c r="I3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The Boeing Company. Clicking "Apply Now" or "Read more" on Lensa redirects you to the job board/employer site. Any information collected there is subject to their terms and privacy notice.
**Job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seeking an
 **Entry Level** 
**Software Engineer** 
 to join the
 **B\-52J Navigation and Displays** 
 team in Kent, Washington, supporting the
 **B\-52J CERP** 
 program within Boeing Defense, Space \&amp; Security (BDS). This role focuses on embedded flight software development and avionics modernization for a long\-serving, iconic military aircraft and is ideal for someone passionate about embedded systems who is ready to grow their career working alongside experienced engineers in a dynamic environment.
 In this role you will provide practical, cost\-effective support for day\-to\-day software engineering tasks required to sustain development, integration, verification, and process improvement activities. You will implement, test, and debug code for multiple systems under general supervision from technical leads, work with cross\-functional teammates to analyze requirements and contribute design input, and produce documentation that supports system integration and verification.
 If you are excited about building dependable embedded software and contributing to a historic aircraft modernization, we'd love to hear from you \- please apply today to join the B\-52J Navigation and Displays team and help shape the future of this mission\-critical program.
**Position Responsibilities**
* Assists with the design, development, test, and maintenance of embedded software throughout the end\-to\-end lifecycle that meets industry, customer, safety, and regulation standards
* Gathers information to review, analyze, and translate customer requirements into initial design of software products
* Assists with development, maintenance, enhancement and optimization of software products and functionalities for systems integrations
* Assists with development, documentation and maintenance of architectures, requirements, algorithms, interfaces and designs for software products
* Assists with debugging and resolution of issues identified to ensure the reliability and efficiency of software products
* Assists with implementation of current and emerging technologies, tools, frameworks and changes in regulations relevant to software development
* Assists to develop, establish, monitor and improve software processes, tools and key performance metrics that align projects with organizational goals and industry benchmarks
* Provides information to execute and document software research and development project
* Gathers information to perform software project management activities and software supplier management functions
* Assists to track and evaluate software team and supplier performance to ensure product and process compliance to project plans and industry standards
**Basic Qualifications**
* Experience with software development lifecycle including prototyping, architecture, design, coding, integration, and testing
* Experience with Agile software development
* Experience with Agile workflow tools such as VS Code and platforms such as Gitlab
**Preferred Qualifications**
* Bachelor's Degree in Computer Engineering, Computer Science, or Software Engineering
* Ability to work effectively in a team environment and communicate with stakeholders of different backgrounds and skill levels
* Experience developing embedded real\-time software with C, C\+\+, Java, Python, Rust, or Ada
* Experience working with real\-time operating systems (RTOS)
* Experience with object\-oriented analysis and design (OOAD) methodologies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Entry Level: $83,300\.00 \- $112,700\.00
 Applications for this position will be accepted until
 **Jan. 28,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Top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If you have questions about this posting, please contact support@lensa.com</t>
        </is>
      </c>
    </row>
    <row r="35">
      <c r="A35" t="inlineStr">
        <is>
          <t>li-4365633105</t>
        </is>
      </c>
      <c r="B35" t="inlineStr">
        <is>
          <t>Software Engineer Manager (Remote)</t>
        </is>
      </c>
      <c r="C35" t="inlineStr">
        <is>
          <t>PolicyMe</t>
        </is>
      </c>
      <c r="D35" t="inlineStr">
        <is>
          <t>linkedin</t>
        </is>
      </c>
      <c r="E35">
        <f>HYPERLINK("https://www.linkedin.com/jobs/view/4365633105", "https://www.linkedin.com/jobs/view/4365633105")</f>
        <v/>
      </c>
      <c r="F35" t="inlineStr"/>
      <c r="G35" t="inlineStr">
        <is>
          <t>Ontario, CA</t>
        </is>
      </c>
      <c r="H35" t="inlineStr"/>
      <c r="I35" t="inlineStr">
        <is>
          <t>**Overview Of The Role**
 We’re on a mission to modernize insurance, making it simpler, more accessible, and customer\-first. The insurance industry is a $1T market that has remained largely untouched by the digital revolution, and PolicyMe is here to change that. As a remote\-first, Toronto\-based startup with big ambitions, we’re looking for a Software Engineering Manager to help us build the future of insurance in Canada and beyond.
 As an AI Engineering Manager at PolicyMe, you will be responsible for leading and scaling a high\-performance team developing an AI\-powered product suite that modernizes the insurance experience. Leveraging cutting\-edge AI/ML technologies, your team will build groundbreaking intelligent applications to drive PolicyMe's mission of becoming one of the biggest insurance brands in Canada.
 You'll bring your leadership experience and deep expertise in AI engineering to guide the team in architecting scalable, secure AI systems. Under your direction, the team will employ AI capabilities like natural language processing, computer vision, and recommendation engines to create innovative products that streamline operations and deliver data\-driven insights. You’ll use your leadership and technical experience to guide the team in making strategic decisions, optimizing AI development processes, and maintaining rigorous practices for deploying AI responsibly and at scale.
**What you'll be doing:**
* Lead and manage a team of fullstack/AI engineers, provide mentorship, performance feedback and enable career growth for the team
* Oversee technical design, development and deployment of fullstack web applications backed by AI technology
* Collaborate with product, design, and QA teams to ensure seamless execution and delivery of cross\-functional projects
* Drive architecture decisions for scalable, reliable, secure cloud\-based AI platforms that align with business objectives
* Foster an innovative environment for exploring state\-of\-the\-art AI techniques
* Lead technical decision\-making ensuring alignment with product/company objectives
* Promote continuous learning and uplift team's expertise in emerging AI technologies
**What we are looking for:**
* 7\+ years in software development, with 2\+ years managing engineering teams
* Strong technical leadership building and operating production AI systems at scale
* Proven expertise in AI/ML disciplines like NLP, computer vision, recommendation systems
* Strong technical background in web development, ideally in a full\-stack environment with expertise in React, Python, and Node.js
* Experience with cloud architecture, DevOps, data/ML pipelines and infrastructure
* Exceptional people management skills to motivate, mentor and grow high\-performers
* Excellent communicator able to simplify technical AI/ML concepts for cross\-functional teams
* Proven ability to lead teams in an agile, fast\-paced environment, with a strong focus on collaboration and stakeholder management
* A track record of delivering complex projects with a focus on scalability, reliability, and security
**Reports to:** 
 CTO
**Why join us:**
* Generous PTO \- 20 vacation days
* Access to stock options and a comprehensive benefits plan
* A remote\-first team with company paid, in\-person socials and the option to work from our Toronto\-based office
* Resources to help your professional development, including an L\&amp;D budget, performance reviews twice a year and ongoing feedback to ensure you reach your highest potential
* Work with an empathetic, high\-performing team in a flexible, results\-oriented environment
* Compensation: The total target cash compensation for this role is $154,000 \- $192,500 CAD, based on experience. We’ll walk through the details together during the interview
**About PolicyMe**
 At PolicyMe, we are Canada’s leading digital insurance solution, offering straightforward and affordable financial protection for families from coast to coast. Our product suite includes Life Insurance, Critical Illness Insurance, and Health \&amp; Dental Insurance, all tailored to Canadians' evolving needs. We also offer B2B2C solutions, partnering with organizations to provide seamless digital insurance options. Founded by a team of insurance experts and technology entrepreneurs, PolicyMe is committed to making insurance simpler and more accessible. Since our launch in 2018, we have grown exponentially, selling over $10 billion in insurance coverage to Canadians.
 We are proud of the team we’ve built and are excited for those that are yet to join us. We operate with a remote\-first culture, attracting top talent from across Canada. If you’re looking for a fast\-paced, collaborative environment, working alongside incredibly ambitious yet humble humans, we may be the right place for you! To learn more, visit www.policyme.com.
**Additional Notes**
* Job Vacancy: This role reflects growth in our team and expanded operational scope. We’re hiring to support increasing demand and continue delivering an exceptional customer experience
* Commitment to Equal Opportunity: PolicyMe is an equal opportunity employer. We welcome applicants of all backgrounds and provide fair consideration regardless of race, colour, religion, sex, sexual orientation, gender identity, national origin, or disability
* Accessibility Statement: We are committed to providing an accessible hiring experience. If you require accommodations during the application process, please indicate this in the “Additional Information” section of your application
*We thank all applicants for their interest, however, only those selected for an interview will be contacted.*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6">
      <c r="A36" t="inlineStr">
        <is>
          <t>li-4365629349</t>
        </is>
      </c>
      <c r="B36" t="inlineStr">
        <is>
          <t>Sr Software Engineer</t>
        </is>
      </c>
      <c r="C36" t="inlineStr">
        <is>
          <t>Origence</t>
        </is>
      </c>
      <c r="D36" t="inlineStr">
        <is>
          <t>linkedin</t>
        </is>
      </c>
      <c r="E36">
        <f>HYPERLINK("https://www.linkedin.com/jobs/view/4365629349", "https://www.linkedin.com/jobs/view/4365629349")</f>
        <v/>
      </c>
      <c r="F36" t="inlineStr"/>
      <c r="G36" t="inlineStr">
        <is>
          <t>Irvine, CA</t>
        </is>
      </c>
      <c r="H36" t="inlineStr"/>
      <c r="I36"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**Sr. Software Engineer** 
 will be responsible for the design/implementation of new software applications, maintenance and enhancement of various software products / solutions of Origence. They assist in successful execution of projects with minimal direction and guidance.
**What You’ll Be Doing**
* Leveling up Engineering teams promoting modernized Software Engineering approaches including increased use of AI\-driven software engineering techniques.
* Spend 90% of your time actively designing and coding in support of the immediate team. 10% of your time will be spent researching new technology, coaching, and mentoring other engineers.
* As a senior team member of developers, providing feedback and training where necessary, and ensure that technical initiatives align with organizational goals working closely with Principal Engineers / Development Managers.
* As a Full Stack Engineer assigned to the product/project ensure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degradation in performance of applications, troubleshooting / problem solving production issues.
**Education**
**The Ideal Candidate:**
* Bachelor’s degree in Computer Science, Engineering or related industry experience
**Experience**
* Recent experience utilizing Generative AI techniques including GitHub Copilot and Prompt Engineering techniques.
* A minimum of 6 years of professional software development experience in business process automation applications.
* A minimum of 5 years’ experience in .Net, C\#, Windows tools and languages as well as modern web frameworks (Angular via Typescript, React, Vue)
* Understanding of data repository models is a must. Understanding of SQL and NoSQL is preferred.
* Understanding of Agile methodologies, Domain Driven Design, Test/Behavior Driven Design, Event Driven via Asynchronous messaging approaches, microservice architecture.
**Preferred Experience**
* ASP.NET, WCF, Web Services, NServiceBus, Azure Cloud, Infrastructure as Code (IaC)
* DevOps experience as a full stack developer owning the Software Development Lifecycle.
* Strong understanding and experience writing unit and integration tests for all code produced.
**Specialized Skills**
* Knowledge of various LLM’s, Agentic AI, RAG, MCP and incorporating these technologies from both automation and feature engineering standpoints.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$128600 \- $160800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row>
    <row r="37">
      <c r="A37" t="inlineStr">
        <is>
          <t>li-4365622254</t>
        </is>
      </c>
      <c r="B37" t="inlineStr">
        <is>
          <t>Entry Level Software Developer 2026</t>
        </is>
      </c>
      <c r="C37" t="inlineStr">
        <is>
          <t>Lensa</t>
        </is>
      </c>
      <c r="D37" t="inlineStr">
        <is>
          <t>linkedin</t>
        </is>
      </c>
      <c r="E37">
        <f>HYPERLINK("https://www.linkedin.com/jobs/view/4365622254", "https://www.linkedin.com/jobs/view/4365622254")</f>
        <v/>
      </c>
      <c r="F37" t="inlineStr"/>
      <c r="G37" t="inlineStr">
        <is>
          <t>San Jose, CA</t>
        </is>
      </c>
      <c r="H37" t="inlineStr"/>
      <c r="I3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**About**
 Are you passionate about building innovative solutions that power the future of enterprise technology? IBM Infrastructure is seeking talented Software Developers across multiple disciplines:
 Back\-End Development
 Front\-End Development
 Data Science
 As part of our dynamic team, you'll collaborate with designers, engineers, and product managers to create responsive, user\-friendly applications using modern web technologies. You'll contribute to scalable systems, intuitive interfaces, and intelligent data\-driven features that support IBM's mission to deliver world\-class
**Your Role And Responsibilities**
 Design, develop, and maintain robust software components and services.
 Build intuitive and responsive user interfaces using modern frameworks.
 Analyze and model data to drive insights and improve product performance.
 Work in agile teams to deliver high\-quality code and continuously improve development practices.
 Collaborate across disciplines to ensure seamless integration and user experience.
**Required Technical And Professional Expertise**
 Bachelor's or Master's degree in Computer Science, Engineering, or related field.
 Proficiency in one or more programming languages such as Java, Python, Go, or C\+\+.
 Excellent problem\-solving skills and attention to detail.
 Strong communication and collaboration abilities.
**Preferred Technical And Professional Experience**
 Proficiency in programming languages such as Python, Java, or JavaScript.
 Experience with cloud platforms, especially IBM Cloud or similar (AWS, Azure, GCP).
 Understanding of security best practices and Software Development principles.
 Strong problem\-solving and analytical skills.
 Ability to work in agile, cross\-functional teams.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38">
      <c r="A38" t="inlineStr">
        <is>
          <t>li-4363437637</t>
        </is>
      </c>
      <c r="B38" t="inlineStr">
        <is>
          <t>Software Engineer, GPU</t>
        </is>
      </c>
      <c r="C38" t="inlineStr">
        <is>
          <t>Waymo</t>
        </is>
      </c>
      <c r="D38" t="inlineStr">
        <is>
          <t>linkedin</t>
        </is>
      </c>
      <c r="E38">
        <f>HYPERLINK("https://www.linkedin.com/jobs/view/4363437637", "https://www.linkedin.com/jobs/view/4363437637")</f>
        <v/>
      </c>
      <c r="F38">
        <f>HYPERLINK("https://careers.withwaymo.com/jobs?gh_jid=7554830&amp;gh_src=e2a2625d1us&amp;urlHash=aHJw", "https://careers.withwaymo.com/jobs?gh_jid=7554830&amp;gh_src=e2a2625d1us&amp;urlHash=aHJw")</f>
        <v/>
      </c>
      <c r="G38" t="inlineStr">
        <is>
          <t>Mountain View, CA</t>
        </is>
      </c>
      <c r="H38" t="inlineStr"/>
      <c r="I3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Compute Team is tasked with a critical and exciting mission: We deliver the compute platform responsible for running the fully autonomous vehicle’s software stack. To achieve our mission, we architect and create high\-performance custom silicon; we develop system\-level compute architectures that push the boundaries of performance, power, and latency; and we collaborate closely with many other teammates to ensure we design and optimize hardware and software for maximum performance. We are a multidisciplinary team seeking curious and talented teammates to work on one of the world’s highest performance automotive compute platforms.
 In this hybrid role, you will report to a Senior Software Engineer.
**You Will**
* Develop high\-performance GPU primitives and abstractions to enable Waymo to scale its accelerator codebase across diverse GPU backends
* Collaborate with Waymo's internal hardware team and external partners on SoC projects with a focus on the GPU portion
* Manage the bring\-up, correctness, and performance of the Waymo onboard stack on new GPU platforms
* Contribute to testing infrastructure that enhances the CI/CD flow for GPUs, detects bugs early, and generates automated alerts to maintain the GPU stack's functionality and performance
* Create profiler and debugger tools for new GPU platforms
**You Have**
* Proven expertise in C\+\+ programming
* Bachelor degrees in EECS, coupled with a minimum of three years of industry experience
* Experience with full\-system simulation frameworks (SystemC, Gem5 or similar)
* Solid understanding of GPU hardware architecture
* Proficiency in utilizing performance analysis tools and debuggers
* Enthusiasm for developing the complete GPU software stack, from the hardware level to real\-world applications
**We Prefer**
* Knowledge of Linux device drivers and embedded firmware
* Experience with diverse GPU deployment environments
* Proficiency in GPU optimization techniques, including memory coalescing, register/shared memory tiling, pinned memory, and warp\-level programming
* Familiarity with GPU libraries such as Thrust, CUB, CUTLASS, or Eigen
* Experience collaborating with external operators to ensure high quality standards
* Experience contributing to open\-source compiler projects such as LLVM or SPIR\-V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39">
      <c r="A39" t="inlineStr">
        <is>
          <t>li-4321306133</t>
        </is>
      </c>
      <c r="B39" t="inlineStr">
        <is>
          <t>Software Engineer</t>
        </is>
      </c>
      <c r="C39" t="inlineStr">
        <is>
          <t>Altamira Technologies Corporation</t>
        </is>
      </c>
      <c r="D39" t="inlineStr">
        <is>
          <t>linkedin</t>
        </is>
      </c>
      <c r="E39">
        <f>HYPERLINK("https://www.linkedin.com/jobs/view/4321306133", "https://www.linkedin.com/jobs/view/4321306133")</f>
        <v/>
      </c>
      <c r="F39" t="inlineStr"/>
      <c r="G39" t="inlineStr">
        <is>
          <t>Fort Gordon, GA</t>
        </is>
      </c>
      <c r="H39" t="inlineStr"/>
      <c r="I39" t="inlineStr">
        <is>
          <t>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Location: Warrenton VA. / Augusta GA.
 Position Description: We are seeking Software Engineers that possess a mix of talent areas related to full stack development. As part of our team, you will provide software and web development services. Our ideal candidate would possess a broad range of skills as our scope of work spans various technologies. Examples of technologies we are currently using to support our customers include Java, Python, JavaScript, Angular, React, and ElasticSearch. Altamira Technologies Corporation encourages independent problem solving but also provides deep reach\-back support and a collaborative environment for our engineering team. We are looking for candidates who have experience with developing and are not afraid to adapt to the right architecture, languages, and libraries to build the best systems for the mission and deliver the best user experience.
**Role And Responsibilities**
* Produce software based on desired functionality provided by users and analysts
* Interpret mission needs and requirements to produce user\-friendly software systems
* Leverage continuous integration to create sustainable and maintainable software
* Interact with teammates and users through whiteboard sessions and/or design documents to establish circular feedback.
**Education And Experience**
* Bachelor’s in Computer Science, Computer Engineering, Electrical Engineering, or a related field
* Experience in one or more of the following: Java, JavaScript/Typescript, Python, Angular, ELK stack, Redis, Web Services (REST), Containerization (such as docker, lxc), Kubernetes, helm, Machine Learning, Data Analytics, Android development, NoSQL and SQL databases, Xmidas, Digital Signal Processing.
**Abilities And Competencies**
* TS/SCI REQUIRED. NO EXCEPTIONS.
* Self\-motivated and eager to work intently to satisfy mission requirements
* Adaptable and has the desire to maintain our company culture
* Ability to effectively communicate in verbal and written communications
* Ability to multitask and adjust priorities as needed</t>
        </is>
      </c>
    </row>
    <row r="40">
      <c r="A40" t="inlineStr">
        <is>
          <t>li-4328221237</t>
        </is>
      </c>
      <c r="B40" t="inlineStr">
        <is>
          <t>Software Engineer, Commercialization Onboard Platform</t>
        </is>
      </c>
      <c r="C40" t="inlineStr">
        <is>
          <t>Waymo</t>
        </is>
      </c>
      <c r="D40" t="inlineStr">
        <is>
          <t>linkedin</t>
        </is>
      </c>
      <c r="E40">
        <f>HYPERLINK("https://www.linkedin.com/jobs/view/4328221237", "https://www.linkedin.com/jobs/view/4328221237")</f>
        <v/>
      </c>
      <c r="F40">
        <f>HYPERLINK("https://careers.withwaymo.com/jobs?gh_jid=7426815&amp;gh_src=e2a2625d1us&amp;urlHash=mKlx", "https://careers.withwaymo.com/jobs?gh_jid=7426815&amp;gh_src=e2a2625d1us&amp;urlHash=mKlx")</f>
        <v/>
      </c>
      <c r="G40" t="inlineStr">
        <is>
          <t>San Francisco, CA</t>
        </is>
      </c>
      <c r="H40" t="inlineStr"/>
      <c r="I40"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Commercialization Onboard Platform team designs and implements the ride\-hailing platform to provide ride\-hailing and fleet management capabilities for Waymo.
**You Will**
* Write code that runs on Waymo’s fleet of autonomous vehicles
* Work with experts in the field of autonomous vehicles across both onboard and offboard components
* Develop interfaces across multiple offboard and onboard stacks for managing trip and passenger state machines
* Build infrastructure for simulating and testing trip state machine and onboard changes
* Develop expertise in, and make use of, various Google technologies like Borg, Spanner, Flume, and custom\-built systems for our specific problems
**You Have**
* BS degree in Computer Science or equivalent practical experience
* 3\+ years of industry experience in general distributed systems and backend development
* Proficient in C\+\+
**We Prefer**
* MS in Computer Science, or equivalent practical experience
* Experience in developing low latency, large\-scale, user facing distributed systems
* Interest or experience in robotics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41">
      <c r="A41" t="inlineStr">
        <is>
          <t>li-4321383259</t>
        </is>
      </c>
      <c r="B41" t="inlineStr">
        <is>
          <t>Software Engineer</t>
        </is>
      </c>
      <c r="C41" t="inlineStr">
        <is>
          <t>Barco</t>
        </is>
      </c>
      <c r="D41" t="inlineStr">
        <is>
          <t>linkedin</t>
        </is>
      </c>
      <c r="E41">
        <f>HYPERLINK("https://www.linkedin.com/jobs/view/4321383259", "https://www.linkedin.com/jobs/view/4321383259")</f>
        <v/>
      </c>
      <c r="F41" t="inlineStr"/>
      <c r="G41" t="inlineStr">
        <is>
          <t>Beaverton, OR</t>
        </is>
      </c>
      <c r="H41" t="inlineStr"/>
      <c r="I41" t="inlineStr">
        <is>
          <t>**Role Overview**
 We are seeking a highly motived and experienced software engineer to join a global development team in creating advanced software solutions for diagnostic imaging systems used in radiology, mammography, pathology etc. The primary focus of this role is on the windows platform, and cloud\-based infrastructure, ensuring robust, scalable, and secure software solutions.
 You will be expected to
* Participate in full software product life cycle, from design, development to testing and sustaining
* Collaborate effectively with a global engineering team to deliver high\-quality software as part of a display system solution
* Be a self\-starter with the ability to quickly learn new programming language, software platform, hardware/software infrastructure, and development or troubleshooting tools—demonstrating both efficiency and independence
**Qualifications**
* Bachelor’s degree in Computer Engineering or Computer Science
* 5\+ software development experience for windows OS
* Demonstrated expertise in programming languages and software frameworks, including C/C\+\+, DX, OGL/Vulkan
* Understanding of Cloud architecture and knowledge of virtualization would be a plus
* Good understanding of software development process and coding standards
* Good communication skill. Joint development with global R\&amp;D team. Good analytical skills.
 We are currently considering local candidates only, who can reliably commute to our Portland, OR office.
 The salary range for this position in OR is $93,000 \- $124,000 annually. This range represents the pay that we reasonably expect to offer for this role. The actual salary will be determined based on factors such as relevant experience, skills, and qualifications.</t>
        </is>
      </c>
    </row>
    <row r="42">
      <c r="A42" t="inlineStr">
        <is>
          <t>li-4365630362</t>
        </is>
      </c>
      <c r="B42" t="inlineStr">
        <is>
          <t>Software Engineer, Loans Platform</t>
        </is>
      </c>
      <c r="C42" t="inlineStr">
        <is>
          <t>SoFi</t>
        </is>
      </c>
      <c r="D42" t="inlineStr">
        <is>
          <t>linkedin</t>
        </is>
      </c>
      <c r="E42">
        <f>HYPERLINK("https://www.linkedin.com/jobs/view/4365630362", "https://www.linkedin.com/jobs/view/4365630362")</f>
        <v/>
      </c>
      <c r="F42">
        <f>HYPERLINK("https://boards.greenhouse.io/sofi/jobs/7595616003?gh_src=7ed8869b3us&amp;urlHash=_W0x", "https://boards.greenhouse.io/sofi/jobs/7595616003?gh_src=7ed8869b3us&amp;urlHash=_W0x")</f>
        <v/>
      </c>
      <c r="G42" t="inlineStr">
        <is>
          <t>Seattle, WA</t>
        </is>
      </c>
      <c r="H42" t="inlineStr"/>
      <c r="I4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Join us in revolutionizing the lending landscape. SoFi is seeking enthusiastic Software Engineers who are ready to learn and contribute to the development of the next generation of our financial services platform.
 Key qualifications of this role include:
* Taking ownership of delivering key improvements to platform subsystems.
* Solid fundamentals in languages, common libraries and frameworks.
* Implement improvements to systems leveraging well established patterns.
* Writing clear and maintainable code as well as creating relevant test collateral.
**What You’ll Do**
 As a valuable contributor to our team, you will focus on building out the backend services for our next\-generation Lending Platform. This role involves full product lifecycle engagement, from initial concept to deployment. Key responsibilities include implementing new features, ensuring code quality, and contributing to the delivery of highly\-available, scalable services. Success requires close coordination with Product, Marketing, Operations, Business, Legal, and Compliance teams.
**What You’ll Need**
* Bachelor's or Master's degree in Computer Science, or Software Engineering
* Have no more than 24 months of professional full\-time relevant work experience, including internships or research assistant roles.
* Strong sense of ownership and willingness to learn unfamiliar systems.
* Affinity for solving complex problems and the drive to dive deep into the technical details.
* Proficiency in Java, Kotlin, or another modern object\-oriented language.
* Ability to follow established patterns and contribute to well‑defined features.
* Ability to write clear, maintainable code and basic unit tests.
* Understanding of relational and document database principles.
**Nice To Have**
* Experience with GIT, Build Automation, and CI/CD Processes.
* Understanding of fundamental distributed systems concepts.
 We're driven to push boundaries and deliver exceptional products to help our members achieve financial stability. If you have the passion and a commitment to customer success, we want to hear from you.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3">
      <c r="A43" t="inlineStr">
        <is>
          <t>li-4365616533</t>
        </is>
      </c>
      <c r="B43" t="inlineStr">
        <is>
          <t>Entry Level Software Developer</t>
        </is>
      </c>
      <c r="C43" t="inlineStr">
        <is>
          <t>Lensa</t>
        </is>
      </c>
      <c r="D43" t="inlineStr">
        <is>
          <t>linkedin</t>
        </is>
      </c>
      <c r="E43">
        <f>HYPERLINK("https://www.linkedin.com/jobs/view/4365616533", "https://www.linkedin.com/jobs/view/4365616533")</f>
        <v/>
      </c>
      <c r="F43">
        <f>HYPERLINK("https://lensa.com/cgw/7f7d492c74064eefad4ef7b2a41e0f1atjo1?jpsi=directemployers&amp;publisher_preference=easier_apply&amp;utm_campaign=Computer%20Occupations&amp;utm_medium=slot&amp;utm_source=linkedin&amp;utm_term=jse&amp;urlHash=AvOP", "https://lensa.com/cgw/7f7d492c74064eefad4ef7b2a41e0f1atjo1?jpsi=directemployers&amp;publisher_preference=easier_apply&amp;utm_campaign=Computer%20Occupations&amp;utm_medium=slot&amp;utm_source=linkedin&amp;utm_term=jse&amp;urlHash=AvOP")</f>
        <v/>
      </c>
      <c r="G43" t="inlineStr">
        <is>
          <t>Washington, DC</t>
        </is>
      </c>
      <c r="H43" t="inlineStr"/>
      <c r="I4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Location: Arizona, Washington DC
 If you have questions about this posting, please contact support@lensa.com</t>
        </is>
      </c>
    </row>
    <row r="44">
      <c r="A44" t="inlineStr">
        <is>
          <t>li-4365622899</t>
        </is>
      </c>
      <c r="B44" t="inlineStr">
        <is>
          <t>Senior Software Engineer-Aero Platform (GM Motorsports)</t>
        </is>
      </c>
      <c r="C44" t="inlineStr">
        <is>
          <t>General Motors</t>
        </is>
      </c>
      <c r="D44" t="inlineStr">
        <is>
          <t>linkedin</t>
        </is>
      </c>
      <c r="E44">
        <f>HYPERLINK("https://www.linkedin.com/jobs/view/4365622899", "https://www.linkedin.com/jobs/view/4365622899")</f>
        <v/>
      </c>
      <c r="F44" t="inlineStr"/>
      <c r="G44" t="inlineStr">
        <is>
          <t>Austin, TX</t>
        </is>
      </c>
      <c r="H44" t="inlineStr"/>
      <c r="I44" t="inlineStr">
        <is>
          <t>**Job Description**
**The Team:**
 GM’s Motorsports Software team analyzes, defines, and delivers next generation groundbreaking Motorsports IT software solutions. Using both innovative cloud\-based infrastructure and software development standards, these solutions enable innovative interactions between GM Global Engineering, GM Motorsports, and our Race teams that accelerate our drivers to the finish line first!
 Our combined team of analysts, architects, developers, data engineers, testers, and project managers work with GM Motorsports Engineering and Race teams to ensure podium wins for GM’s NASCAR, IndyCar, IMSA, and now Formula 1 sportscar teams!
**The Role:**
 This position is a Senior Software Developer position to support development of a new Software team focused on Aero \&amp; Computational Fluid Dynamics. For this role you will expected to have progressive, demonstrated success in software development experience developing applications using a variety of tools, languages, frameworks, and technologies.
**What You'll Do (Responsibilities):**
* Implement and maintain GM Motorsports aero\-thermal applications including CFD model construction, visualization, and analysis using microservices architectures to creatively integrate loosely coupled systems.
* Define a templated approach to integrate dependent systems in a functional programming model.
* Scrum story delivery.
* Playbooks, implementation architectures, interfaces, build frameworks, code, testing, deployment for your story.
* Participation in solution architectures.
* Working with other members to collaborate, support, and otherwise work together.
**Your Skills \&amp; Abilities (Required Qualifications):**
* 5\+ years hands\-on full stack or XR development experience
* 2\+ years hands\-on web services design and development experience
* Experience in cross platform (mobile/web) optimizing, profiling, and debugging
* Strong UI/UX Design experience across mobile and web
* Proficient in two or more of Java, JavaScript, Python, Scala, C\#/.Net and React or Angular
* Containerized software applications, platforms, and tools including Kubernetes, Docker
* Good understanding of software development best practices, devops, CI/CD
* Experience working in an agile/scrum environment
**People Skills:**
* Demonstrated (show us) technical acumen, your technical decisions, and knowledge of distributed, event driven applications and rich user experiences
* Highly collaborative work style with strong listening and communications skills
**What Will Give You A Competitive Edge (Preferred Qualifications):**
* Bachelor's degree (or higher) in Computer Science, Software Engineering, Aerospace, Mechanical Engineering, or relevant technical discipline
* Development experience with VR frameworks such as Unity, Unreal Engine
* Experience with data streaming technologies such as Akka, MQTT, Pulsar, Kafka, Azure Event Hubs
* Varied integration experience with RPC, REST, GRPC
* Experience/knowledge of Azure and Azure Resources or other SAAS/PAAS platforms
* Team leadership and architecture experience
* Knowledge of stateless, functional models for system development
* Knowledge of data serialization techniques and libraries such as Avro, Google protocol buffers
* Advanced knowledge of Artificial Intelligence \&amp; Machine Learning
* Passion for Motorsports and working in a high\-pace environment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5">
      <c r="A45" t="inlineStr">
        <is>
          <t>li-4365630369</t>
        </is>
      </c>
      <c r="B45" t="inlineStr">
        <is>
          <t>Software Engineer, DL Libraries Infrastructure - New College Grad 2026</t>
        </is>
      </c>
      <c r="C45" t="inlineStr">
        <is>
          <t>NVIDIA</t>
        </is>
      </c>
      <c r="D45" t="inlineStr">
        <is>
          <t>linkedin</t>
        </is>
      </c>
      <c r="E45">
        <f>HYPERLINK("https://www.linkedin.com/jobs/view/4365630369", "https://www.linkedin.com/jobs/view/4365630369")</f>
        <v/>
      </c>
      <c r="F45" t="inlineStr"/>
      <c r="G45" t="inlineStr">
        <is>
          <t>Redmond, WA</t>
        </is>
      </c>
      <c r="H45" t="inlineStr"/>
      <c r="I45" t="inlineStr">
        <is>
          <t>NVIDIA's Deep Learning Libraries Group is seeking excellent software engineers to enable the next wave of NVIDIA’s highest performing deep learning libraries. The role spans multiple products, including cuDNN and FlashInfer . The mission is to design and develop scalable, modular infrastructure that streamlines development, build, and test across NVIDIA’s diverse set of platforms, from datacenter to autonomous vehicles. Join our technically diverse team of software engineers and infrastructure experts to design the systems that enable NVIDIA to stay ahead of the competition as we deliver the world's fastest deep learning platforms.
**What You'll Be Doing**
* Designing and developing software for testing and analysis of our codebases
* Building scalable automation for build, test, integration, and release processes for publicly distributed deep learning libraries
* Developing throughout the software stack, from the user experience down to the cluster and database layers
* Configuring, maintaining, and building upon deployments of industry\-standard tools (e.g. Kubernetes, Jenkins, Docker, CMake, Gitlab, Jira, etc)
* Advancing innovative in those industry\-standard tools and upstreaming contributions to the open source community
**What We Need To See**
* Bachelors or Masters in Computer Science or Computer Engineering (or equivalent experience).
* Strong programming skills in Python (or similar) and familiarity with C/C\+\+ development
* Experience setting up, maintaining, and automating continuous integration systems
* Proficiency in SCM (e.g. Git, Perforce) and build systems (e.g. Make, CMake, Bazel)
* A pragmatic approach to solving problems collaboratively with a passion for “it just works” automation to enable team members
**Ways To Stand Out From The Crowd**
* Experience designing and developing automation in Jenkins, Gitlab CI/CD, or Github Actions and background with distributed systems and cluster/cloud computing (e.g. Slurm, containers, Kubernetes, etc)
* Experience designing and developing unit and integration test frameworks with hands\-on experience using code coverage and static code analysis tools
* Success leading a team of engineers and/or experience as an active contributor to a software project involving many developers
* Knowledge of GPU computing systems and experience with mobile/embedded platforms and multiple operating systems (Ubuntu, CentOS, Windows, L4T, or similar)
* Track record of identifying useful new technologies and incorporating them into SW development flows
 Your base salary will be determined based on your location, experience, and the pay of employees in similar positions. The base salary range is 108,000 USD \- 178,250 USD for Level 1, and 124,000 USD \- 195,500 USD for Level 2\.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JR2011998</t>
        </is>
      </c>
    </row>
    <row r="46">
      <c r="A46" t="inlineStr">
        <is>
          <t>li-4364978982</t>
        </is>
      </c>
      <c r="B46" t="inlineStr">
        <is>
          <t>Software Engineer II</t>
        </is>
      </c>
      <c r="C46" t="inlineStr">
        <is>
          <t>Truist</t>
        </is>
      </c>
      <c r="D46" t="inlineStr">
        <is>
          <t>linkedin</t>
        </is>
      </c>
      <c r="E46">
        <f>HYPERLINK("https://www.linkedin.com/jobs/view/4364978982", "https://www.linkedin.com/jobs/view/4364978982")</f>
        <v/>
      </c>
      <c r="F46" t="inlineStr"/>
      <c r="G46" t="inlineStr">
        <is>
          <t>Atlanta, GA</t>
        </is>
      </c>
      <c r="H46" t="inlineStr"/>
      <c r="I4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four to seven years of experience or equivalent education and software engineering training or experience
* In\-depth knowledge in information systems and ability to identify, apply, and implement IT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Significant experience in developing front end applications using Angular 18 for presentation layer and the API using Java 17 is preferred. Candidate can demonstrate skill mastery through other closer versions also
* Experience with cloud technologies, such as AWS, Azure, or GCP. Experience in AWS services is preferred
* Solid knowledge of relational database design and development (SQL, stored procedures, data modeling) with specific knowledge in Microsoft SQL, MySQL databases
* Experience with build tools, such as Git, Maven, and Jenkins. Proven ability to write comprehensive unit and automation test using Jasmine/Karma and JUnit/Mockito
* Knowledge of code coverage and quality using SonarQube and Veracode
* Debugging and monitoring using CloudWatch, Splunk, Dynatrace is preferred
* Automated build and deployment knowledge using Gitlab CI/CD pipelines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47">
      <c r="A47" t="inlineStr">
        <is>
          <t>li-4321363691</t>
        </is>
      </c>
      <c r="B47" t="inlineStr">
        <is>
          <t>Director, Software Engineering</t>
        </is>
      </c>
      <c r="C47" t="inlineStr">
        <is>
          <t>Comscore, Inc.</t>
        </is>
      </c>
      <c r="D47" t="inlineStr">
        <is>
          <t>linkedin</t>
        </is>
      </c>
      <c r="E47">
        <f>HYPERLINK("https://www.linkedin.com/jobs/view/4321363691", "https://www.linkedin.com/jobs/view/4321363691")</f>
        <v/>
      </c>
      <c r="F47">
        <f>HYPERLINK("https://comscore.wd5.myworkdayjobs.com/External/job/Remote\u002d\u002d-California-Los-Angeles-Metro/Director\u002d\u002dSoftware-Engineering_REQ1603?source=LinkedIn&amp;urlHash=c1KR", "https://comscore.wd5.myworkdayjobs.com/External/job/Remote\u002d\u002d-California-Los-Angeles-Metro/Director\u002d\u002dSoftware-Engineering_REQ1603?source=LinkedIn&amp;urlHash=c1KR")</f>
        <v/>
      </c>
      <c r="G47" t="inlineStr"/>
      <c r="H47" t="inlineStr"/>
      <c r="I47" t="inlineStr">
        <is>
          <t>Builds complex, large\-scale client applications and large distributed systems that collect, aggregate, transform and distribute data for further analysis. Some roles develop components that run on PCs or mobile devices and collect large volumes of user behavioral data through reverse engineering. More senior roles design, coordinate and implement product development initiatives, provide strategic leadership, and ensure the designs and development of world\-class system capability. May serve as technical consultant to other teams.
* Comscore is unable to provide sponsorship for this position, now or in the future.
**Job Title:** 
 Director, Software Engineering
**Location:** 
 Remote – Must reside in USA
 Candidates within commutable distance to our Oregon, Indiana, New York, or Virginia office locations will need to work a hybrid schedule and report onsite 2x a week.
**About This Role**
 We are seeking a highly responsible and detail\-oriented Director, Software Engineer with strong expertise in front\-end development and a solid understanding of modern web application architecture. This role combines hands\-on development with technical leadership and team management responsibilities.
 The position focuses on maintaining and enhancing an established codebase, prioritizing stability, reliability, and thoughtful evolution over rapid adoption of new frameworks or patterns.
 The ideal candidate is comfortable working within existing technical constraints, values clean and maintainable code, and proactively identifies potential issues before they impact users.
**What You'll Do**
* Develop, maintain, and enhance web applications using established front‑end patterns and best practices.
* Work primarily within existing React‑based architectures, focusing on stability and thoughtful evolution rather than unnecessary refactoring.
* Provide technical leadership and direct management to developers and QA team members, including task guidance, code reviews, and mentorship.
* Collaborate with cross‑functional teams to implement features, resolve defects, and improve system stability.
* Support authentication workflows and participate in build, release, and deployment processes.
* Diagnose and resolve production issues while contributing to technical discussions centered on long‑term maintainability.
* Conduct R\&amp;D assignments to support product and architectural improvements.
* Lead strategic initiatives across assigned verticals, owning major platforms or processes and influencing product direction.
* Drive operational and financial success for the assigned area by ensuring efficient resource utilization and supporting core business objectives.
* Build and develop world‑class systems and organizational capability, ensuring redundancy, continuity, and long‑term resilience.
* Cultivate strong internal and external relationships, including vendor or strategic partnerships.
* Oversee resource management, budgeting, and staffing decisions to build and retain high‑performing teams.
* Attract, engage, and grow talent while developing leadership capability within the organization.
**What You'll Need**
* Bachelor’s degree in Engineering, Computer Science, or a related field with 7\+ years of experience; or a Master’s degree with 5\+ years of experience.
* Proven experience managing or leading developers and/or QA team members.
* Strong sense of ownership with a high level of reliability.
* Demonstrated ability to anticipate problems and address them proactively.
* Comfortable working within technical and dependency constraints.
* Strong understanding of build and deployment considerations, including platform targets and build configurations.
* Clear and effective communicator who collaborates well with cross‑functional teams.
* Salary: $153,000\-$173,800; Commensurate with experience.
**Technical Skills**
* Front\-End \&amp; Application Development
+ Expert\-level React (preference for Class Components)
+ Redux
+ JavaScript and/or TypeScript
+ CSS
+ NPM / Node
+ Webpack
* Backend \&amp; Database
+ C\# and ASP.NET Core APIs
+ SQL Server 2016 or later
* Version Control
+ Git
**Authentication**
* Experience implementing authentication with MSAL and/or Okta.
**DevOps \&amp; Deployment**
* Hands\-on experience with DevOps and Azure, including:
+ Build and release pipelines
+ YAML\-based pipeline configuration
+ Variable management and replacements
+ Release triggers and approval workflows
+ Diagnosing failed builds or deployments
+ Deployments to cloud environments
**Microsoft Azure**
* App Services
* App Registrations
* File Storage, including mounted storage configurations
**About Comscore**
 At Comscore, we’re pioneering the future of cross\-platform media measurement, arming organizations with the insights they need to make decisions with confidence. Central to this aim are our people who work together to simplify the complex on behalf of our clients \&amp; partners. Though our roles and skills are varied, we’re united by our commitment to five underlying values: Integrity, Velocity, Accountability, Teamwork, and Servant Leadership. If you’re motivated by big challenges and interested in helping some of the largest and most important media properties and brands navigate the future of media, we’d love to hear from you.
 Comscore (NASDAQ: SCOR) is a trusted partner for planning, transacting and evaluating media across platforms. With a data footprint that combines digital, linear TV, over\-the\-top and theatrical viewership intelligence with advanced audience insights, Comscore allows media buyers and sellers to quantify their multiscreen behavior and make business decisions with confidence. A proven leader in measuring digital and set\-top box audiences and advertising at scale, Comscore is the industry’s emerging, third\-party source for reliable and comprehensive cross\-platform measurement. To learn more about Comscore, please visit Comscore.com.
**EEO Statement:** 
 We are an equal employment opportunity employer. All qualified applicants will receive consideration for employment without regard to race, color, religion, national origin, sex, disability status, sexual orientation, gender identity, age, protected veteran status or any other characteristic protected by law.
 To comply with federal law, Comscore participates in E\-Verify. Successful candidates must pass the E\-Verify process after hire.</t>
        </is>
      </c>
    </row>
    <row r="48">
      <c r="A48" t="inlineStr">
        <is>
          <t>li-4365629736</t>
        </is>
      </c>
      <c r="B48" t="inlineStr">
        <is>
          <t>Software Engineer II - Android Engineer</t>
        </is>
      </c>
      <c r="C48" t="inlineStr">
        <is>
          <t>Uber</t>
        </is>
      </c>
      <c r="D48" t="inlineStr">
        <is>
          <t>linkedin</t>
        </is>
      </c>
      <c r="E48">
        <f>HYPERLINK("https://www.linkedin.com/jobs/view/4365629736", "https://www.linkedin.com/jobs/view/4365629736")</f>
        <v/>
      </c>
      <c r="F48">
        <f>HYPERLINK("https://tnl2.jometer.com/v2/job?jz=5wqzs1c0a74559644b19d63b51238a8568cdcKMAGUCAAAABQ&amp;iis=Job%20Board%20-%20Recruitment%20Marketing&amp;iisn=LinkedIn&amp;urlHash=mUkG", "https://tnl2.jometer.com/v2/job?jz=5wqzs1c0a74559644b19d63b51238a8568cdcKMAGUCAAAABQ&amp;iis=Job%20Board%20-%20Recruitment%20Marketing&amp;iisn=LinkedIn&amp;urlHash=mUkG")</f>
        <v/>
      </c>
      <c r="G48" t="inlineStr">
        <is>
          <t>Sunnyvale, CA</t>
        </is>
      </c>
      <c r="H48" t="inlineStr"/>
      <c r="I48" t="inlineStr">
        <is>
          <t>**About The Role**
 The Earner Trip Experience (Tripex) team builds seamless and intuitive on\-trip experiences that help Earners get their jobs done reliably and efficiently\-from pickup to dropoff. As a Software Engineer II \- Android Engineer, you'll work on user\-facing features that directly impact millions of Earners, contributing to high\-quality mobile experiences while learning to build scalable systems at Uber's scale.
**What You Will Do**
* Build and maintain Android features that support Earners' on\-trip experiences, from pickup to dropoff
* Collaborate closely with senior engineers, product managers, designers and data scientists to deliver high\-quality user experiences
* Write clean, testable, and maintainable code while learning Uber's mobile architecture and best practices, contribute to platform building
* Participate in code reviews, design discussions, and team rituals to grow technical and collaboration skills
* Help diagnose and fix bugs or performance issues to improve app reliability and user trust
**Basic Qualifications**
* 2\+ years of experience developing Android applications using Kotlin and/or Java
* Solid understanding of Android fundamentals (Activities/Fragments, lifecycle, UI layouts, networking)
* Experience working with Git and contributing code through reviews in a team environment
* Strong learning mindset and interest in building products that support real\-world workflows
**Preferred Qualifications**
* Experience with modern Android development practices
* Familiarity with consuming Backend APIs and handling client\-side performance or reliability issues
* Exposure to experimentation, metrics, or data\-informed product development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9">
      <c r="A49" t="inlineStr">
        <is>
          <t>li-4365620438</t>
        </is>
      </c>
      <c r="B49" t="inlineStr">
        <is>
          <t>Entry Level Software Developer</t>
        </is>
      </c>
      <c r="C49" t="inlineStr">
        <is>
          <t>Lensa</t>
        </is>
      </c>
      <c r="D49" t="inlineStr">
        <is>
          <t>linkedin</t>
        </is>
      </c>
      <c r="E49">
        <f>HYPERLINK("https://www.linkedin.com/jobs/view/4365620438", "https://www.linkedin.com/jobs/view/4365620438")</f>
        <v/>
      </c>
      <c r="F49" t="inlineStr"/>
      <c r="G49" t="inlineStr">
        <is>
          <t>St Louis, MO</t>
        </is>
      </c>
      <c r="H49" t="inlineStr"/>
      <c r="I4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On\-site and remote roles available.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potentially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50">
      <c r="A50" t="inlineStr">
        <is>
          <t>li-4365626128</t>
        </is>
      </c>
      <c r="B50" t="inlineStr">
        <is>
          <t>Software Engineer II - Python</t>
        </is>
      </c>
      <c r="C50" t="inlineStr">
        <is>
          <t>7-Eleven</t>
        </is>
      </c>
      <c r="D50" t="inlineStr">
        <is>
          <t>linkedin</t>
        </is>
      </c>
      <c r="E50">
        <f>HYPERLINK("https://www.linkedin.com/jobs/view/4365626128", "https://www.linkedin.com/jobs/view/4365626128")</f>
        <v/>
      </c>
      <c r="F50" t="inlineStr"/>
      <c r="G50" t="inlineStr">
        <is>
          <t>Irving, TX</t>
        </is>
      </c>
      <c r="H50" t="inlineStr"/>
      <c r="I50" t="inlineStr">
        <is>
          <t>▶
 **Who we are**
 With more than 13,000 stores in the U.S. and 84,500 stores globally, it is no wonder 7\-Eleven, Inc. has been named an iconic brand. In addition to 7\-Eleven stores, 7\-Eleven, Inc. also operates and franchises Speedway, Stripes, Laredo Taco Company and Raise the Roost locations.
 Since inventing the convenience industry in 1927, 7\-Eleven has built a rich 96\-year history filled with beloved products like Slurpee, Big Gulp and Big Bite, and fan\-favorite holidays like Slurpee Day and Bring Your Own Cup Day. Now, 7\-Eleven is on a mission to contemporize the brand and redefine convenience – and we need your help.
 ▶
 **About This Opportunity**
**Overview**
 7\-Eleven is seeking a qualified Software Engineer II (SE2\) with a specialization in Python\-based API development to join the Digital Technology team. This role contributes to the design, development, and support of backend services that power digital products used by millions of customers. The individual will work closely with cross\-functional partners across Product, Engineering, UX, and Architecture to deliver secure, scalable, and high\-quality API solutions.
**Summary**
 The Software Engineer II is responsible for the end\-to\-end development of RESTful APIs and associated cloud infrastructure. An individual in this position will participate in all phases of the software development lifecycle, including planning, technical design, implementation, code review, testing, deployment, and ongoing maintenance. Success in this role requires strong technical proficiency in Python, a commitment to high\-quality engineering practices, and the ability to work effectively in an Agile environment.
**Key Responsibilities**
* Design, develop, test, deploy, and support scalable RESTful APIs using Python and related frameworks.
* Execute the full product lifecycle, from solution inception through deprecation, ensuring system quality, performance, and maintainability.
* Collaborate with Software Engineers, Product Managers, UX Designers, Scrum Masters, Business Analysts, and Architects to deliver technical solutions aligned with business objectives.
* Write clean, maintainable, and unit\-tested code following established engineering standards and best practices.
* Utilize AI\-assisted development tools (such as GitLab Copilot, Windsurf, or equivalent) to enhance productivity, improve code quality, and accelerate development workflows.
* Contribute to solution architectures involving microservices, cloud platforms (preferably AWS), CI/CD pipelines, and containerized environments.
* Implement and maintain API security standards, including OAuth, JWT, SSO, token management, and user access controls.
* Participate in technical reviews, system design discussions, and cross\-team planning activities.
* Work with message queue systems and background task processing frameworks as required by project needs.
* Support database design and implementation using relational and NoSQL database technologies.
* Maintain documentation, ensure code quality, and adhere to compliance and security standards.
* Participate in Agile/SCRUM ceremonies, managing work effectively with minimal supervision.
**Qualifications**
* Bachelor’s degree in computer science or engineering
* 5\+ years of professional experience developing server\-side applications using Python.
* Experience with Python frameworks such as Django, Flask, Bottle, or equivalent.
* Experience with Java \- Spring Boot Frameworks
* Demonstrated expertise in designing and building RESTful APIs.
* Ability to produce well\-structured, unit\-tested, and maintainable code.
* Experience using AI\-assisted development tools (e.g., GitLab Copilot, Windsurf, or comparable solutions) to support coding, documentation generation, testing, and code review.
* Strong understanding of cloud computing platforms, preferably AWS (EC2, Lambda, API Gateway, CloudWatch, ECS, RDS).
* Experience with microservices architectures, CI/CD pipelines, Docker, and core DevOps principles.
* Familiarity with message queue systems (e.g., RabbitMQ, ZeroMQ, SQS, Event Bus) and background task processing (e.g., Celery).
* Solid understanding of object\-oriented programming, data structures, and applying them in practical engineering scenarios.
* Knowledge of relational and NoSQL database concepts and technologies.
* Working knowledge of API security frameworks, authentication, authorization, and access control models.
* Basic understanding of front\-end technologies, including HTML, CSS, and JavaScript.
* Ability to work independently, prioritize competing demands, and collaborate effectively within an Agile/SCRUM environment.
**Preferred Qualifications**
* Experience with GraphQL.
* Experience with JavaScript/TypeScript in support of backend or full\-stack capabilities.
* Experience in cybersecurity or secure coding best practices.
* Experience configuring or working with containerization and virtualization tools such as Docker or Vagrant.
* Competencies.
* Strong analytical and critical thinking skills.
* Effective communication and collaboration abilities.
* Elevated level of organization with a demonstrated bias for action.
* Entrepreneurial mindset with eagerness to learn and adapt.
* Commitment to delivering high\-quality, customer\-focused engineering solutions.
* Position not eligible for sponsorship
*If an hourly or salary range is included in this ad it represents the range 7\-Eleven in good faith believes is the range of compensation for this role at the time of this posting. The Company may ultimately pay more or less than the posted range. This range is only applicable for jobs to be performed in this state. This range may be modified in the future. No amount is considered to be wages or compensation until such amount is earned, vested, and determinable under the terms and conditions of the applicable policies and plans. The amount and availability of any bonus, commission, long\-term incentive compensation, benefits, or any other form of compensation and benefits that are allocable to a particular employee remains in the Company's sole discretion unless and until paid and may be modified at the Company’s sole discretion, consistent with the law.*
*For a general description of all benefits 7\-Eleven is offering in the US for the position, please visit this* 
 link
 *.*</t>
        </is>
      </c>
    </row>
    <row r="51">
      <c r="A51" t="inlineStr">
        <is>
          <t>li-4365640060</t>
        </is>
      </c>
      <c r="B51" t="inlineStr">
        <is>
          <t>Sr Software Engineer</t>
        </is>
      </c>
      <c r="C51" t="inlineStr">
        <is>
          <t>Origence</t>
        </is>
      </c>
      <c r="D51" t="inlineStr">
        <is>
          <t>linkedin</t>
        </is>
      </c>
      <c r="E51">
        <f>HYPERLINK("https://www.linkedin.com/jobs/view/4365640060", "https://www.linkedin.com/jobs/view/4365640060")</f>
        <v/>
      </c>
      <c r="F51">
        <f>HYPERLINK("https://origence.hrmdirect.com/employment/job-opening.php?req=3616365&amp;req_loc=1196690&amp;&amp;cust_sort1=233968&amp;#job&amp;urlHash=D2h-", "https://origence.hrmdirect.com/employment/job-opening.php?req=3616365&amp;req_loc=1196690&amp;&amp;cust_sort1=233968&amp;#job&amp;urlHash=D2h-")</f>
        <v/>
      </c>
      <c r="G51" t="inlineStr">
        <is>
          <t>Ontario, CA</t>
        </is>
      </c>
      <c r="H51" t="inlineStr"/>
      <c r="I51"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**Sr. Software Engineer** 
 will be responsible for the design/implementation of new software applications, maintenance and enhancement of various software products / solutions of Origence. They assist in successful execution of projects with minimal direction and guidance.
**What You’ll Be Doing**
* Leveling up Engineering teams promoting modernized Software Engineering approaches including increased use of AI\-driven software engineering techniques.
* Spend 90% of your time actively designing and coding in support of the immediate team. 10% of your time will be spent researching new technology, coaching, and mentoring other engineers.
* As a senior team member of developers, providing feedback and training where necessary, and ensure that technical initiatives align with organizational goals working closely with Principal Engineers / Development Managers.
* As a Full Stack Engineer assigned to the product/project ensure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degradation in performance of applications, troubleshooting / problem solving production issues.
**Education**
**The Ideal Candidate:**
* Bachelor’s degree in Computer Science, Engineering or related industry experience
**Experience**
* Recent experience utilizing Generative AI techniques including GitHub Copilot and Prompt Engineering techniques.
* A minimum of 6 years of professional software development experience in business process automation applications.
* A minimum of 5 years’ experience in .Net, C\#, Windows tools and languages as well as modern web frameworks (Angular via Typescript, React, Vue)
* Understanding of data repository models is a must. Understanding of SQL and NoSQL is preferred.
* Understanding of Agile methodologies, Domain Driven Design, Test/Behavior Driven Design, Event Driven via Asynchronous messaging approaches, microservice architecture.
**Preferred Experience**
* ASP.NET, WCF, Web Services, NServiceBus, Azure Cloud, Infrastructure as Code (IaC)
* DevOps experience as a full stack developer owning the Software Development Lifecycle.
* Strong understanding and experience writing unit and integration tests for all code produced.
**Specialized Skills**
* Knowledge of various LLM’s, Agentic AI, RAG, MCP and incorporating these technologies from both automation and feature engineering standpoints.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$128600 \- $160800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row>
    <row r="52">
      <c r="A52" t="inlineStr">
        <is>
          <t>li-4363467764</t>
        </is>
      </c>
      <c r="B52" t="inlineStr">
        <is>
          <t>Director, Software Engineering</t>
        </is>
      </c>
      <c r="C52" t="inlineStr">
        <is>
          <t>Comscore, Inc.</t>
        </is>
      </c>
      <c r="D52" t="inlineStr">
        <is>
          <t>linkedin</t>
        </is>
      </c>
      <c r="E52">
        <f>HYPERLINK("https://www.linkedin.com/jobs/view/4363467764", "https://www.linkedin.com/jobs/view/4363467764")</f>
        <v/>
      </c>
      <c r="F52">
        <f>HYPERLINK("https://comscore.wd5.myworkdayjobs.com/External/job/Remote\u002d\u002d-California-Los-Angeles-Metro/Director\u002d\u002dSoftware-Engineering_REQ1603?source=LinkedIn&amp;urlHash=c1KR", "https://comscore.wd5.myworkdayjobs.com/External/job/Remote\u002d\u002d-California-Los-Angeles-Metro/Director\u002d\u002dSoftware-Engineering_REQ1603?source=LinkedIn&amp;urlHash=c1KR")</f>
        <v/>
      </c>
      <c r="G52" t="inlineStr"/>
      <c r="H52" t="inlineStr"/>
      <c r="I52" t="inlineStr">
        <is>
          <t>Builds complex, large\-scale client applications and large distributed systems that collect, aggregate, transform and distribute data for further analysis. Some roles develop components that run on PCs or mobile devices and collect large volumes of user behavioral data through reverse engineering. More senior roles design, coordinate and implement product development initiatives, provide strategic leadership, and ensure the designs and development of world\-class system capability. May serve as technical consultant to other teams.
* Comscore is unable to provide sponsorship for this position, now or in the future.
**Job Title:** 
 Director, Software Engineering
**Location:** 
 Remote – Must reside in USA
 Candidates within commutable distance to our Oregon, Indiana, New York, or Virginia office locations will need to work a hybrid schedule and report onsite 2x a week.
**About This Role**
 We are seeking a highly responsible and detail\-oriented Director, Software Engineer with strong expertise in front\-end development and a solid understanding of modern web application architecture. This role combines hands\-on development with technical leadership and team management responsibilities.
 The position focuses on maintaining and enhancing an established codebase, prioritizing stability, reliability, and thoughtful evolution over rapid adoption of new frameworks or patterns.
 The ideal candidate is comfortable working within existing technical constraints, values clean and maintainable code, and proactively identifies potential issues before they impact users.
**What You'll Do**
* Develop, maintain, and enhance web applications using established front‑end patterns and best practices.
* Work primarily within existing React‑based architectures, focusing on stability and thoughtful evolution rather than unnecessary refactoring.
* Provide technical leadership and direct management to developers and QA team members, including task guidance, code reviews, and mentorship.
* Collaborate with cross‑functional teams to implement features, resolve defects, and improve system stability.
* Support authentication workflows and participate in build, release, and deployment processes.
* Diagnose and resolve production issues while contributing to technical discussions centered on long‑term maintainability.
* Conduct R\&amp;D assignments to support product and architectural improvements.
* Lead strategic initiatives across assigned verticals, owning major platforms or processes and influencing product direction.
* Drive operational and financial success for the assigned area by ensuring efficient resource utilization and supporting core business objectives.
* Build and develop world‑class systems and organizational capability, ensuring redundancy, continuity, and long‑term resilience.
* Cultivate strong internal and external relationships, including vendor or strategic partnerships.
* Oversee resource management, budgeting, and staffing decisions to build and retain high‑performing teams.
* Attract, engage, and grow talent while developing leadership capability within the organization.
**What You'll Need**
* Bachelor’s degree in Engineering, Computer Science, or a related field with 7\+ years of experience; or a Master’s degree with 5\+ years of experience.
* Proven experience managing or leading developers and/or QA team members.
* Strong sense of ownership with a high level of reliability.
* Demonstrated ability to anticipate problems and address them proactively.
* Comfortable working within technical and dependency constraints.
* Strong understanding of build and deployment considerations, including platform targets and build configurations.
* Clear and effective communicator who collaborates well with cross‑functional teams.
* Salary: $153,000\-$173,800; Commensurate with experience.
**Technical Skills**
* Front\-End \&amp; Application Development
+ Expert\-level React (preference for Class Components)
+ Redux
+ JavaScript and/or TypeScript
+ CSS
+ NPM / Node
+ Webpack
* Backend \&amp; Database
+ C\# and ASP.NET Core APIs
+ SQL Server 2016 or later
* Version Control
+ Git
**Authentication**
* Experience implementing authentication with MSAL and/or Okta.
**DevOps \&amp; Deployment**
* Hands\-on experience with DevOps and Azure, including:
+ Build and release pipelines
+ YAML\-based pipeline configuration
+ Variable management and replacements
+ Release triggers and approval workflows
+ Diagnosing failed builds or deployments
+ Deployments to cloud environments
**Microsoft Azure**
* App Services
* App Registrations
* File Storage, including mounted storage configurations
**About Comscore**
 At Comscore, we’re pioneering the future of cross\-platform media measurement, arming organizations with the insights they need to make decisions with confidence. Central to this aim are our people who work together to simplify the complex on behalf of our clients \&amp; partners. Though our roles and skills are varied, we’re united by our commitment to five underlying values: Integrity, Velocity, Accountability, Teamwork, and Servant Leadership. If you’re motivated by big challenges and interested in helping some of the largest and most important media properties and brands navigate the future of media, we’d love to hear from you.
 Comscore (NASDAQ: SCOR) is a trusted partner for planning, transacting and evaluating media across platforms. With a data footprint that combines digital, linear TV, over\-the\-top and theatrical viewership intelligence with advanced audience insights, Comscore allows media buyers and sellers to quantify their multiscreen behavior and make business decisions with confidence. A proven leader in measuring digital and set\-top box audiences and advertising at scale, Comscore is the industry’s emerging, third\-party source for reliable and comprehensive cross\-platform measurement. To learn more about Comscore, please visit Comscore.com.
**EEO Statement:** 
 We are an equal employment opportunity employer. All qualified applicants will receive consideration for employment without regard to race, color, religion, national origin, sex, disability status, sexual orientation, gender identity, age, protected veteran status or any other characteristic protected by law.
 To comply with federal law, Comscore participates in E\-Verify. Successful candidates must pass the E\-Verify process after hire.</t>
        </is>
      </c>
    </row>
    <row r="53">
      <c r="A53" t="inlineStr">
        <is>
          <t>li-4363457223</t>
        </is>
      </c>
      <c r="B53" t="inlineStr">
        <is>
          <t>Software Developer</t>
        </is>
      </c>
      <c r="C53" t="inlineStr">
        <is>
          <t>COLSA</t>
        </is>
      </c>
      <c r="D53" t="inlineStr">
        <is>
          <t>linkedin</t>
        </is>
      </c>
      <c r="E53">
        <f>HYPERLINK("https://www.linkedin.com/jobs/view/4363457223", "https://www.linkedin.com/jobs/view/4363457223")</f>
        <v/>
      </c>
      <c r="F53" t="inlineStr"/>
      <c r="G53" t="inlineStr">
        <is>
          <t>Eglin Air Force Base, FL</t>
        </is>
      </c>
      <c r="H53" t="inlineStr"/>
      <c r="I53" t="inlineStr">
        <is>
          <t>**Job Description**
 This position provides support to the 46 Test Squadron at Eglin AFB as a member of our software development team responsible for development and maintenance of software systems within the Data Links Test Flight. This support includes the following:
* Provide software engineering to support DoD Developmental Test, \&amp; Evaluation events.
* Work with the software development team and system stakeholders in developing software following Agile programming and Software Development Lifecycle principles.
* Develop and maintain Windows based software in multiple Object\-Oriented programming languages.
* Develop and maintain XSD Schema format files.
* Provide software support to end users.
* Develop software technical and user documentation.
* Provide test execution support related to the use of software developed and data collected.
* Develop solutions to complex problems requiring regular use of ingenuity and creativity.
* Attend meetings as necessary to provide briefings, information and recommendations.
* Any other related duties as directed.
*At COLSA, people are our most valuable resource and centered at our core value. We invite you to unite your talents with opportunity and be a part of our “Family of Professionals!” Learn about our employee\-centric culture and benefits here.*</t>
        </is>
      </c>
    </row>
    <row r="54">
      <c r="A54" t="inlineStr">
        <is>
          <t>li-4365640410</t>
        </is>
      </c>
      <c r="B54" t="inlineStr">
        <is>
          <t>Software Engineer II - iOS Engineer</t>
        </is>
      </c>
      <c r="C54" t="inlineStr">
        <is>
          <t>Uber</t>
        </is>
      </c>
      <c r="D54" t="inlineStr">
        <is>
          <t>linkedin</t>
        </is>
      </c>
      <c r="E54">
        <f>HYPERLINK("https://www.linkedin.com/jobs/view/4365640410", "https://www.linkedin.com/jobs/view/4365640410")</f>
        <v/>
      </c>
      <c r="F54">
        <f>HYPERLINK("https://tnl2.jometer.com/v2/job?jz=5wqzs86aa4bb42979f3fb79f1b1e1f7409f69KMAGUCAAAABQ&amp;iis=Job%20Board%20-%20Recruitment%20Marketing&amp;iisn=LinkedIn&amp;urlHash=fVHH", "https://tnl2.jometer.com/v2/job?jz=5wqzs86aa4bb42979f3fb79f1b1e1f7409f69KMAGUCAAAABQ&amp;iis=Job%20Board%20-%20Recruitment%20Marketing&amp;iisn=LinkedIn&amp;urlHash=fVHH")</f>
        <v/>
      </c>
      <c r="G54" t="inlineStr">
        <is>
          <t>Sunnyvale, CA</t>
        </is>
      </c>
      <c r="H54" t="inlineStr"/>
      <c r="I54" t="inlineStr">
        <is>
          <t>**About The Role**
 The Earner Trip Experience (TripX) team builds seamless and intuitive on\-trip experiences that help Earners get their jobs done reliably and efficiently\-from pickup to dropoff. As a Software Engineer II \- iOS, you'll contribute to user\-facing features that directly impact millions of Earners, while learning to build reliable, scalable mobile systems used at Uber's global scale.
 \-\-\-\- What the Candidate Will Do \-\-\-\-
* Build and maintain iOS features that support Earners' on\-trip experiences, from pickup to dropoff
* Partner with senior engineers, product managers, designers, and data scientists to deliver high\-quality user experiences
* Write clean, testable, and maintainable code while learning Uber's iOS architecture and development standards
* Participate in code reviews, design discussions, and team rituals to continuously improve engineering quality
* Help debug and resolve production issues to improve app stability and user trust
**Basic Qualifications**
* 2\+ years of experience developing iOS applications using Swift and/or Objective\-C
* Solid understanding of iOS fundamentals (UIView/UIViewController lifecycle, Auto Layout, app state management)
* Experience using Git and collaborating through code reviews in a team environment
 Strong learning mindset and interest in building products that support real\-world workflows
**Preferred Qualifications**
* Experience with modern iOS development practices
* Familiarity with consuming Backend APIs and handling performance, reliability, or crash issues
 Exposure to experimentation, analytics, or data\-informed product development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55">
      <c r="A55" t="inlineStr">
        <is>
          <t>li-4355384182</t>
        </is>
      </c>
      <c r="B55" t="inlineStr">
        <is>
          <t>Senior Software Engineer</t>
        </is>
      </c>
      <c r="C55" t="inlineStr">
        <is>
          <t>STERIS</t>
        </is>
      </c>
      <c r="D55" t="inlineStr">
        <is>
          <t>linkedin</t>
        </is>
      </c>
      <c r="E55">
        <f>HYPERLINK("https://www.linkedin.com/jobs/view/4355384182", "https://www.linkedin.com/jobs/view/4355384182")</f>
        <v/>
      </c>
      <c r="F55" t="inlineStr"/>
      <c r="G55" t="inlineStr">
        <is>
          <t>Mentor, OH</t>
        </is>
      </c>
      <c r="H55" t="inlineStr"/>
      <c r="I55" t="inlineStr">
        <is>
          <t>At STERIS, we help our Customers create a healthier and safer world by providing innovative healthcare and life science product and service solutions around the globe.
**Position Summary**
 As a Senior Software Engineer within the STERIS Reprocessing business you will be responsible for designing, developing, and deploying embedded software solutions with integrated AI/ML capabilities for real\-time applications. You will lead technical efforts to optimize AI/ML models for embedded hardware, ensuring efficient use of compute, memory, and power resources. You will collaborate closely with hardware and cross\-functional teams to deliver seamless AI integration, while managing requirements and documentation using AI\-driven tools. Key responsibilities include algorithm development for advanced system functionality, rigorous testing and validation of AI/ML models, and participation in design/code reviews.
* This position is located onsite in Mentor, Ohio with the opportunity for a hybrid work schedule.
**What You'll Do As a Senior Software Engineer**
* Design, implement, test, and debug embedded applications, integrating AI/ML capabilities for real\-time operation.
* Lead technical development and deployment of AI/ML models on embedded hardware, optimizing compute, memory, and power usage.
* Collaborate with hardware engineers and cross\-functional teams to ensure seamless integration of AI software components.
* Develop and integrate AI algorithms for enhanced system functionality (e.g., computer vision, predictive controls).
* Manage requirements and documentation using AI solutions, ensuring traceability and alignment with business needs.
* Conduct unit and integration testing, including validation and verification of AI/ML models and systems.
* Participate in design/code reviews and resolve software change requests and defects.
* Investigate emerging AI/ML frameworks and embedded technologies and collaborate globally to implement them across teams.
**The Experience, Skills And Abilities Needed**
* Bachelor's degree in Computer Engineering or Software Engineering. A degree in another Engineering discipline may be acceptable with proven software education and/or training and demonstrated software experience.
* Requires 5\+ years overall of related software engineering experience in development and/or verification in C\+\+/RTOS or C\+\+/Python in embedded systems or business applications or PLC programming.
* 1\+ years experience researching, developing, and applying AI solutions in production environments.
* Proven experience with software systems design and SoC architecture.
* Experience of adapting AI tools for software design, test development and capturing use cases.
* Demonstrated ability in requirement management using AI tools.
* Solid problem\-solving, debugging, and analytical skills; familiarity with communication protocols and hardware interfaces.
* Proficiency in C\+\+ programming and Python for test automation and AI applications.
* Experience with multithreaded development on Linux and Windows platforms.
* Exceptional team player and communicator.
 Preferred Experience:
* 1\+ years experience researching, developing, and applying AI/ML solutions in production environments
* Proficiency in C\+\+ programming and Python for test automation and AI/MLapplications.
* Medical device industry experience.
* Experience with IDEs, version control, defect management, CI/CD, and code analysis tools.
* Knowledge of cloud connectivity and solutions
* Experience with test automation, modeling and simulation
* Experience deploying AI/ML models on constrained hardware; familiarity with ML inference runtimes (TensorFlow Lite, TensorRT, ONNX Runtime, OpenVINO).
**What STERIS Offers**
 We value our employees and are committed to providing a comprehensive benefits package that supports your health, well\-being and financial future.
 Here is a brief overview of what we offer:
 Market Competitive Pay
 Extensive Paid Time Off and (9\) added Holidays
 Excellent Healthcare, Dental and Vision Benefits
 Long/Short Term Disability Coverage
 401(k) with a company match
 Maternity and Paternity Leave
**Additional Add\-on Benefits/discounts For Programs Such As Pet Insurance**
 Tuition Reimbursement and continued education programs
 Excellent opportunities for advancement in a stable long\-term career
 Pay range for this opportunity is $105,400\.00 \- $124,000\.00\. This position is eligible for bonus participation.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STERIS offers a comprehensive and competitive benefits portfolio. Click here for a complete list of benefits: STERIS Benefits
 Open until position is filled.
 STERIS is an Equal Opportunity Employer. We are committed to equal employment opportunity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t>
        </is>
      </c>
    </row>
    <row r="56">
      <c r="A56" t="inlineStr">
        <is>
          <t>li-4355462643</t>
        </is>
      </c>
      <c r="B56" t="inlineStr">
        <is>
          <t>Senior Full Stack Engineer (AI-Enabled/TypeScript &amp; Python) - Remote</t>
        </is>
      </c>
      <c r="C56" t="inlineStr">
        <is>
          <t>Duck Creek Technologies</t>
        </is>
      </c>
      <c r="D56" t="inlineStr">
        <is>
          <t>linkedin</t>
        </is>
      </c>
      <c r="E56">
        <f>HYPERLINK("https://www.linkedin.com/jobs/view/4355462643", "https://www.linkedin.com/jobs/view/4355462643")</f>
        <v/>
      </c>
      <c r="F56" t="inlineStr"/>
      <c r="G56" t="inlineStr">
        <is>
          <t>Raleigh, NC</t>
        </is>
      </c>
      <c r="H56" t="inlineStr"/>
      <c r="I56" t="inlineStr">
        <is>
          <t>**Helping careers take flight. Reshaping an industry. Enable your career to be Made on Duck Creek.** 
**WHO WE ARE:** 
 Duck Creek Technologies is the intelligent solutions provider defining the future of the property and casualty (P\&amp;C) and general insurance industry. We are the platform upon which modern insurance systems are built, enabling the industry to capitalize on the power of the cloud to run agile, intelligent, and evergreen operations. Our modern SaaS solutions help insurers set a new standard and revolutionize how consumers interact with insurance companies.
 Authenticity, purpose, and transparency are core to Duck Creek, and we believe insurance should be there for individuals and businesses when, where, and how they need it most. Our market\-leading solutions are available on a standalone basis or as a full suite, and all are available via Duck Creek OnDemand. With more than 1,000 successful implementations to date, Duck Creek removes the IT burden for insurers so they can focus on the business of insurance.
 We have a flock of more than 1,700 employees across the globe and are proud to be a Flexible\-First employer. We empower our employees with the choice to work from an office, from home, or on a hybrid schedule. Our flexible\-first environment fosters productivity, inclusion, collaboration, and ensures a consistent employee experience regardless of location.
 If working in a fast\-paced, rapidly evolving company that is transforming one of the world’s oldest and largest industries sounds exciting, let us know. We are excited you are considering Duck Creek as a future employer and hope you decide to join “The Flock”!
 To learn more about us, visit www.duckcreek.com and follow us on our social channels for the latest information – LinkedIn and Twitter.
**TITLE:** 
 Senior Full Stack Engineer (AI\-Enabled/TypeScript \&amp; Python)
 We are seeking a Senior Full\-Stack Engineer to build and evolve user\-facing applications and the services that support them. This role is full\-stack at its core, with responsibility for integrating AI\-powered functionality to support internal use cases where appropriate.
 This is an engineering role, emphasizing clean architecture, strong fundamentals, and end\-to\-end ownership across frontend, backend, and integrations.
**LOCATION:** 
*Can be located in any of these areas: Boston, MA or Des Moines, IOWA or Raleigh, NC or New Jersey, NJ*
 WORK AUTHORIZATION: Legally authorized to work in the country of job location. The Company does not sponsor visa petitions for this position.
**WHAT YOU’LL DO:**
* Design, build, and maintain full\-stack applications from frontend UI to backend services
* Develop frontend experiences using TypeScript (React, Next.js, or similar)
* Build backend services and APIs using Python (FastAPI or equivalent)
* Integrate AI features (e.g., LLM APIs, automation, summarization, copilots) where they provide real product value
* Design clean service boundaries, API contracts, and data models
* Work with cloud infrastructure (Azure preferred) to deploy and operate applications
* Collaborate closely with product, design, and platform teams to ship features end\-to\-end
* Write maintainable, well\-tested code and participate in code reviews
* Apply sound judgment around security, data handling, and reliability
**WHAT YOU’VE DONE:** 
* Bachelor’s or Masters Degree and/or equivalent experience relevant to functional area.
* Strong experience as a full\-stack engineer building production applications
* Proficiency in TypeScript (React, Next.js, or similar frontend frameworks)
* Proficiency in Python for backend/API development
* Experience designing and consuming RESTful APIs
* Experience working in cloud environments (Azure, AWS, or GCP)
* Solid understanding of modern software engineering practices (CI/CD, testing, code reviews)
* Strong communication skills and ability to work cross\-functionally
**Ai Experience**
* Hands\-on experience integrating LLM APIs (e.g., OpenAI, Azure OpenAI, Anthropic)
* Understanding of prompt design, structured outputs, and basic tool/function calling
* Ability to evaluate where AI adds value vs. where traditional software is more appropriate
**Preferred Experience**
* Experience with AI\-assisted features such as chat interfaces, summarization, extraction, or automation
* Familiarity with vector databases or retrieval\-based patterns
* Experience with event\-driven systems or background job processing
* Prior experience in regulated or security\-conscious environments
**What We Value**
* Strong full\-stack fundamentals over buzzwords
* Engineers who ship and own their work
* Practical, grounded use of AI
* Good judgment around security and data
* Clear communication and collaboration
**WHAT ADDITIONAL INFORMATION YOU MAY WANT TO KNOW:** 
 Travel: 0\-10%
 Location: Boston, MA or Des Moines, IOWA or Raleigh, NC or New Jersey, NJ
 Work Authorization: Legally authorized to work in the country of job location. The Company does not sponsor visa petitions for this position.
 Based on a fair and equitable compensation philosophy, we have five (5\) United States pay markets based on regional validated survey market data. The expected salary range for this position is between
 **$111,100 and $179,200\.** 
 This position is also eligible for annual bonuses. The final compensation may vary due to the above listed factors and be determined based on experience and other factors permitted by law.
**We Also Offer a Competitive Benefits Package That Includes**
* Flexible work environment
* Medical, dental, vision, life and disability insurance
* 401(k) Retirement Plan
* Flexible Spending \&amp; Health Savings Account
* Paid holidays, vacation, and volunteer time
* Employee assistance program and other benefits
 The application window will remain open until the position is filled or until a sufficient number of qualified candidates have been identified.
**WHAT WE STAND FOR:** 
 Our global company celebrates \&amp; leverages the differences each employee brings to the table. Our success is a direct result of an inclusive culture where opportunities to learn from one another occur regardless of title, seniority, or background. This collaborative and team\-oriented approach is at the core of how we operate and continuously improve our products, services, and systems. As such, Duck Creek is committed to providing equal opportunity to all employees and applicants – to recruit, hire, train, and reward employees for their individual abilities, achievements, and experience without regard to race, color, gender, religion, sexual orientation, age, national origin, disability, marital, military, or any other protected status.
 We strive to be an example to the world of inclusion, diversity, and equity in all things – where employees are free to be their authentic selves in the workplace and in the communities in which we live. We believe in leading by example and are proud of the diversity of our team and our shared commitment to our Core Values: We Prioritize Respect; We Listen; We Care; We Add Value; and We Lead.
 To learn more about our inclusive company culture, values, DE\&amp;I initiatives, and people, please visit: https://www.duckcreek.com/life\-at\-duck\-creek/.
 Please let us know if you encounter accessibility barriers with our web content by sending an email to accessibility@duckcreek.com.
**Privacy Notice:** 
 By submitting your application, you acknowledge that Duck Creek Technologies may collect and process your personal data for recruitment purposes in accordance with our Privacy Notice and applicable data protection laws.
**Duck Creek Technologies does not accept, nor will we pay a fee for any hires resulting from unsolicited headhunter or agency resumes.**</t>
        </is>
      </c>
    </row>
    <row r="57">
      <c r="A57" t="inlineStr">
        <is>
          <t>li-4355347721</t>
        </is>
      </c>
      <c r="B57" t="inlineStr">
        <is>
          <t>Senior Full Stack Engineer (AI-Enabled/TypeScript &amp; Python)</t>
        </is>
      </c>
      <c r="C57" t="inlineStr">
        <is>
          <t>Duck Creek Technologies</t>
        </is>
      </c>
      <c r="D57" t="inlineStr">
        <is>
          <t>linkedin</t>
        </is>
      </c>
      <c r="E57">
        <f>HYPERLINK("https://www.linkedin.com/jobs/view/4355347721", "https://www.linkedin.com/jobs/view/4355347721")</f>
        <v/>
      </c>
      <c r="F57">
        <f>HYPERLINK("https://duckcreek.wd1.myworkdayjobs.com/en-US/duckcreekcareers/job/100-Summer-St-Boston-MA/Senior-Full-Stack-Engineer\u002d\u002dAI-Enabled-TypeScript\u002d\u002d-Python-_REQID54989-1?source=LinkedIn&amp;urlHash=t-Lb", "https://duckcreek.wd1.myworkdayjobs.com/en-US/duckcreekcareers/job/100-Summer-St-Boston-MA/Senior-Full-Stack-Engineer\u002d\u002dAI-Enabled-TypeScript\u002d\u002d-Python-_REQID54989-1?source=LinkedIn&amp;urlHash=t-Lb")</f>
        <v/>
      </c>
      <c r="G57" t="inlineStr">
        <is>
          <t>Boston, MA</t>
        </is>
      </c>
      <c r="H57" t="inlineStr"/>
      <c r="I57" t="inlineStr">
        <is>
          <t>**Helping careers take flight. Reshaping an industry. Enable your career to be Made on Duck Creek.** 
**WHO WE ARE:** 
 Duck Creek Technologies is the intelligent solutions provider defining the future of the property and casualty (P\&amp;C) and general insurance industry. We are the platform upon which modern insurance systems are built, enabling the industry to capitalize on the power of the cloud to run agile, intelligent, and evergreen operations. Our modern SaaS solutions help insurers set a new standard and revolutionize how consumers interact with insurance companies.
 Authenticity, purpose, and transparency are core to Duck Creek, and we believe insurance should be there for individuals and businesses when, where, and how they need it most. Our market\-leading solutions are available on a standalone basis or as a full suite, and all are available via Duck Creek OnDemand. With more than 1,000 successful implementations to date, Duck Creek removes the IT burden for insurers so they can focus on the business of insurance.
 We have a flock of more than 1,700 employees across the globe and are proud to be a Flexible\-First employer. We empower our employees with the choice to work from an office, from home, or on a hybrid schedule. Our flexible\-first environment fosters productivity, inclusion, collaboration, and ensures a consistent employee experience regardless of location.
 If working in a fast\-paced, rapidly evolving company that is transforming one of the world’s oldest and largest industries sounds exciting, let us know. We are excited you are considering Duck Creek as a future employer and hope you decide to join “The Flock”!
 To learn more about us, visit www.duckcreek.com and follow us on our social channels for the latest information – LinkedIn and Twitter.
**TITLE:** 
 Senior Full Stack Engineer (AI\-Enabled/TypeScript \&amp; Python)
 We are seeking a Senior Full\-Stack Engineer to build and evolve user\-facing applications and the services that support them. This role is full\-stack at its core, with responsibility for integrating AI\-powered functionality to support internal use cases where appropriate.
 This is an engineering role, emphasizing clean architecture, strong fundamentals, and end\-to\-end ownership across frontend, backend, and integrations.
**LOCATION:** 
*Can be located in any of these areas: Boston, MA or Des Moines, IOWA or Raleigh, NC or New Jersey, NJ*
 WORK AUTHORIZATION: Legally authorized to work in the country of job location. The Company does not sponsor visa petitions for this position.
**WHAT YOU’LL DO:**
* Design, build, and maintain full\-stack applications from frontend UI to backend services
* Develop frontend experiences using TypeScript (React, Next.js, or similar)
* Build backend services and APIs using Python (FastAPI or equivalent)
* Integrate AI features (e.g., LLM APIs, automation, summarization, copilots) where they provide real product value
* Design clean service boundaries, API contracts, and data models
* Work with cloud infrastructure (Azure preferred) to deploy and operate applications
* Collaborate closely with product, design, and platform teams to ship features end\-to\-end
* Write maintainable, well\-tested code and participate in code reviews
* Apply sound judgment around security, data handling, and reliability
**WHAT YOU’VE DONE:** 
* Bachelor’s or Masters Degree and/or equivalent experience relevant to functional area.
* Strong experience as a full\-stack engineer building production applications
* Proficiency in TypeScript (React, Next.js, or similar frontend frameworks)
* Proficiency in Python for backend/API development
* Experience designing and consuming RESTful APIs
* Experience working in cloud environments (Azure, AWS, or GCP)
* Solid understanding of modern software engineering practices (CI/CD, testing, code reviews)
* Strong communication skills and ability to work cross\-functionally
**Ai Experience**
* Hands\-on experience integrating LLM APIs (e.g., OpenAI, Azure OpenAI, Anthropic)
* Understanding of prompt design, structured outputs, and basic tool/function calling
* Ability to evaluate where AI adds value vs. where traditional software is more appropriate
**Preferred Experience**
* Experience with AI\-assisted features such as chat interfaces, summarization, extraction, or automation
* Familiarity with vector databases or retrieval\-based patterns
* Experience with event\-driven systems or background job processing
* Prior experience in regulated or security\-conscious environments
**What We Value**
* Strong full\-stack fundamentals over buzzwords
* Engineers who ship and own their work
* Practical, grounded use of AI
* Good judgment around security and data
* Clear communication and collaboration
**WHAT ADDITIONAL INFORMATION YOU MAY WANT TO KNOW:** 
 Travel: 0\-10%
 Location: Boston, MA or Des Moines, IOWA or Raleigh, NC or New Jersey, NJ
 Work Authorization: Legally authorized to work in the country of job location. The Company does not sponsor visa petitions for this position.
 Based on a fair and equitable compensation philosophy, we have five (5\) United States pay markets based on regional validated survey market data. The expected salary range for this position is between
 **$111,100 and $179,200\.** 
 This position is also eligible for annual bonuses. The final compensation may vary due to the above listed factors and be determined based on experience and other factors permitted by law.
**We Also Offer a Competitive Benefits Package That Includes**
* Flexible work environment
* Medical, dental, vision, life and disability insurance
* 401(k) Retirement Plan
* Flexible Spending \&amp; Health Savings Account
* Paid holidays, vacation, and volunteer time
* Employee assistance program and other benefits
 The application window will remain open until the position is filled or until a sufficient number of qualified candidates have been identified.
**WHAT WE STAND FOR:** 
 Our global company celebrates \&amp; leverages the differences each employee brings to the table. Our success is a direct result of an inclusive culture where opportunities to learn from one another occur regardless of title, seniority, or background. This collaborative and team\-oriented approach is at the core of how we operate and continuously improve our products, services, and systems. As such, Duck Creek is committed to providing equal opportunity to all employees and applicants – to recruit, hire, train, and reward employees for their individual abilities, achievements, and experience without regard to race, color, gender, religion, sexual orientation, age, national origin, disability, marital, military, or any other protected status.
 We strive to be an example to the world of inclusion, diversity, and equity in all things – where employees are free to be their authentic selves in the workplace and in the communities in which we live. We believe in leading by example and are proud of the diversity of our team and our shared commitment to our Core Values: We Prioritize Respect; We Listen; We Care; We Add Value; and We Lead.
 To learn more about our inclusive company culture, values, DE\&amp;I initiatives, and people, please visit: https://www.duckcreek.com/life\-at\-duck\-creek/.
 Please let us know if you encounter accessibility barriers with our web content by sending an email to accessibility@duckcreek.com.
**Privacy Notice:** 
 By submitting your application, you acknowledge that Duck Creek Technologies may collect and process your personal data for recruitment purposes in accordance with our Privacy Notice and applicable data protection laws.
**Duck Creek Technologies does not accept, nor will we pay a fee for any hires resulting from unsolicited headhunter or agency resumes.**</t>
        </is>
      </c>
    </row>
    <row r="58">
      <c r="A58" t="inlineStr">
        <is>
          <t>li-4365636198</t>
        </is>
      </c>
      <c r="B58" t="inlineStr">
        <is>
          <t>Systems Software Engineer - Tegra</t>
        </is>
      </c>
      <c r="C58" t="inlineStr">
        <is>
          <t>NVIDIA</t>
        </is>
      </c>
      <c r="D58" t="inlineStr">
        <is>
          <t>linkedin</t>
        </is>
      </c>
      <c r="E58">
        <f>HYPERLINK("https://www.linkedin.com/jobs/view/4365636198", "https://www.linkedin.com/jobs/view/4365636198")</f>
        <v/>
      </c>
      <c r="F58" t="inlineStr"/>
      <c r="G58" t="inlineStr">
        <is>
          <t>Santa Clara, CA</t>
        </is>
      </c>
      <c r="H58" t="inlineStr"/>
      <c r="I58" t="inlineStr">
        <is>
          <t>We are now hiring a System Software Engineer to join the NVIDIA's System Software group focusing on Tegra Diagnostics. You will join a dynamic crew that builds and maintains software for complex heterogeneous computing systems that power sophisticated server/auto/embedded products used in ground breaking of diverse AI, HPC, and accelerated computing workloads. We have some of the best engineers in the world conceptualizing and taking these products to the finish line and these outstanding engineering teams are rapidly growing. If you're a creative software engineer with a real passion for developing products with new technology, we want to hear from you.
**What You’ll Be Doing**
* Develop drivers/tests and frameworks that can most efficiently stress the SOC/System and to see them through the full software development lifecycle. This can include working in user\-space, kernel, firmware or boot software of SOC.
* Participate in various initiatives to improve efficiency, robustness and user friendliness of the software we deliver for design validation, thermal \&amp; power characterization, manufacturing screening.
* Work on new diagnostic software solutions that cater to all phases of the product life cycle \- bring up, manufacturing, hardware qualification, failure analysis and custom platforms.
* Communicate optimally with various teams throughout the company, as well as customers and partners.
**What We Need To See**
* BS/MS in EE/CS or equivalent experience.
* 2\+ years of experience
* Strong C/C\+\+ programming skills and object\-oriented programming skills.
* Experience with low level / driver level programming.
* Understanding of processor architecture fundamentals, preferably arm.
* Strong problem\-solving and debugging skills.
* Strong communication, interpersonal and planning skills.
**Ways To Stand Out From The Crowd**
* Knowledge of Linux kernel internals.
* Knowledge of Server / PC system architecture.
* Experience in Pre\-Silicon / Post\-Silicon bringup planning and execution of complex SoCs and platforms
* Consistent record of learning new technologies on the job in a time\-bound manner.
* Experience working in teams on large SW project
 Your base salary will be determined based on your location, experience, and the pay of employees in similar positions. The base salary range is 124,000 USD \- 195,500 USD for Level 2, and 152,000 USD \- 241,500 USD for Level 3\.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JR2011790</t>
        </is>
      </c>
    </row>
    <row r="59">
      <c r="A59" t="inlineStr">
        <is>
          <t>li-4355464179</t>
        </is>
      </c>
      <c r="B59" t="inlineStr">
        <is>
          <t>Avionics Software Developer</t>
        </is>
      </c>
      <c r="C59" t="inlineStr">
        <is>
          <t>Vantage Point Consulting</t>
        </is>
      </c>
      <c r="D59" t="inlineStr">
        <is>
          <t>linkedin</t>
        </is>
      </c>
      <c r="E59">
        <f>HYPERLINK("https://www.linkedin.com/jobs/view/4355464179", "https://www.linkedin.com/jobs/view/4355464179")</f>
        <v/>
      </c>
      <c r="F59" t="inlineStr"/>
      <c r="G59" t="inlineStr">
        <is>
          <t>Denver, CO</t>
        </is>
      </c>
      <c r="H59" t="inlineStr"/>
      <c r="I59" t="inlineStr">
        <is>
          <t>****JOB DESCRIPTION****
 seeking a skilled Motor Control Software Engineer to design, develop, and verify embedded software for aerospace motor control systems in compliance with DO\-178C standards. The role involves implementing real\-time control algorithms, integrating with hardware platforms, performing model\-based development where applicable, and ensuring software meets safety\-critical requirements.
**Mandate skills: Embedded C/C\+\+, DO178C, MATLAB/Simulink**
****Responsibilities:****
* Develop and optimize motor control algorithms (BLDC, PMSM, stepper, etc.) for aerospace applications.
* Design, code, and test embedded software in C/C\+\+ following DO\-178C guidelines.
* Collaborate with systems, hardware, and verification teams to ensure seamless integration.
* Prepare documentation for certification, including requirements, design, and test reports.
* Support software verification and validation activities, including unit testing and HIL/SIL testing.
****Qualifications:****
* Bachelor's/Master's in Electrical, Electronics, Computer, or Aerospace Engineering.
* Strong experience with embedded C/C\+\+ programming and real\-time control systems.
* Hands\-on experience with motor control techniques (FOC, PWM, sensorless control, etc.).
* Familiarity with DO\-178C processes, aerospace standards, and safety\-critical software development.
* Experience with MATLAB/Simulink or model\-based design (preferred).seeking a skilled Motor Control Software Engineer to design, develop, and verify embedded software for aerospace motor control systems in compliance with DO\-178C standards. The role involves implementing real\-time control algorithms, integrating with hardware platforms, performing model\-based development where applicable, and ensuring software meets safety\-critical requirements.
****Qualifications:****
* Bachelor's/Master's in Electrical, Electronics, Computer, or Aerospace Engineering.
* Strong experience with embedded C/C\+\+ programming and real\-time control systems.
* Hands\-on experience with motor control techniques (FOC, PWM, sensorless control, etc.).
* Familiarity with DO\-178C processes, aerospace standards, and safety\-critical software development.
* Experience with MATLAB/Simulink or model\-based design (preferred).</t>
        </is>
      </c>
    </row>
    <row r="60">
      <c r="A60" t="inlineStr">
        <is>
          <t>li-4365618896</t>
        </is>
      </c>
      <c r="B60" t="inlineStr">
        <is>
          <t>Senior Fullstack Engineer (Payments Architecture)</t>
        </is>
      </c>
      <c r="C60" t="inlineStr">
        <is>
          <t>Pickle</t>
        </is>
      </c>
      <c r="D60" t="inlineStr">
        <is>
          <t>linkedin</t>
        </is>
      </c>
      <c r="E60">
        <f>HYPERLINK("https://www.linkedin.com/jobs/view/4365618896", "https://www.linkedin.com/jobs/view/4365618896")</f>
        <v/>
      </c>
      <c r="F60" t="inlineStr"/>
      <c r="G60" t="inlineStr">
        <is>
          <t>New York, NY</t>
        </is>
      </c>
      <c r="H60" t="inlineStr"/>
      <c r="I60" t="inlineStr">
        <is>
          <t>**About Pickle**
 Pickle is a peer\-to\-peer rental marketplace unlocking the value of the billions of underutilized items sitting in consumers’ closets. We make it easy to rent high\-quality items exactly when you need them — with fast, convenient fulfillment and an on\-demand experience that’s as seamless as shopping.
 We’re building a new kind of commerce layer: one powered by dynamic local supply, where access is more convenient than ownership. Pickle is now live nationwide and scaling rapidly in key local markets including
 **NYC, LA, and Miami** 
 . Our marketplace already features
 **300K\+ items listed for rent** 
 , and we’re just getting started.
 What makes Pickle different is the combination of
 **incredible peer\-to\-peer inventory** 
 ,
 **industry\-leading convenience** 
 (under
 **2 days nationwide** 
 and under
 **2 hours locally** 
 ), and an
 **on\-demand model with no subscriptions** 
 — users rent what they want, when they want it. Backed by our
 **Series A funding raised in early 2025** 
 from
 **FirstMark and Craft** 
 , we’re scaling quickly and building the future of access\-driven shopping.
**About The Role**
 Your mission is to build the financial engine of our platform.
 This role owns the architecture behind how money moves through our system. While we use Stripe today (Payments, Connect, and Tax), the system you design must be vendor\-agnostic, auditable, and correct by construction. Stripe should be treated as a utility, not a source of truth.
 You will design an internal ledger and payment services that ensure every cent is tracked, reconciled, and reportable — independent of any third\-party dashboard. This is a high\-impact, high\-trust role at the core of our marketplace.
 If you enjoy building rigorous systems, thinking in invariants, and owning complex financial domains end\-to\-end, this role is for you.
**Key Responsibilities**
* Modular Payments Architecture
* Design and own a dedicated Payments Service that abstracts the underlying provider (Stripe).
* Apply architectural patterns (Adapter, Facade) to isolate provider\-specific logic from core business logic.
* Ensure the system can support future processors or redundancy without requiring a platform rewrite.
* Architect complex marketplace money flows, including:
+ Peer\-to\-peer payouts
+ Platform commissions and fees
+ Hold periods and delayed settlement
* Build resilient systems that handle retries, network failures, and webhook delivery safely.
* Ensure all payment operations are idempotent and fault\-tolerant.
* Internal Ledger \&amp; Financial Data Modeling
* Design and implement an internal ledger system (double\-entry bookkeeping or rigid transaction log) in Postgres.
* Ensure the database — not Stripe — is the system of record for balances, payouts, and transaction history.
* Model wallets, transactions, ledger entries, and settlements with strict constraints and invariants.
* Build reconciliation processes that automatically compare internal state with Stripe settlement data.
* Structure financial data to support:
+ P\&amp;L reporting
+ Payout schedules
+ Tax reporting and audits
* Full\-Stack Payments Implementation
* Build type\-safe tRPC APIs for checkout, wallet management, payouts, and payment method management.
* Collaborate with frontend engineers to integrate payments into the product in a way that is transparent and trustworthy for users.
* Hide backend complexity behind clean APIs and intuitive UI flows.
* Ensure payment\-related user experiences are accurate, predictable, and easy to reason about.
* Codebase \&amp; Domain Ownership
* Own the payments domain within our Turborepo (or similar).
* Define strict boundaries between Payments, Core Business Logic, and UI layers.
* Ensure payment logic is isolated, testable, and resistant to accidental misuse.
* Set standards for how high\-stakes systems are built, reviewed, and evolved.
**Required Qualifications**
* 5\+ years of professional engineering experience, with significant ownership of payment systems or financial data.
* Deep experience designing and operating payment infrastructure in production.
* Strong understanding of service decoupling and interface\-driven design.
* Expert\-level SQL knowledge, including transaction isolation levels and data integrity guarantees.
* Experience building ACID\-compliant systems where correctness matters more than convenience.
* Strong TypeScript skills, including generics and strict typing for high\-risk domains.
* Experience organizing complex domains within a monorepo or service\-oriented architecture.
 Stripe\-Specific Experience
* Deep hands\-on experience with Stripe Connect.
* Experience handling marketplace payouts, refunds, disputes, and settlement timing.
* Familiarity with Stripe webhooks, idempotency keys, and failure modes.
* Experience integrating Stripe Tax or similar tax calculation systems.
 Nice to Have
* Experience designing double\-entry accounting systems or financial ledgers.
* Experience with multiple payment processors (e.g., Adyen, Braintree).
* Experience supporting audits or financial reporting pipelines.
* Familiarity with marketplace compliance and tax considerations.
 First 10 Weeks: What You’ll Ship
* Ledger schema: Design and implement the Postgres schema for Wallets, Transactions, and Ledger Entries.
* Payment abstraction layer: Define TypeScript interfaces that isolate Stripe\-specific logic behind a clean Payments Service.
* Reconciliation jobs: Build automated processes to validate internal balances against Stripe settlement data.
**Our Desired Stack**
* Core: Node.js, TypeScript, tRPC
* Payments: Stripe Payments, Stripe Connect, Stripe Tax
* Database: Postgres (Supabase), Drizzle ORM
* Architecture: Turborepo, Modular Monolith
**Benefits**
* Competitive compensation and equity
* Healthcare (Medical, Dental, Vision)
* Take what you need paid time off
* Meal Pal credits to cover the cost of lunch
* Stipend to help set up your desk and office environment
* Work directly with the founders and executive team
* Professional coaching, training, and development
* Grow with the company
* Pickle credits for our employees, we love when the team uses Pickle!
* Fun team events and company parties
* Company offsites
* Office space in NYC
 Compensation Range: $180K \- $220K</t>
        </is>
      </c>
    </row>
    <row r="61">
      <c r="A61" t="inlineStr">
        <is>
          <t>li-4365628865</t>
        </is>
      </c>
      <c r="B61" t="inlineStr">
        <is>
          <t>Senior Software Engineer</t>
        </is>
      </c>
      <c r="C61" t="inlineStr">
        <is>
          <t>ServiceNow</t>
        </is>
      </c>
      <c r="D61" t="inlineStr">
        <is>
          <t>linkedin</t>
        </is>
      </c>
      <c r="E61">
        <f>HYPERLINK("https://www.linkedin.com/jobs/view/4365628865", "https://www.linkedin.com/jobs/view/4365628865")</f>
        <v/>
      </c>
      <c r="F61">
        <f>HYPERLINK("https://careers.servicenow.com/jobs/744000105233675/senior-software-engineer/?trid=2d92f286-613b-4daf-9dfa-6340ffbecf73&amp;urlHash=c23W", "https://careers.servicenow.com/jobs/744000105233675/senior-software-engineer/?trid=2d92f286-613b-4daf-9dfa-6340ffbecf73&amp;urlHash=c23W")</f>
        <v/>
      </c>
      <c r="G61" t="inlineStr">
        <is>
          <t>Santa Clara, CA</t>
        </is>
      </c>
      <c r="H61" t="inlineStr"/>
      <c r="I6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Implement software that is simple to use to allow customers to extend and customize the functionality to meet their specific needs
* Contribute to the design and implementation of new products and features while also enhancing the existing product suite
* Be a mentor for colleagues and help promote knowledge\-sharing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4\+ years of experience with Java or a similar OO language
* Passion for JavaScript and the Web as a platform, reusability, and componentization
* Experience with data structures, algorithms, object\-oriented design, design patterns, and performance/scale considerations
* Experience with any of the modern UI frameworks like Angular, React or Vue
* Analytical and design skills
 FD21
 For positions in this location, we offer a base pay of $143,200 \- $243,400,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62">
      <c r="A62" t="inlineStr">
        <is>
          <t>li-4363477402</t>
        </is>
      </c>
      <c r="B62" t="inlineStr">
        <is>
          <t>Software Engineer Lead</t>
        </is>
      </c>
      <c r="C62" t="inlineStr">
        <is>
          <t>Toyota North America</t>
        </is>
      </c>
      <c r="D62" t="inlineStr">
        <is>
          <t>linkedin</t>
        </is>
      </c>
      <c r="E62">
        <f>HYPERLINK("https://www.linkedin.com/jobs/view/4363477402", "https://www.linkedin.com/jobs/view/4363477402")</f>
        <v/>
      </c>
      <c r="F62" t="inlineStr"/>
      <c r="G62" t="inlineStr">
        <is>
          <t>Plano, TX</t>
        </is>
      </c>
      <c r="H62" t="inlineStr"/>
      <c r="I62"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 
**\-based visas or any other work authorization for this position at this time.** 
**This position is based in Plano, TX.** 
**Who We’re Looking For**
 At TFS, we’re embarking on a technology transformation journey, creating next generation of products and platforms. These products enable TFS to provide a best\-in\-class experience to our customers and partners and position us to rapidly scale to realize our vision of mobility for all by enabling freedom of movement for everyone.
 We’re looking for a
 **Senior Software Development Engineer** 
 who brings deep technical expertise, a strong sense of ownership, and a track record of driving meaningful outcomes.
**What You’ll Be Doing**
 In this role, you’ll play a central part in shaping the direction of critical systems—translating complex designs into scalable, real\-world solutions. You’ll partner closely with enterprise architects and stakeholders in a fast\-moving Agile environment, navigating ambiguity with confidence and clarity. From building core features to mentoring engineers and influencing architecture, you’ll be directly involved in the systems that matter most.
 Key Responsibilities:
* Design and develop scalable applications using Java, Spring Boot, and cloud\-native technologies.
* Implement complex architecture in collaboration with enterprise architects, contributing actively to development efforts.
* Work with stakeholders in Agile environments to align technical solutions with business priorities.
* Bring structure to ambiguous requirements through sound engineering judgment and initiative.
* Own critical components, driving performance, reliability, and long\-term maintainability.
* Mentor junior engineers and elevate team standards through code reviews and technical leadership.
* Uphold best practices in testing, CI/CD, and cloud infrastructure, ensuring quality and scalability.
**What You Bring**
* 10\+ years of professional software development experience.
* Proven experience in software development with a solid technical foundation with relevant experience in Java, Spring boot, NodeJS, REST API, Real time streaming architectures, microservices architecture patterns
* Proven experience delivering cloud\-native applications on AWS or other major cloud platforms.
* Familiarity with Domain\-Driven Design (DDD) and event\-driven architecture in real\-world systems.
* Solid background in microservices and REST APIs.
* Proficiency with CI/CD pipelines (e.g., Jenkins, GitHub Actions), version control, and DevOps tooling.
* Experience with relational and NoSQL databases such as PostgreSQL, MySQL, or Document DB.
* Hands\-on knowledge of Kubernetes, containerization, and deployment automation.
* Familiarity with monitoring and observability tools like Prometheus, Grafana, Datadog, or CloudWatch.
* Full ownership mindset—writing, testing, and validating your own code to ensure quality and reliability.
* Strong collaboration and communication skills, with experience working across architecture, engineering, and product teams.
**Added bonus if you have**
* Experience working in FinTech or other highly regulated, enterprise\-scale environments.
* Exposure to LLM workflows or integrating ML models into production systems.
* Familiarity with scalable messaging platforms such as Kafka or other streaming technologies.
**Why You Should Apply**
 This role is ideal for engineers who want to make a meaningful impact—not just through architecture and design, but by building the systems that power real business outcomes. You’ll help define what good looks like, raise the bar for engineering excellence, and take full ownership of solutions from idea to production.
**Let’s build, lead, and influence—together.**
**What We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Tax\-Advantaged Accounts (Health Savings Account, Health Care FSA, Dependent Care FSA).
* Relocation assistance (if applicable).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63">
      <c r="A63" t="inlineStr">
        <is>
          <t>li-4365633289</t>
        </is>
      </c>
      <c r="B63" t="inlineStr">
        <is>
          <t>Senior System Software Engineer - Tegra</t>
        </is>
      </c>
      <c r="C63" t="inlineStr">
        <is>
          <t>NVIDIA</t>
        </is>
      </c>
      <c r="D63" t="inlineStr">
        <is>
          <t>linkedin</t>
        </is>
      </c>
      <c r="E63">
        <f>HYPERLINK("https://www.linkedin.com/jobs/view/4365633289", "https://www.linkedin.com/jobs/view/4365633289")</f>
        <v/>
      </c>
      <c r="F63" t="inlineStr"/>
      <c r="G63" t="inlineStr">
        <is>
          <t>Santa Clara, CA</t>
        </is>
      </c>
      <c r="H63" t="inlineStr"/>
      <c r="I63" t="inlineStr">
        <is>
          <t>We are now looking for a Senior System Software Engineer to work in our Tegra system software group. The best candidates will have excellent C/C\+\+, a thorough understanding of operating systems and kernel programming, a good understanding of computer architecture.You will join a dynamic crew that builds and maintains software for complex heterogeneous computing systems that power sophisticated server products used in ground breaking of diverse AI, HPC, and accelerated computing workloads. We have some of the best engineers in the world conceptualizing and taking these products to the finish line and these outstanding engineering teams are rapidly growing. If you're a creative software engineer with a real passion for developing products with new technology, we want to hear from you. Join us at forefront of this new frontier!
**What You’ll Be Doing**
* Designing and developing test and framework that can most efficiently validate and stress SOC/System and to see them t hrough the full software development lifecycle. This can include working in user\-space, kernel, firmware or boot software of SOC.
* Architecting and driving new diagnostic software solutions that cater to all phases of the product life cycle \- bring up, manufacturing, hardware qualification, failure analysis and custom platforms.
* Spearhead various initiatives to improve efficiency, robustness and user friendliness of the software we deliver for design validation, thermal \&amp; power characterization, manufacturing screening, and external customers bring up
* Understand and participate in the debug /root cause analysis of very complex board/system level failures.
* Communicate optimally with various teams throughout the company, as well as customers and partners.
**What We Need To See**
* BS/MS in EE/CS or equivalent experience.
* 5\+ years of industry related experience.
* Strong C/C\+\+ programming skills and object\-oriented programming skills.
* Experience with low level / driver level programming.
* Understanding of processor architecture fundamentals, preferably arm.
* Strong problem\-solving and debugging skills.
* Expert communication, interpersonal and planning skills.
**Ways To Stand Out From The Crowd**
* Knowledge of Linux kernel internals and solid understanding of ARM platforms.
* Experience in diagnostic software for datacenter and server systems.
* Experience in Pre\-Silicon / Post\-Silicon bringup planning and execution of complex SoCs and platforms.
* Consistent record of learning new technologies on the job in a time\-bound manner.
* Experience working in teams on large SW projects as well as an understanding of SW product release lifecycle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JR2011616</t>
        </is>
      </c>
    </row>
    <row r="64">
      <c r="A64" t="inlineStr">
        <is>
          <t>li-4365632254</t>
        </is>
      </c>
      <c r="B64" t="inlineStr">
        <is>
          <t>Senior System Software Engineer - Tegra</t>
        </is>
      </c>
      <c r="C64" t="inlineStr">
        <is>
          <t>NVIDIA</t>
        </is>
      </c>
      <c r="D64" t="inlineStr">
        <is>
          <t>linkedin</t>
        </is>
      </c>
      <c r="E64">
        <f>HYPERLINK("https://www.linkedin.com/jobs/view/4365632254", "https://www.linkedin.com/jobs/view/4365632254")</f>
        <v/>
      </c>
      <c r="F64" t="inlineStr"/>
      <c r="G64" t="inlineStr">
        <is>
          <t>Santa Clara, CA</t>
        </is>
      </c>
      <c r="H64" t="inlineStr"/>
      <c r="I64" t="inlineStr">
        <is>
          <t>We are now looking for a Senior System Software Engineer to work in our Tegra system software group. The best candidates will have excellent C/C\+\+, a thorough understanding of operating systems and kernel programming, a good understanding of computer architecture.You will join a dynamic crew that builds and maintains software for complex heterogeneous computing systems that power sophisticated server products used in ground breaking of diverse AI, HPC, and accelerated computing workloads. We have some of the best engineers in the world conceptualizing and taking these products to the finish line and these outstanding engineering teams are rapidly growing. If you're a creative software engineer with a real passion for developing products with new technology, we want to hear from you. Join us at forefront of this new frontier!
**What You’ll Be Doing**
* Designing and developing test and framework that can most efficiently validate and stress SOC/System and to see them t hrough the full software development lifecycle. This can include working in user\-space, kernel, firmware or boot software of SOC.
* Architecting and driving new diagnostic software solutions that cater to all phases of the product life cycle \- bring up, manufacturing, hardware qualification, failure analysis and custom platforms.
* Spearhead various initiatives to improve efficiency, robustness and user friendliness of the software we deliver for design validation, thermal \&amp; power characterization, manufacturing screening, and external customers bring up
* Understand and participate in the debug /root cause analysis of very complex board/system level failures.
* Communicate optimally with various teams throughout the company, as well as customers and partners.
**What We Need To See**
* BS/MS in EE/CS or equivalent experience.
* 5\+ years of industry related experience.
* Strong C/C\+\+ programming skills and object\-oriented programming skills.
* Experience with low level / driver level programming.
* Understanding of processor architecture fundamentals, preferably arm.
* Strong problem\-solving and debugging skills.
* Expert communication, interpersonal and planning skills.
**Ways To Stand Out From The Crowd**
* Knowledge of Linux kernel internals and solid understanding of ARM platforms.
* Experience in diagnostic software for datacenter and server systems.
* Experience in Pre\-Silicon / Post\-Silicon bringup planning and execution of complex SoCs and platforms.
* Consistent record of learning new technologies on the job in a time\-bound manner.
* Experience working in teams on large SW projects as well as an understanding of SW product release lifecycle
 Your base salary will be determined based on your location, experience, and the pay of employees in similar positions. The base salary range is 152,000 USD \- 241,500 USD for Level 3, and 184,000 USD \- 287,500 USD for Level 4\.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JR2011616</t>
        </is>
      </c>
    </row>
    <row r="65">
      <c r="A65" t="inlineStr">
        <is>
          <t>li-4363446920</t>
        </is>
      </c>
      <c r="B65" t="inlineStr">
        <is>
          <t>Backend Engineer</t>
        </is>
      </c>
      <c r="C65" t="inlineStr">
        <is>
          <t>Piper Companies</t>
        </is>
      </c>
      <c r="D65" t="inlineStr">
        <is>
          <t>linkedin</t>
        </is>
      </c>
      <c r="E65">
        <f>HYPERLINK("https://www.linkedin.com/jobs/view/4363446920", "https://www.linkedin.com/jobs/view/4363446920")</f>
        <v/>
      </c>
      <c r="F65" t="inlineStr"/>
      <c r="G65" t="inlineStr">
        <is>
          <t>Raleigh, NC</t>
        </is>
      </c>
      <c r="H65" t="inlineStr"/>
      <c r="I65" t="inlineStr">
        <is>
          <t>Piper Companies is seeking a
 **Backend Engineer** 
 to join a leading technology organization in the Durham, NC area. The
 **Backend Engineer** 
 will play a critical role in building and maintaining scalable backend systems using modern technologies, ensuring high\-quality code and robust testing practices. This is a hybrid position requiring three days onsite per week.
**Responsibilities of the Backend Engineer:**
* Design, develop, and maintain backend services and RESTful APIs using TypeScript and Node.js.
* Implement and optimize data storage solutions leveraging MongoDB or other NoSQL databases.
* Ensure high\-quality code through rigorous testing practices, including unit, integration, and end\-to\-end testing.
* Collaborate with front\-end engineers, product managers, and QA teams to deliver reliable and performant applications.
* Troubleshoot and resolve complex technical issues in production and development environments.
* Contribute to architectural decisions and best practices for backend development.
**Qualifications of the Backend Engineer:**
* 5–8 years of professional software engineering experience, with a strong focus on backend development.
* Proficiency in TypeScript and Node.js for building scalable applications.
* Hands\-on experience with RESTful API design and implementation.
* Strong knowledge of MongoDB or other NoSQL database technologies.
* Demonstrated expertise in testing methodologies and frameworks for backend systems.
* Excellent problem\-solving skills and ability to work in a collaborative, hybrid environment.
**Compensation for the Backend Engineer includes:**
* Salary range: $150,000 – $190,000 depending on experience
* Comprehensive benefits package including medical, dental, vision, 401(k), and PTO
* Hybrid work schedule: 3 days onsite in Durham, NC
 This job opens for applications on 1/23/2026\. Applications for this job will be accepted for at least 30 days from the posting date.
 \#HYBRID</t>
        </is>
      </c>
    </row>
    <row r="66">
      <c r="A66" t="inlineStr">
        <is>
          <t>li-4365612537</t>
        </is>
      </c>
      <c r="B66" t="inlineStr">
        <is>
          <t>Lead Software Engineer</t>
        </is>
      </c>
      <c r="C66" t="inlineStr">
        <is>
          <t>DealerBuilt</t>
        </is>
      </c>
      <c r="D66" t="inlineStr">
        <is>
          <t>linkedin</t>
        </is>
      </c>
      <c r="E66">
        <f>HYPERLINK("https://www.linkedin.com/jobs/view/4365612537", "https://www.linkedin.com/jobs/view/4365612537")</f>
        <v/>
      </c>
      <c r="F66">
        <f>HYPERLINK("https://www.paycomonline.net/v4/ats/web.php/portal/93A93C547D92F034A624477E2287332E/jobs/270153&amp;urlHash=WEnk", "https://www.paycomonline.net/v4/ats/web.php/portal/93A93C547D92F034A624477E2287332E/jobs/270153&amp;urlHash=WEnk")</f>
        <v/>
      </c>
      <c r="G66" t="inlineStr">
        <is>
          <t>Houston, TX</t>
        </is>
      </c>
      <c r="H66" t="inlineStr"/>
      <c r="I66" t="inlineStr">
        <is>
          <t>At DealerBuilt, we empower people to achieve their unique ambitions. DealerBuilt is a portfolio of automotive dealership SaaS brands including Lightyear, Oplogic, iService, and Vistadash. Our portfolio includes Enterprise Retail Cloud DMS, Document Management, CRM, Desking, F\&amp;I Menus, Equity, Telephony, Fraud Protection, Service Lane Tools, and Marketing Analytics. We pride ourselves on the fact that our innovative SaaS solutions are built by dealers for dealers. Our solutions are used in some of the largest volume stores and groups in the nation. We understand that every dealership is unique, and that is why our platform is tailored to adapt to those specific needs and goals regardless of the dealership size. Our innovative technology is designed to elevate the dealership experience, offering unparalleled flexibility, efficiency, and control in managing operations. Join us.
**Why We’re Looking**
 We are seeking an experienced Lead Software Engineer to help drive technical excellence for our web products. This role plays a key part in designing, building, and maintaining scalable, reliable software solutions that support dealership operations nationwide. The ideal candidate brings deep technical and architectural expertise, strong problem\-solving skills, and a passion for mentoring others while delivering high\-quality, production\-ready software.
**What You’ll Do**
**Technical Development \&amp; Architecture**
* Design, develop, and maintain high\-quality, scalable software using our technology stack (Java, MySQL, JavaScript/TypeScript, Angular, AWS).
* Drive architectural decisions that support scalability, performance, and long\-term maintainability.
* Provide technical guidance on hosting and supporting high\-performing web apps and services in AWS.
* Write clean, efficient, and well\-tested code that follows best practices and established coding standards.
* Conduct thorough code reviews and provide clear, constructive feedback to peers.
**Technical Leadership \&amp; Collaboration**
* Mentor junior and mid\-level engineers by sharing knowledge, best practices, and technical guidance.
* Collaborate closely with team members in Engineering, Product, QA, and other cross\-functional partners to deliver features on time and to specification.
* Participate in technical planning, estimation, and feature design discussions.
* Stay current with emerging technologies and industry trends, recommending improvements to tools, processes, and architecture.
**Quality \&amp; Operational Excellence**
* Ensure software quality through comprehensive testing, debugging, and performance optimization.
* Help maintain system reliability, availability, and security, including adherence to regulatory and compliance requirements.
* Troubleshoot and resolve complex technical issues in development and production environments.
* Participate in on\-call rotations and incident response as needed.
**What We’re Looking For**
* Bachelor’s degree in Computer Science or a related field, or equivalent practical experience.
* 7\+ years of professional software engineering experience in a SaaS or product\-based environment.
* Strong hands\-on experience with Java, MariaDB/MySQL, JavaScript/TypeScript, Angular.
* Experience deploying to AWS and maintaining performance in a cloud environment.
* Proven ability to work independently on complex technical challenges while contributing effectively to a team.
* Strong problem\-solving, analytical, and debugging skills.
* Excellent communication skills, with the ability to explain technical concepts to both technical and non\-technical audiences.
* Demonstrated experience delivering high\-quality software and mentoring other developers.
**What’s In It For You**
* Competitive Compensation: This position offers a base salary. Employees who demonstrate successful goal attainment and commitment will have the opportunity for career growth and advancement within the organization.
* Great Benefits: Several comprehensive medical, dental, and vision benefit offerings to choose from, along with HSA and FSA options, and a no\-wait 401(k) plan with company match.
* Additional Coverage: Life and AD\&amp;D insurance, disability insurance, and supplemental accident, hospital, and cancer insurance plans.
* Employee Assistance Program (EAP): Confidential counseling, resources, and support for mental and emotional well\-being.
* Fully Remote: Enjoy the flexibility of working remotely while delivering exceptional results for our clients.
* Work/Life Balance: We believe in working hard for our clients while ensuring satisfaction in your role. Enjoy Unlimited Paid Time Off to balance work with life’s other priorities.
* Employee Referral Program: Earn incentives by referring talented individuals to join our growing organization.
*DealerBuilt is an Equal Opportunity Employer of minorities, females, protected veterans, and individuals with disabilities. Qualified applicants will receive consideration for employment without regard to race, color, religion, sex, sexual orientation, gender perception or identity, national origin, age, marital status, protected veteran status, or disability status.*
***No search firm solicitations, please.***</t>
        </is>
      </c>
    </row>
    <row r="67">
      <c r="A67" t="inlineStr">
        <is>
          <t>li-4297895408</t>
        </is>
      </c>
      <c r="B67" t="inlineStr">
        <is>
          <t>Senior Software Engineer</t>
        </is>
      </c>
      <c r="C67" t="inlineStr">
        <is>
          <t>Cambium Assessment</t>
        </is>
      </c>
      <c r="D67" t="inlineStr">
        <is>
          <t>linkedin</t>
        </is>
      </c>
      <c r="E67">
        <f>HYPERLINK("https://www.linkedin.com/jobs/view/4297895408", "https://www.linkedin.com/jobs/view/4297895408")</f>
        <v/>
      </c>
      <c r="F67">
        <f>HYPERLINK("https://cambiumlearning.wd1.myworkdayjobs.com/camb/job/Remote/Senior-Software-Engineer_REQ-4161?source=LinkedIn&amp;urlHash=hWC7", "https://cambiumlearning.wd1.myworkdayjobs.com/camb/job/Remote/Senior-Software-Engineer_REQ-4161?source=LinkedIn&amp;urlHash=hWC7")</f>
        <v/>
      </c>
      <c r="G67" t="inlineStr">
        <is>
          <t>Dallas, TX</t>
        </is>
      </c>
      <c r="H67" t="inlineStr"/>
      <c r="I67" t="inlineStr">
        <is>
          <t>**Job Overview**
 As a Senior Software Engineer at Cambium Assessment, you will be an integral part of the Analysis software engineering team. This group of professionals provide custom software solutions for our clients as well as internal support systems. Much of the work we perform is new development, so the right candidate will have the skills needed to perform full life\-cycle software development.
 We work with LOTS of data (many, many TB) \&amp; it comes fast! Scalability \&amp; heavy transactional loads, heavy reporting are common challenges for us. We solve a lot of interesting and tricky problems. Often not your typical collect/save/display that you get at other places. Not snapping into established frameworks. Working across tiers as required. Opportunities for more advanced coding.
**Job Responsibilities**
* Milliseconds matter! Performance is key! Optimizing database access, algorithms, choosing the right data structures, in general working to design performant systems.
* We write code from the ground up. We don’t use a lot of frameworks, packages, etc. Not a lot of macro\-level stuff. Core software engineering chops is what we’re looking for.
* Our suite of systems is vast and varied. There are web services (REST, SOAP, hybrid), windows services, daemons, websites, libraries, command line tools, windows apps. And they’re always in motion, being enhanced to meet new requirements and to move them into the future. We have plans to redesign several of the older systems, which will be a lot of fun.
* There are a lot of system interfaces, both within our own suite as well as across teams in the organization. Plenty of opportunities for collaboration with a lot of smart people.
* We have immediate needs for refactoring and several enhancements to allow us to scale up to meet increased loads. Although our front\-end needs are modest we are looking for someone that can help us with new front end development and enhancements to existing systems.
* We mostly use SQL server and C\#.
**Job Requirements**
* Bachelor’s degree in computer science (or related field) and 5\+ years professional .NET software development experience or master’s degree in computer science and 3\+ years of .NET software development experience or related experience.
* SQL experience to include development work with relational databases, stored procedures, triggers, writing SQL queries.
* Experienced in object\-oriented design.
* Solid understanding of algorithms.
* Detail\-oriented with excellent problem\-solving skills.
* Good communication skills.
* Self\-starter, ability to work in a team environment as well as alone.
**Preferred Qualifications**
* M.S. in Computer Science
* AWS
**Why Work With Us?**
 When you work with Cambium Assessment, you’ll be helping to design and build inspiring solutions that make a real impact on the online testing industry, as well as the educators and students we support.
* Our systems are highly scaled and mission critical serving over a third of all students in grades 3\-8 in the United States.
* Our web applications are highly interactive and universally accessible.
* Our machine scoring methods are driven by artificial intelligence allowing computers to perform such complex operations as grading essays with more accuracy than humans.
* Our processes use intensive algorithmic computing allowing a customized experience for each student as the exam adapts real\-time based upon answers given.
 In the 2024 school year, we delivered more than 126 million online tests, and successfully supported peak testing volumes exceeding 1\.5 million simultaneous test takers. We have the most advanced features of any online testing system, and we continue to push boundaries to improve student performance measurement and enabling educators with actionable insights to drive better overall educational outcomes for our students. To learn more about our organization and the exciting work we do, visit www.cambiumassessment.com.
**Remote First Work Environment**
 Our Remote First approach gives employees the flexibility and trust they need to effectively balance work with life. It creates a culture in which all employees are valued and where success is measured in results. It allows us to work collaboratively, inclusively and for greater positive impact, regardless of our individual locations.
 If you will be working remotely, either occasionally or on a permanent basis, you must have a reliable internet connection through a cable or fiber\-optic broadband service with minimum speeds of 10 Mbps download and 5 Mbps upload.
 The successful candidate will be expected to actively participate in video\-based interviews during the recruiting process and ongoing virtual meetings with their camera on, as part of their role.
 As part of our Remote\-First benefits, Cambium offers reimbursement to help cover the cost of setting up your home or remote office.
**An Equal Opportunity Employer**
 We are dedicated to fostering a culture that celebrates unique backgrounds, ideas, and experiences. All qualified applicants will receive consideration for employment without discrimination on the basis of race, color, age, religion, sex (including pregnancy, gender, gender identity/expression, or sexual orientation), national origin, protected veteran status, disability, or genetic information (including family medical history).
 We will provide reasonable accommodations for qualified individuals with disabilities. You may request an accommodation during the recruiting process with your Talent Acquisition team member.</t>
        </is>
      </c>
    </row>
    <row r="68">
      <c r="A68" t="inlineStr">
        <is>
          <t>li-4363407597</t>
        </is>
      </c>
      <c r="B68" t="inlineStr">
        <is>
          <t>Software Developer (Entry Level)</t>
        </is>
      </c>
      <c r="C68" t="inlineStr">
        <is>
          <t>Epic</t>
        </is>
      </c>
      <c r="D68" t="inlineStr">
        <is>
          <t>linkedin</t>
        </is>
      </c>
      <c r="E68">
        <f>HYPERLINK("https://www.linkedin.com/jobs/view/4363407597", "https://www.linkedin.com/jobs/view/4363407597")</f>
        <v/>
      </c>
      <c r="F68" t="inlineStr"/>
      <c r="G68" t="inlineStr">
        <is>
          <t>Chicago, IL</t>
        </is>
      </c>
      <c r="H68" t="inlineStr"/>
      <c r="I6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9">
      <c r="A69" t="inlineStr">
        <is>
          <t>li-4297896348</t>
        </is>
      </c>
      <c r="B69" t="inlineStr">
        <is>
          <t>Senior Software Engineer</t>
        </is>
      </c>
      <c r="C69" t="inlineStr">
        <is>
          <t>Cambium Assessment</t>
        </is>
      </c>
      <c r="D69" t="inlineStr">
        <is>
          <t>linkedin</t>
        </is>
      </c>
      <c r="E69">
        <f>HYPERLINK("https://www.linkedin.com/jobs/view/4297896348", "https://www.linkedin.com/jobs/view/4297896348")</f>
        <v/>
      </c>
      <c r="F69">
        <f>HYPERLINK("https://cambiumlearning.wd1.myworkdayjobs.com/camb/job/Remote/Senior-Software-Engineer_REQ-4161?source=LinkedIn&amp;urlHash=hWC7", "https://cambiumlearning.wd1.myworkdayjobs.com/camb/job/Remote/Senior-Software-Engineer_REQ-4161?source=LinkedIn&amp;urlHash=hWC7")</f>
        <v/>
      </c>
      <c r="G69" t="inlineStr">
        <is>
          <t>Concord, MA</t>
        </is>
      </c>
      <c r="H69" t="inlineStr"/>
      <c r="I69" t="inlineStr">
        <is>
          <t>**Job Overview**
 As a Senior Software Engineer at Cambium Assessment, you will be an integral part of the Analysis software engineering team. This group of professionals provide custom software solutions for our clients as well as internal support systems. Much of the work we perform is new development, so the right candidate will have the skills needed to perform full life\-cycle software development.
 We work with LOTS of data (many, many TB) \&amp; it comes fast! Scalability \&amp; heavy transactional loads, heavy reporting are common challenges for us. We solve a lot of interesting and tricky problems. Often not your typical collect/save/display that you get at other places. Not snapping into established frameworks. Working across tiers as required. Opportunities for more advanced coding.
**Job Responsibilities**
* Milliseconds matter! Performance is key! Optimizing database access, algorithms, choosing the right data structures, in general working to design performant systems.
* We write code from the ground up. We don’t use a lot of frameworks, packages, etc. Not a lot of macro\-level stuff. Core software engineering chops is what we’re looking for.
* Our suite of systems is vast and varied. There are web services (REST, SOAP, hybrid), windows services, daemons, websites, libraries, command line tools, windows apps. And they’re always in motion, being enhanced to meet new requirements and to move them into the future. We have plans to redesign several of the older systems, which will be a lot of fun.
* There are a lot of system interfaces, both within our own suite as well as across teams in the organization. Plenty of opportunities for collaboration with a lot of smart people.
* We have immediate needs for refactoring and several enhancements to allow us to scale up to meet increased loads. Although our front\-end needs are modest we are looking for someone that can help us with new front end development and enhancements to existing systems.
* We mostly use SQL server and C\#.
**Job Requirements**
* Bachelor’s degree in computer science (or related field) and 5\+ years professional .NET software development experience or master’s degree in computer science and 3\+ years of .NET software development experience or related experience.
* SQL experience to include development work with relational databases, stored procedures, triggers, writing SQL queries.
* Experienced in object\-oriented design.
* Solid understanding of algorithms.
* Detail\-oriented with excellent problem\-solving skills.
* Good communication skills.
* Self\-starter, ability to work in a team environment as well as alone.
**Preferred Qualifications**
* M.S. in Computer Science
* AWS
**Why Work With Us?**
 When you work with Cambium Assessment, you’ll be helping to design and build inspiring solutions that make a real impact on the online testing industry, as well as the educators and students we support.
* Our systems are highly scaled and mission critical serving over a third of all students in grades 3\-8 in the United States.
* Our web applications are highly interactive and universally accessible.
* Our machine scoring methods are driven by artificial intelligence allowing computers to perform such complex operations as grading essays with more accuracy than humans.
* Our processes use intensive algorithmic computing allowing a customized experience for each student as the exam adapts real\-time based upon answers given.
 In the 2024 school year, we delivered more than 126 million online tests, and successfully supported peak testing volumes exceeding 1\.5 million simultaneous test takers. We have the most advanced features of any online testing system, and we continue to push boundaries to improve student performance measurement and enabling educators with actionable insights to drive better overall educational outcomes for our students. To learn more about our organization and the exciting work we do, visit www.cambiumassessment.com.
**Remote First Work Environment**
 Our Remote First approach gives employees the flexibility and trust they need to effectively balance work with life. It creates a culture in which all employees are valued and where success is measured in results. It allows us to work collaboratively, inclusively and for greater positive impact, regardless of our individual locations.
 If you will be working remotely, either occasionally or on a permanent basis, you must have a reliable internet connection through a cable or fiber\-optic broadband service with minimum speeds of 10 Mbps download and 5 Mbps upload.
 The successful candidate will be expected to actively participate in video\-based interviews during the recruiting process and ongoing virtual meetings with their camera on, as part of their role.
 As part of our Remote\-First benefits, Cambium offers reimbursement to help cover the cost of setting up your home or remote office.
**An Equal Opportunity Employer**
 We are dedicated to fostering a culture that celebrates unique backgrounds, ideas, and experiences. All qualified applicants will receive consideration for employment without discrimination on the basis of race, color, age, religion, sex (including pregnancy, gender, gender identity/expression, or sexual orientation), national origin, protected veteran status, disability, or genetic information (including family medical history).
 We will provide reasonable accommodations for qualified individuals with disabilities. You may request an accommodation during the recruiting process with your Talent Acquisition team member.</t>
        </is>
      </c>
    </row>
    <row r="70">
      <c r="A70" t="inlineStr">
        <is>
          <t>li-4365618661</t>
        </is>
      </c>
      <c r="B70" t="inlineStr">
        <is>
          <t>Backend Engineer / AI Platform / Early-Stage Startup</t>
        </is>
      </c>
      <c r="C70" t="inlineStr">
        <is>
          <t>Motion Recruitment</t>
        </is>
      </c>
      <c r="D70" t="inlineStr">
        <is>
          <t>linkedin</t>
        </is>
      </c>
      <c r="E70">
        <f>HYPERLINK("https://www.linkedin.com/jobs/view/4365618661", "https://www.linkedin.com/jobs/view/4365618661")</f>
        <v/>
      </c>
      <c r="F70" t="inlineStr"/>
      <c r="G70" t="inlineStr">
        <is>
          <t>Los Angeles, CA</t>
        </is>
      </c>
      <c r="H70" t="inlineStr"/>
      <c r="I70" t="inlineStr">
        <is>
          <t>**Job Description**
 A cutting\-edge organization is seeking a Backend Engineer for a full\-time, in\-person role located in Santa Monica, CA. The team is focused on building advanced AI\-powered platforms to transform workflows for legal professionals, with a deep emphasis on real\-time systems and innovative technology.
 This high\-impact opportunity is perfect for engineers who want meaningful product ownership and the chance to shape foundational AI infrastructure from early stages. You'll be surrounded by like\-minded builders who thrive on autonomy, learn\-on\-the\-job mentality, and tackling complex problems with modern tools. The environment is fast\-paced, offering substantial growth, collaboration, and visibility as part of a small, dynamic team.
**Required Skills \&amp; Experience**
* 2\+ years of professional software design experience
* Programming expertise in Rust, Go, C\+\+, or Python
* Background with AI/ML model training, deployment, and RAG\-based systems
* Hands\-on work across APIs, infrastructure, and real\-time systems
* Strong GitHub/open\-source code portfolio with recent activity
* Startup mentality and adaptability to varied tasks
* Ability to work full\-time, in\-person in Santa Monica, CA
**Desired Skills \&amp; Experience**
* Experience in AI legal tech, NLP, or similar industries
* Prior startup/hands\-on engineering background
* Excellent communication and technical judgment
**What You Will Be Doing**
**Tech Breakdown**
* 60% Backend Systems \&amp; AI/ML Infrastructure
* 20% Real\-Time API and Platform Integration
* 20% Team Strategy \&amp; Collaboration
**Daily Responsibilities**
* 60% Hands\-On Engineering and Model Deployment
* 20% Technical Ownership \&amp; Architectural Planning
* 20% Team Collaboration \&amp; Culture Building
**The Offer**
* Bonus eligible
* Equity included
**You Will Receive The Following Benefits**
* Medical, Dental, and Vision Insurance
* Vacation Time
 Applicants must be currently authorized to work in the US on a full\-time basis now and in the future.
**Posted By:** 
 Adam Carman</t>
        </is>
      </c>
    </row>
    <row r="71">
      <c r="A71" t="inlineStr">
        <is>
          <t>li-4365638183</t>
        </is>
      </c>
      <c r="B71" t="inlineStr">
        <is>
          <t>Senior Software Engineer - Java Full Stack (remote)</t>
        </is>
      </c>
      <c r="C71" t="inlineStr">
        <is>
          <t>First Citizens Bank</t>
        </is>
      </c>
      <c r="D71" t="inlineStr">
        <is>
          <t>linkedin</t>
        </is>
      </c>
      <c r="E71">
        <f>HYPERLINK("https://www.linkedin.com/jobs/view/4365638183", "https://www.linkedin.com/jobs/view/4365638183")</f>
        <v/>
      </c>
      <c r="F71" t="inlineStr"/>
      <c r="G71" t="inlineStr">
        <is>
          <t>Arizona, United States</t>
        </is>
      </c>
      <c r="H71" t="inlineStr"/>
      <c r="I71" t="inlineStr">
        <is>
          <t>**Overview**
 This is a remote role that may be hired in several markets across the United States.
 We are looking for a hands\-on Sr Software Engineer to join our growing Corporate Credit Card delivery team, which provides technology solutions and integration services in following areas: Corporate Credit Cards, Credit Card Risk Underwriting, Credit Card Portfolio Management, and Merchant Services.
 We have a highly engaged team of engineers and are driving a new custom developed platform and implementing automated testing on all newly developed projects. Come join us as part of this exciting space where you can dig in the details with other developers and the business, as well as have fun sharpening your technical skills and designing solutions for problems that don’t yet have answers. We are looking for people who have a passion for development and leading teams.
 The ideal candidate is a seasoned software developer with a history of operating in large enterprise environment. Banking experience is preferred, but not necessary. This individual would have tangible examples of how they have led development teams to successful deployments, coached and mentored junior developers, and have contributed to enterprise level design of a system(s). They will also be able to clearly communicate and express complex ideas not only with development team members, but also business product owners, while establishing a working relationship built on trust through delivery.
**Responsibilities**
 The Sr Software Engineer will be responsible for all software aspects within the team including research, design, technology insertion, development, testing and support.
* Lead SCRUM Agile development teams
* Partner with architects and solution engineers to design and develop technical solutions that meet user needs with respect to functionality, performance, scalability, and reliability.
* Oversee proactive maintenance on our existing Iaas/SaaS and on premise applications within the Digital, Cards, Risk, and Merchant Services to ensure our mission critical systems remain stable, are able to scale as our business grows, and remain fit\-for\-purpose.
* Coordinate and assist with troubleshooting of code defects, data errors and configuration problems to determine the origin of application error.
* Know how to support Business critical/ complex applications.
* Exercises Judgement within defined procedures and practices to determine appropriate action.
* Drive departmental best practices, guidelines implementation and adhere to standards.
* Show expertise in designing and developing real\-time integrations, file\-based integrations and be able to optimize the use of database level processing.
* Demonstrate empathy with developer and poses an innate desire to create a superlative developer experience down to the last detail.
* Have a deep love of building elegant, maintainable, well\-documented, secure code.
* Always work to improve oneself and constructively support the team around them.
**Qualifications**
 Bachelor's Degree and 4 years of experience in Software application development and maintenance OR High School Diploma or GED and 8 years of experience in Software application development and maintenance
**Preferred Qualifications**
* Knowledge of FCB Systems and Processes
* Strong knowledge and experience with Java 11\+
* Strong knowledge and experience with Standard Design Patterns such as Factories, Command, Facade, Adapter, and more.
* Strong knowledge and experience with OOD/OOA
* Strong knowledge and experience with Spring and Spring Boot frameworks
* Strong knowledge and experience with REST and APIs
* Strong knowledge and experience with Unit Test and Mocking frameworks
* Strong knowledge and experience with git
* Basic knowledge and experience with Postman
* Basic knowledge and experience with Docker and Kubernetes
* Basic knowledge and experience with Scrum and Agile
* Basic knowledge and experience with wikis
**Preferred Experience**
* Automation Testing
* React UI Development
* Gitlab Pipeline Development
* Experience leading development teams
 This job posting is expected to remain active for 30 days from the initial posting date listed above. If it is necessary to extend this deadline, the posting will remain active as appropriate. Job postings may come down early due to business need or a high volume of applicants.
 The base pay for this position is generally between $95,000 and $150,000\.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72">
      <c r="A72" t="inlineStr">
        <is>
          <t>li-4363407605</t>
        </is>
      </c>
      <c r="B72" t="inlineStr">
        <is>
          <t>Software Developer (Entry Level)</t>
        </is>
      </c>
      <c r="C72" t="inlineStr">
        <is>
          <t>Epic</t>
        </is>
      </c>
      <c r="D72" t="inlineStr">
        <is>
          <t>linkedin</t>
        </is>
      </c>
      <c r="E72">
        <f>HYPERLINK("https://www.linkedin.com/jobs/view/4363407605", "https://www.linkedin.com/jobs/view/4363407605")</f>
        <v/>
      </c>
      <c r="F72" t="inlineStr"/>
      <c r="G72" t="inlineStr">
        <is>
          <t>Minneapolis, MN</t>
        </is>
      </c>
      <c r="H72" t="inlineStr"/>
      <c r="I7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73">
      <c r="A73" t="inlineStr">
        <is>
          <t>li-4321058077</t>
        </is>
      </c>
      <c r="B73" t="inlineStr">
        <is>
          <t>Software Developer (Entry Level)</t>
        </is>
      </c>
      <c r="C73" t="inlineStr">
        <is>
          <t>Epic</t>
        </is>
      </c>
      <c r="D73" t="inlineStr">
        <is>
          <t>linkedin</t>
        </is>
      </c>
      <c r="E73">
        <f>HYPERLINK("https://www.linkedin.com/jobs/view/4321058077", "https://www.linkedin.com/jobs/view/4321058077")</f>
        <v/>
      </c>
      <c r="F73" t="inlineStr"/>
      <c r="G73" t="inlineStr">
        <is>
          <t>Bloomington, MN</t>
        </is>
      </c>
      <c r="H73" t="inlineStr"/>
      <c r="I7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74">
      <c r="A74" t="inlineStr">
        <is>
          <t>li-4365625185</t>
        </is>
      </c>
      <c r="B74" t="inlineStr">
        <is>
          <t>Software Engineer III - Machine Learning Platform</t>
        </is>
      </c>
      <c r="C74" t="inlineStr">
        <is>
          <t>JPMorganChase</t>
        </is>
      </c>
      <c r="D74" t="inlineStr">
        <is>
          <t>linkedin</t>
        </is>
      </c>
      <c r="E74">
        <f>HYPERLINK("https://www.linkedin.com/jobs/view/4365625185", "https://www.linkedin.com/jobs/view/4365625185")</f>
        <v/>
      </c>
      <c r="F74" t="inlineStr"/>
      <c r="G74" t="inlineStr">
        <is>
          <t>New York, NY</t>
        </is>
      </c>
      <c r="H74" t="inlineStr"/>
      <c r="I74" t="inlineStr">
        <is>
          <t>**Job Description**
 As a Software Engineer III (Machine Learning Platform Engineer) at JPMorgan Chase within the Consumer \&amp; Community Banking (CCB) line of business, you serve as a seasoned member of an agile team focused on building, scaling, and maintaining robust machine learning platforms. You will design and deliver trusted, market\-leading infrastructure and tools that empower data scientists and ML engineers to develop, deploy, and monitor models efficiently and securely. You are responsible for implementing critical technology solutions across multiple technical areas to support the firm’s business objectives and drive innovation in ML platform capabilities.
**Job Responsibilities**
* Design, build, and maintain scalable machine learning platforms and infrastructure to support end\-to\-end ML workflows.
* Develop and optimize tools for model training, deployment, monitoring, and lifecycle management.
* Integrate data engineering, feature management, and model serving capabilities into unified ML platform solutions.
* Implement secure, high\-quality production code for platform services, APIs, and automation pipelines.
* Collaborate with data scientists, ML engineers, and product teams to understand requirements and deliver platform features that accelerate ML development and operations.
* Ensure platform reliability, scalability, and performance through proactive monitoring, troubleshooting, and continuous improvement.
* Produce architecture and design artifacts for platform components, ensuring alignment with enterprise standards and best practices.
* Automate infrastructure provisioning, configuration, and CI/CD pipelines for ML platform services.
* Contribute to the ML platform engineering community of practice and participate in events that explore new and emerging technologies.
**Required Qualifications, Capabilities, And Skills**
* Formal training or certification on software engineering concepts and 3\+ years applied experience
* Hands\-on experience building, deploying, and maintaining machine learning platforms or infrastructure
* Proficiency in Python and one or more ML frameworks (e.g., TensorFlow, PyTorch, Scikit\-learn)
* Experience with data processing frameworks and tools (e.g., Spark, Pandas, SQL)
* Practical experience with cloud\-based ML platforms (e.g., AWS SageMaker, GCP AI Platform, Azure ML) or on\-prem ML infrastructure
* Strong understanding of MLOps practices, including CI/CD for ML, model versioning, and monitoring
* Experience developing APIs and platform services for ML workflows
* Solid knowledge of the software development life cycle and agile methodologies
* Ability to collaborate with cross\-functional teams to deliver platform solutions aligned with business objectives
**Preferred Qualifications, Capabilities, And Skills**
* Familiarity with Databricks for scalable data engineering and ML platform integration
* Experience working with Snowflake for cloud\-based data warehousing and analytics
* Exposure to Snorkel AI for programmatic data labeling and training data management
* Experience with containerization and orchestration tools (e.g., Docker, Kubernetes, Airflow)
* Familiarity with feature stores, model registries, and ML metadata management
* Experience with infrastructure\-as\-code tools (e.g., Terraform, CloudFormation)
* Experience with RESTful APIs and microservices architectures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75">
      <c r="A75" t="inlineStr">
        <is>
          <t>li-4365141651</t>
        </is>
      </c>
      <c r="B75" t="inlineStr">
        <is>
          <t>Principal Software Engineer</t>
        </is>
      </c>
      <c r="C75" t="inlineStr">
        <is>
          <t>Stable Kernel</t>
        </is>
      </c>
      <c r="D75" t="inlineStr">
        <is>
          <t>linkedin</t>
        </is>
      </c>
      <c r="E75">
        <f>HYPERLINK("https://www.linkedin.com/jobs/view/4365141651", "https://www.linkedin.com/jobs/view/4365141651")</f>
        <v/>
      </c>
      <c r="F75">
        <f>HYPERLINK("https://grnh.se/j6a53xgt3us?gh_src=1qr8tjcc3us&amp;urlHash=zcqg", "https://grnh.se/j6a53xgt3us?gh_src=1qr8tjcc3us&amp;urlHash=zcqg")</f>
        <v/>
      </c>
      <c r="G75" t="inlineStr">
        <is>
          <t>Atlanta, GA</t>
        </is>
      </c>
      <c r="H75" t="inlineStr"/>
      <c r="I75" t="inlineStr">
        <is>
          <t>About the Company:
 Stable Kernel is a technology services firm and custom software developer building scalable software solutions for cutting\-edge, innovative enterprises to move their business forward. We are headquartered in Atlanta, GA.
 We're a privately held, Great Place to Work Certified Company™ with a multi\-award\-winning culture and an impressive 10\-plus\-year trajectory of sustainable growth. At Stable Kernel, we support our employees in ways that help them do some of the best work of their lives.
 About the Role:
 As a Stable Kernel
 **Principal Software Engineer** 
 , you play an essential role in setting our portfolio of world\-class clients up for success through the development and delivery of their most innovative, transformational initiatives. You will collaborate daily with other engineers and product team members, make decisions that influence the path of a product roadmap, leverage software development best practices, and become a more well\-rounded engineer as you learn new technologies. Your knowledgeable practice, reliability, and consultative nature make you an engineer that stakeholders and teammates trust.
 Principal Software Engineers may be classified as individual contributors or people managers with individual contributor responsibilities.
 Core Responsibilities Include:
* **Technical Impact:**
+ Designing and implementing exemplary solutions regarding scalability and cost\-effectiveness by making trade\-offs between opportunity and complexity.
+ Setting standards for codebase health and promoting best practices throughout the organization.
* **Business Alignment:**
+ Clarifying strategic outcomes and influencing roadmaps and projects.
+ Identifying, suggesting, and driving improvements in your customers' end\-to\-end experience.
+ Aiding in estimating work for new business with more unknowns and coaching others in estimation best practices.
* **Interacting with Others:**
+ Coordinating across the entire company.
+ Influencing the entire organization to make changes to support your work.
+ Advising teams across the company.
* **Autonomy \&amp; Ambiguity:**
+ Designing a long\-term roadmap with no direction.
+ Translating customer and business needs and strategic direction into projects and consistently simplifying high\-complexity situations.
+ Coaching and mentoring others in tackling ambiguity.
* **Problem\-Solving:**
+ Decomposing strategic direction into projects:
- Planning, communicating, and executing to solve our most challenging problems.
- Ensuring alignment with long\-term objectives, fostering a culture of informed decision\-making and innovation.
+ Anticipating most risks and driving simplification to mitigate risks ahead of time.
+ Escalating issues while solving them in parallel ensuring others are informed.
* **Leadership:**
+ Proposing new organization\-level processes to improve key areas such as team throughput, employee happiness, or product engagement.
+ Driving best practices across the organization.
+ Exhibiting exceptional mentoring abilities and fostering a culture of continuous learning and improvement by
- identifying and nurturing potential in others
- providing strategic guidance
- helping develop career paths for team members
+ Leading projects.
- Setting the strategic direction for projects or areas of technology, leading multiple project teams, and influencing decision\-making at higher organizational levels.
- Exhibiting strong capabilities in stakeholder management, negotiating, and problem\-solving in complex scenarios.
- Mentoring and developing other leaders within the team, fostering a culture of innovation, and contributing significantly to organizational goals.
 Intimate, Working Familiarity With:
* **Polyglot:** 
 Extensive experience with a wide variety of both frontend and backend languages, and ability to learn new ones with ease. Current stack consists of Typescript, Golang, React and React Native.
* **Agentic Development:** 
 Has intimate working knowledge of current agentic practices, keeps ahead of the curve of agentic development. This includes but is not limited to Claude Code, OpenCode, Spec\-driven\-development, and agent orchestrators.
* **AWS:** 
 Drive cloud architecture strategy on AWS, building secure, scalable, and cost\-optimized systems with services such as ECS/Lambda, API Gateway, DynamoDB, RDS/Postgres, S3, CloudWatch, KMS, and IAM; guide teams in adopting cloud\-native patterns and operational excellence.
* **Pulumi/Terraform \&amp; IaC:** 
 Experience driving infrastructure strategy and automation using Pulumi or Terraform, embedding Infrastructure as Code into development workflows and enabling secure, scalable cloud environments.
* Vector databases (e.g., pg\_vector) for similarity search and AI/ML\-powered applications.
* Deploying, managing, and scaling containerized applications securely and reliably using Kubernetes.
 General Requirements:
* 10\+ years of experience delivering and evolving production systems across diverse technical stacks, platforms, and architectures.
* Extensive experience serving as a trusted consultant to stakeholders and cross\-functional teams, providing expert guidance on backend service design, delivery, and integration.
* Degree in Computer Science or relevant field or experience.
 Nice To Have:
* Familiarity with Go for building performant, scalable backend services in production environments.
 A Bit More Info:
 Minimum Base Compensation: $170,000
 This is a full\-time position.
 Stable Kernel operates a People Before Place Hybrid model, allowing most employees to choose where they can do their best work most days.
 Minimal travel is associated with this role.
 Our generous total compensation package includes:
* Company\-subsidized health, vision, and dental plan premium options beginning on the first day of employment
* 401k with above\-average company matching
* Fully paid Group Life, Short and Long Term Disability, and AD\&amp;D insurance
* Optional Flexible Spending Account and Health Savings Account participation
* Voluntary Life, Critical Illness, and Accident insurance
* EAP and Health Advocacy program available at no cost to employees and their dependents
* $3000\+ annual industry educational budget
* Paid time off and paid holidays Access to Perks at Work program featuring a variety of discounted products and services
* Note – We are not sponsoring employment visas at this time. If you are currently in possession of an employment visa, it will need to be effective for at least 3 years from the date of your application for your candidacy for employment to be considered.
 Stable Kernel's culture is inclusive and expansive. We celebrate diversity in its many glorious forms and do not discriminate based on race, religion, color, national origin, gender role orientation, sexual orientation, age, marital status, veteran status, or disability status.
 However, we will discriminate against those unwilling to comply with the practice of our company values:
* we work with integrity always
* we respect our work and each other
* we are dedicated to life\-long learning and sharing
* we stay hungry for new challenges
 If you are like\-minded in this regard, we hope you will apply. We look forward to meeting you.</t>
        </is>
      </c>
    </row>
    <row r="76">
      <c r="A76" t="inlineStr">
        <is>
          <t>li-4365624668</t>
        </is>
      </c>
      <c r="B76" t="inlineStr">
        <is>
          <t>Senior System Software Engineer, Enterprise MODS</t>
        </is>
      </c>
      <c r="C76" t="inlineStr">
        <is>
          <t>NVIDIA</t>
        </is>
      </c>
      <c r="D76" t="inlineStr">
        <is>
          <t>linkedin</t>
        </is>
      </c>
      <c r="E76">
        <f>HYPERLINK("https://www.linkedin.com/jobs/view/4365624668", "https://www.linkedin.com/jobs/view/4365624668")</f>
        <v/>
      </c>
      <c r="F76" t="inlineStr"/>
      <c r="G76" t="inlineStr">
        <is>
          <t>Hillsboro, OR</t>
        </is>
      </c>
      <c r="H76" t="inlineStr"/>
      <c r="I76" t="inlineStr">
        <is>
          <t>At NVIDIA,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The data center platforms like GB200 NVL72 by NVIDIA are redefining AI, HPC, and cloud computing. To accommodate leading workloads globally, our diagnostic systems need to evolve across diverse hardware technologies. We're in search of a visionary technical leader to engineer and propel innovation in diagnostics for NVIDIA's partner ecosystem. This role is essential in crafting how we validate, debug, and optimize complex server platforms across ODM factories, Cloud Service Provider (CSP) deployments, and field operations.
**What You'll Be Doing**
* Develop diagnostic systems for NVIDIA data center platforms, which involve hardware and software tools to develop the worst case stress workloads for CPUs, GPUs, memory, storage, and interconnects.
* Lead platform bring\-up and integration, ensuring diagnostics are embedded early and effectively across the server lifecycle.
* Drive hardware validation strategy in collaboration with architecture and hardware teams, crafting robust validation plans for new server generations.
* Analyze root causes of complex failures, acting as a Level 2 engineering contact for critical issues and offering scalable solutions across the stack.
* Develop diagnostics software to ensure quality and performance at scale across ODM and partner production lines.
* Mentor and grow engineering teams, providing technical leadership and encouraging a culture of innovation and excellence.
* Influence the long\-term strategy by developing diagnostic architecture and roadmaps for the upcoming products of NVIDIA and its partners.
**What We Need To See**
* Proven experience architecting diagnostics for complex server systems, especially at the SW/HW interface.
* Deep systems knowledge: x86/ARM architectures, Linux/Windows OS internals, firmware (UEFI/BIOS), BMC, and platform security.
* Ability to weigh tradeoffs in system development and drive the most optimum solutions with customers and multi\-disciplinary teams
* Expertise in programming languages like C, C\+\+, and Python for tool development and automation.
* Familiarity with high\-speed interconnects such as PCIe, Infiniband, NVLink, and Ethernet.
* Strong communication skills to engage with technical and executive team.
* BS/MS or equivalent experience in Computer Science, Electrical Engineering, or related field.
* 12\+ years of engineering experience in diagnostics, embedded systems, or cloud platforms.
**Ways To Stand Out From The Crowd**
* Experience driving diagnostics across rack\-level or cluster\-level deployments.
* Background in cloud\-scale infrastructure and partner engagement.
* Demonstrated success in influencing product direction and vendor roadmaps.
* Passion for mentoring and building high\-performing teams.
 NVIDIA is at the forefront of AI, HPC, and visualization. Our diagnostics are the nervous system of our platforms—ensuring reliability, performance, and innovation at scale. If you're a creative, driven architect ready to shape the future of diagnostics, we want to hear from you.
 Your base salary will be determined based on your location, experience, and the pay of employees in similar positions. The base salary range is 224,000 USD \- 356,500 USD for Level 5, and 272,000 USD \- 431,250 USD for Level 6\.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JR2003636</t>
        </is>
      </c>
    </row>
    <row r="77">
      <c r="A77" t="inlineStr">
        <is>
          <t>li-4363496817</t>
        </is>
      </c>
      <c r="B77" t="inlineStr">
        <is>
          <t>Senior Staff Software Engineer - Java - HYBRID</t>
        </is>
      </c>
      <c r="C77" t="inlineStr">
        <is>
          <t>GEICO</t>
        </is>
      </c>
      <c r="D77" t="inlineStr">
        <is>
          <t>linkedin</t>
        </is>
      </c>
      <c r="E77">
        <f>HYPERLINK("https://www.linkedin.com/jobs/view/4363496817", "https://www.linkedin.com/jobs/view/4363496817")</f>
        <v/>
      </c>
      <c r="F77">
        <f>HYPERLINK("https://click.appcast.io/t/Uosx3hqsZu3CLHK7cNM83KA1jWDWxVivmINF4gCqXTc=?source=LinkedIn&amp;urlHash=lKbD", "https://click.appcast.io/t/Uosx3hqsZu3CLHK7cNM83KA1jWDWxVivmINF4gCqXTc=?source=LinkedIn&amp;urlHash=lKbD")</f>
        <v/>
      </c>
      <c r="G77" t="inlineStr">
        <is>
          <t>Chevy Chase, MD</t>
        </is>
      </c>
      <c r="H77" t="inlineStr"/>
      <c r="I7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We are developing a cutting\-edge, AI\-powered marketing automation platform exclusively for internal use, aimed at transforming how we engage with our customers. This platform will empower our marketing teams with smarter, more personalized, and efficient tools, allowing them to create seamless, data\-driven customer journeys across multiple channels. As a Senior Staff Engineer, you will play a critical role in the architecture, design, and development of this platform, bringing advanced AI and machine learning techniques into the heart of our marketing processes.
 Our Senior Staff Engineer is a key member of the engineering staff working on Web solutions ensuring that we provide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and a proven background in Java, Microservices, Containers (Kubernetes), and design, implementing, and maintaining front\-end UIs.
**Position Responsibilities** 
 As a Senior Staff Engineer, you will:
* Scope, design, and build scalable, resilient distributed systems
* Build product definition and leverage your technical skills to drive towards the right solution
* Engage in cross\-functional collaboration throughout the entire software lifecycle
* Lead design sessions and code reviews with peers to elevate the quality of engineering across the organization
* Build and maintain platform observability infrastructure including monitoring dashboards, alerting systems, and incident response procedures
* Define, create, and support reusable application components/patterns from a business and technology perspective
* Utilize programming languages like Java, Python, and Container Orchestration services including Docker and Kubernetes, and a variety of Azure tools and services across the software development life cycle (task management, source code, building, deployment, operations, real\-time communication) to perform advanced\-level Java application design under minimal direction
* Utilizes developer tooling across the software development life cycle (task management, source code, building, deployment, operations, real\-time communication) to perform advanced\-level Mobile/Web/UI design, implementation, and maintenance activities under minimal direction
* Mentor and coach engineers across multiple teams, providing technical guidance, career development support, and constructive feedback to help them grow into senior technical roles
* Consistently share best practices and improve processes within and across teams
* Design and implement data pipelines and analytics solutions using Snowflake and Power BI to drive marketing insights
**Qualifications**
* Experience with design, develop and deploy machine learning solutions to solve complex problems and integrate them into software systems
* Experience building MarTech applications, including implementation solution design
* Fluency with Java, Spring Framework, Python, JavaScript/TypeScript, CSS, JSON, RESTful Web Services, NodeJS, Cassandra and Event Driven Architectures
* Strong Cloud (AWS, GCP, Azure, etc.) platform knowledge
* Familiar with Project Management and work item management tools such as Azure DevOps, JIRA
* Exemplary ability to design, perform experiments, and influence engineering direction and product roadmap
* Experience partnering with engineering teams and transferring research to production
* Experience with platform stability and observability including building Grafana dashboards, configuring alerts, and implementing monitoring solutions
* Experience with continuous delivery and infrastructure as code
* In\-depth knowledge of CS data structures and algorithms
* Experience solving analytical problems with quantitative approaches
* Ability to excel in a fast\-paced, startup\-like environment
* Knowledge of developer tooling across the software development life cycle (task management, source code, building, deployment, operations, real\-time communication)
* Fluency and Specialization with modern languages such as Java, Python including object\-oriented design
* Experience with Micro\-services\-oriented architecture and extensible REST APIs
* Experience with AI/ML and data driven integration with backend
* Experience building the architecture and design (architecture, design patterns, reliability, and scaling) of new and current systems
* Fluency in DevOps Concepts, Cloud Architecture, and Azure DevOps Operational Framework
* Experience with application monitoring tools and performance assessments
* Experience in security protocols and products: Understanding of Active Directory, Windows Authentication, SAML, OAuth
* Experience with Snowflake data platform including data warehousing, data modeling, and query optimization
* Proficiency in Power BI for creating interactive dashboards, reports, and data visualizations
**Experience**
* 10\+ years of professional software development experience within Web frameworks/SDKs/languages
* 8\+ years of experience with architecture and design
* 4\+ years of experience with AWS, GCP, Azure, or another cloud service
* 3\+ years of experience in open\-source frameworks
* 2\+ years of experience with AI/ML
**Education**
* Bachelor’s degree in Computer Science, Information Systems, or equivalent education
**Annual Salary**
 $100,000\.00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8">
      <c r="A78" t="inlineStr">
        <is>
          <t>li-4363417558</t>
        </is>
      </c>
      <c r="B78" t="inlineStr">
        <is>
          <t>Software Developer (Entry Level)</t>
        </is>
      </c>
      <c r="C78" t="inlineStr">
        <is>
          <t>Epic</t>
        </is>
      </c>
      <c r="D78" t="inlineStr">
        <is>
          <t>linkedin</t>
        </is>
      </c>
      <c r="E78">
        <f>HYPERLINK("https://www.linkedin.com/jobs/view/4363417558", "https://www.linkedin.com/jobs/view/4363417558")</f>
        <v/>
      </c>
      <c r="F78" t="inlineStr"/>
      <c r="G78" t="inlineStr">
        <is>
          <t>Detroit, MI</t>
        </is>
      </c>
      <c r="H78" t="inlineStr"/>
      <c r="I7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79">
      <c r="A79" t="inlineStr">
        <is>
          <t>li-4365624443</t>
        </is>
      </c>
      <c r="B79" t="inlineStr">
        <is>
          <t>Software Engineer</t>
        </is>
      </c>
      <c r="C79" t="inlineStr">
        <is>
          <t>Haystack</t>
        </is>
      </c>
      <c r="D79" t="inlineStr">
        <is>
          <t>linkedin</t>
        </is>
      </c>
      <c r="E79">
        <f>HYPERLINK("https://www.linkedin.com/jobs/view/4365624443", "https://www.linkedin.com/jobs/view/4365624443")</f>
        <v/>
      </c>
      <c r="F79" t="inlineStr"/>
      <c r="G79" t="inlineStr">
        <is>
          <t>Chicago, IL</t>
        </is>
      </c>
      <c r="H79" t="inlineStr"/>
      <c r="I79" t="inlineStr">
        <is>
          <t>**AI Software Engineer Associate Manager \| Illinois, IL \| Remote/Hybrid \| $100,000 \- $170,500**
 We're working with Allstate on this exciting opportunity.
 Lead the charge in AI innovation at Allstate! We're seeking a visionary Associate Manager to architect and deliver cutting\-edge digital products, specializing in Large Language Models (LLM) and Generative AI within cloud\-native AWS and Azure environments. Drive the future of insurance through advanced AI solutions and shape a high\-performing engineering team.
**The Role**
* Lead and mentor a global engineering team, fostering career development and technical excellence.
* Architect and implement secure, scalable digital products with a focus on LLM, Generative AI, and Retrieval Augmented Generation (RAG) systems.
* Actively contribute to hands\-on software development, guiding code quality for high\-performance solutions using Java and SQL.
* Drive cross\-functional collaboration and lead engineering strategy across product portfolios, ensuring technical input informs product scope.
* Spearhead innovation as a subject matter expert in Generative AI, LLM fine\-tuning, and cloud\-native Azure integration.
**What You'll Need**
* 8\+ years hands\-on experience designing and delivering large\-scale distributed systems and microservices, preferably with Java and Spring Boot.
* Strong expertise in AWS and Microsoft Azure Cloud Platforms, including Azure AI Services, Azure OpenAI Service, and Azure Machine Learning.
* Proficiency in building Python\-based AI agentic services and integrating them into enterprise systems.
* Practical experience implementing RAG architectures, MLOps practices, and LLM orchestration frameworks like LangChain.
* Proven leadership, stakeholder relationship management, and people management skills with an agile mindset.
**What's On Offer**
* Join a leading company with a 90\+ year history of innovation and forward\-thinking initiatives.
* Shape the future of protection through advanced AI, telematics, and device/identity protection.
* Opportunity to work with cutting\-edge technologies like LLM, Generative AI, and cloud\-native platforms.
* Be part of a winning team that makes a meaningful impact and encourages challenging the status quo.
**Apply via Haystack today!**</t>
        </is>
      </c>
    </row>
    <row r="80">
      <c r="A80" t="inlineStr">
        <is>
          <t>li-4365610525</t>
        </is>
      </c>
      <c r="B80" t="inlineStr">
        <is>
          <t>Software Engineer - AI Focus (Center for Technology in Education)</t>
        </is>
      </c>
      <c r="C80" t="inlineStr">
        <is>
          <t>Inside Higher Ed</t>
        </is>
      </c>
      <c r="D80" t="inlineStr">
        <is>
          <t>linkedin</t>
        </is>
      </c>
      <c r="E80">
        <f>HYPERLINK("https://www.linkedin.com/jobs/view/4365610525", "https://www.linkedin.com/jobs/view/4365610525")</f>
        <v/>
      </c>
      <c r="F80">
        <f>HYPERLINK("https://jsv3.recruitics.com/redirect?rx_cid=804&amp;rx_jobId=3455656&amp;rx_url=https%3A%2F%2Fcareers.insidehighered.com%2Fjob%2F3455656%2Fsoftware-engineer-ai-focus-center-for-technology-in-education-%2F%3FTrackID%3D3%26rx_campaign%3DLinkedin1%26rx_ch%3Dconnector%26rx_group%3D501092%26rx_id%3Dbab91da1-f888-11f0-8259-8b0e4b194de4%26rx_job%3D3455656%26rx_medium%3Dpost%26rx_r%3Dnone%26rx_source%3Dlinkedinslot%26rx_ts%3D20260124T001257Z%26rx_vp%3Dslots%26utm_campaign%3Dlinkedinslot%26utm_source%3Dlinkedinslot&amp;urlHash=5Oyb", "https://jsv3.recruitics.com/redirect?rx_cid=804&amp;rx_jobId=3455656&amp;rx_url=https%3A%2F%2Fcareers.insidehighered.com%2Fjob%2F3455656%2Fsoftware-engineer-ai-focus-center-for-technology-in-education-%2F%3FTrackID%3D3%26rx_campaign%3DLinkedin1%26rx_ch%3Dconnector%26rx_group%3D501092%26rx_id%3Dbab91da1-f888-11f0-8259-8b0e4b194de4%26rx_job%3D3455656%26rx_medium%3Dpost%26rx_r%3Dnone%26rx_source%3Dlinkedinslot%26rx_ts%3D20260124T001257Z%26rx_vp%3Dslots%26utm_campaign%3Dlinkedinslot%26utm_source%3Dlinkedinslot&amp;urlHash=5Oyb")</f>
        <v/>
      </c>
      <c r="G80" t="inlineStr">
        <is>
          <t>Baltimore, MD</t>
        </is>
      </c>
      <c r="H80" t="inlineStr"/>
      <c r="I80" t="inlineStr">
        <is>
          <t>Responsible for full life cycle of medium to large sized complex projects; strong technical skills; strong ability to understand complex business processes. Develops solutions based on extensive technical knowledge, skills and experience; influences client towards innovative/integrated solutions.
**Specific Duties \&amp; Responsibilities**
* The responsibilities listed below are typical examples of the work performed by this position.
* Not all duties assigned to this position are included, nor is it expected that everyone in this position will be assigned every job responsibility.
*Analysis \&amp; Requirements Gathering*
* Define complex business/clinical/education problems by meeting with clients to observe and understand current processes and the issues related to those processes. Provide written documentation of findings to share with the client and other IT colleagues.
* Gather complex system requirements by meeting with clients and researching existing technology to understand the business requirements and possible solutions for new applications.
*Design \&amp; Development*
* Develop detailed tasks and project plans by analyzing project scope and milestones for complex projects to ensure product is delivered quickly according to software lifecycle standards.
* Write functional/technical specifications from the complex system requirements, putting them into functional and technical descriptions for use by programmers and business analysts to develop technical solutions.
* Develop/change data input, files/database structures, data transformation, algorithms, and data output by using appropriate computer language/tools to provide technical solutions for complex application development tasks.
* Document code and associated processes by adhering to development methodologies, adding code comments and appropriate documentation to various knowledge\-base system(s) to simplify code maintenance and to improve support.
* Provide monitoring and guidance in application design and development to more junior staff.
* Provide thought leadership in designing and developing innovative integrated solutions.
*Testing \&amp; Documentation*
* Create and document complex test scenarios using the appropriate testing tools to validate and verify application functionality.
* Test all changes by using the appropriate complex test scenarios to ensure all delivered solutions work as expected and errors are handled in a meaningful way.
* Author and maintain documentation by writing audience\-appropriate materials to serve as technical and/or end\-user references.
* Mentor junior staff in testing tools and technologies by reviewing their work.
*Implementation \&amp; Maintenance*
* Implement changes by adhering to the change management policies and procedures for any given project to communicate to all parties the nature, significance, and risk factors of the solution.
* Monitor changes and resolve complex problems by responding as they occur, by reviewing all processing and output of the newly implemented solution, and by proactively ensuring the solution works successfully to satisfy the customer requirements and to provide a smooth transition to the new solution.
* Provide support by investigating and resolving issues, including complex issues to ensure prompt, effective service.
*In addition to the duties described above*
* Advanced Prompt Engineering \- Design, develop, and iteratively refine the system prompts responsible for managing the entire conversational flow, performing complex reasoning, and generating required structured data (e.g., JSON) based on a defined schema.
* Serverless Function Development \- Build, maintain, and monitor the core Node.js serverless functions on serverless platforms (e.g., Netlify, AWS Lambda, etc.).
* RAG API Integration \- Implement and optimize the API calls to a managed RAG knowledge base (e.g., CustomGPT or similar). This includes programmatically instructing the AI to use metadata filtering for precise, low\-cost retrievals.
* Data Validation \&amp; Security \- Implement and maintain programmatic validation code to ensure 100% schema compliance for all structured data output from the LLM. Implement all server\-side security mitigations, including API key management, security headers, and safeguards against prompt injection.
* Observability and Support \- Implement the monitoring and analytics strategy (logging token usage, latency, validation failure rates) and address issues related to production outages, high error rates, or schema failures.
* Collaboration \- Work closely with the Frontend UX Engineer to ensure the structured data contract is stable, efficient, and meets the needs of the visual rendering engine.
**Minimum Qualifications**
* Bachelor's Degree (or foreign equivalent) in Computer Science, Computer Information Systems, Information Technology, Electronic Engineering, or a related field.
* Five years of related work experience with computer systems and applications.
**Preferred Qualifications**
* Knowledge in the assigned application as well as the platform on which it runs.
* Three years or more professional experience in a backend or full\-stack role with a heavy focus on serverless Node.js applications (e.g., Netlify Functions, AWS Lambda, Google Cloud Functions).
* Demonstrated experience with prompt engineering and managing conversational state and converting LLM output to structured data (e.g., JSON).
* Demonstrable experience with data validation libraries to enforce strict schema contracts.
* Proven experience with authentication using 3rd\-party APIs.
* Proven experience integrating third\-party APIs (especially RAG or LLM APIs) within a serverless environment.
* Strong understanding of serverless security principles, including API key management and mitigation strategies for common LLM vulnerabilities.
**Additional Knowledge, Skills, And Abilities**
* A strong portfolio of work that includes examples of complex backend API development and examples of advanced system prompts you have authored for complex, multi\-step AI systems that require advanced reasoning.
* Experience with the full lifecycle of conversational AI applications, including frontend considerations like client\-side context management (e.g., history truncation) and state synchronization.
**On Call Or Non\-standard Work Hour Requirements**
 Up to 27 hours per week within a six\-month period to respond to development needs
**Technical Skills**
 Agile Methodology \- Intermediate
 Algorithms \- Intermediate
 Application Programming Interface (API) \- Intermediate
 CI/CD \- Intermediate
 Cloud Serverless Computing Architecture \- Intermediate
 Code Review \- Intermediate
 Data Architecture and Design \- Intermediate
 Data Structures \- Intermediate
 Debugging \- Intermediate
 Dev Ops \- Intermediate
 JIRA \- Intermediate
 New Product Development \- Intermediate
 Secure Coding \- Intermediate
 Service Orientated Architecture \- Intermediate
 Software Design Patterns \- Intermediate
 Software Development Life \- Cycle Intermediate
 Software Engineering \- Intermediate
 Unit Testing \- Intermediate
*The core technical skills listed are most essential; additional technical skills may be required based on specific division or department needs.*
 Classified Title: Software Engineer
 Job Posting Title (Working Title): Software Engineer \- AI Focus (Center for Technology in Education)
 Role/Level/Range: ATP/04/PE
 Starting Salary Range: $37\.58 \- $65\.79 HRLY (Commensurate w/exp.)
 Employee group: Casual / On Call
 Schedule: Monday \- Friday, 18 hours per week
 FLSA Status: Exempt
 Location: Remote
 Department name: Center for Technology in Education (CTE)
 Personnel area: School of Education</t>
        </is>
      </c>
    </row>
    <row r="81">
      <c r="A81" t="inlineStr">
        <is>
          <t>li-4365624898</t>
        </is>
      </c>
      <c r="B81" t="inlineStr">
        <is>
          <t>Software Engineer - Production</t>
        </is>
      </c>
      <c r="C81" t="inlineStr">
        <is>
          <t>Supermicro</t>
        </is>
      </c>
      <c r="D81" t="inlineStr">
        <is>
          <t>linkedin</t>
        </is>
      </c>
      <c r="E81">
        <f>HYPERLINK("https://www.linkedin.com/jobs/view/4365624898", "https://www.linkedin.com/jobs/view/4365624898")</f>
        <v/>
      </c>
      <c r="F81" t="inlineStr"/>
      <c r="G81" t="inlineStr">
        <is>
          <t>San Jose, CA</t>
        </is>
      </c>
      <c r="H81" t="inlineStr"/>
      <c r="I81" t="inlineStr">
        <is>
          <t>****Job Req ID: 28256****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looking for a Software Engineer \- Production. This position will be based at our headquarters located in San Jose, CA. The engineer will work across the full stack, building highly scalable distributed solutions that enable positive user experiences and measurable business growth. The candidate will also develop new features and infrastructure development in support of rapidly emerging business and project requirements. In addition, the production engineer will ensure application performance, uptime, and scale, maintaining high standards of code quality and thoughtful application design.
**Essential Duties And Responsibilities**
**Includes the following essential duties and responsibilities (other duties may also be assigned):**
* Participate in all aspects of agile software development including design, implementation, and deployment
* Architect and provide guidance on building end\-to\-end systems optimized for speed and scale
* Work primarily in JavaScript, TypeScript, React and Nodejs
* Deploy and maintain service on K8s cluster
* Engage with inspiring designers and front end engineers, and collaborate with leading back end engineers as we create reliable APIs
* Collaborate across GitHub comments, documents
**Qualifications**
* Bachelor’s degree in Computer Science, Information Technology, or Engineering
* 1\+ years of experience building large scale software applications
* Experience building web applications
* Experience designing and integrating GraphQL, RESTful APIs
* Knowledge of Docker, Nodejs , React, Sql, and Javascript
* Excellent debugging and optimization skills
* Unit/integration testing experience
****Salary Range****
 $100,000 \- $160,000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82">
      <c r="A82" t="inlineStr">
        <is>
          <t>li-4363397622</t>
        </is>
      </c>
      <c r="B82" t="inlineStr">
        <is>
          <t>Software Developer (Entry Level)</t>
        </is>
      </c>
      <c r="C82" t="inlineStr">
        <is>
          <t>Epic</t>
        </is>
      </c>
      <c r="D82" t="inlineStr">
        <is>
          <t>linkedin</t>
        </is>
      </c>
      <c r="E82">
        <f>HYPERLINK("https://www.linkedin.com/jobs/view/4363397622", "https://www.linkedin.com/jobs/view/4363397622")</f>
        <v/>
      </c>
      <c r="F82" t="inlineStr"/>
      <c r="G82" t="inlineStr">
        <is>
          <t>West Fargo, ND</t>
        </is>
      </c>
      <c r="H82" t="inlineStr"/>
      <c r="I8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3">
      <c r="A83" t="inlineStr">
        <is>
          <t>li-4321324197</t>
        </is>
      </c>
      <c r="B83" t="inlineStr">
        <is>
          <t>Software Developer (Entry Level)</t>
        </is>
      </c>
      <c r="C83" t="inlineStr">
        <is>
          <t>Epic</t>
        </is>
      </c>
      <c r="D83" t="inlineStr">
        <is>
          <t>linkedin</t>
        </is>
      </c>
      <c r="E83">
        <f>HYPERLINK("https://www.linkedin.com/jobs/view/4321324197", "https://www.linkedin.com/jobs/view/4321324197")</f>
        <v/>
      </c>
      <c r="F83" t="inlineStr"/>
      <c r="G83" t="inlineStr">
        <is>
          <t>Fargo, ND</t>
        </is>
      </c>
      <c r="H83" t="inlineStr"/>
      <c r="I8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4">
      <c r="A84" t="inlineStr">
        <is>
          <t>li-4363377480</t>
        </is>
      </c>
      <c r="B84" t="inlineStr">
        <is>
          <t>Software Developer (Entry Level)</t>
        </is>
      </c>
      <c r="C84" t="inlineStr">
        <is>
          <t>Epic</t>
        </is>
      </c>
      <c r="D84" t="inlineStr">
        <is>
          <t>linkedin</t>
        </is>
      </c>
      <c r="E84">
        <f>HYPERLINK("https://www.linkedin.com/jobs/view/4363377480", "https://www.linkedin.com/jobs/view/4363377480")</f>
        <v/>
      </c>
      <c r="F84" t="inlineStr"/>
      <c r="G84" t="inlineStr">
        <is>
          <t>Minot, ND</t>
        </is>
      </c>
      <c r="H84" t="inlineStr"/>
      <c r="I8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5">
      <c r="A85" t="inlineStr">
        <is>
          <t>li-4321306203</t>
        </is>
      </c>
      <c r="B85" t="inlineStr">
        <is>
          <t>Software Developer (Entry Level)</t>
        </is>
      </c>
      <c r="C85" t="inlineStr">
        <is>
          <t>Epic</t>
        </is>
      </c>
      <c r="D85" t="inlineStr">
        <is>
          <t>linkedin</t>
        </is>
      </c>
      <c r="E85">
        <f>HYPERLINK("https://www.linkedin.com/jobs/view/4321306203", "https://www.linkedin.com/jobs/view/4321306203")</f>
        <v/>
      </c>
      <c r="F85">
        <f>HYPERLINK("https://epic.avature.net/Careers/ApplyFlowCheck?folderId=740&amp;source=LinkedIn&amp;urlHash=fKwC", "https://epic.avature.net/Careers/ApplyFlowCheck?folderId=740&amp;source=LinkedIn&amp;urlHash=fKwC")</f>
        <v/>
      </c>
      <c r="G85" t="inlineStr">
        <is>
          <t>Macomb, IL</t>
        </is>
      </c>
      <c r="H85" t="inlineStr"/>
      <c r="I85"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6">
      <c r="A86" t="inlineStr">
        <is>
          <t>li-4321335493</t>
        </is>
      </c>
      <c r="B86" t="inlineStr">
        <is>
          <t>Software Developer (Entry Level)</t>
        </is>
      </c>
      <c r="C86" t="inlineStr">
        <is>
          <t>Epic</t>
        </is>
      </c>
      <c r="D86" t="inlineStr">
        <is>
          <t>linkedin</t>
        </is>
      </c>
      <c r="E86">
        <f>HYPERLINK("https://www.linkedin.com/jobs/view/4321335493", "https://www.linkedin.com/jobs/view/4321335493")</f>
        <v/>
      </c>
      <c r="F86">
        <f>HYPERLINK("https://epic.avature.net/Careers/ApplyFlowCheck?folderId=740&amp;source=LinkedIn&amp;urlHash=fKwC", "https://epic.avature.net/Careers/ApplyFlowCheck?folderId=740&amp;source=LinkedIn&amp;urlHash=fKwC")</f>
        <v/>
      </c>
      <c r="G86" t="inlineStr">
        <is>
          <t>Cedar Rapids, IA</t>
        </is>
      </c>
      <c r="H86" t="inlineStr"/>
      <c r="I8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7">
      <c r="A87" t="inlineStr">
        <is>
          <t>li-4363427424</t>
        </is>
      </c>
      <c r="B87" t="inlineStr">
        <is>
          <t>Principal Software Engineer, ML Flywheel Technical Lead</t>
        </is>
      </c>
      <c r="C87" t="inlineStr">
        <is>
          <t>Waymo</t>
        </is>
      </c>
      <c r="D87" t="inlineStr">
        <is>
          <t>linkedin</t>
        </is>
      </c>
      <c r="E87">
        <f>HYPERLINK("https://www.linkedin.com/jobs/view/4363427424", "https://www.linkedin.com/jobs/view/4363427424")</f>
        <v/>
      </c>
      <c r="F87">
        <f>HYPERLINK("https://careers.withwaymo.com/jobs?gh_jid=7545007&amp;gh_src=e2a2625d1us&amp;urlHash=3CCO", "https://careers.withwaymo.com/jobs?gh_jid=7545007&amp;gh_src=e2a2625d1us&amp;urlHash=3CCO")</f>
        <v/>
      </c>
      <c r="G87" t="inlineStr">
        <is>
          <t>San Francisco, CA</t>
        </is>
      </c>
      <c r="H87" t="inlineStr"/>
      <c r="I8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Every mile driven by a Waymo car is a unique and valuable piece of data that can be leveraged into improving our machine learning models, and ultimately the safety and capabilities of the Waymo Driver. Charting the path from collection of a piece of data, to curation, (auto\-)labeling, model training and evaluation, all the way to model deployment and monitoring is a process of continuous scaling and quality improvement of the entire ML lifecycle. The Area Technical Lead for the Waymo machine learning flywheel is responsible for architecting, connecting, automating and improving the entire span of this self\-improvement process in close collaboration with Waymo’s infrastructure, modeling and evaluation teams. They are directly accountable to Waymo’s leadership for the organization’s ML data strategy and its impact on Driver quality.
 You will report directly to our Distinguished Engineer, Foundation Models.
**You Will**
* Architect a path towards every autonomous mile driven by a Waymo car to be automatically incorporated into an automated data\-driven self\-improvement loop for the Waymo Driver.
* Enable a data flywheel to serve the demands of scalable pre\-training, post\-training targeted to relevant critical behaviors, as well as Driver simulation and validation.
* Enable a modeling flywheel to efficiently consume that data to reliably generate updated models that are validated and deployable with minimal human toil.
* Coordinate cross\-functional efforts in partnership with data and ML infrastructure teams, resource planning, logging infrastructure, modeling and validation teams to accelerate the velocity, impact and leverage of driving data on the Waymo Driver.
* Act as the steward of data quality, by providing tooling and metrics to evaluate the impact of mining, selection and curation on the modeling pipeline performance.
* Articulate the strategy for incorporating diverse data sources, including third\-party and synthetic data into that improvement flywheel.
* Drive innovation across all axes of performance and efficiency, from Driver quality, to scalability, cost, engineering velocity, model architecture and performance.
**You Have**
* Master's degree or PhD in Computer Science, Engineering, or a related technical field
* 10\+ years of experience in ML model development, and you have 2\+ years experience with large\-scale vision, video, or multi\-modal foundation model development and their integration in end\-to\-end models
* 6\+ years of experience in ML\-driven production systems that develops models with large\-scale data, training, evaluation, and deployment
* 6\+ years of experience in a technical leadership role leading technical teams and setting technical directions in large ML Engineering organizations
* Demonstrated expertise in large\-scale machine learning and its key components: pre\-training, post\-training, and validation. Deep understanding of both infrastructure and quality aspects.
* Track record of architecting and standing up a machine learning flywheel at scale for mission critical applications.
* Experience with driving model quality improvements through systematic data scaling and curation.
* Communication and interpersonal skills. Ability to inspire, influence and coordinate across functions and disciplines.
**We Prefer**
* PhD in computer science.
* Experience in multi\-modal LLM model development, and their infrastructure.
* Familiarity with multi\-task, end\-to\-end models and their development challenges.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$332,000—$421,000 USD</t>
        </is>
      </c>
    </row>
    <row r="88">
      <c r="A88" t="inlineStr">
        <is>
          <t>li-4321394018</t>
        </is>
      </c>
      <c r="B88" t="inlineStr">
        <is>
          <t>Software Developer (Entry Level)</t>
        </is>
      </c>
      <c r="C88" t="inlineStr">
        <is>
          <t>Epic</t>
        </is>
      </c>
      <c r="D88" t="inlineStr">
        <is>
          <t>linkedin</t>
        </is>
      </c>
      <c r="E88">
        <f>HYPERLINK("https://www.linkedin.com/jobs/view/4321394018", "https://www.linkedin.com/jobs/view/4321394018")</f>
        <v/>
      </c>
      <c r="F88">
        <f>HYPERLINK("https://epic.avature.net/Careers/ApplyFlowCheck?folderId=740&amp;source=LinkedIn&amp;urlHash=fKwC", "https://epic.avature.net/Careers/ApplyFlowCheck?folderId=740&amp;source=LinkedIn&amp;urlHash=fKwC")</f>
        <v/>
      </c>
      <c r="G88" t="inlineStr">
        <is>
          <t>Wausau, WI</t>
        </is>
      </c>
      <c r="H88" t="inlineStr"/>
      <c r="I8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9">
      <c r="A89" t="inlineStr">
        <is>
          <t>li-4363437670</t>
        </is>
      </c>
      <c r="B89" t="inlineStr">
        <is>
          <t>Software Developer (Entry Level)</t>
        </is>
      </c>
      <c r="C89" t="inlineStr">
        <is>
          <t>Epic</t>
        </is>
      </c>
      <c r="D89" t="inlineStr">
        <is>
          <t>linkedin</t>
        </is>
      </c>
      <c r="E89">
        <f>HYPERLINK("https://www.linkedin.com/jobs/view/4363437670", "https://www.linkedin.com/jobs/view/4363437670")</f>
        <v/>
      </c>
      <c r="F89">
        <f>HYPERLINK("https://epic.avature.net/Careers/ApplyFlowCheck?folderId=740&amp;source=LinkedIn&amp;urlHash=fKwC", "https://epic.avature.net/Careers/ApplyFlowCheck?folderId=740&amp;source=LinkedIn&amp;urlHash=fKwC")</f>
        <v/>
      </c>
      <c r="G89" t="inlineStr">
        <is>
          <t>Davenport, IA</t>
        </is>
      </c>
      <c r="H89" t="inlineStr"/>
      <c r="I8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90">
      <c r="A90" t="inlineStr">
        <is>
          <t>li-4363407601</t>
        </is>
      </c>
      <c r="B90" t="inlineStr">
        <is>
          <t>Software Developer (Entry Level)</t>
        </is>
      </c>
      <c r="C90" t="inlineStr">
        <is>
          <t>Epic</t>
        </is>
      </c>
      <c r="D90" t="inlineStr">
        <is>
          <t>linkedin</t>
        </is>
      </c>
      <c r="E90">
        <f>HYPERLINK("https://www.linkedin.com/jobs/view/4363407601", "https://www.linkedin.com/jobs/view/4363407601")</f>
        <v/>
      </c>
      <c r="F90" t="inlineStr"/>
      <c r="G90" t="inlineStr">
        <is>
          <t>Kearney, NE</t>
        </is>
      </c>
      <c r="H90" t="inlineStr"/>
      <c r="I9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91">
      <c r="A91" t="inlineStr">
        <is>
          <t>li-4321404164</t>
        </is>
      </c>
      <c r="B91" t="inlineStr">
        <is>
          <t>Software Developer (Entry Level)</t>
        </is>
      </c>
      <c r="C91" t="inlineStr">
        <is>
          <t>Epic</t>
        </is>
      </c>
      <c r="D91" t="inlineStr">
        <is>
          <t>linkedin</t>
        </is>
      </c>
      <c r="E91">
        <f>HYPERLINK("https://www.linkedin.com/jobs/view/4321404164", "https://www.linkedin.com/jobs/view/4321404164")</f>
        <v/>
      </c>
      <c r="F91" t="inlineStr"/>
      <c r="G91" t="inlineStr">
        <is>
          <t>Columbia, MO</t>
        </is>
      </c>
      <c r="H91" t="inlineStr"/>
      <c r="I9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92">
      <c r="A92" t="inlineStr">
        <is>
          <t>li-4363467552</t>
        </is>
      </c>
      <c r="B92" t="inlineStr">
        <is>
          <t>Software Engineer-Developer (Development)</t>
        </is>
      </c>
      <c r="C92" t="inlineStr">
        <is>
          <t>Jobs via Dice</t>
        </is>
      </c>
      <c r="D92" t="inlineStr">
        <is>
          <t>linkedin</t>
        </is>
      </c>
      <c r="E92">
        <f>HYPERLINK("https://www.linkedin.com/jobs/view/4363467552", "https://www.linkedin.com/jobs/view/4363467552")</f>
        <v/>
      </c>
      <c r="F92">
        <f>HYPERLINK("https://click.appcast.io/t/tHslRoMdp5n78hbszPKfHViGKW1F8YK4csLvCBBslMw=&amp;urlHash=GimF", "https://click.appcast.io/t/tHslRoMdp5n78hbszPKfHViGKW1F8YK4csLvCBBslMw=&amp;urlHash=GimF")</f>
        <v/>
      </c>
      <c r="G92" t="inlineStr">
        <is>
          <t>Kent, WA</t>
        </is>
      </c>
      <c r="H92" t="inlineStr"/>
      <c r="I92" t="inlineStr">
        <is>
          <t>**Company:**
 The Boeing Company
 The Boeing Company is currently seeking a
 **Software Engineer\-Developer** 
 to support our
 **Daybreak** 
 team located in
 **Kent, Washington.** 
 This position will focus on supporting the Boeing Defense, Space \&amp; Security (BDS) Software Engineering organization.
 Join us to build the brain of a mission\-critical radar processing ecosystem \- the orchestrator that turns tasking inputs into timely, reliable products for customers across industry and defense partners. This is a hands\-on, high\-impact role where your designs, decisions, and code directly shape how our fleet of applications coordinates, scales, and recovers under pressure.
 You will work at the intersection of real\-time systems, cloud\-native engineering, and partner integrations. Your work will be visible, mission\-critical, and continually evolving \- we move fast, adopt new tech, and count on nimble engineers to make big things reliable. If you thrive on ownership, complexity, and impact, this is the place to shine.
**Our teams are currently hiring for a broad range of experience levels including Associate and Experienced Level Software Engineers.**
**Position Responsibilities:**
* Design, implement, and maintain cloud\-native and real\-time orchestration components that coordinate radar processing workflows and downstream products.
* Lead and contribute to DevSecOps pipelines: CI/CD, automated testing, secure build/release flows, and deployment automation.
* Manage multiple C\+\+ and mixed\-language code repositories, implement build/test pipelines, and maintain cross\-platform compatibility and CI validation.
* Implement automated regression tests and validation suites, and ensure repeatable, auditable release processes.
* Integrate partner systems and simulation inputs (e.g., supply chain / transport simulations) to increase system fidelity and analytics.
* Troubleshoot and resolve complex multi\-environment bugs to increase reliability across Windows, Linux, and macOS.
* Work with product and systems teams to harden software for operational and mission environments; contribute to threat modeling and secure design reviews.
**Basic Qualifications (Required Skills/ Experience):**
* Strong DevSecOps experience across the software lifecycle: CI/CD pipeline design and operation, automated testing, and secure release processes.
* Proficient in C\+\+ development and familiar with managing multiple repositories, branching strategies, and PR validation.
* Experience building and validating across platforms using Docker.
* Strong analytical background; Masters level training in physics or equivalent research experience is highly valued and a plus for systems\-level reasoning and complex problem solving.
**Preferred Qualifications (Desired Skills/Experience):**
* Bachelor of Science degree from an accredited course of study in engineering, engineering technology (includes manufacturing engineering technology), chemistry, physics, mathematics, data science, or computer science.
* Level 2: 1 or more years' related work experience or an equivalent combination of education and experience
* Level 3: 3 or more years' related work experience or an equivalent combination of education and experience
* 1\+ years' experience in Python/C\+\+ programming on full stack software projects/programs
* Experience with AWS, AWS Lambdas, Docker, Kubernetes
* Experience developing and maintaining REST APIs and interfaces
* Familiarity with practices such as test\-driven development (TDD), agile software development, continuous integration, and dependency management is preferred.
* Experience with satellite ground mission capabilities, products, and/or customers
* Experience with DevSecOps and continuous integration (CI/CD, Jenkins, GitLab)
**Drug Free Workplace:**
 Boeing is a Drug Free Workplace (DFW) where post offer applicants and employees are subject to testing for marijuana, cocaine, opioids, amphetamines, PCP, and alcohol when criteria is met as outlined in our policies.
**Travel: 10%**
**CodeVue Coding Challenge:**
 To be considered for this position you will be required to complete a technical assessment as part of the selection process. Failure to complete the assessment will remove you from consideration.
**Union:**
 This is a union represented position.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 $102,850 \- $172,500
**Language Requirements:**
 Not Applicable
**Education:**
 Not Applicable
**Relocation:**
 This position offers relocation based on candidate eligibility.
**Export Control Requirement:**
 This is not an Export Control position.
**Safety Sensitive:**
 This is not a Safety Sensitive Position.
**Security Clearance:**
 This position requires the ability to obtain a U.S. Security Clearance for which the U.S. Government requires U.S. Citizenship. An interim and/or final U.S. Top Secret/SCI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93">
      <c r="A93" t="inlineStr">
        <is>
          <t>li-4363437056</t>
        </is>
      </c>
      <c r="B93" t="inlineStr">
        <is>
          <t>Comcast Embedded System Software Developer Co-op</t>
        </is>
      </c>
      <c r="C93" t="inlineStr">
        <is>
          <t>Comcast</t>
        </is>
      </c>
      <c r="D93" t="inlineStr">
        <is>
          <t>linkedin</t>
        </is>
      </c>
      <c r="E93">
        <f>HYPERLINK("https://www.linkedin.com/jobs/view/4363437056", "https://www.linkedin.com/jobs/view/4363437056")</f>
        <v/>
      </c>
      <c r="F93" t="inlineStr"/>
      <c r="G93" t="inlineStr">
        <is>
          <t>Philadelphia, PA</t>
        </is>
      </c>
      <c r="H93" t="inlineStr"/>
      <c r="I93"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Comcast’s Drexel Co\-op Program offers an exciting opportunity to gain hands\-on experience, build lasting connections, and grow professionally in a dynamic and inclusive environment. This paid, 6\-month immersive experience places students at the heart of our business, working alongside talented professionals on meaningful projects that contribute to real outcomes. As a trusted member of the team, you’ll gain exposure to the inner workings of a global media and technology company while developing skills that will serve you well in any career path.
**Job Description**
 Your experience will include:
* Hands\-On Learning \&amp; Impactful Work: Tackle real business challenges, collaborate across teams, and contribute ideas that drive results from day one.
* Community, Connection \&amp; Giving Back: Build meaningful relationships through social events, peer engagement, and shared experiences. You’ll also have the opportunity to give back through Team UP, Comcast’s volunteer initiative, deepening your connection to both your community and your fellow students.
* Mentorship \&amp; Support: Receive guidance from experienced professionals through our dedicated mentorship program, helping you navigate your co\-op and beyond.
* Professional Development: Participate in a custom onboarding experience, a curated learning series, and networking events designed to help you build new skills, explore career paths, and gain insights from professionals from across the organization.
 At Comcast, we’re committed to investing in the next generation of innovators and leaders. Our Co\-op Program is a transformative experience designed to help you grow, connect, and take the next step in your professional journey.
**Organization \&amp; Team Overview**
 Comcast’s Technology, Product, Experience (TPX) organization works at the intersection of media and technology. Our innovative teams are continually developing and delivering products and next\-generation technologies that transform the customer experience. The Comcast Network and CONNECTivity (CONNECT) organization is a highly agile, fast\-paced, dedicated group at the forefront of change focused on innovating, building, and operating the best in class, most reliable access network for our customers.
 Comcast’s Access Software Development teams focus on two key components in the network: Remote PHY Devices (RPD) and Full Duplex (FDX) Smart Amplifiers. These teams provide a common software layer for remote management of the devices, regardless of the manufacturer. This results in common behavior across all manufacturers’ platforms, greatly simplifying Comcast’s back\-end services managing the deployed population.
 While the software developers are located primarily in India, the programs are led by US\-based management located primarily in Comcast’s Philadelphia headquarters. Close collaboration between the locations is maintained through daily standups.
**Role Description**
 Are you passionate about C\+\+ development and eager to make an impact at scale? As a Software Engineering Co\-op on the FDX Amplifier team, you will help design and implement a Unified Embedded Logging System for our fleet of millions of FDX Amplifiers deployed nationwide. Join a highly motivated global team of engineers where your work will directly improve the reliability, diagnostics, and maintainability of critical embedded systems powering next\-generation broadband networks.
 What are some interesting problems the student will work on?
**In Your Role, You Will**
* Design and implement a high\-performance, thread\-safe logging library in modern C\+\+ for embedded systems.
* Solve challenges around minimizing memory and CPU usage while ensuring reliable log delivery across millions of devices.
* Develop flexible log filtering and routing mechanisms to support real\-time diagnostics and remote troubleshooting.
* Integrate the logging system with multiple output backends, such as serial interfaces and network endpoints.
* Collaborate with engineers to ensure seamless adoption across diverse set of modules.
* Optimize for scalability and maintainability in a large, distributed device fleet.
 Where can this student make an impact?
 You will collaborate with experienced engineers on the FDX Amplifier team to deliver a robust logging system that will be deployed across millions of devices. Your contributions will directly enhance the reliability, observability, and maintainability of our embedded software, enabling faster diagnosis and resolution of field issues. Success in this role means improved system uptime, more efficient troubleshooting, and a measurable impact on the quality of next\-generation broadband services.
**Job Responsibilities**
 Responsibilities include but are not limited to:
* Contribute to the design and implementation of a modern C\+\+ logging library for embedded systems
* Develop and optimize code for performance, memory efficiency, and reliability
* Assist in testing, debugging, and documenting the logging system
* Participate in code reviews and team meetings to share progress and ideas
**Preferred Skills**
* Proficiency in modern C\+\+ (C\+\+11/14/17\) and object\-oriented programming
* Experience with embedded systems development
* Familiarity with multithreading and concurrency concepts
* Strong problem\-solving and debugging skills
* Knowledge of memory management and performance optimization
* Experience with version control systems (e.g., Git)
* Ability to read and interpret technical documentation
* Effective communication and teamwork skills
**Minimum Qualifications And Eligibility Requirements**
* Currently pursuing a bachelor’s degree from Drexel University, with a cooperative learning track.
* Available to work 40 hours per week for 6 months starting March 30, 2026, through September 18, 2026\.
* Authorized to work in the United States with no current or future sponsorship needs
* Available to report in\-person to the work location on the job posting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Relationship Building; Professional Etiquette; Accountability; Teamwork; Communication; Resilience
**Salary**
 Base Pay: $32\.00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t>
        </is>
      </c>
    </row>
    <row r="94">
      <c r="A94" t="inlineStr">
        <is>
          <t>li-4363456947</t>
        </is>
      </c>
      <c r="B94" t="inlineStr">
        <is>
          <t>Software Developer</t>
        </is>
      </c>
      <c r="C94" t="inlineStr">
        <is>
          <t>Jobs via Dice</t>
        </is>
      </c>
      <c r="D94" t="inlineStr">
        <is>
          <t>linkedin</t>
        </is>
      </c>
      <c r="E94">
        <f>HYPERLINK("https://www.linkedin.com/jobs/view/4363456947", "https://www.linkedin.com/jobs/view/4363456947")</f>
        <v/>
      </c>
      <c r="F94" t="inlineStr"/>
      <c r="G94" t="inlineStr">
        <is>
          <t>Greenwood Village, CO</t>
        </is>
      </c>
      <c r="H94" t="inlineStr"/>
      <c r="I94" t="inlineStr">
        <is>
          <t>**Description:**
*Hybrid 4 days onsite, 1 remote. in Greenwood Village, CO*
 Designs, modifies, develops, writes and implements software programming applications. Supports and/or installs software applications and operating systems. Supports enterprise applications customers use for retrieving critical billing, features, and account information. Participates in the testing process through test review and analysis, test witnessing and certification of software. Experienced with common software development concepts, practices, and procedures. Experienced developing enterprise applications with a high number of users. Relies on experience and judgment to plan and accomplish goals. Performs a variety of complicated tasks. A wide degree of creativity and latitude is expected.
*Due to client requirements, applicants must be willing and able to work on a w2 basis. For our w2 consultants, we offer a great benefits package that includes Medical, Dental, and Vision benefits, 401k with company matching, and life insurance.*
 Rate: $45\.00 to $55\.00/hr. w2
**Responsibilities:**
* Design, modify, develop, write, and implement software applications.
* Support and install software applications and operating systems.
* Support enterprise applications used to retrieve critical billing, features, and account information.
* Participate in the testing process, including test review, analysis, test witnessing, and certification.
* Apply common software development concepts, practices, and procedures to deliver scalable solutions.
* Plan and accomplish goals by relying on experience and sound judgment.
* Perform a variety of complex tasks with creativity and latitude.
**Experience Requirements:**
* 2\-5 years of software development experience.
* Proficiency with JavaScript.
* Familiarity with Java (preferred).
* Familiarity with GraphQL (preferred).
* Experience leveraging AI tools to improve and accelerate development work.
* Demonstrated teamwork, collaboration, and accountability.
* Strong organization and dependability.
* Curiosity and eagerness to learn with a focus on growing skills.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95">
      <c r="A95" t="inlineStr">
        <is>
          <t>li-4321363486</t>
        </is>
      </c>
      <c r="B95" t="inlineStr">
        <is>
          <t>Software Engineer - Microsoft Research</t>
        </is>
      </c>
      <c r="C95" t="inlineStr">
        <is>
          <t>Jobs via Dice</t>
        </is>
      </c>
      <c r="D95" t="inlineStr">
        <is>
          <t>linkedin</t>
        </is>
      </c>
      <c r="E95">
        <f>HYPERLINK("https://www.linkedin.com/jobs/view/4321363486", "https://www.linkedin.com/jobs/view/4321363486")</f>
        <v/>
      </c>
      <c r="F95">
        <f>HYPERLINK("https://click.appcast.io/t/XuBt8zfK_e-MbnyR2MVSWewuf2q8Qd3Z6hhL9gxRlKA=&amp;urlHash=5S0Z", "https://click.appcast.io/t/XuBt8zfK_e-MbnyR2MVSWewuf2q8Qd3Z6hhL9gxRlKA=&amp;urlHash=5S0Z")</f>
        <v/>
      </c>
      <c r="G95" t="inlineStr">
        <is>
          <t>Redmond, WA</t>
        </is>
      </c>
      <c r="H95" t="inlineStr"/>
      <c r="I95" t="inlineStr">
        <is>
          <t>**Overview**
 Join a team working at the center of frontier AI. You'll collaborate directly with researchers in one of the world's premier research labs, transforming breakthrough ideas into real, reliable, scalable capabilities used across Microsoft products. This role sits at the high\-impact intersection of research engineering product, where the work you do directly shapes what AI becomes next.
**Focus Areas You May Work On**
* Agentic Memory
* Efficiency
* Security
* Frontier model architectures
* Mathematics and logic applied to LLMs
**You might be a great fit if you:**
* Motivated by the intersection where research meets engineering \- the space where new ideas become real systems.
* Engaged effectively with ambiguous, open\-ended problems where exploration and clarity are equally important.
* Motivated by performance, safety, correctness, and experience, not just cleverness.
* Communicate clearly, collaborate naturally, and debug anything with calm and rigor.
* Inspired to build systems that meaningfully advance what AI can do, not just iterate on what already exists.
**We operate with urgency and ambition:**
* Short iteration cycles: hypothesis prototype evaluate refine ship
* Deep collaboration with researchers inventing new capabilities
* High ownership of systems, experiments, and outcomes
* Evidence\-driven decisions informed by evals, metrics, and safety signals
* A builder's mindset: clarity, craft, and care for the details that make systems robust
 You'll join a team motivated by curiosity, accountability, and the conviction that we are building something that truly moves the field forward, tackling problems that don't even have names yet alongside people defining the state of the art. If this motivates you, we want to meet you. Bring your curiosity. Bring your craft. Bring your appetite for building the future.
 Microsoft Research is committed to cultivating a workplace that reflects the diversity of the global communities we serve. We actively seek to build an inclusive and equitable research environment where individuals of all backgrounds feel valued, supported, and empowered to contribute. We encourage applications from candidates who bring a broad range of experiences and perspectives. Our team works collectively to ensure that Microsoft Research remains a respectful, collaborative, and high\-impact space for all researchers.
 Microsoft's mission is to empower every person and every organization on the planet to achieve more, and we are dedicated to this mission across every aspect of our company. Our culture is centered on embracing a growth mindset and encouraging teams and leaders to bring their best each day. Join us and help shape the future of the world
**Responsibilities**
* Translate research into systems: take early concepts and turn them into robust prototypes and product\-ready components.
* Design high velocity experimentation loops: datasets, evals, benchmarks, agent flows, safety tests, and decision frameworks.
* Scale and optimize: training, inference, efficiency, latency, cost, reliability.
* Partner cross functionally: coinvent with researchers, codesign with product teams, and land features that matter.
* As a Research Software Development Engineer in Microsoft Research, you will design, develop, execute, and implement technology research projects in collaboration with other team members, research partners, and product groups.
* Work with the team to identify, evaluate, and deploy new AI tools and technologies to accelerate our progress.
* Embody our culture and values .
**Qualifications**
**Required Qualifications**
* Bachelor's Degree in Computer Science, or related technical discipline with proven experience coding in languages including, but not limited to, C, C\+\+, C\#, Java, JavaScript, or Python OR equivalent experience.
**Preferred Qualifications**
* Ability to competently operate across an entire modern AI\-centric software stack.
* Adaptability to dive into a new domain quickly. Polyglot technology curiosity. Be a voracious learner of new languages, paradigms, tools, and techniques, consuming publications.
* 1\+ year(s) experience building agentic coding systems that operate at cloud scale using common agent protocols and coding frameworks.
* Systematic use of benchmarking and other data\-driven techniques to guide design and development.
* Ability to thrive in the face of ambiguity, able to prototype starting with a research concept or paper rather than a spec. Be a thought partner and operate as part of a multidisciplinary team as we build prototypes quickly, fail fast, pivot, and adapt.
* Experience with data science, machine learning (ML), Large Language Models (LLMs), Natural Language Processing (NLP), computer vision, multimodal input and processing, and software security.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6">
      <c r="A96" t="inlineStr">
        <is>
          <t>li-4365626124</t>
        </is>
      </c>
      <c r="B96" t="inlineStr">
        <is>
          <t>Generative AI Software Developer/Engineer -  Aerospace Technologies Development Sandbox (ONSITE)</t>
        </is>
      </c>
      <c r="C96" t="inlineStr">
        <is>
          <t>Collins Aerospace</t>
        </is>
      </c>
      <c r="D96" t="inlineStr">
        <is>
          <t>linkedin</t>
        </is>
      </c>
      <c r="E96">
        <f>HYPERLINK("https://www.linkedin.com/jobs/view/4365626124", "https://www.linkedin.com/jobs/view/4365626124")</f>
        <v/>
      </c>
      <c r="F96" t="inlineStr"/>
      <c r="G96" t="inlineStr">
        <is>
          <t>Cedar Rapids, IA</t>
        </is>
      </c>
      <c r="H96" t="inlineStr"/>
      <c r="I96" t="inlineStr">
        <is>
          <t>**Date Posted:**
 2026\-01\-23
**Country:**
 United States of America
**Location:**
 US\-IA\-CEDAR RAPIDS\-124 \~ 400 Collins Rd NE \~ BLDG 124
**Position Role Type:**
 Onsite
**U.S.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
**Security Clearance Type:**
 None/Not Required
**Security Clearance Status:**
 Not Required
 This position is for an experienced Software Engineer with either work or personal project experience in Artificial Intelligence, Machine Learning, or Generative AI. The position will be part of the Applied Research and Technology (ART) Aerospace Technologies Team designing and developing the next\-generation avionics systems of the future. The ART Aerospace Technologies Development Sandbox team is chartered with defining new disruptive developmental process improvements for the Collins Aerospace business to enable faster cycle times, lower total lifecycle cost, reduce tech debt and enable greater reusability.
 This is an onsite position based in Cedar Rapids, Iowa.
**What you will do:**
* Develop, design and conclude experiments to accelerate business capabilities in Generative AI for safety\-critical development
* Be obsessively passionate, inquisitive, and seek to solve everyday problems in innovative ways
* Thrive in a collaborative environment and clearly communicate while confidently providing technical guidance, mentoring, and support to multiple sub\-projects
* You possess the following character traits:
* You have a strong sense of ownership and take initiative while empowering others to do the same
* You prioritize positive impact over busy work
* You have no ego and understand that everyone has something to bring to the table regardless of experience
* You appreciate transparency and promote trust and empowerment through open access of information
* You are evidence\-based and prioritize data and science over seniority or dogma
* You take risks and rapidly iterate to find the best solution to the problem
**Qualifications you must have:**
* Typically requires a degree in Science, Technology, Engineering or Mathematics (STEM) and minimum 8 years prior relevant experience or an Advanced Degree in a related field and minimum 5 years of experience
* Must be a U.S. Person \- Job requires access to ITAR or 600/500\-series EAR information or hardware (directly or indirectly) and the company will not seek an export authorization for this role.
* Proficient in Unix/Linux and Python
* Experience in deploying Generative AI powered applications
* Experience with Large Language Model (LLM) development frameworks (e.g. LangChain, Haystack)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97">
      <c r="A97" t="inlineStr">
        <is>
          <t>li-4365631603</t>
        </is>
      </c>
      <c r="B97" t="inlineStr">
        <is>
          <t>Software Engineering - Software Engineer III</t>
        </is>
      </c>
      <c r="C97" t="inlineStr">
        <is>
          <t>Apex Systems</t>
        </is>
      </c>
      <c r="D97" t="inlineStr">
        <is>
          <t>linkedin</t>
        </is>
      </c>
      <c r="E97">
        <f>HYPERLINK("https://www.linkedin.com/jobs/view/4365631603", "https://www.linkedin.com/jobs/view/4365631603")</f>
        <v/>
      </c>
      <c r="F97">
        <f>HYPERLINK("https://www.apexsystems.com/job/3019339_usa/software-engineering\u002d\u002d-software-engineer-iii&amp;urlHash=lWo2", "https://www.apexsystems.com/job/3019339_usa/software-engineering\u002d\u002d-software-engineer-iii&amp;urlHash=lWo2")</f>
        <v/>
      </c>
      <c r="G97" t="inlineStr">
        <is>
          <t>Seattle, WA</t>
        </is>
      </c>
      <c r="H97" t="inlineStr"/>
      <c r="I97" t="inlineStr">
        <is>
          <t>**Job\#: 3019339**
**Job Description:**
**JOB TITLE:** 
**Software Engineer III**
**DURATION: 6 MONTHS**
**LOCATION: HYBRID IN REDMOND, WA**
**PAY RATE: $ $72 \- $82 HOURLY**
**Description:**
 Onsite \- Seattle, open to Hybrid and coming onsite 3 days a week
 Summary:
 The main function of a client software engineer is to apply the principles of computer science and mathematical analysis to the design, development, testing, and evaluation of the software and systems that make computers work. A typical software engineer researches, designs, develops and tests operating systems\-level software, compilers, and network distribution software for medical, industrial, military, communications, aerospace, business, scientific and general computing applications.
 Minimum Qualifications:
 2\+ years experience building mobile applications, either android or iOS
 Experience with multithreading programming and mobile memory management
 Shipped at least one large\-scale product to production, supporting millions of active users
 Strong Experience building maintainable and testable code bases, including API design and unit testing techniques and test automation techniques in Android or iOS.
 Skills:
* Verbal and written communication skills, problem solving skills, customer service and interpersonal skills.
* Ability to work independently and manage one’s time.
* Basic mentoring skills necessary to provide support and constructive performance feedback.
* Knowledge of the full software development lifecycle: from business/systems analysis, through requirements gathering and functional specification authoring, to development, testing and delivery.
* Ability to troubleshoot issues and make system changes as needed to resolve issue.
* Knowledge of computer hardware and software.
* Knowledge of computer development software as it relates to systems, such as SQL, VisualBasic, etc.
 Education/Experience:
* Bachelor's degree in computer science, software engineering or relevant field required.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98">
      <c r="A98" t="inlineStr">
        <is>
          <t>li-4363387151</t>
        </is>
      </c>
      <c r="B98" t="inlineStr">
        <is>
          <t>Software Developer</t>
        </is>
      </c>
      <c r="C98" t="inlineStr">
        <is>
          <t>Jobs via Dice</t>
        </is>
      </c>
      <c r="D98" t="inlineStr">
        <is>
          <t>linkedin</t>
        </is>
      </c>
      <c r="E98">
        <f>HYPERLINK("https://www.linkedin.com/jobs/view/4363387151", "https://www.linkedin.com/jobs/view/4363387151")</f>
        <v/>
      </c>
      <c r="F98">
        <f>HYPERLINK("https://click.appcast.io/t/yL-yJSR8ldfBGfBOCbNa6l7XvxTyu0BFJ_rFc2gwVaY=&amp;urlHash=DKyO", "https://click.appcast.io/t/yL-yJSR8ldfBGfBOCbNa6l7XvxTyu0BFJ_rFc2gwVaY=&amp;urlHash=DKyO")</f>
        <v/>
      </c>
      <c r="G98" t="inlineStr">
        <is>
          <t>Fort Belvoir, VA</t>
        </is>
      </c>
      <c r="H98" t="inlineStr"/>
      <c r="I98" t="inlineStr">
        <is>
          <t>**Company Overview**
 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QinetiQ US is looking to hire an experienced Software Developer to support the modernization of legacy software ensuring the functionality and efficiency of test systems at the C5ISR Center customer site at Fort Belvoir, VA.
**Responsibilities**
* Working with Optical Scientists to design and develop python programs, modules and libraries to help with testing and evaluation
* Support implementation of adapters to interface with controllers and instruments
* Support modernization of legacy systems (labVIEW)
* Support development of testing capabilities for new COTS and GOTS equipment
**Required Qualifications**
* BS degree in an engineering discipline or Computer Science and 4\+ years of experience with Agile (Jira), Git version control, technical documentation, and Wikis.
* Proficiency in Python, creating modules and libraries.
* Experience in software migration.
* Live in the National Capital Region and work at the customer site on Fort Belvoir, VA.
* Must have an active DoD Secret or higher level clearance \#qinetiqclearedjob
**Preferred Qualifications**
* Profieciency in NI LabVIEW
**Company EEO Statement**
**Accessibility/Accommodation:**
 If because of a medical condition or disability you need a reasonable accommodation for any part of the employment process, please send an e\-mail to or call Opt. 4 and let us know the nature of your request and contact information.
 QinetiQ US is an Equal Opportunity employer. All Qualified Applicants will receive equal consideration for employment without regard to race, age, color, religion, creed, sex, sexual orientation, gender identity, national origin, disability, or protected Veteran status.</t>
        </is>
      </c>
    </row>
    <row r="99">
      <c r="A99" t="inlineStr">
        <is>
          <t>li-4321383525</t>
        </is>
      </c>
      <c r="B99" t="inlineStr">
        <is>
          <t>Software Engineer Sr - Clearance Required</t>
        </is>
      </c>
      <c r="C99" t="inlineStr">
        <is>
          <t>Jobs via Dice</t>
        </is>
      </c>
      <c r="D99" t="inlineStr">
        <is>
          <t>linkedin</t>
        </is>
      </c>
      <c r="E99">
        <f>HYPERLINK("https://www.linkedin.com/jobs/view/4321383525", "https://www.linkedin.com/jobs/view/4321383525")</f>
        <v/>
      </c>
      <c r="F99" t="inlineStr"/>
      <c r="G99" t="inlineStr">
        <is>
          <t>King of Prussia, PA</t>
        </is>
      </c>
      <c r="H99" t="inlineStr"/>
      <c r="I99" t="inlineStr">
        <is>
          <t>**Job Description**
 The coolest jobs on this planet... or any other... are with Lockheed Martin Space!
 At the dawn of a new space age, Lockheed Martin is a pioneer, partner, innovator and builder. Our amazing people are on a mission to make a difference in the world and every single day we use our skills and experiences to create, design and build solutions to some of the worlds' hardest engineering problems.
 Join a fast\-paced and exciting Agile Development Team with a focus on DevSecOps, the latest cloud\-based technologies, and full\-stack development!
 Looking for a career with purpose? One that challenges your mind, grows your skills and contributes to our Nation's most critical missions? Do you pride yourself on solving problems that others think are impossible? If you answered yes to these questions, then we would like you to join Lockheed Martin NSS Iron Patriot/Ollivander team!
 Our team develops, delivers, and operates affordable engineering and sustainment solutions for commercial, military and intelligence users across the globe. These mission critical efforts include:
 Development of innovative enterprise, Cloud and application\-based solutions for mission management,
 command and control, collection orchestration and tasking, processing, data analysis and analytics
 along with world\-class operations and sustainment capabilities of space\- based programs in support of national security.
 We are looking for a software engineer to craft and build innovative solutions for our customers.
 You will;
 Be part of an Agile team that utilizes state of the art commercial standard methodologies such as DevSecOps (automated testing, continuous integration, automated deployment, etc.) and modern development tools.
 Participate in progressing system capabilities from early design through site acceptance focused on software reuse, COTS/FOSS integrations, and innovative, affordable best practices.
 Be a member of a hard\-working team that are passionate about their trade, focused on mission and system quality, and supportive of timely delivery of features and capabilities.
**This is an EARLY\-MID CAREER (level 3\) ROLE where candidates typically require 3\+ years of professional experience and a BS degree.**
**Selected candidate will be required to possess an Active TS/SCI security clearance for consideration.**
 Our employees play an active role in strengthening the quality of life where we live and work by volunteering more than 850,000 hours annually. Here are some of the benefits you can enjoy:
 Medical
 Dental
 401k
 Paid time off
 Work/life balance
 Career development
 Mentorship opportunities
 Rewards \&amp; recognition
 We care about our employees and offer a generous benefits package: 401K, PTO, and work/life balance and more.
**Basic Qualifications**
 Full\-stack development
 Software development experience with Java or C\#
 Active TS security clearance with willingness to obtain a TS/SCI w/ poly required for consideration
**Desired Skills**
 Understanding / proficiency in application containerization (e.g. Docker, Kubernetes, etc.)
 Agile software development experience
 Java/JEE/Quarkus, C\# .NET, JavaScript, TypeScript, Angular, Docker, Kubernetes, Rancher, Python, GitLab
 Web Development Experience
 Cloud\-based technologies
 DevSecOps and CI/CD pipeline experience
 Continuous Integration/Automated Testing/DevOps
 Experience working in Agile teams using SAFe, Scrum, Kanban or other methodologies and/or understanding of Agile development concepts
 Experience designing and documenting microservice\-based architectures
 Experience with relational and/or NoSQL databases
 Experience with distributed systems (services and databases)
 Strong background developing /debugging and/or testing of web applications and web services
 \#LMSpaceSoftwareEng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00">
      <c r="A100" t="inlineStr">
        <is>
          <t>li-4355394348</t>
        </is>
      </c>
      <c r="B100" t="inlineStr">
        <is>
          <t>Software Engineer 3/4 with Security Clearance</t>
        </is>
      </c>
      <c r="C100" t="inlineStr">
        <is>
          <t>ClearanceJobs</t>
        </is>
      </c>
      <c r="D100" t="inlineStr">
        <is>
          <t>linkedin</t>
        </is>
      </c>
      <c r="E100">
        <f>HYPERLINK("https://www.linkedin.com/jobs/view/4355394348", "https://www.linkedin.com/jobs/view/4355394348")</f>
        <v/>
      </c>
      <c r="F100" t="inlineStr"/>
      <c r="G100" t="inlineStr">
        <is>
          <t>Huntsville, AL</t>
        </is>
      </c>
      <c r="H100" t="inlineStr"/>
      <c r="I100" t="inlineStr">
        <is>
          <t>RELOCATION ASSISTANCE: No relocation assistance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 are making history. Northrop Grumman Space Systems Sector has an opening for a Principal Software Engineer (level 3\) or Sr. Principal Software Engineer (level 4\)to join our team of qualified, diverse individuals. This position will be located in Huntsville, Alabama. In this role, your responsibilities include: \* Writing programs using C\+\+, Java or similar languages
* Participating in demos for the team and program Sprint reviews
* Working within an Agile team environment, to include Program Increment Planning, Iteration Planning, Feature and Story development, Sprint Planning, and Iteration Retrospectives.
* Collaborating with Stakeholders and Government customers
* Creating and running automated software builds and pipelines in a Continuous Integration/Continuous Deployment (CI/CD) environment
* Developing software documentation
* Creating and running unit test Basic Requirements: \* (level 3\) \- Bachelor's Degree and 5 years of experience; or 3 years of experience with a Masters Degree; or no experience with a related PhD.
* (level 4\) \- Bachelor's Degree and 8 years of experience; or 6 years of experience with a Master's Degree; or 3 years of experience with a related PhD.
* Proficient in C\+\+.
* Secret clearance to start
* Full time onsite
* Experience programming network connections (message generation, formatting, UDP and TCP/IP interfaces)
* Experience with Red Hat Enterprise Linux OS
* Experience with GitLab/Git for software configuration management Preferred Qualifications: \* Familiar with Scaled Agile Framework
* Familiarity with MDA Sensors and missile defense systems
* Multi\-core and multi\-threaded programming
* Jira \- issue tracking and agile project management, or similar tool
* Experience with Java and user interfaces
* Agile Scrum We Offer: Northrop Grumman offers a comprehensive benefits package and a work environment that fosters your growth, supporting both employees and the company's success. The benefits at Northrop Grumman are flexible and customizable, allowing you to select options that best meet your needs and those of your family. Your benefits will include the following:
* Health Plan
* Savings Plan
* Paid Time Off
* Education Assistance
* Training and Development
* Flexible Work Arrangements https://benefits.northropgrumman.com/us/en2/BenefitsOverview/Pages/default.aspx \#NGSpace \#ALSpace \#NGFeaturedJobs Primary Level Salary Range: $108,800\.00 \- $163,200\.00 Secondary Level Salary Range: $135,800\.00 \- $203,600\.00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01">
      <c r="A101" t="inlineStr">
        <is>
          <t>li-4363387153</t>
        </is>
      </c>
      <c r="B101" t="inlineStr">
        <is>
          <t>OIPA Senior Software Engineer- Remote</t>
        </is>
      </c>
      <c r="C101" t="inlineStr">
        <is>
          <t>Jobs via Dice</t>
        </is>
      </c>
      <c r="D101" t="inlineStr">
        <is>
          <t>linkedin</t>
        </is>
      </c>
      <c r="E101">
        <f>HYPERLINK("https://www.linkedin.com/jobs/view/4363387153", "https://www.linkedin.com/jobs/view/4363387153")</f>
        <v/>
      </c>
      <c r="F101" t="inlineStr"/>
      <c r="G101" t="inlineStr"/>
      <c r="H101" t="inlineStr"/>
      <c r="I101" t="inlineStr">
        <is>
          <t>Dice is the leading career destination for tech experts at every stage of their careers. Our client, InfiCare Technologies, is seeking the following. Apply via Dice today!
**Position: OIPA Senior Software Engineer**
**Location\-Remote**
**Duration: Long term Contract**
**The Role**
 As a Senior Software Engineer, you will be applying your software development and automation skills to develop, test, deploy, maintain and improve record keeping, rep facing application.
 This person will be a hands\-on engineer with well\-honed design and development skills. This individual will be accountable for all the deliveries of the engineering team.
**The Expertise You Have**
* 7\+ years of software engineering experience in Oracle recordkeeping technology like Oracle Insurance Policy Administration (OIPA) config, maintenance and extensions.
* Expertise in developing policy administration systems using Oracle Insurance Policy Administration System (OIPA), including configuration language, integration, AS Files, data intake, building OIPA extensions, performing palette and application security implementations, and release management.
* Proven hands\-on experience in software development using Java, Tomcat, Spring Boot.
* Design and develop Java based application programming interfaces (API's) through SOAP and Restful web services to improve back\-end performance of applications.
* Demonstrated expertise in deploying applications using Docker containers on AWS infrastructure, specifically leveraging EKS (Elastic Kubernetes Service) and RDS (Relational Database Service).
* Skilled in configuring Kubernetes resources such as Pods, Services, Deployments, and ConfigMaps to ensure efficient application deployment and management.
* Experienced in implementing Kubernetes best practices for security, monitoring, and logging, as well as utilizing Helm for package management and automating CI/CD pipelines with tools like Jenkins.
* Knowledge of end\-to\-end DevSecOps automation with CI and CD pipelines including Unit, Component, Functional, Performance, and Security test automation.
* Proven experience working with sql and no\-sql databases such as Oracle database and PL\-SQL.
* Ability to provide automation solutions to support all possible data scenarios.
* Bachelor's degree in computer science, Information Technology, or equivalent.
**Bonus Skills**
* AWS Certified Developer Associate / Architect is a big Plus.</t>
        </is>
      </c>
    </row>
    <row r="102">
      <c r="A102" t="inlineStr">
        <is>
          <t>li-4363467579</t>
        </is>
      </c>
      <c r="B102" t="inlineStr">
        <is>
          <t>Full Stack Engineer@Alpharetta, GA/New york City, NY</t>
        </is>
      </c>
      <c r="C102" t="inlineStr">
        <is>
          <t>Jobs via Dice</t>
        </is>
      </c>
      <c r="D102" t="inlineStr">
        <is>
          <t>linkedin</t>
        </is>
      </c>
      <c r="E102">
        <f>HYPERLINK("https://www.linkedin.com/jobs/view/4363467579", "https://www.linkedin.com/jobs/view/4363467579")</f>
        <v/>
      </c>
      <c r="F102" t="inlineStr"/>
      <c r="G102" t="inlineStr">
        <is>
          <t>Alpharetta, GA</t>
        </is>
      </c>
      <c r="H102" t="inlineStr"/>
      <c r="I102" t="inlineStr">
        <is>
          <t>Dice is the leading career destination for tech experts at every stage of their careers. Our client, Enexus Global, is seeking the following. Apply via Dice today!
 W2/C2C both works
**Full Stack Engineer@** 
**Alpharetta, GA \|\| New york City, NY** 
**(7\+ years)**
**Mandatory Skills:**
* Strong Java \&amp; Spring Boot expertise
* Advanced Angular/React
* Microservices architecture
* SQL \+ NoSQL databases
**Preferred Skills:**
* Kafka, ElasticSearch
* Python
* DevOps practices (Docker, Kubernetes)
* Cloud deployment experience</t>
        </is>
      </c>
    </row>
    <row r="103">
      <c r="A103" t="inlineStr">
        <is>
          <t>li-4363377036</t>
        </is>
      </c>
      <c r="B103" t="inlineStr">
        <is>
          <t>Software Developer(Kofax, Laserfiche, VB6, .NET)</t>
        </is>
      </c>
      <c r="C103" t="inlineStr">
        <is>
          <t>Jobs via Dice</t>
        </is>
      </c>
      <c r="D103" t="inlineStr">
        <is>
          <t>linkedin</t>
        </is>
      </c>
      <c r="E103">
        <f>HYPERLINK("https://www.linkedin.com/jobs/view/4363377036", "https://www.linkedin.com/jobs/view/4363377036")</f>
        <v/>
      </c>
      <c r="F103" t="inlineStr"/>
      <c r="G103" t="inlineStr">
        <is>
          <t>Michigan, United States</t>
        </is>
      </c>
      <c r="H103" t="inlineStr"/>
      <c r="I103" t="inlineStr">
        <is>
          <t>Dice is the leading career destination for tech experts at every stage of their careers. Our client, Tellus Solutions, is seeking the following. Apply via Dice today!
**Job Description:** 
**Responsibilities:**
* Client is seeking a skilled (4\+ years) Software Developer with hands\-on experience in Kofax scanning solutions, Laserfiche DMS, .NET, and VB6 development to design, develop, and maintain secure, scalable applications within a Microsoft\-based environment.
* The ideal candidate will leverage Visual Studio, SQL Server Management Studio (SSMS), and Azure DevOps to build and deploy solutions while collaborating with cross\-functional teams via Microsoft Teams.
* Developing integrations between document management systems, implementing and automating scanning workflows, providing production support, troubleshooting issues with end\-users and internal customers, supporting Laserfiche customization and enhancements, and producing technical documentation such as program specifications, data models, and architecture diagrams.
* Strong problem\-solving skills, experience with MS SQL, and a commitment to writing clean, efficient, maintainable code are essential. Must be able to be on\-site at OCIT Building a MINIMUM of two days a week.
**Environment:**
* Microsoft SQL Server, ASP.Net, ASP.Net MVC, Visual Studio, IIS, .NET, VB6, Kofax Capture/Transformation, Laserfiche DMS, Webservices, REST services, API development, Azure DevOps, AWS, Azure, Windows Server, Microsoft 365 Services, SharePoint Online, MS Teams, Agile Methodologies</t>
        </is>
      </c>
    </row>
    <row r="104">
      <c r="A104" t="inlineStr">
        <is>
          <t>li-4363397149</t>
        </is>
      </c>
      <c r="B104" t="inlineStr">
        <is>
          <t>Senior Software Engineer - SAP Commerce Cloud</t>
        </is>
      </c>
      <c r="C104" t="inlineStr">
        <is>
          <t>Jobs via Dice</t>
        </is>
      </c>
      <c r="D104" t="inlineStr">
        <is>
          <t>linkedin</t>
        </is>
      </c>
      <c r="E104">
        <f>HYPERLINK("https://www.linkedin.com/jobs/view/4363397149", "https://www.linkedin.com/jobs/view/4363397149")</f>
        <v/>
      </c>
      <c r="F104">
        <f>HYPERLINK("https://click.appcast.io/t/dTcgJaZlFFtMkEYaVknuvSYjghdlRLCUgNq9aESiwao=&amp;urlHash=EpwF", "https://click.appcast.io/t/dTcgJaZlFFtMkEYaVknuvSYjghdlRLCUgNq9aESiwao=&amp;urlHash=EpwF")</f>
        <v/>
      </c>
      <c r="G104" t="inlineStr">
        <is>
          <t>Harrisburg, PA</t>
        </is>
      </c>
      <c r="H104" t="inlineStr"/>
      <c r="I104" t="inlineStr">
        <is>
          <t>**Job Title:** 
 Senior Software Engineer \- SAP Commerce Cloud
**Location:** 
 Harrisburg, PA
**Type:** 
 Direct Hire
**Contractor Work Model:** 
 Remote
**Overview**
 We are seeking a high\-level Senior SAP Commerce Cloud Engineer to spearhead the implementation of a scalable, enterprise\-grade B2B commerce platform. This is a critical leadership role for an established, employee\-owned technology distributor where you will serve as the primary technical authority. You will lay the foundational architecture for our commerce ecosystem while providing the mentorship necessary to upskill an internal team of engineers. This role is designed for a seasoned professional who excels in Agile environments and can effectively bridge the gap between complex business goals and robust technical execution.
**Job Responsibilities**
* Serve as the technical lead and subject matter expert for all SAP Commerce Cloud implementation projects.
* Embed and champion Agile methodologies within the delivery process by leading sprint ceremonies and backlog grooming.
* Provide consistent technical mentorship and hands\-on guidance to internal engineering teams.
* Define and maintain high standards for code quality, architecture, and CI/CD processes aligned with SAP best practices.
* Architect core platform functionalities including company accounts, customer\-specific catalogs, and complex B2B checkout processes.
* Lead the design and execution of integrations with SAP ERP, S/4HANA, and various third\-party APIs.
* Identify potential architectural risks and performance bottlenecks early in the development lifecycle to provide proactive solutions.
* Translate high\-level business goals into clear, actionable architectural strategies for both technical and non\-technical stakeholders.
**Qualification Requirements**
* Five or more years of experience with SAP Commerce Cloud, specifically including hands\-on work with B2B implementations.
* Deep proficiency in Java, SpringBoot, and related backend technologies.
* Proven track record of leading end\-to\-end greenfield projects within an Agile development environment.
* High proficiency with Git and Maven, including a strong grasp of branching strategies and CI/CD best practices.
* Extensive experience working with CCv2 for environment and deployment management.
* Thorough understanding of Hybris B2B modules, including approval workflows and custom pricing management.
* Strong background designing solutions involving event\-based architecture, microservices, and REST APIs.
* Excellent communication skills necessary to facilitate collaboration across diverse technical and business teams.
* Experience mentoring software engineers and assisting in the growth of internal technical talent.
**Education**
* A Bachelor's degree in Computer Science or a similar area of study is required, though equivalent years of related work experience will be considered.
 System One, and its subsidiaries including Joul, ALTA IT Services, and Mountain Ltd.,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\#M\-
 \#DI\-
 Ref: \#706\-IT York</t>
        </is>
      </c>
    </row>
    <row r="105">
      <c r="A105" t="inlineStr">
        <is>
          <t>li-4363476873</t>
        </is>
      </c>
      <c r="B105" t="inlineStr">
        <is>
          <t>Senior Software Developer **DHS Clearance Required</t>
        </is>
      </c>
      <c r="C105" t="inlineStr">
        <is>
          <t>Zachary Piper Solutions</t>
        </is>
      </c>
      <c r="D105" t="inlineStr">
        <is>
          <t>linkedin</t>
        </is>
      </c>
      <c r="E105">
        <f>HYPERLINK("https://www.linkedin.com/jobs/view/4363476873", "https://www.linkedin.com/jobs/view/4363476873")</f>
        <v/>
      </c>
      <c r="F105" t="inlineStr"/>
      <c r="G105" t="inlineStr">
        <is>
          <t>Washington, DC</t>
        </is>
      </c>
      <c r="H105" t="inlineStr"/>
      <c r="I105" t="inlineStr">
        <is>
          <t>**Zachary Piper Solutions** 
 is seeking a seasoned
 **Senior** 
**Software Developer** 
 to lead enterprise data governance and integration initiatives for a federal client out of the
 **Washington, DC** 
 area. The
 **Senior Software Developer** 
 will be hands\-on with strategic planning, technical leadership, and hands\-on development.
 **This role is hybrid and requires an ACTIVE DHS clearance.**
**Responsibilities of the Senior Software Developer:**
* Define technical strategies for data governance, metadata management, and integration platforms
* Lead design and deployment of solutions leveraging Collibra APIs, Edge Server, and Java\-based microservices
* Implement automated data ingestion, lineage tracking, and governance workflows using event\-driven tools
* Oversee cloud deployments (AWS, Azure, GCP) and CI/CD automation pipelines.
**Qualifications of the Senior Software Developer:**
* 10\+ years of experience in software development with strong Java expertise
* Proven experience with Collibra, Collibra APIs, and Edge Server integration (required)
* Strong background in leading federal IT projects and collaborating with technical and business teams
* Experience with Kafka, AWS Glue and metadata automation
* Experience with PowerBI and/or Tableau
* Familiarity with IaC tools such as Terraform, CloudFormation
* Hands on experience with cloud platforms (AWS, Azure, GCP) and CI/CD Pipelines
* Must have an ACTIVE DHS Clearance
* Bachelor’s degree in Computer Science, Information Systems, or related field.
**Compensation for the Senior Software Developer:**
* Salary Range: Between $135,000 \- $160,000 depending on experience
* Comprehensive Benefits: Medical, Dental, Vision, 401K, PTO (Paid Time Off), Paid Holidays, Sick Leave as required by law
 This job opens for applications on 1/9/2026\. Applications for this job will be accepted for at least 30 days from the posting date
 Keywords:
 Java, javascript, typescript, back\-end, backend, back end, enterprise application, API, integration, spring, hibernate, java EE, HTML, CSS, application development, AWS, amazon web service, azure, google cloud platform, GCP, IaC, infrastructure as code, powerBI, kafka, CI/CD, cloud, collibra, collibra API, edgeserver, edge server, data governance, tableau, terraform, cloudformation, python, scala, automation, software developer, software development, software engineer, developer, java developer, devops, devsecops, full stack, full\-stack, web\-based solutions, webservices, software solutions, software, java SE, spring framework, spring MVC, spring security, hibernate, JPA, microservices, RESTful API, agile, SOAP web service, Jenkins, docker, Kubernetes, SQL, PL/SQL, python, oracle, postgre, mySQL, noSQL, MongoDB, git, gitlab, github, junit, role\-based access control, RBAC, AWS glue, mission critical, federal program, cleared, DHS, CBP, department of homeland security, cleared work, hybrid, TSA, transportation service administration, infrastructure, development</t>
        </is>
      </c>
    </row>
    <row r="106">
      <c r="A106" t="inlineStr">
        <is>
          <t>li-4321403752</t>
        </is>
      </c>
      <c r="B106" t="inlineStr">
        <is>
          <t>Senior Software Engineer - Back End III</t>
        </is>
      </c>
      <c r="C106" t="inlineStr">
        <is>
          <t>Jobs via Dice</t>
        </is>
      </c>
      <c r="D106" t="inlineStr">
        <is>
          <t>linkedin</t>
        </is>
      </c>
      <c r="E106">
        <f>HYPERLINK("https://www.linkedin.com/jobs/view/4321403752", "https://www.linkedin.com/jobs/view/4321403752")</f>
        <v/>
      </c>
      <c r="F106" t="inlineStr"/>
      <c r="G106" t="inlineStr">
        <is>
          <t>Cincinnati, OH</t>
        </is>
      </c>
      <c r="H106" t="inlineStr"/>
      <c r="I106" t="inlineStr">
        <is>
          <t>Dice is the leading career destination for tech experts at every stage of their careers. Our client, Apex Systems, is seeking the following. Apply via Dice today!
**Job\#: 3013770**
**Job Description:**
 Job Title: Senior Software Engineer
 Job Location: Cincinnati, OH
 Pay Range: $65\-$79
 Contract Length: 12 months
**Job Description**
**About Us**
 The ATM IT team supports more than 2,200 ATMs and a network of over 40,000 partner ATMs. The team is currently engaged in modernizing the ATM channel\-both hardware and software\-while also contributing to a major debit card modernization initiative. This role offers the opportunity to participate in one of the largest IT efforts in the industry.
**Responsibilities**
* Participate in full lifecycle application development.
* Design, code, and debug applications across multiple programming languages.
* Conduct software, code, and requirements analysis; perform software reviews; identify code metrics; and support system risk and reliability assessments.
* Apply Object\-Oriented Analysis and Design (OOA/OOD) principles.
* Design and implement Java Spring applications deployed on OpenShift.
* Perform software modeling and simulation.
* Develop and maintain back\-end architecture and services.
* Execute software testing and quality assurance activities.
* Optimize performance, usability, automation, and system efficiency.
* Support, maintain, and document software functionality.
* Integrate new software with existing systems.
* Research, evaluate, and recommend new technologies.
* Ensure compliance with internal and industry standards.
* Manage and collaborate on code repositories using GitHub.
* Implement software localization and globalization features.
* Hold an undergraduate degree in computer engineering, computer science, information technology, or a related field.
**Qualifications**
* Strong understanding of the software development life cycle.
* Ability to quickly learn and apply new programming languages.
* Proficiency in Java, Java Spring, OpenShift, HTML, CSS, and scripting languages.
* Experience creating Splunk and Dynatrace dashboards for monitoring and alerting.
* Effective communication and collaboration skills for working with internal teams and external partners.
**Preferred Qualifications**
* Experience with test automation tools.
* Knowledge of ATM terminal driving and testing.
* Experience with ATM software platforms such as Diebold (Vista, VCP7, TM, Vynamic Vision, Vynamic View) and NCR (Vision).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2026-01-24T06:23:54Z</dcterms:created>
  <dcterms:modified xsi:type="dcterms:W3CDTF">2026-01-24T06:23:54Z</dcterms:modified>
</cp:coreProperties>
</file>