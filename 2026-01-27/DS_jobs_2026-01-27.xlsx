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in-0170a90ea5a46a9b</t>
        </is>
      </c>
      <c r="B2" t="inlineStr">
        <is>
          <t>Data Scientist</t>
        </is>
      </c>
      <c r="C2" t="inlineStr">
        <is>
          <t>JTEC Consulting</t>
        </is>
      </c>
      <c r="D2" t="inlineStr">
        <is>
          <t>indeed</t>
        </is>
      </c>
      <c r="E2" t="inlineStr"/>
      <c r="F2" t="inlineStr"/>
      <c r="G2" t="inlineStr">
        <is>
          <t>McLean, VA, US</t>
        </is>
      </c>
      <c r="H2" s="2" t="n">
        <v>46048</v>
      </c>
      <c r="I2" t="inlineStr">
        <is>
          <t>**Data Scientist**
McLean, VA 22102  
JTEC Consulting LLC focuses on successfully delivering solutions to meet our clients’ most critical needs. Our founding members have decades of experience delivering a wide range of solutions to Air Force and DOD clients. We are a Veteran\-Owned Small Business.  
**Security Clearance Requirement:** Current TS/SCI with Polygraph  
**Location Note:** Northern Virginia locations 5 days/week on\-site  
**Relocation**: Relo support will be considered for candidates outside the commuting area
**Position Description:**  
JTEC Consulting is seeking data science and data analytics professionals to work in support of ongoing hiring needs for an Intelligence Community organization in the Northern Virginia area. Positions are supporting varied task order activities including ETL, data engineering, data strategy and architecture, data analytics, and data\-focused software engineering for DevOps environments. Qualified candidates will have experience supporting an IC customer in a data analytics environment using open\-source tools, cloud computing, machine learning and data visualization. Current security clearance credentials are required for consideration.
**Disclaimer:**
This position is advertised to support ongoing hiring needs on multiple programs. The position description and the duties and qualifications outlined below are intended to describe the overall nautre of the work and essential responsibilities. Due to the nature of this position a fuller description of the job responsibilities and preferred skills will be provided at the time of interview.
**General duties and responsibilities vary by role and may include:**
* Work as part of a blended team of government and contractor personnel including data scientists, data engineers, and analysts
* Support a range of activities and hands\-on support for structured and unstructured data
* Support advanced data problems and data modeling
* Support data interpretation and results from multiple sources using a variety of techniques including simple data aggregation and statistical analysis up to an including complex data mining
* Support data\-centric solutions through database support, big data analysis, and implementation of data models
* Apply industry and technical knowledge to support advanced and complex projects, as requested
**General education and qualification guidelines include:**
* U.S. citizenship
* Current TS/SCI securirty clearance with polygraph
* Local to Wash DC Metro area and available to support on\-site work 5 days/week (Northern Virginia locations)
* Bachelor's degree in data analytics, data science, statistics, operational research, or related discipline
* 5\+ years of relevant experience supporting a related IC data analytics environmment
* Experience using open\-source tools, cloud computing, machine learning and data visualization
* Hands\-on coding experience (varies by task) including Apache Hadoop, and Python
* Experience in a data analytics environment, and the use of open\-source tools, cloud computing, machine learning and data visualization
* Advanced knowledge of machine learning
* Effective written and verbal communication skills to work in a dynamic team environment.
*Salary:*  
*JTEC offers competitive compensation and benefits to all employees. Salary ranges are advertised based on good faith estimates at the time of posting and indicating pay that JTEC anticipates for successful applicants. The estimated salary range displayed in this posting is dependent upon position requirements, individual qualifications, education, experience, location, and other job related factors. Our recruiting team will review candidates' related experience during the evaluation process and align those criteria with candidates' desired salary. All qualified candidates will be considered.*</t>
        </is>
      </c>
    </row>
    <row r="3">
      <c r="A3" t="inlineStr">
        <is>
          <t>in-46e175a57ea7982b</t>
        </is>
      </c>
      <c r="B3" t="inlineStr">
        <is>
          <t>Senior Business Data Scientist, Ads and Commerce Finance</t>
        </is>
      </c>
      <c r="C3" t="inlineStr">
        <is>
          <t>Google</t>
        </is>
      </c>
      <c r="D3" t="inlineStr">
        <is>
          <t>indeed</t>
        </is>
      </c>
      <c r="E3" t="inlineStr"/>
      <c r="F3" t="inlineStr"/>
      <c r="G3" t="inlineStr">
        <is>
          <t>Mountain View, CA, US</t>
        </is>
      </c>
      <c r="H3" s="2" t="n">
        <v>46048</v>
      </c>
      <c r="I3" t="inlineStr">
        <is>
          <t>Note: By applying to this position you will have an opportunity to share your preferred working location from the following: **Mountain View, CA, USA; New York, NY, USA**.### **Minimum qualifications:**
* Master's degree in a quantitative discipline such as Statistics, Engineering, Sciences, or equivalent practical experience.
* 4 years of experience using analytics to solve product or business problems, coding (e.g., Python, R, SQL), querying databases or statistical analysis.
* Experience in both SQL and dashboard.
### **Preferred qualifications:**
* 6 years of experience using analytics to solve product or business problems, coding (e.g., Python, R, SQL), querying databases or statistical analysis.
**About the job**
-----------------
Google's leadership team hand\-picks thorny business challenges, and members of BizOps work in small teams to find solutions. As part of this team you fully immerse yourself in data collection, draw insight from analysis, and then zoom out to develop compelling, synthesized recommendations. Taking strategy one step further, you also persuasively communicate your recommendations to senior\-level executives, roll\-up your sleeves to help drive implementation and check back\-in to see the impact of your recommendations.
Harness the power of efficiency, scale, and Ads and Commerce product insights to drive exponential impact to our business partners. Serve as the driving force behind smarter decisions and excellence in Ads and Commerce; our unique value proposition lies in our visibility across all Ads products and the vast resources of our business. Committed to pioneering excellence in processes, uncovering valuable insights, and fostering innovation, we are at the forefront of change. We provide indispensable support to our partners as we collectively redefine the landscape we operate in. With a laser focus on strategy, we are the catalysts for positive transformation, ensuring our team's impact resonates across the entire Ads business.The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Serve as a key contributor to the innovation of our investigative frameworks, acting as a thought leader and first mover on key technological innovation for the Ads and Commerce Finance team.
* Use SQL and create dashboards/tools to automate processes, generate reports, and guide product decisions.
* Develop and maintain scalable financial tools and infrastructure, including advanced datasets and intuitive dashboards, to aid the broader organization in achieving our problem\-solving goals.
* Work with Ads and Commerce Finance data science analyst community to integrate requirements into critical datasets and systems.
* Analyze data and incorporate business insights into core reporting and infrastructure in support of our executive reporting agenda.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
      <c r="A4" t="inlineStr">
        <is>
          <t>in-63c432fc64a9b78d</t>
        </is>
      </c>
      <c r="B4" t="inlineStr">
        <is>
          <t>Senior Business Data Scientist, Ads and Commerce Finance</t>
        </is>
      </c>
      <c r="C4" t="inlineStr">
        <is>
          <t>Google</t>
        </is>
      </c>
      <c r="D4" t="inlineStr">
        <is>
          <t>indeed</t>
        </is>
      </c>
      <c r="E4" t="inlineStr"/>
      <c r="F4" t="inlineStr"/>
      <c r="G4" t="inlineStr">
        <is>
          <t>New York, NY, US</t>
        </is>
      </c>
      <c r="H4" s="2" t="n">
        <v>46048</v>
      </c>
      <c r="I4" t="inlineStr">
        <is>
          <t>Note: By applying to this position you will have an opportunity to share your preferred working location from the following: **Mountain View, CA, USA; New York, NY, USA**.### **Minimum qualifications:**
* Master's degree in a quantitative discipline such as Statistics, Engineering, Sciences, or equivalent practical experience.
* 4 years of experience using analytics to solve product or business problems, coding (e.g., Python, R, SQL), querying databases or statistical analysis.
* Experience in both SQL and dashboard.
### **Preferred qualifications:**
* 6 years of experience using analytics to solve product or business problems, coding (e.g., Python, R, SQL), querying databases or statistical analysis.
**About the job**
-----------------
Google's leadership team hand\-picks thorny business challenges, and members of BizOps work in small teams to find solutions. As part of this team you fully immerse yourself in data collection, draw insight from analysis, and then zoom out to develop compelling, synthesized recommendations. Taking strategy one step further, you also persuasively communicate your recommendations to senior\-level executives, roll\-up your sleeves to help drive implementation and check back\-in to see the impact of your recommendations.
Harness the power of efficiency, scale, and Ads and Commerce product insights to drive exponential impact to our business partners. Serve as the driving force behind smarter decisions and excellence in Ads and Commerce; our unique value proposition lies in our visibility across all Ads products and the vast resources of our business. Committed to pioneering excellence in processes, uncovering valuable insights, and fostering innovation, we are at the forefront of change. We provide indispensable support to our partners as we collectively redefine the landscape we operate in. With a laser focus on strategy, we are the catalysts for positive transformation, ensuring our team's impact resonates across the entire Ads business.The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Serve as a key contributor to the innovation of our investigative frameworks, acting as a thought leader and first mover on key technological innovation for the Ads and Commerce Finance team.
* Use SQL and create dashboards/tools to automate processes, generate reports, and guide product decisions.
* Develop and maintain scalable financial tools and infrastructure, including advanced datasets and intuitive dashboards, to aid the broader organization in achieving our problem\-solving goals.
* Work with Ads and Commerce Finance data science analyst community to integrate requirements into critical datasets and systems.
* Analyze data and incorporate business insights into core reporting and infrastructure in support of our executive reporting agenda.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
      <c r="A5" t="inlineStr">
        <is>
          <t>in-608486c20b82437c</t>
        </is>
      </c>
      <c r="B5" t="inlineStr">
        <is>
          <t>Staff Data Scientist, Expert Experiences</t>
        </is>
      </c>
      <c r="C5" t="inlineStr">
        <is>
          <t>Intuit</t>
        </is>
      </c>
      <c r="D5" t="inlineStr">
        <is>
          <t>indeed</t>
        </is>
      </c>
      <c r="E5" t="inlineStr"/>
      <c r="F5" t="inlineStr"/>
      <c r="G5" t="inlineStr">
        <is>
          <t>San Diego, CA, US</t>
        </is>
      </c>
      <c r="H5" s="2" t="n">
        <v>46048</v>
      </c>
      <c r="I5" t="inlineStr">
        <is>
          <t>**Overview**
------------
We are seeking a **Staff Data Scientist** to join the Intuit Customer Success Data Science \&amp; Analytics team supporting **Expert Experiences and Intuit Academy**. This role is focused on **setting the analytical bar** for high\-impact, decision\-critical work that informs training effectiveness, expert readiness, and customer success outcomes.
As a Staff Data Scientist, you will operate as a **technical leader and thought partner**, shaping how analytics and data science are applied across complex, ambiguous problem spaces. You will collaborate closely with cross\-functional partners across Product, Learning \&amp; Development, Quality, Operations, Engineering, and Analytics to translate business questions into robust analytical frameworks, guide methodological decisions, and ensure outputs are truly decision\-ready.
Working closely with the **Intuit Assist Expert Experiences** ecosystem, your contributions will help shape how we scale expert quality and enablement as Intuit builds a service platform that empowers customers beyond core product use.
 **Responsibilities**
#### **Technical Leadership \&amp; Analytical Judgment**
Lead the framing of ambiguous, high\-impact business problems into clear analytical hypotheses, causal frameworks, and success metrics.
Set and reinforce standards for **analytical rigor, assumption validation, internal review, and “definition of done.”**
Serve as a technical role model by producing bar\-setting analyses that others can learn from and calibrate against.
#### **Advanced Data Science \&amp; Measurement**
Own complex, end\-to\-end analytical initiatives, including data exploration, validation, feature engineering, statistical modeling, causal inference, and interpretation.
Apply advanced statistical, experimental, and machine learning techniques to understand drivers of expert performance, learning outcomes, and customer experience.
Design and review experimentation strategies (A/B tests, pilots, quasi\-experiments) to ensure methodological soundness and business relevance.
#### **Influence, Storytelling \&amp; Decision Support**
Synthesize complex findings into **clear, compelling narratives** that influence senior stakeholders and inform product, program, and operational decisions.
Act as a trusted advisor by surfacing tradeoffs, risks, and implications—not just results.
Partner cross\-functionally to align on metrics definitions, assumptions, and interpretation before analysis is shared broadly.
#### **Scalable \&amp; Reproducible Analytics**
Develop reusable analytical frameworks, standardized metrics, and reference implementations that scale quality across the team.
Guide the development of dashboards, reporting pipelines, and measurement systems in partnership with Data Engineering and Analytics.
Improve analytical maturity across the org by reducing rework, catching issues earlier, and enabling others to deliver higher\-quality outputs.
 **Qualifications**
 **7\+ years** of experience in data science or analytics roles, preferably in product, web, customer care, or customer experience analytics.
Advanced proficiency in **SQL** and experience working with large\-scale data platforms (e.g., Spark, Databricks, BigQuery, Redshift).
Strong experience with **experimentation and causal inference** (e.g., A/B/n testing, applied causal methods), with excellent judgment on when and how to apply them.
Familiarity with **AI/ML and GenAI\-enabled analytics**, and the ability to reason about implications for measurement, experimentation, and user behavior.
Demonstrated ability to **lead through influence**, not authority—guiding analytical direction, standards, and decisions across teams.
Strong business acumen and ability to translate strategy into testable hypotheses and actionable insights.
Excellent data storytelling and communication skills, with the ability to influence both technical and non\-technical audiences.
Comfortable operating in **fast\-paced, ambiguous environments**, balancing rigor with pragmatism.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 \- 252,000  
Southern California $ 179,000\- 242,000</t>
        </is>
      </c>
    </row>
    <row r="6">
      <c r="A6" t="inlineStr">
        <is>
          <t>in-0edffa8e5109835f</t>
        </is>
      </c>
      <c r="B6" t="inlineStr">
        <is>
          <t>Staff Data Scientist, Expert Experiences</t>
        </is>
      </c>
      <c r="C6" t="inlineStr">
        <is>
          <t>Intuit</t>
        </is>
      </c>
      <c r="D6" t="inlineStr">
        <is>
          <t>indeed</t>
        </is>
      </c>
      <c r="E6" t="inlineStr"/>
      <c r="F6" t="inlineStr"/>
      <c r="G6" t="inlineStr">
        <is>
          <t>Mountain View, CA, US</t>
        </is>
      </c>
      <c r="H6" s="2" t="n">
        <v>46048</v>
      </c>
      <c r="I6" t="inlineStr">
        <is>
          <t>**Overview**
------------
We are seeking a **Staff Data Scientist** to join the Intuit Customer Success Data Science \&amp; Analytics team supporting **Expert Experiences and Intuit Academy**. This role is focused on **setting the analytical bar** for high\-impact, decision\-critical work that informs training effectiveness, expert readiness, and customer success outcomes.
As a Staff Data Scientist, you will operate as a **technical leader and thought partner**, shaping how analytics and data science are applied across complex, ambiguous problem spaces. You will collaborate closely with cross\-functional partners across Product, Learning \&amp; Development, Quality, Operations, Engineering, and Analytics to translate business questions into robust analytical frameworks, guide methodological decisions, and ensure outputs are truly decision\-ready.
Working closely with the **Intuit Assist Expert Experiences** ecosystem, your contributions will help shape how we scale expert quality and enablement as Intuit builds a service platform that empowers customers beyond core product use.
 **Responsibilities**
#### **Technical Leadership \&amp; Analytical Judgment**
Lead the framing of ambiguous, high\-impact business problems into clear analytical hypotheses, causal frameworks, and success metrics.
Set and reinforce standards for **analytical rigor, assumption validation, internal review, and “definition of done.”**
Serve as a technical role model by producing bar\-setting analyses that others can learn from and calibrate against.
#### **Advanced Data Science \&amp; Measurement**
Own complex, end\-to\-end analytical initiatives, including data exploration, validation, feature engineering, statistical modeling, causal inference, and interpretation.
Apply advanced statistical, experimental, and machine learning techniques to understand drivers of expert performance, learning outcomes, and customer experience.
Design and review experimentation strategies (A/B tests, pilots, quasi\-experiments) to ensure methodological soundness and business relevance.
#### **Influence, Storytelling \&amp; Decision Support**
Synthesize complex findings into **clear, compelling narratives** that influence senior stakeholders and inform product, program, and operational decisions.
Act as a trusted advisor by surfacing tradeoffs, risks, and implications—not just results.
Partner cross\-functionally to align on metrics definitions, assumptions, and interpretation before analysis is shared broadly.
#### **Scalable \&amp; Reproducible Analytics**
Develop reusable analytical frameworks, standardized metrics, and reference implementations that scale quality across the team.
Guide the development of dashboards, reporting pipelines, and measurement systems in partnership with Data Engineering and Analytics.
Improve analytical maturity across the org by reducing rework, catching issues earlier, and enabling others to deliver higher\-quality outputs.
 **Qualifications**
 **7\+ years** of experience in data science or analytics roles, preferably in product, web, customer care, or customer experience analytics.
Advanced proficiency in **SQL** and experience working with large\-scale data platforms (e.g., Spark, Databricks, BigQuery, Redshift).
Strong experience with **experimentation and causal inference** (e.g., A/B/n testing, applied causal methods), with excellent judgment on when and how to apply them.
Familiarity with **AI/ML and GenAI\-enabled analytics**, and the ability to reason about implications for measurement, experimentation, and user behavior.
Demonstrated ability to **lead through influence**, not authority—guiding analytical direction, standards, and decisions across teams.
Strong business acumen and ability to translate strategy into testable hypotheses and actionable insights.
Excellent data storytelling and communication skills, with the ability to influence both technical and non\-technical audiences.
Comfortable operating in **fast\-paced, ambiguous environments**, balancing rigor with pragmatism.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 \- 252,000  
Southern California $ 179,000\- 242,000</t>
        </is>
      </c>
    </row>
    <row r="7">
      <c r="A7" t="inlineStr">
        <is>
          <t>in-9c974aaffbf9c4e5</t>
        </is>
      </c>
      <c r="B7" t="inlineStr">
        <is>
          <t>Staff Data Scientist</t>
        </is>
      </c>
      <c r="C7" t="inlineStr">
        <is>
          <t>Intuit</t>
        </is>
      </c>
      <c r="D7" t="inlineStr">
        <is>
          <t>indeed</t>
        </is>
      </c>
      <c r="E7" t="inlineStr"/>
      <c r="F7" t="inlineStr"/>
      <c r="G7" t="inlineStr">
        <is>
          <t>Mountain View, CA, US</t>
        </is>
      </c>
      <c r="H7" s="2" t="n">
        <v>46048</v>
      </c>
      <c r="I7" t="inlineStr">
        <is>
          <t>**Overview**
------------
Intuit’s **Global Business Solutions Group (GBSG)** is dedicated to creating tools and services that dramatically increase the ability of small\-medium businesses (SMBs) to manage cash flow. At the center of this mission, the QuickBooks Money team is developing innovative tools to help customers get paid faster and with confidence. Our expanding suite of offerings and new go\-to\-market strategies aim to further enhance SMBs' ability to accept payments seamlessly.
The **Money Data Science** **team** on the GBSG Data \&amp; Analytics organization’s mission is to deliver delightful customer experiences and drive business impact by developing insights, models, and strategic thought partnership that helps small and mid\-market business customers on managing their money. We partner with Product Management, Commercial, Finance, Business Operations, Design and Engineering teams to foster data\-driven decisions through strategic thinking, data analysis, experimentation, and predictive analytics.
As the founding **Staff Data Scientist** working on a brand new product and a strategic bet within the company, you will dive deep into our data to uncover actionable insights and make recommendations that will fuel growth of this new product. The ideal candidate will have a strong background in quantitative analysis using large data sets, demonstrated growth hacking experience, and in data\-driven decision making.
 **Responsibilities**
As a Staff Data Scientist, you will dive deep into our data to uncover actionable insights and shape strategic decisions. Your contributions will directly impact our product development and GTM strategies of a brand new product and strategic bet. This role requires a strong background in quantitative analysis, data\-driven decision\-making, and expertise in working with large data sets.
* Conceptualize business problems or opportunities, formulate hypotheses and goals, define key metrics and make actionable recommendations.
* Drive strategic insights that shape the future of Money\-movement ecosystem products within Intuit, impacting millions of small businesses.
* Develop predictive models, conduct experimentation beyond A/B testing, and generate actionable customer insights that inform product innovation.
* Build and apply durable customer segmentation patterns to renew product targeting, positioning, and customer experience.
* Partner closely with Product Management, Marketing, Engineering, Design, and Analytics leaders to deliver insights that drive product strategy and growth.
* Translate complex data insights into actionable recommendations for technical and non\-technical stakeholders, and business leaders.
 **Qualifications**
The ideal candidate is a curious, proactive data scientist with experience in building scalable solutions, a strong understanding of customer behavior, and a passion for fintech.
* BS or MS degree in Statistics, Mathematics, Operations Research, Computer Science, Econometrics or related field.
* 6\-10 years of experience in data science or product analytics, preferably in fintech, with a strong foundation in predictive modeling, customer segmentation, and experimentation.
* Ability to formulate data\-backed strategies that will drive step\-function growth for the business as well as increase customer benefit.
* Ability to generate hypotheses grounded in customer behavior, industry trends, and external market factors. Experience in the fintech or SMB space is highly preferred.
* Experience in designing and interpreting complex experiments beyond traditional A/B testing methods.
* Demonstrated experience in building reusable and scalable analytics solutions, with a focus on efficiency and avoiding duplication of work.
* Outstanding communication skills with the ability to influence decision makers and build consensus with teams.
* Quick learner, adaptable, with the ability to work independently or as part of a team in a fast\-paced environment.
* Experience using statistics and machine learning techniques to solve complex business problems within go\-to\-market and marketing areas, e.g., propensity for feature adoption, customer health scoring to identify customers at risk to cancel, next best action models etc.
**Technical** **Skills**
* Advanced SQL skills and proficiency in visualization tools such as Qlik, Tableau, Plotly Dash.
* Strong analytical and modeling skills using Python (for its rich suite of statistical and modeling libraries like numpy, pandas, scikit\-learn, etc.).
* Familiarity with Linux/OS X command line, version control software (git), and general software development.
**Preferred** **Additional** **Qualifications**
* Experience solving growth\-related problems at financial technology companies serving consumer or SMBs.
* Familiarity with Generative AI and other evolving technologies to accelerate insights from multi\-modal data.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8">
      <c r="A8" t="inlineStr">
        <is>
          <t>in-19ae19d071452c6e</t>
        </is>
      </c>
      <c r="B8" t="inlineStr">
        <is>
          <t>Senior Principal Applied Scientist - AI Infrastructure Innovation</t>
        </is>
      </c>
      <c r="C8" t="inlineStr">
        <is>
          <t>Oracle</t>
        </is>
      </c>
      <c r="D8" t="inlineStr">
        <is>
          <t>indeed</t>
        </is>
      </c>
      <c r="E8" t="inlineStr"/>
      <c r="F8" t="inlineStr"/>
      <c r="G8" t="inlineStr">
        <is>
          <t>Seattle, WA, US</t>
        </is>
      </c>
      <c r="H8" s="2" t="n">
        <v>46048</v>
      </c>
      <c r="I8" t="inlineStr">
        <is>
          <t>As a Senior Principal Applied Scientist on OCI’s AI Innovation team, you’ll shaping Oracle’s next generation AI infrastructure. You will bring foresight into concrete requirements for training and serving models at massive scale. Your evidence\-backed insights will guide where we invest across the stack so OCI’s AI Infra offerings are ready for what is coming in the future.
This role requires a deep understanding of machine learning techniques, including foundation model evaluation, traditional NLP/CV metrics, human evaluation, confidence estimation, agentive application evaluation, and RAG application evaluation. The successful candidate will have experience in conducting in\-depth research, producing production\-ready code, and collaborating with cross\-functional teams to integrate evaluation capabilities into various products. A strong background in programming languages, such as Python, and experience with machine learning frameworks, such as TensorFlow or PyTorch, is also required.
In this role, you will lead deep research and rigorous evaluation of LLMs and related systems, designing benchmarks that capture quality, latency, cost, and reliability in real production settings. Expect to prototype new training and inference methods and run large\-scale experiments that reveal scaling behavior and bottlenecks.
A PhD in Computer Science, Mathematics, Statistics, Physics, Linguistics, or a related field, with a dissertation or thesis centered on machine learning techniques, is preferred, although a Master's or Bachelor's degree with relevant experience will also be considered.  
**Responsibilities**
* Research and Development: Conduct in\-depth research on foundation model evaluation, including traditional NLP/CV metrics, LLMaaJ techniques, human evaluation, confidence estimation, agentive application evaluation, and RAG application evaluation. Produce production\-ready code for handoff of POC applications to counterparts in Engineering.
* Collaboration: Work closely with cross\-functional teams to integrate evaluation capabilities into various applications and products.
* Innovation: Identify new opportunities for evaluation and explore emerging technologies.
* Stay Updated: Maintain a deep understanding of industry trends and advancements in evaluation.
**Qualifications and Experience:**  
* PhD Computer Science, Mathematics, Statistics, Physics, Linguistics or a related field (with a dissertation, thesis or final project centered in Machine Learning/Deep Learning/Generative AI/Computational Linguistics) and a minimum of 4 years work experience. Candidates without a PhD but with 5\+ additional years' experience will be considered.
* Strong publication record, including as a lead author or reviewer, in top\-tier journals or conferences.
* Extensive experience in generative AI and model/application evaluation.
* Strong understanding of machine learning algorithms and architectures
* Excellent problem\-solving and analytical skills
* Strong leadership and communication abilities</t>
        </is>
      </c>
    </row>
    <row r="9">
      <c r="A9" t="inlineStr">
        <is>
          <t>in-1725db49fa05985e</t>
        </is>
      </c>
      <c r="B9" t="inlineStr">
        <is>
          <t>Senior Data Scientist - Statistical Analysis</t>
        </is>
      </c>
      <c r="C9" t="inlineStr">
        <is>
          <t>Tiger Analytics</t>
        </is>
      </c>
      <c r="D9" t="inlineStr">
        <is>
          <t>indeed</t>
        </is>
      </c>
      <c r="E9" t="inlineStr"/>
      <c r="F9" t="inlineStr"/>
      <c r="G9" t="inlineStr">
        <is>
          <t>Chicago, IL, US</t>
        </is>
      </c>
      <c r="H9" s="2" t="n">
        <v>46048</v>
      </c>
      <c r="I9" t="inlineStr">
        <is>
          <t>Tiger Analytics is pioneering what AI and analytics can do to solve some of the toughest problems faced by organizations globally. We develop bespoke solutions powered by data and technology for several Fortune 100 companies. We have offices in multiple cities across the US, UK, India, and Singapore, and a substantial remote global workforce.
We are also market leaders in AI and analytics consulting in the CPG \&amp; retail industry with over 40% of our revenues coming from the sector. This is our fastest\-growing sector, and we are beefing up our talent in the space.
We are looking for a Senior Data Scientist with deep expertise in statistical analysis, statistical modeling, program evaluation. strong coding capabilities to add to our team.
**Key Responsibilities:**
* Lead statistical analysis and modeling efforts for program evaluation and business impact assessment
* Design and execute evaluation methodologies (e.g., A/B testing, quasi\-experimental designs, causal inference)
* Apply advanced statistical techniques such as regression, hypothesis testing, time\-series analysis, and multivariate analysis
* Develop predictive and explanatory models to assess program outcomes and performance
* Translate complex analytical findings into clear, actionable insights for business and leadership stakeholders
* Work closely with cross\-functional teams (product, business, strategy) to define evaluation metrics and success criteria
* Ensure data quality, statistical validity, and reproducibility of analyses
* Mentor junior team members and review analytical work for rigor and accuracy
* Collaborate, coach, and learn with a growing team of experienced Data Scientists.
**Requirements**
* 6\-7 years of experience in Data Science, Advanced Analytics, or Statistical Modeling roles
* Strong foundation in statistics and probability with hands\-on application in real\-world programs
* Proven experience in program evaluation, impact measurement, or policy/business evaluation
* Expertise in statistical modeling techniques (linear/logistic regression, mixed models, time\-series, causal models)
* Proficiency in Python or R for statistical analysis and modeling
* Strong SQL skills for data extraction and analysis
* Experience working with large, complex datasets
* Excellent communication skills with the ability to explain statistical results to non\-technical audiences
* Experience with causal inference frameworks (PSM, DiD, uplift modeling, Bayesian methods)
**Benefits**
This position offers an excellent opportunity for significant career development in a fast\-growing and challenging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10">
      <c r="A10" t="inlineStr">
        <is>
          <t>in-553bda7978a62c72</t>
        </is>
      </c>
      <c r="B10" t="inlineStr">
        <is>
          <t>Data Scientist</t>
        </is>
      </c>
      <c r="C10" t="inlineStr">
        <is>
          <t>Corner Alliance</t>
        </is>
      </c>
      <c r="D10" t="inlineStr">
        <is>
          <t>indeed</t>
        </is>
      </c>
      <c r="E10" t="inlineStr"/>
      <c r="F10" t="inlineStr"/>
      <c r="G10" t="inlineStr">
        <is>
          <t>Washington, DC, US</t>
        </is>
      </c>
      <c r="H10" s="2" t="n">
        <v>46048</v>
      </c>
      <c r="I10" t="inlineStr">
        <is>
          <t>Corner Alliance is a dynamic, growing consulting firm that devotes itself to providing an enriching employee experience *while* working in meaningful ways to**create results for the government.** We are currently seeking a Data Scientist with 8\+ years of experience to join our team and fully embrace our commitment to *deliver, grow and thrive*.
**\*\*This position is contingent upon award\*\***  
**About the Role:**  
As a Senior Data Analyst supporting our Federal government client, you will be trusted to support the development of the Data Strategy**,** articulating how the organization will accelerate the adoption of data, analytics, and artificial intelligence (AI) to enable joint operational situational awareness and data\-driven decision\-making. In this role, you will lead advanced analytics efforts, enhance enterprise data capabilities, and transform complex datasets into actionable insights that support mission outcomes.  
**Key Responsibilities include** ***(but are not limited to):**** Develop scripts to curate select datasets for integration into business intelligence data products
* Enhance and maintain data pipelines used to restructure, clean, and transform datasets for integration into the enterprise data warehouse
* Design, enhance, and develop business intelligence dashboards and data visualizations to provide leadership with timely, actionable insights and joint operational situational awareness
* Lead exploratory data analysis efforts to identify trends, risks, and opportunities across complex datasets
* Identify and develop opportunities within existing data management and analytics efforts where AI/ML can expand capabilities and deliver performance enhancements
* Deliver spatial data science solutions to extract deeper insights, uncover hidden patterns, and improve predictive modeling
* Leverage advanced analytics and visualization tools (e.g., Power BI, ArcGIS, Palantir or equivalent platforms) to support decision\-making and performance tracking
* Translate complex analytical findings into clear, concise reports and presentations for technical and non\-technical stakeholders
* Ensure analytics products meet federal standards for quality, accuracy, documentation, and usability
* Provide technical leadership and guidance on analytics best practices across data initiatives
* Carry out our
**Location:**  
You will work as part of a remote team; however, you may be required to attend occasional meetings at headquarters located in: Washington, DC; Reston, VA; Arlington, VA or Boulder, CO.  
**Required Experience/Skills:*** A Bachelor’s degree and 8 years of relevant professional experience
	+ A Master’s degree and 5 years of experience may be substituted in lieu of 8 years of experience
* Demonstrated experience supporting advanced data analytics initiatives, preferably in a federal or consulting environment
* Advanced experience developing and maintaining data pipelines and enterprise data solutions
* Expert\-level experience with data visualization and analytics tools such as Power BI**,** ArcGIS, Tableau, or similar platforms
* Experience applying advanced analytical techniques, including exploratory analysis and predictive modeling
* Proficiency with scripting or data manipulation languages such as SQL**,** Python**,** R**,** or equivalent
* Strong written and verbal communication skills, with the ability to present complex data clearly and effectively
* Ability to work independently and lead analytics tasks across multiple workstreams
* US citizenship and the ability to pass public trust clearance or suitability
**Preferred Experience/Skills:*** Experience developing or operationalizing AI/ML solutions within analytics environments
* Experience delivering spatial or geospatial analytics solutions
* Experience operating or supporting Palantir or similar data foundry platforms
* Prior experience supporting large, complex federal programs or enterprise data environments
*Don’t think you have everything for this role but are still very interested? Please don’t hold back from applying because you may not have it all. You can learn and grow with us. We're looking for someone who is coachable, unflappable in navigating challenges, resourceful in learning new skills, innovative in challenging the status quo, excellent in writing, analytical in thinking, skilled in prioritization, and a rapport builder with clients and colleagues.*  
***About Us:***  
*Corner Alliance offers a comprehensive and competitive benefits package for full\-time employees including 401k matching (4%), PTO (3 weeks to start, 4 weeks (2\-5 years) and 5 weeks (5 years\+)), health, dental, vision, short\- and long\-term disability, FSA accounts, 4 weeks of paid parental leave, 11 paid holidays (including your birthday off), fitness \&amp; cell phone reimbursements, monthly all hands update meetings, annual in\-person all hands team building day and evening out, regular check\-ins for professional growth goals, semi\-monthly one on one performance manager meetings, a social team that coordinates monthly events, use of technology like Slack to keep us connected and collaborative, and overall, a company culture dedicated to a highly engaged team.*  
*Corner Alliance is an equal opportunity employer and prohibits discrimination and harassment of any type without regard to race, color, religion, age, sex (including pregnancy, gender identity, and sexual orientation), national origin, disability status, genetics, protected veteran status, or any other basis covered by applicable law. We are dedicated to building a talented workforce that reflects the strength of our society and our shared commitment to excellence. In compliance with the Americans with Disabilities Act Amendments Act (ADAAA), if you have a disability and would like to request an accommodation in order to apply for a position with Corner Alliance please call (202\) 754\-8120 or email* *recruiting@corneralliance.com**. Corner Alliance participates in the E\-verify program and will provide the Federal Government with Form I\-9 information to confirm work authorization in the U.S.*  
*Visit us at* *www.corneralliance.com* *to learn more.*  
***Securing Your Data:***  
*Beware of fake employment opportunities using Corner Alliance’s name. Corner Alliance will never ask you to provide payment\-related information during any part of the employment application process (i.e., ask you for money), nor will Corner Alliance ever advance money as part of the hiring process (i.e., send you a check or money order before doing any work). Further, Corner Alliance will only communicate with you through our ATS system JazzHR and/or emails that are generated by the* *corneralliance.com* *automated system – never from free commercial services (e.g., Gmail, Yahoo, Hotmail) or via WhatsApp, Telegram, etc. If you received an email purporting to be from Corner Alliance that asks for payment\-related information or any other personal information (e.g., about you or your previous employer), and you are concerned about its legitimacy, please make us aware immediately by emailing us at* *recruiting@corneralliance.com**. If you believe you are the victim of a scam, contact your local law enforcement and report the incident to the* *U.S. Federal Trade Commission**.*  
***Salary:***  
*Approximate Salary Estimate: $120,000 \- $145,000 annually*  
*The estimate displayed represents the typical salary range of candidates hired. Factors that may be used to determine your actual salary may include your specific skills, how many years of experience you have, and comparison to other employees already in this role.*  
zR9dZ8TV3Z</t>
        </is>
      </c>
    </row>
    <row r="11">
      <c r="A11" t="inlineStr">
        <is>
          <t>in-55a7a74dc03dabf7</t>
        </is>
      </c>
      <c r="B11" t="inlineStr">
        <is>
          <t>Sr. Software Developers and Web Master Team Support (Data Scientist)</t>
        </is>
      </c>
      <c r="C11" t="inlineStr">
        <is>
          <t>Prescient Edge</t>
        </is>
      </c>
      <c r="D11" t="inlineStr">
        <is>
          <t>indeed</t>
        </is>
      </c>
      <c r="E11" t="inlineStr"/>
      <c r="F11" t="inlineStr"/>
      <c r="G11" t="inlineStr">
        <is>
          <t>Fort Meade, MD, US</t>
        </is>
      </c>
      <c r="H11" s="2" t="n">
        <v>46048</v>
      </c>
      <c r="I11" t="inlineStr">
        <is>
          <t>Job Description:  
Prescient Edge is seeking a **Sr. Software Developers and Web Master Team Support (Data Scientist)**to support a Federal Government client.
**Please note that the availability of this position is contingent upon contract award.**
**Sr. Software Developers and Web Master Team Support (Data Scientist**
**Benefits:**
At **Prescient** **Edge**, we believe that acting with integrity and serving our employees is the key to everyone's success. To that end, we provide employees with a best\-in\-class benefits package that includes:
* A competitive salary with performance bonus opportunities.
* Comprehensive healthcare benefits, including medical, vision, dental, and orthodontia coverage.
* A substantial retirement plan with no vesting schedule.
* Career development opportunities, including on\-the\-job training, tuition reimbursement, and networking.
* A positive work environment where employees are respected, supported, and engaged.
**Job Requirements:** **Desired experiences**:
* At least two years of experience in website coding, basic graphics techniques, Structured Query Language (SQL), Hypertext Markup Language (HTML), Extensible Markup Language (XML), Java, Java Applets, and JavaScript, be Security Plus certified, and be qualified at Information Assurance Technical Workforce Requirement Level II as defined in DoD 8570\.01\-M, Table C3\.T1\.
**Desired education:**
* High School Diploma\- 20 years of relevant experience with at least a portion of the experience within the last 2 years.
* Associate’s degree\- 16 years of relevant experience with at least a portion of the experience within the last 2 years.
* Bachelor’s degree\- 14 years of relevant experience with at least a portion of the experience within the last 2 years.
* Master’s degree\- 12 years of relevant experience with at least a portion of the experience within the last 2 years.
**Security Clearance:**
* Security clearance required TS/SCI with CI POLY or the ability to obtain CI POLY.
**Location:**
* Fort Meade, MD.</t>
        </is>
      </c>
    </row>
    <row r="12">
      <c r="A12" t="inlineStr">
        <is>
          <t>in-fcdd8f1f1e5d1f1c</t>
        </is>
      </c>
      <c r="B12" t="inlineStr">
        <is>
          <t>Sr. Technical Operations (Tech Ops) Support- (Data Scientist)</t>
        </is>
      </c>
      <c r="C12" t="inlineStr">
        <is>
          <t>Prescient Edge</t>
        </is>
      </c>
      <c r="D12" t="inlineStr">
        <is>
          <t>indeed</t>
        </is>
      </c>
      <c r="E12" t="inlineStr"/>
      <c r="F12" t="inlineStr"/>
      <c r="G12" t="inlineStr">
        <is>
          <t>Fort Meade, MD, US</t>
        </is>
      </c>
      <c r="H12" s="2" t="n">
        <v>46048</v>
      </c>
      <c r="I12" t="inlineStr">
        <is>
          <t>Job Description:  
Prescient Edge is seeking a **Sr. Technical Operations (Tech Ops) Support\- (Data Scientist)**to support a Federal Government client.
**Please note that the availability of this position is contingent upon contract award.**
**Sr. Technical Operations (Tech Ops) Support\- (Data Scientist)**
**Benefits:**
At **Prescient** **Edge**, we believe that acting with integrity and serving our employees is the key to everyone's success. To that end, we provide employees with a best\-in\-class benefits package that includes:
* A competitive salary with performance bonus opportunities.
* Comprehensive healthcare benefits, including medical, vision, dental, and orthodontia coverage.
* A substantial retirement plan with no vesting schedule.
* Career development opportunities, including on\-the\-job training, tuition reimbursement, and networking.
* A positive work environment where employees are respected, supported, and engaged.
**Job Requirements:** **Desired experiences**:
* Must possess Certified Information Systems Security Professional (CISSP) or Cisco\-based Networking Certifications such as Cisco Certified Network Associate (CCNA) or security exploitation certifications such as Certified Ethical Hacker (CEH) or EC\-Council Certified Security Analyst (ECSA).
* DoD Risk Management Framework (RMF) equivalent qualifications are acceptable.
* Must possess a DoD 8570 Information Assurance Technician Level II Certification and 3 years of experience in programing language.
* Programming languages desired, C\+\+, PHP, JavaScript, Java, Python, Perl.
**Desired education:**
* High School Diploma\- 20 years of relevant experience with at least a portion of the experience within the last 2 years.
* Associate’s degree\- 16 years of relevant experience with at least a portion of the experience within the last 2 years.
* Bachelor’s degree\- 14 years of relevant experience with at least a portion of the experience within the last 2 years.
* Master’s degree\- 12 years of relevant experience with at least a portion of the experience within the last 2 years.
**Security Clearance:**
* Security clearance required TS/SCI with CI POLY or the ability to obtain CI POLY.
**Location:**
* Fort Meade, MD.</t>
        </is>
      </c>
    </row>
    <row r="13">
      <c r="A13" t="inlineStr">
        <is>
          <t>in-0c37a973e1fa9ff0</t>
        </is>
      </c>
      <c r="B13" t="inlineStr">
        <is>
          <t>Senior Data Scientist</t>
        </is>
      </c>
      <c r="C13" t="inlineStr">
        <is>
          <t>Copeland</t>
        </is>
      </c>
      <c r="D13" t="inlineStr">
        <is>
          <t>indeed</t>
        </is>
      </c>
      <c r="E13" t="inlineStr"/>
      <c r="F13" t="inlineStr"/>
      <c r="G13" t="inlineStr">
        <is>
          <t>Sidney, OH, US</t>
        </is>
      </c>
      <c r="H13" s="2" t="n">
        <v>46048</v>
      </c>
      <c r="I13" t="inlineStr">
        <is>
          <t>**About Us**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that is built for the needs of the world ahead.
Whether you are a professional looking for a career change, an undergraduate student exploring your first opportunity, or recent graduate with an advanced degree, we have opportunities that will allow you to innovate, be challenged and make an impact. Join our team and start your journey today!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that is built for the needs of the world ahead.
Whether you are a professional looking for a career change, an undergraduate student exploring your first opportunity, or a recent graduate with an advanced degree, we have opportunities that will allow you to innovate, be challenged and make an impact. Join our team and start your journey today!
**As a Senior Data Scientist, You Will**
* Apply machine learning, econometrics, and operations research to optimize HVACR system performance and energy consumption
* Discover and deliver on opportunities to improve processes in our enterprise through data analytics and automation
* Develop customer\-focused solutions that address global resource and efficiency challenges
* Work on an array of problem types, including optimization, forecasting, statistical analysis, control theory, and LLM’s
* Establish and maintain collaboration with other internal teams to apply cloud and edge\-computing capabilities for production and proprietary algorithms
* Develop a deep understanding of the HVACR and cold chain industries to ensure technical solutions align with business goals
Adapt advanced techniques from peer\-reviewed journals and conferences into practical, scalable solutions for real\-world engineering challenges  
* 
**Required Education, Experience, \&amp; Skills**
* Bachelor’s degree in Computer Science, Statistics, Chemical Engineering, Mechanical Engineering, Electronic / Electrical Engineering, Aerospace Engineering, Mathematics, or other relevant degree
* 3\+ years of relevant experience
* Experience in data wrangling and modeling in Python or similar language
* Proficient in verifying raw data integrity through automation and exploratory data analysis (EDA) techniques
* Proficient in robust statistics, hypothesis testing, experimental design
* Ability to work virtually with a global team
Ability to translate ambiguous business problems into actionable analytics and data science tasks  
* 
**Preferred Education, Experience, \&amp; Skills**
* Interdisciplinary background, combining data science expertise with a solid grounding in traditional engineering fields such as Chemical, Mechanical, Aerospace, or related disciplines.
* Advanced Degree in Analytics / Computer Science / Artificial Intelligence / Mathematics, Statistics, Chemical Engineering, Mechanical Engineering, Electronic / Electrical Engineering, Aerospace Engineering
* Knowledge of HVAC and refrigeration related thermodynamics, system operation and system control logic
* Experience in applying signal processing (time and frequency domain) for feature engineering
* Experience in applying optimal control theory and reinforcement learning (RL)
* Proven experience as the technical lead for project(s) or research or acted as a change agent for transformation initiatives
* Experience with Azure DevOps and Agile sprints
* Ability and interest in translating highly sophisticated and abstract concepts to internal and external team members with minimum analytics knowledge
\#LI\-AE1
\#LI\-HYBRID
**Our Commitment to Our People**
Across the globe, we are united by a singular Purpose: Sustainability is no small ambition. That’s why everything we do is geared toward a sustainable future—for our generation and all those to come. Through groundbreaking innovations, HVACR technology and cold chain solutions, we are reducing carbon emissions and improving energy efficiency in spaces of all sizes, from residential to commercial to industrial.
Our employees are our greatest strength. We believe that our culture of passion, openness, and collaboration empowers us to work toward the same goal \- to make the world a better place. We invest in the end\-to\-end development of our people, beginning at onboarding and through senior leadership, so they can thrive personally and professionally.
Flexible and competitive benefits plans offer the right options to meet your individual/family needs: medical insurance plans, dental and vision coverage, 401(k) and more. We provide employees with flexible time off plans, including paid parental leave, vacation and holiday leave.
Together, we have the opportunity – and the power – to continue to revolutionize the technology behind air conditioning, heating and refrigeration, and cultivate a better future. Learn more about us and how you can join our team!  
**Our Commitment to Inclusion \&amp; Belonging**
At Copeland, we cultivate a strong sense of inclusion and belonging where individuals of all backgrounds, and with diverse perspectives, are embraced and treated fairly to enable a stronger workforce. Our employee resource groups play an important role in culture and community building at Copeland.  
**Work Authorization**
Copeland will only employ those who are legally authorized to work in the United States. This is not a position for which sponsorship will be provided. Individuals with temporary visas such as E, F\-1 with OPT or CPT, H\-1, H\-2, L\-1, B, J or TN, or who need sponsorship for work authorization now or in the future, are not eligible for hire.  
**Equal Opportunity Employer**
Copeland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If you have a disability and are having difficulty accessing or using this website to apply for a position, please contact: copeland.careers@copeland.com</t>
        </is>
      </c>
    </row>
    <row r="14">
      <c r="A14" t="inlineStr">
        <is>
          <t>in-30fac319fc615260</t>
        </is>
      </c>
      <c r="B14" t="inlineStr">
        <is>
          <t>Asset Management Investment Platform - Data Scientist Associate</t>
        </is>
      </c>
      <c r="C14" t="inlineStr">
        <is>
          <t>JPMorganChase</t>
        </is>
      </c>
      <c r="D14" t="inlineStr">
        <is>
          <t>indeed</t>
        </is>
      </c>
      <c r="E14" t="inlineStr"/>
      <c r="F14" t="inlineStr"/>
      <c r="G14" t="inlineStr">
        <is>
          <t>New York, NY, US</t>
        </is>
      </c>
      <c r="H14" s="2" t="n">
        <v>46048</v>
      </c>
      <c r="I14" t="inlineStr">
        <is>
          <t>**JOB DESCRIPTION**  
JPMorgan Asset Management Data Science team works closely with investors and portfolio managers to analyze large collection of textual data including financial reports, analyst notes, call transcripts, news to help investors make informed decisions by gauging market sentiment, identifying trending and emerging themes, detecting risks and exposures at scale. We are looking for passionate NLP scientists to apply latest methodologies to generate actionable insights directly consumed by our business partners.
**Job summary:**
As an Asset Management AI/ML Data Scientist \- Associate on the Asset Management Investment Platform Data Science team you will leverage innovative and cutting\-edge NLP and LLM expertise to develop business\-centric products. In this role, you will implement AI solutions to enhance investment processes, elevate client experiences, and streamline operations. By extracting vital insights from financial reports, analyst notes, and client communications, you will empower smart data\-driven decision making and enable process automation.
**Job responsibilities:**
* Collaborate with internal stakeholders to understand business needs, build out requirements, and design technical architectures
* Develop technical solutions utilizing LLMs for a variety of problems including content extraction, search and question answering, reasoning and recommendation
* Build comprehensive testing setups to evaluate model performances and ensure the efficacy and reliability of the solutions
* Collaborate with engineering functions to deliver high quality, scalable output
* Study scientific articles and research papers to identify emerging and state\-of\-the\-art techniques and discover new approaches
**Required qualifications, skills and capabilities:**
* 2\-3 years of experience delivering AI/ML product and managing stakeholder relationships
* Advanced degree in Data Science, Computer Science, or Machine Learning
* Proven experience in NLP and working with LLMs
* Proficiency in programming languages such as Python and familiarity with ML libraries and frameworks
* Excellent communication skills and ability to work collaboratively in a fast\-paced, dynamic environment
* Strong analytical skills with an understanding of financial markets and asset management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15">
      <c r="A15" t="inlineStr">
        <is>
          <t>in-deae33ee24e4b522</t>
        </is>
      </c>
      <c r="B15" t="inlineStr">
        <is>
          <t>Data Scientist Associate - Payments Data &amp; Analytics</t>
        </is>
      </c>
      <c r="C15" t="inlineStr">
        <is>
          <t>JPMorganChase</t>
        </is>
      </c>
      <c r="D15" t="inlineStr">
        <is>
          <t>indeed</t>
        </is>
      </c>
      <c r="E15" t="inlineStr"/>
      <c r="F15" t="inlineStr"/>
      <c r="G15" t="inlineStr">
        <is>
          <t>New York, NY, US</t>
        </is>
      </c>
      <c r="H15" s="2" t="n">
        <v>46048</v>
      </c>
      <c r="I15" t="inlineStr">
        <is>
          <t>**JOB DESCRIPTION**  
Join the JPM Payments Data \&amp; Analytics' Treasure Service team at JPMorgan Chase, where we leverage data science, research, and business acumen to promote client\-focused innovation. Apply your technical skills to projects involving payments analytics and cutting\-edge Gen\-AI applications, creating impactful solutions for Chase Treasury Services clients.
As a Data Scientist Associate in our Treasury Services team, you will work on projects that integrate agentic workflows, business intelligence, data engineering, and data visualization to grow our payments business. You will play a pivotal role in developing our generative AI use cases and approach.
Your work will involve leveraging your technical skills and business acumen to collaboratively design and implement end\-to\-end solutions with tangible commercial impact for our clients and customers. Our team supports both internal and external payments intelligence applications, as well as custom client analytics requests on an ad hoc basis.
Utilizing tools such as Databricks, Python, Tableau and Sigma, you will develop data pipelines and dashboards, prototype new generative AI capabilities and features, and ensure the quality and integrity of our intelligent solutions. Your contributions will help streamline operations, enhance decision\-making, and foster growth through innovative AI applications.
**Job Responsibilities**
* Learn our business and how JPMorgan delivers value for our clients globally
* Leverage your technical skillset and curiosity to identify opportunities to help grow our TS business
* Build and rigorously test new data and AI driven insights
* Develop scalable frameworks for seamless AI model integration across business applications. Ensure solutions can adapt and expand as needed.
* Build and test AI agents. Iterate designs to enhance functionality and user experience. Conduct rigorous testing for reliability and effectiveness.
* Use tools like Databricks, Python, Tableau and Sigma to create data pipelines and dashboards. Support AI\-driven insights and decision\-making.
* Monitor AI model performance. Identify areas for enhancement. Implement updates to maintain quality and relevance.
* Work on agile teams to support data\-driven decision\-making and client relationship management.
**Required Qualifications, Capabilities, and Skills**
* Bachelor's degree in Science, Technology, Engineering, Mathematics (STEM) or related field.
* Proficiency in Python and SQL for data processing and analysis.
* Strong problem\-solving and critical thinking skills.
* Experience in leveraging Large Language Models (LLMs) and agentic AI techniques.
* Ability to automate repeatable tasks to enhance business process efficiency.
**Preferred Qualifications, Capabilities, and Skills**
* Experience in data analysis, data science, or related fields.
* Familiarity with AWS, Databricks for data management and analysis.
* Understanding of quality assurance practices and the importance of data integrity.
* Knowledge of machine learning/data science theory, techniques, and tools.
* Awareness of big data technologies (e.g., Spark) and distributed computing concepts like MapReduce.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6">
      <c r="A16" t="inlineStr">
        <is>
          <t>in-27ea3808473b8a36</t>
        </is>
      </c>
      <c r="B16" t="inlineStr">
        <is>
          <t>Compliance - AI ML Lead (Data Scientist) - Vice President</t>
        </is>
      </c>
      <c r="C16" t="inlineStr">
        <is>
          <t>JPMorganChase</t>
        </is>
      </c>
      <c r="D16" t="inlineStr">
        <is>
          <t>indeed</t>
        </is>
      </c>
      <c r="E16" t="inlineStr"/>
      <c r="F16" t="inlineStr"/>
      <c r="G16" t="inlineStr">
        <is>
          <t>Jersey City, NJ, US</t>
        </is>
      </c>
      <c r="H16" s="2" t="n">
        <v>46048</v>
      </c>
      <c r="I16" t="inlineStr">
        <is>
          <t>**JOB DESCRIPTION**  
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 Data Scientist Vice President within the Compliance, Conduct Operational Risk (CCOR) Data Analytics team, you will be responsible for devising and developing Proofs of Concept (POCs) and deployable models using AI/Gen AI/ ML techniques, algorithms and other statistical and numerical methods. You will need to be able to extract and work with large volumes of data (both structured and unstructured) from multiple sources, transforming it into an analysis\-ready format to develop the data pipeline. Additionally, you are expected to independently formulate methodologies, and quantitative and analytical tasks, from business problems.
**Job Responsibilities**
* Analyze complex/unstructured data to understand the business problem and use case
* Analyze business requirements, design, and develop appropriate methodology
* Develop deployable, scalable and effective models/ analytical methods as part of technology managed system or as a self\-served application of a business user
* Work collaboratively and creatively with other data scientists, technology partners, risk professionals, model validation teams, etc.
* Prepare technical documentation of quantitative models for internal model risk and governance review
**Required qualifications, capabilities, and skills**
* 6\+ years of related experience in Python, R or Scala with Bachelor of Science degree in Computer Science, Physical Sciences, Econometrics, Statistics, or other any quantitative discipline.
* Demonstrable theoretical and application knowledge of AL/ ML, Gen AI and Statistical Models
* Demonstrable hands\-on experience with Transformer or other deep learning architectures in real applications
* Demonstrable hands\-on experience with using or fine tuning multimodal LLM in real business applications with scale and performance
* Demonstrable hands\-on experience and familiarity with any or all of the following packages, algorithms, and/or alternatives, including Graph Learning Packages : (NetworkX, Torch\-Geometric, Graphframes, Graphistry),ML Packages (Pandas, Scikit\-Learn, XGBoost, catboost, lightgbm, automl, Optuna, Hyperopt), Visualization Packages (Matplotlib, Seaborn, Geopandas), Algorithm (Ensemble Louvian / Hierarchical Clustering, Label Propagation, Connected Component Analysis, Graph Neural net (Graph Attention Network), Page Rank, Centrality Analysis, Tree based Analysis, Outlier Detection Methods, Zero Shot/ Few Shot learning)
* Demonstrable experience with graph analytics, graph\-based learning, and graph representation/visualization
* Experience in graph Database: TigerGraph, Neo4j
* Experience in Query Language: Hive, Cypher (Graph Query Language)
* Experience in developing and operationalization of data pipelines
* Familiarity and experience of assimilating large amounts of data from multiple databases and utilize them for creating actionable outcome; Adhering to a standardized analysis and project methodology; and documenting quantitative analysis
* Experience with processes, controls and governance of a highly regulated environment; Self\-starter and strong influencing skills with strong communication skills
**Preferred qualifications, capabilities, and skills**
* Hands\-on professional experience in software development especially with analytical \&amp; computationally intensive systems, digital transformations leveraging cloud technologies (AWS, GCP, Azure, Databricks etc.). Experience with EKS or AKS provisioning is a plus
* Post graduate degrees such as Master’s Degree, PhD, etc. is preferred
* Real life exposure to Agile SDLC, ModelOps and /Or Design Thinking is desirable.
* Working knowledge of C/C\#/C\+\+ or others is a plus
* Experience in financial services industry especially in Operational Risk Management, Anti\-Money Laundering \&amp; Know Your Customer, Trade Surveillance model development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Our Compliance teams work globally across all lines of business to advise internal stakeholders on the impact of regulatory requirements and how to balance these with the firm’s needs. Their diverse mandate means they also provide input on new business strategies, product lines, policies, training, operational processes, risk mitigation and control.</t>
        </is>
      </c>
    </row>
    <row r="17">
      <c r="A17" t="inlineStr">
        <is>
          <t>in-371d67b1beb6e8df</t>
        </is>
      </c>
      <c r="B17" t="inlineStr">
        <is>
          <t>Senior Principal Applied Scientist - AI Infrastructure Innovation</t>
        </is>
      </c>
      <c r="C17" t="inlineStr">
        <is>
          <t>Oracle</t>
        </is>
      </c>
      <c r="D17" t="inlineStr">
        <is>
          <t>indeed</t>
        </is>
      </c>
      <c r="E17" t="inlineStr"/>
      <c r="F17" t="inlineStr"/>
      <c r="G17" t="inlineStr">
        <is>
          <t>Seattle, WA, US</t>
        </is>
      </c>
      <c r="H17" s="2" t="n">
        <v>46047</v>
      </c>
      <c r="I17" t="inlineStr">
        <is>
          <t>As a Senior Principal Applied Scientist on OCI’s AI Innovation team, you’ll shaping Oracle’s next generation AI infrastructure. You will bring foresight into concrete requirements for training and serving models at massive scale. Your evidence\-backed insights will guide where we invest across the stack so OCI’s AI Infra offerings are ready for what is coming in the future.
This role requires a deep understanding of machine learning techniques, including foundation model evaluation, traditional NLP/CV metrics, human evaluation, confidence estimation, agentive application evaluation, and RAG application evaluation. The successful candidate will have experience in conducting in\-depth research, producing production\-ready code, and collaborating with cross\-functional teams to integrate evaluation capabilities into various products. A strong background in programming languages, such as Python, and experience with machine learning frameworks, such as TensorFlow or PyTorch, is also required.
In this role, you will lead deep research and rigorous evaluation of LLMs and related systems, designing benchmarks that capture quality, latency, cost, and reliability in real production settings. Expect to prototype new training and inference methods and run large\-scale experiments that reveal scaling behavior and bottlenecks.
A PhD in Computer Science, Mathematics, Statistics, Physics, Linguistics, or a related field, with a dissertation or thesis centered on machine learning techniques, is preferred, although a Master's or Bachelor's degree with relevant experience will also be considered.  
**Responsibilities**
* Research and Development: Conduct in\-depth research on foundation model evaluation, including traditional NLP/CV metrics, LLMaaJ techniques, human evaluation, confidence estimation, agentive application evaluation, and RAG application evaluation. Produce production\-ready code for handoff of POC applications to counterparts in Engineering.
* Collaboration: Work closely with cross\-functional teams to integrate evaluation capabilities into various applications and products.
* Innovation: Identify new opportunities for evaluation and explore emerging technologies.
* Stay Updated: Maintain a deep understanding of industry trends and advancements in evaluation.
**Qualifications and Experience:**  
* PhD Computer Science, Mathematics, Statistics, Physics, Linguistics or a related field (with a dissertation, thesis or final project centered in Machine Learning/Deep Learning/Generative AI/Computational Linguistics) and a minimum of 4 years work experience. Candidates without a PhD but with 5\+ additional years' experience will be considered.
* Strong publication record, including as a lead author or reviewer, in top\-tier journals or conferences.
* Extensive experience in generative AI and model/application evaluation.
* Strong understanding of machine learning algorithms and architectures
* Excellent problem\-solving and analytical skills
* Strong leadership and communication abilities</t>
        </is>
      </c>
    </row>
    <row r="18">
      <c r="A18" t="inlineStr">
        <is>
          <t>in-198b4dea537e5556</t>
        </is>
      </c>
      <c r="B18" t="inlineStr">
        <is>
          <t>Data Scientist - PBM underwriting</t>
        </is>
      </c>
      <c r="C18" t="inlineStr">
        <is>
          <t>CVS Health</t>
        </is>
      </c>
      <c r="D18" t="inlineStr">
        <is>
          <t>indeed</t>
        </is>
      </c>
      <c r="E18" t="inlineStr"/>
      <c r="F18" t="inlineStr"/>
      <c r="G18" t="inlineStr">
        <is>
          <t>Trenton, NJ, US</t>
        </is>
      </c>
      <c r="H18" s="2" t="n">
        <v>46047</v>
      </c>
      <c r="I18"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The Data Scientist role within CVS Health is on the front line of driving innovation and directly impacting business decisions. This role falls within the Analytics and Behavior Change organization and will focus on building \&amp; deploying analytic models that help the PBM business meet its client and pharmacy financial guarantees. This team works on ML and forecasting models to forecast drug trend pricing and utilization tied to 95 million Americans. The ideal candidate will be a flexible collaborator and team player who can contribute to all phases of the project including data cleaning and interpretation, analysis, data preparation, pipeline management, model enhancements, model performance and data quality assessments, reporting, documentation, and project overviews.
**Required Qualifications**
Master’s Degree in Data Science, Computer Science, Applied Math, Operation Research, Statistics, Health Policy, or other related field with 1\+ years of professional experience in:
* Extracting actionable insights from the analysis and interpreting outcomes of complex models to present to business audiences including technical, non\-technical, and senior leaders
* Preparing data for analysis, assess completeness and quality of data, and perform feature engineering
* Communicating effectively and confidently with business partners, project team members, and senior management
* Working with data and have a strong understanding of analytics and how it is leveraged within the healthcare/pharmacy industry
 **Required Skills**
* 1\+ years of experience applying modern machine learning techniques to build predictive models for classification, regression, and time series problems
* 1\+ years’ experience with general linear models, including regression and time series techniques etc.
* 1\+ years of experience coding in Python or similar programming language
* 1\+ year experience with SQL
**Preferred Qualifications**
* 3\+ years of experience coding in Python
* 1\+ years of experience with Tableau or other visualization tool
* Experience with Databricks and cloud (Azure, GCP) platforms
* Experience with gitlab and version control, as well as MLOps procedures
* Knowledge of deep learning and big data tools and techniques
* Prior experience developing \&amp; deploying advanced analytics models supporting Underwriting or Actuarial domains
 **Education**
* Master’s Degree or PhD in Data Science, Computer Science, Applied Math, Operation Research, Statistics, Health Policy, or related field
**Anticipated Weekly Hours**
40**Time Type**
Full time**Pay Range**
The typical pay range for this role is:
$64,890\.00 \- $158,620\.00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01/30/2026
Qualified applicants with arrest or conviction records will be considered for employment in accordance with all federal, state and local laws.</t>
        </is>
      </c>
    </row>
    <row r="19">
      <c r="A19" t="inlineStr">
        <is>
          <t>in-43e04841b34d24dd</t>
        </is>
      </c>
      <c r="B19" t="inlineStr">
        <is>
          <t>Data Scientist - Compete</t>
        </is>
      </c>
      <c r="C19" t="inlineStr">
        <is>
          <t>Microsoft</t>
        </is>
      </c>
      <c r="D19" t="inlineStr">
        <is>
          <t>indeed</t>
        </is>
      </c>
      <c r="E19" t="inlineStr"/>
      <c r="F19" t="inlineStr"/>
      <c r="G19" t="inlineStr">
        <is>
          <t>Redmond, WA, US</t>
        </is>
      </c>
      <c r="H19" s="2" t="n">
        <v>46042</v>
      </c>
      <c r="I19" t="inlineStr">
        <is>
          <t>**Overview**  
Are you a data professional deeply interested in the current race in AI? Come join us! We are looking for a **Data Scientist** to support Compete.
We help quantify how Microsoft products are performing relative to the broader marketplace e.g. market share across a variety of metrics. We use a wide combination of data sources (1P, 3P, public, surveys, panels, etc) and science models to produce our estimates. As a business facing team, interest and ability to connect product and strategy hypotheses back to data and qualitative factors is central to the role. AI is a big focus, both as a competitive space (e.g. Copilot, ChatGPT, Gemini, Claude, etc) and because we are actively integrating AI into our daily workflows.
Join over 150 data scientists on the broader horizontal IDEAs team where data science, engineering, and PM work together to support multiple business and product verticals at scale! In this role you will both support stakeholders directly and work with the broader IDEAs team to scale your solutions across Microsoft.  
We play a crucial role in supporting Microsoft 365 and the Experiences \+ Devices group (E\+D), both of which are central to the Company's mission to empower individuals and organizations to achieve more. Our objective is to foster a data\-informed culture by equipping the Experiences \+ Devices group with actionable insights to guide their decisions. This initiative represents a significant opportunity to deliver impactful information that will improve operational efficiency, drive empowerment, and support Microsoft’s success in the evolving AI landscape.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Business Understanding, Impact, and Management. Understands problems facing projects. Able to leverage knowledge of data science to uncover important factors that can influence outcomes. Describes the primary objectives of the team from a business perspective. Collaborates with internal cross\-functional stakeholders to understand business needs. Produces a project plan to specify necessary steps required for completion. Assesses current situation for resources, risks, contingencies, requirements, assumptions, and constraints. Engages business stakeholders to capture and shape their thinking on data\-driven methods. Leads customer conversations to understand, define, and solve business problems. Influences stakeholders by effectively making compelling cases through storytelling, visualizations, and other influencing tools. Exemplifies and enforces team standards related to bias, privacy, and ethics.
* Data Preparation and Understanding. Acquires data necessary for successful completion of the project plan. Proactively detects changes and communicates to senior leads. Develops useable data sets for modeling purposes. Contributes to ethics and privacy policies related to collecting and preparing data by providing updates and suggestions around internal best practices. Contributes to data integrity/cleanliness conversations with customers.
* Coding and Debugging. Writes efficient, readable, extensible code from scratch that spans multiple features/solutions. Develops technical expertise in proper modeling, coding, and/or debugging techniques. Understands the causes of common defects and uses best practices in preventing them from occurring. Collaborates with other teams and leverages best practices from those teams into work of their own team. Mentors and guides less experienced scientists in better understanding coding and debugging best practices.
* Customer/Partner Orientation. Applies a customer\-oriented focus by understanding customer needs and perspectives. Builds trust with customers by leveraging interpretability and knowledge of Microsoft products and solutions. Helps drive realistic customer expectations, including information about the limitations of their data.
* Industry and Research Knowledge / Opportunity Identification. Uses business knowledge and technical expertise to provide feedback to the engineering team to identify potential future business opportunities. Develops an understanding of work being done across teams to propose potential collaboration efforts. Coaches and provides support to execute strategy. Leverages capabilities within existing systems.
* Modeling and Statistical Analysis. Leverages knowledge of machine learning solutions and individual algorithms to identify the best approach to complete objectives. Understands modeling techniques and selects the correct approach to prepare data, train and optimize the model, and evaluate the output for statistical and business significance. Breaks down complex statistics and machine learning topics into manageable topics to explain to customers.
**Qualifications** **Required Qualifications:**
* Bachelor's Degree in Data Science, Mathematics, Statistics, Econometrics, Economics, Operations Research, Computer Science, or related field AND 5\+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 OR Doctorate in Data Science, Mathematics, Statistics, Econometrics, Economics, Operations Research, Computer Science, or related field AND 1\+ year(s) data\-science experience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Longer job experience than the minimum required
* Experience writing SQL queries
* Experience supporting software products and metrics (e.g. active usage)
* Experience directly supporting business stakeholders
* Experience working with product and engineering to scale your solutions
\#DPG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0">
      <c r="A20" t="inlineStr">
        <is>
          <t>in-ba5aa545358553ef</t>
        </is>
      </c>
      <c r="B20" t="inlineStr">
        <is>
          <t>Applied Scientist II</t>
        </is>
      </c>
      <c r="C20" t="inlineStr">
        <is>
          <t>Microsoft</t>
        </is>
      </c>
      <c r="D20" t="inlineStr">
        <is>
          <t>indeed</t>
        </is>
      </c>
      <c r="E20" t="inlineStr"/>
      <c r="F20" t="inlineStr"/>
      <c r="G20" t="inlineStr">
        <is>
          <t>Redmond, WA, US</t>
        </is>
      </c>
      <c r="H20" s="2" t="n">
        <v>46041</v>
      </c>
      <c r="I20" t="inlineStr">
        <is>
          <t>**Overview**  
Online Advertising is one of the fastest growing businesses on the Internet today \- serving hundreds of millions of ad impressions per day and generating terabytes of user events data every day. The rapid growth of online advertising has created enormous opportunities as well as technical challenges that demand computational intelligence.  
The Bing Ads Understanding team is at the center stage of this exciting new interdisciplinary field that involves natural language processing, computer vision, machine learning, data mining, and statistics, to solve challenging problems that arise in online advertising. The central problem of computational advertising is to select an optimized slate of relevant ads for a user to maximize a total utility function that captures the expected revenue, user experience and return on investment for advertisers.  
We are a world\-class R\&amp;D team of passionate and talented scientists and engineers who aspire to solve tough problems and turn innovative ideas into high\-quality products and services. We help hundreds of millions of users find what they want, and advertisers gain the right audience, thereby directly impacting our business as a Marketplace.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Building and maintaining production machine learning models to generate image and text assets, multimodal representation and predict ad quality.
* Finding insights and forming hypothesis on web\-scale data with various machine learning, computer vision, feature engineering, statistical, and data mining techniques: e.g. regression, classification, NLP, optimization, p\-values analysis.
* Designing experiments, understanding the resulting data, and producing actionable, trustworthy conclusions from them.
* Crafting and Optimizing Prompts for Effective LLM and VLM Performance: Design, test, and refine prompts to elicit accurate, relevant, and useful responses from LLMs/VLMs. This involves understanding the nuances of how the model interprets different inputs, experimenting with various prompt formulations, and iterating based on performance metrics and user feedback.
* Wrangling large amounts of data (think petabytes) using various tools, including open\-source ones and your own. All programming languages are welcome, especially Python, R, C\#, C\+\+, Java, and SQL.
* Taking complex problems and the associated data and giving the answers in a concise form to assist senior executives in making key business decisions.
**Qualifications** **Required Qualifications:**
* Bachelor's Degree in Statistics, Econometrics,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OR Doctorate in Statistics, Econometrics, Computer Science, Electrical or Computer Engineering, or related field OR equivalent experience.
**Preferred Qualifications:**
* Bachelor's Degree in Statistics, Econometrics, Computer Science, Electrical or Computer Engineering, or related field AND 5\+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Experience with Large Language Models: Demonstrated experience working with LLMs/VLMs, such as GPT, BERT, or similar models, including knowledge of their strengths, limitations, and capabilities.
* Solid Understanding of NLP and CV: In\-depth knowledge of natural language processing (NLP) and computer vision techniques and concepts, including tokenization, semantic analysis, and text generation, multimodal representation, etc.
* Experience delivering, scaling, and maintaining highly successful and innovative machine learning products with your fingerprints all
* over them.
* Experience in parallel or distributed processing, high performance computing, stream computing and SCOPE.
* Understanding of state\-of\-the\-art computer vision, machine learning and deep learning technologies. In particular, hands\-on experiences with deep learning models (Transformers, DNN, Attention, CNN, RNN), multimodal modeling, and frameworks (PyTorch, TensorFlow, Keras, etc.) will be very helpful.
* Solid algorithm and analytical background and very good understanding on how to apply advanced knowledge to solve real problems
* Ability to work independently in a team to deliver innovative solutions solving challenging business/technical problems from high level vision and architecture, down to quality design and implementation.
\#MicrosoftAI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1">
      <c r="A21" t="inlineStr">
        <is>
          <t>in-096ed8f570cc02bc</t>
        </is>
      </c>
      <c r="B21" t="inlineStr">
        <is>
          <t>Data Scientist 5 - Availability</t>
        </is>
      </c>
      <c r="C21" t="inlineStr">
        <is>
          <t>Netflix</t>
        </is>
      </c>
      <c r="D21" t="inlineStr">
        <is>
          <t>indeed</t>
        </is>
      </c>
      <c r="E21">
        <f>HYPERLINK("https://www.indeed.com/viewjob?jk=096ed8f570cc02bc", "https://www.indeed.com/viewjob?jk=096ed8f570cc02bc")</f>
        <v/>
      </c>
      <c r="F21">
        <f>HYPERLINK("https://explore.jobs.netflix.net/careers/job/790313737252", "https://explore.jobs.netflix.net/careers/job/790313737252")</f>
        <v/>
      </c>
      <c r="G21" t="inlineStr">
        <is>
          <t>Remote, US</t>
        </is>
      </c>
      <c r="H21" s="3" t="n">
        <v>46048</v>
      </c>
      <c r="I21"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As a Senior Data Scientist focused on Infrastructure Availability, you will join a data org of Analytics Engineers, Data Engineers, and Data Scientists who partner with our infrastructure engineering teams to create metrics, build tools, perform analyses and make recommendations on how to improve the reliability and availability of our systems using data. You will work closely with partners in data science, software engineering, performance engineering and technical product management to develop metrics to assess current performance across systems and product domains, define what adequate performance looks like, understand the root causes of availability issues, and make recommendations for how the business should prioritize system performance improvements.
The ideal candidate will excel in metric research \&amp; development, statistical modeling, causal inference, and share a passion for continuously improving the way we use data to make the Netflix infrastructure better.
To learn more about our team, read here .
**In this role, you will:**
===========================
* Develop metrics to measure the availability, reliability and performance of Netflix’s infra stack
* Partner with Data Engineering, Data Science and Analytics Engineers to productionize system level availability metrics and dashboards
* Partner with Software Engineers, Performance Engineers, Technical Product Managers and other product teams to conduct root cause and causal inference analysis of availability issues and make recommendations for how to remediate
* Connect with the larger analytics community at Netflix to bring more visibility to our work.
**You are:**
============
* Experienced in metric development and measurement in the domain of system reliability / availability for large, distributed systems, platforms, and/or infrastructure
* Fluent in at least one analytics and scripting language like Python.
* Experienced in engineering data pipelines and ETL in languages like SQL and workflow orchestration tools like Apache Airflow.
* Passionate about using data to help guide strategic decision making.
* An exceptional communicator with both technical and non\-technical audiences. Experienced at telling stories with data and communicating to stakeholders at all levels of the business.
* Experienced in building strong relationships with stakeholders and colleagues to tackle big, cross\-functional problems.
* Comfortable with ambiguity, and thrive with minimal oversight and process.
* A strong product thinker with good product sense: you know how to get at what our partners need and how to develop solutions to satisfy those needs.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$372,000\.00 \- $600,000\.00\.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
Netflix is a unique culture and environment. Learn more here .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2">
      <c r="A22" t="inlineStr">
        <is>
          <t>in-66242c6ba1f8ef72</t>
        </is>
      </c>
      <c r="B22" t="inlineStr">
        <is>
          <t>Principal Applied Scientist, Amazon Special Projects</t>
        </is>
      </c>
      <c r="C22" t="inlineStr">
        <is>
          <t>Amazon.com</t>
        </is>
      </c>
      <c r="D22" t="inlineStr">
        <is>
          <t>indeed</t>
        </is>
      </c>
      <c r="E22">
        <f>HYPERLINK("https://www.indeed.com/viewjob?jk=66242c6ba1f8ef72", "https://www.indeed.com/viewjob?jk=66242c6ba1f8ef72")</f>
        <v/>
      </c>
      <c r="F22">
        <f>HYPERLINK("https://www.amazon.jobs/jobs/3132566/principal-applied-scientist-amazon-special-projects?cmpid=DA_INAD200785B", "https://www.amazon.jobs/jobs/3132566/principal-applied-scientist-amazon-special-projects?cmpid=DA_INAD200785B")</f>
        <v/>
      </c>
      <c r="G22" t="inlineStr">
        <is>
          <t>Seattle, WA, US</t>
        </is>
      </c>
      <c r="H22" s="3" t="n">
        <v>45982</v>
      </c>
      <c r="I22"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in-4507c7d7cd917b04</t>
        </is>
      </c>
      <c r="B23" t="inlineStr">
        <is>
          <t>Principal Applied Scientist, Amazon Special Projects</t>
        </is>
      </c>
      <c r="C23" t="inlineStr">
        <is>
          <t>Amazon.com</t>
        </is>
      </c>
      <c r="D23" t="inlineStr">
        <is>
          <t>indeed</t>
        </is>
      </c>
      <c r="E23">
        <f>HYPERLINK("https://www.indeed.com/viewjob?jk=4507c7d7cd917b04", "https://www.indeed.com/viewjob?jk=4507c7d7cd917b04")</f>
        <v/>
      </c>
      <c r="F23">
        <f>HYPERLINK("https://www.amazon.jobs/jobs/3132566/principal-applied-scientist-amazon-special-projects?cmpid=DA_INAD200785B", "https://www.amazon.jobs/jobs/3132566/principal-applied-scientist-amazon-special-projects?cmpid=DA_INAD200785B")</f>
        <v/>
      </c>
      <c r="G23" t="inlineStr">
        <is>
          <t>Boston, MA, US</t>
        </is>
      </c>
      <c r="H23" s="3" t="n">
        <v>45982</v>
      </c>
      <c r="I2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in-9d22c19f99d547a1</t>
        </is>
      </c>
      <c r="B24" t="inlineStr">
        <is>
          <t>Sr. Applied Scientist, AGI Foundations</t>
        </is>
      </c>
      <c r="C24" t="inlineStr">
        <is>
          <t>Amazon.com</t>
        </is>
      </c>
      <c r="D24" t="inlineStr">
        <is>
          <t>indeed</t>
        </is>
      </c>
      <c r="E24">
        <f>HYPERLINK("https://www.indeed.com/viewjob?jk=9d22c19f99d547a1", "https://www.indeed.com/viewjob?jk=9d22c19f99d547a1")</f>
        <v/>
      </c>
      <c r="F24">
        <f>HYPERLINK("https://www.amazon.jobs/jobs/3128807/sr-applied-scientist-agi-foundations?cmpid=DA_INAD200785B", "https://www.amazon.jobs/jobs/3128807/sr-applied-scientist-agi-foundations?cmpid=DA_INAD200785B")</f>
        <v/>
      </c>
      <c r="G24" t="inlineStr">
        <is>
          <t>Bellevue, WA, US</t>
        </is>
      </c>
      <c r="H24" s="3" t="n">
        <v>45978</v>
      </c>
      <c r="I2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in-ee4ae450cce3cb8a</t>
        </is>
      </c>
      <c r="B25" t="inlineStr">
        <is>
          <t>Sr. Applied Scientist, AGI Foundations</t>
        </is>
      </c>
      <c r="C25" t="inlineStr">
        <is>
          <t>Amazon.com</t>
        </is>
      </c>
      <c r="D25" t="inlineStr">
        <is>
          <t>indeed</t>
        </is>
      </c>
      <c r="E25">
        <f>HYPERLINK("https://www.indeed.com/viewjob?jk=ee4ae450cce3cb8a", "https://www.indeed.com/viewjob?jk=ee4ae450cce3cb8a")</f>
        <v/>
      </c>
      <c r="F25">
        <f>HYPERLINK("https://www.amazon.jobs/jobs/3128807/sr-applied-scientist-agi-foundations?cmpid=DA_INAD200785B", "https://www.amazon.jobs/jobs/3128807/sr-applied-scientist-agi-foundations?cmpid=DA_INAD200785B")</f>
        <v/>
      </c>
      <c r="G25" t="inlineStr">
        <is>
          <t>Sunnyvale, CA, US</t>
        </is>
      </c>
      <c r="H25" s="3" t="n">
        <v>45978</v>
      </c>
      <c r="I2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in-e594283e913c8005</t>
        </is>
      </c>
      <c r="B26" t="inlineStr">
        <is>
          <t>Sr. Applied Scientist, AGI Foundations</t>
        </is>
      </c>
      <c r="C26" t="inlineStr">
        <is>
          <t>Amazon.com</t>
        </is>
      </c>
      <c r="D26" t="inlineStr">
        <is>
          <t>indeed</t>
        </is>
      </c>
      <c r="E26">
        <f>HYPERLINK("https://www.indeed.com/viewjob?jk=e594283e913c8005", "https://www.indeed.com/viewjob?jk=e594283e913c8005")</f>
        <v/>
      </c>
      <c r="F26">
        <f>HYPERLINK("https://www.amazon.jobs/jobs/3128807/sr-applied-scientist-agi-foundations?cmpid=DA_INAD200785B", "https://www.amazon.jobs/jobs/3128807/sr-applied-scientist-agi-foundations?cmpid=DA_INAD200785B")</f>
        <v/>
      </c>
      <c r="G26" t="inlineStr">
        <is>
          <t>New York, NY, US</t>
        </is>
      </c>
      <c r="H26" s="3" t="n">
        <v>45978</v>
      </c>
      <c r="I2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in-cfd92bc4159d5c8e</t>
        </is>
      </c>
      <c r="B27" t="inlineStr">
        <is>
          <t>Sr. Applied Scientist, AGI Foundations</t>
        </is>
      </c>
      <c r="C27" t="inlineStr">
        <is>
          <t>Amazon.com</t>
        </is>
      </c>
      <c r="D27" t="inlineStr">
        <is>
          <t>indeed</t>
        </is>
      </c>
      <c r="E27">
        <f>HYPERLINK("https://www.indeed.com/viewjob?jk=cfd92bc4159d5c8e", "https://www.indeed.com/viewjob?jk=cfd92bc4159d5c8e")</f>
        <v/>
      </c>
      <c r="F27">
        <f>HYPERLINK("https://www.amazon.jobs/jobs/3128807/sr-applied-scientist-agi-foundations?cmpid=DA_INAD200785B", "https://www.amazon.jobs/jobs/3128807/sr-applied-scientist-agi-foundations?cmpid=DA_INAD200785B")</f>
        <v/>
      </c>
      <c r="G27" t="inlineStr">
        <is>
          <t>Boston, MA, US</t>
        </is>
      </c>
      <c r="H27" s="3" t="n">
        <v>45978</v>
      </c>
      <c r="I2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in-8bcb5fd01ccea104</t>
        </is>
      </c>
      <c r="B28" t="inlineStr">
        <is>
          <t>Sr. Applied Scientist, AGI Foundations</t>
        </is>
      </c>
      <c r="C28" t="inlineStr">
        <is>
          <t>Amazon.com</t>
        </is>
      </c>
      <c r="D28" t="inlineStr">
        <is>
          <t>indeed</t>
        </is>
      </c>
      <c r="E28">
        <f>HYPERLINK("https://www.indeed.com/viewjob?jk=8bcb5fd01ccea104", "https://www.indeed.com/viewjob?jk=8bcb5fd01ccea104")</f>
        <v/>
      </c>
      <c r="F28">
        <f>HYPERLINK("https://www.amazon.jobs/jobs/3123268/sr-applied-scientist-agi-foundations?cmpid=DA_INAD200785B", "https://www.amazon.jobs/jobs/3123268/sr-applied-scientist-agi-foundations?cmpid=DA_INAD200785B")</f>
        <v/>
      </c>
      <c r="G28" t="inlineStr">
        <is>
          <t>New York, NY, US</t>
        </is>
      </c>
      <c r="H28" s="3" t="n">
        <v>45963</v>
      </c>
      <c r="I2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in-fcfa94b32cd0d558</t>
        </is>
      </c>
      <c r="B29" t="inlineStr">
        <is>
          <t>Sr. Applied Scientist, AGI Foundations</t>
        </is>
      </c>
      <c r="C29" t="inlineStr">
        <is>
          <t>Amazon.com</t>
        </is>
      </c>
      <c r="D29" t="inlineStr">
        <is>
          <t>indeed</t>
        </is>
      </c>
      <c r="E29">
        <f>HYPERLINK("https://www.indeed.com/viewjob?jk=fcfa94b32cd0d558", "https://www.indeed.com/viewjob?jk=fcfa94b32cd0d558")</f>
        <v/>
      </c>
      <c r="F29">
        <f>HYPERLINK("https://www.amazon.jobs/jobs/3123268/sr-applied-scientist-agi-foundations?cmpid=DA_INAD200785B", "https://www.amazon.jobs/jobs/3123268/sr-applied-scientist-agi-foundations?cmpid=DA_INAD200785B")</f>
        <v/>
      </c>
      <c r="G29" t="inlineStr">
        <is>
          <t>Boston, MA, US</t>
        </is>
      </c>
      <c r="H29" s="3" t="n">
        <v>45963</v>
      </c>
      <c r="I2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in-465ec60c895a9067</t>
        </is>
      </c>
      <c r="B30" t="inlineStr">
        <is>
          <t>Sr. Applied Scientist, AGI Foundations</t>
        </is>
      </c>
      <c r="C30" t="inlineStr">
        <is>
          <t>Amazon.com</t>
        </is>
      </c>
      <c r="D30" t="inlineStr">
        <is>
          <t>indeed</t>
        </is>
      </c>
      <c r="E30">
        <f>HYPERLINK("https://www.indeed.com/viewjob?jk=465ec60c895a9067", "https://www.indeed.com/viewjob?jk=465ec60c895a9067")</f>
        <v/>
      </c>
      <c r="F30">
        <f>HYPERLINK("https://www.amazon.jobs/jobs/3123268/sr-applied-scientist-agi-foundations?cmpid=DA_INAD200785B", "https://www.amazon.jobs/jobs/3123268/sr-applied-scientist-agi-foundations?cmpid=DA_INAD200785B")</f>
        <v/>
      </c>
      <c r="G30" t="inlineStr">
        <is>
          <t>Bellevue, WA, US</t>
        </is>
      </c>
      <c r="H30" s="3" t="n">
        <v>45963</v>
      </c>
      <c r="I3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in-b85bf376a905adb2</t>
        </is>
      </c>
      <c r="B31" t="inlineStr">
        <is>
          <t>Applied Scientist II, Prime Video - Personalization and Discovery Science, Personalization and Discovery Science</t>
        </is>
      </c>
      <c r="C31" t="inlineStr">
        <is>
          <t>Amazon.com</t>
        </is>
      </c>
      <c r="D31" t="inlineStr">
        <is>
          <t>indeed</t>
        </is>
      </c>
      <c r="E31">
        <f>HYPERLINK("https://www.indeed.com/viewjob?jk=b85bf376a905adb2", "https://www.indeed.com/viewjob?jk=b85bf376a905adb2")</f>
        <v/>
      </c>
      <c r="F31">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31" t="inlineStr">
        <is>
          <t>New York, NY, US</t>
        </is>
      </c>
      <c r="H31" s="3" t="n">
        <v>45930</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in-a19655908534680a</t>
        </is>
      </c>
      <c r="B32" t="inlineStr">
        <is>
          <t>Applied Scientist II, Prime Video - Personalization and Discovery Science, Personalization and Discovery Science</t>
        </is>
      </c>
      <c r="C32" t="inlineStr">
        <is>
          <t>Amazon.com</t>
        </is>
      </c>
      <c r="D32" t="inlineStr">
        <is>
          <t>indeed</t>
        </is>
      </c>
      <c r="E32">
        <f>HYPERLINK("https://www.indeed.com/viewjob?jk=a19655908534680a", "https://www.indeed.com/viewjob?jk=a19655908534680a")</f>
        <v/>
      </c>
      <c r="F3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32" t="inlineStr">
        <is>
          <t>Sunnyvale, CA, US</t>
        </is>
      </c>
      <c r="H32" s="3" t="n">
        <v>45930</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in-19cddcda6cc066f2</t>
        </is>
      </c>
      <c r="B33" t="inlineStr">
        <is>
          <t>Applied Scientist II, Prime Video - Personalization and Discovery Science, Personalization and Discovery Science</t>
        </is>
      </c>
      <c r="C33" t="inlineStr">
        <is>
          <t>Amazon.com</t>
        </is>
      </c>
      <c r="D33" t="inlineStr">
        <is>
          <t>indeed</t>
        </is>
      </c>
      <c r="E33">
        <f>HYPERLINK("https://www.indeed.com/viewjob?jk=19cddcda6cc066f2", "https://www.indeed.com/viewjob?jk=19cddcda6cc066f2")</f>
        <v/>
      </c>
      <c r="F3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33" t="inlineStr">
        <is>
          <t>Seattle, WA, US</t>
        </is>
      </c>
      <c r="H33" s="3" t="n">
        <v>45930</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in-fed18f3a0a0e7e2b</t>
        </is>
      </c>
      <c r="B34" t="inlineStr">
        <is>
          <t>Applied Scientist II, Prime Video - Personalization and Discovery Science</t>
        </is>
      </c>
      <c r="C34" t="inlineStr">
        <is>
          <t>Amazon.com</t>
        </is>
      </c>
      <c r="D34" t="inlineStr">
        <is>
          <t>indeed</t>
        </is>
      </c>
      <c r="E34">
        <f>HYPERLINK("https://www.indeed.com/viewjob?jk=fed18f3a0a0e7e2b", "https://www.indeed.com/viewjob?jk=fed18f3a0a0e7e2b")</f>
        <v/>
      </c>
      <c r="F34">
        <f>HYPERLINK("https://www.amazon.jobs/jobs/3086060/applied-scientist-ii-prime-video--personalization-and-discovery-science?cmpid=DA_INAD200785B", "https://www.amazon.jobs/jobs/3086060/applied-scientist-ii-prime-video--personalization-and-discovery-science?cmpid=DA_INAD200785B")</f>
        <v/>
      </c>
      <c r="G34" t="inlineStr">
        <is>
          <t>Sunnyvale, CA, US</t>
        </is>
      </c>
      <c r="H34" s="3" t="n">
        <v>45915</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in-4486aacc202b7286</t>
        </is>
      </c>
      <c r="B35" t="inlineStr">
        <is>
          <t>Applied Scientist II, Prime Video - Personalization and Discovery Science</t>
        </is>
      </c>
      <c r="C35" t="inlineStr">
        <is>
          <t>Amazon.com</t>
        </is>
      </c>
      <c r="D35" t="inlineStr">
        <is>
          <t>indeed</t>
        </is>
      </c>
      <c r="E35">
        <f>HYPERLINK("https://www.indeed.com/viewjob?jk=4486aacc202b7286", "https://www.indeed.com/viewjob?jk=4486aacc202b7286")</f>
        <v/>
      </c>
      <c r="F35">
        <f>HYPERLINK("https://www.amazon.jobs/jobs/3086060/applied-scientist-ii-prime-video--personalization-and-discovery-science?cmpid=DA_INAD200785B", "https://www.amazon.jobs/jobs/3086060/applied-scientist-ii-prime-video--personalization-and-discovery-science?cmpid=DA_INAD200785B")</f>
        <v/>
      </c>
      <c r="G35" t="inlineStr">
        <is>
          <t>New York, NY, US</t>
        </is>
      </c>
      <c r="H35" s="3" t="n">
        <v>45915</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in-bc35d1275e10dc67</t>
        </is>
      </c>
      <c r="B36" t="inlineStr">
        <is>
          <t>Applied Scientist II, Prime Video - Personalization and Discovery Science</t>
        </is>
      </c>
      <c r="C36" t="inlineStr">
        <is>
          <t>Amazon.com</t>
        </is>
      </c>
      <c r="D36" t="inlineStr">
        <is>
          <t>indeed</t>
        </is>
      </c>
      <c r="E36">
        <f>HYPERLINK("https://www.indeed.com/viewjob?jk=bc35d1275e10dc67", "https://www.indeed.com/viewjob?jk=bc35d1275e10dc67")</f>
        <v/>
      </c>
      <c r="F36">
        <f>HYPERLINK("https://www.amazon.jobs/jobs/3086060/applied-scientist-ii-prime-video--personalization-and-discovery-science?cmpid=DA_INAD200785B", "https://www.amazon.jobs/jobs/3086060/applied-scientist-ii-prime-video--personalization-and-discovery-science?cmpid=DA_INAD200785B")</f>
        <v/>
      </c>
      <c r="G36" t="inlineStr">
        <is>
          <t>Seattle, WA, US</t>
        </is>
      </c>
      <c r="H36" s="3" t="n">
        <v>45915</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in-15b025a30374c4a4</t>
        </is>
      </c>
      <c r="B37" t="inlineStr">
        <is>
          <t>Sr. Applied Scientist, Prime Video - Personalization and Discovery Science</t>
        </is>
      </c>
      <c r="C37" t="inlineStr">
        <is>
          <t>Amazon.com</t>
        </is>
      </c>
      <c r="D37" t="inlineStr">
        <is>
          <t>indeed</t>
        </is>
      </c>
      <c r="E37">
        <f>HYPERLINK("https://www.indeed.com/viewjob?jk=15b025a30374c4a4", "https://www.indeed.com/viewjob?jk=15b025a30374c4a4")</f>
        <v/>
      </c>
      <c r="F37">
        <f>HYPERLINK("https://www.amazon.jobs/jobs/3059256/sr-applied-scientist-prime-video--personalization-and-discovery-science?cmpid=DA_INAD200785B", "https://www.amazon.jobs/jobs/3059256/sr-applied-scientist-prime-video--personalization-and-discovery-science?cmpid=DA_INAD200785B")</f>
        <v/>
      </c>
      <c r="G37" t="inlineStr">
        <is>
          <t>New York, NY, US</t>
        </is>
      </c>
      <c r="H37" s="3" t="n">
        <v>45881</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in-65a2d0cfc89fb204</t>
        </is>
      </c>
      <c r="B38" t="inlineStr">
        <is>
          <t>Sr. Applied Scientist, Prime Video - Personalization and Discovery Science</t>
        </is>
      </c>
      <c r="C38" t="inlineStr">
        <is>
          <t>Amazon.com</t>
        </is>
      </c>
      <c r="D38" t="inlineStr">
        <is>
          <t>indeed</t>
        </is>
      </c>
      <c r="E38">
        <f>HYPERLINK("https://www.indeed.com/viewjob?jk=65a2d0cfc89fb204", "https://www.indeed.com/viewjob?jk=65a2d0cfc89fb204")</f>
        <v/>
      </c>
      <c r="F38">
        <f>HYPERLINK("https://www.amazon.jobs/jobs/3059256/sr-applied-scientist-prime-video--personalization-and-discovery-science?cmpid=DA_INAD200785B", "https://www.amazon.jobs/jobs/3059256/sr-applied-scientist-prime-video--personalization-and-discovery-science?cmpid=DA_INAD200785B")</f>
        <v/>
      </c>
      <c r="G38" t="inlineStr">
        <is>
          <t>Seattle, WA, US</t>
        </is>
      </c>
      <c r="H38" s="3" t="n">
        <v>45881</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in-84e7f9f43af4d0ff</t>
        </is>
      </c>
      <c r="B39" t="inlineStr">
        <is>
          <t>Applied Scientist II, Prime Video - Personalization and Discovery Science</t>
        </is>
      </c>
      <c r="C39" t="inlineStr">
        <is>
          <t>Amazon.com</t>
        </is>
      </c>
      <c r="D39" t="inlineStr">
        <is>
          <t>indeed</t>
        </is>
      </c>
      <c r="E39">
        <f>HYPERLINK("https://www.indeed.com/viewjob?jk=84e7f9f43af4d0ff", "https://www.indeed.com/viewjob?jk=84e7f9f43af4d0ff")</f>
        <v/>
      </c>
      <c r="F39">
        <f>HYPERLINK("https://www.amazon.jobs/jobs/3059253/applied-scientist-ii-prime-video--personalization-and-discovery-science?cmpid=DA_INAD200785B", "https://www.amazon.jobs/jobs/3059253/applied-scientist-ii-prime-video--personalization-and-discovery-science?cmpid=DA_INAD200785B")</f>
        <v/>
      </c>
      <c r="G39" t="inlineStr">
        <is>
          <t>New York, NY, US</t>
        </is>
      </c>
      <c r="H39" s="3" t="n">
        <v>45881</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in-fcd4a0aa0c5cb6da</t>
        </is>
      </c>
      <c r="B40" t="inlineStr">
        <is>
          <t>Sr. Applied Scientist, Prime Video - Personalization and Discovery Science</t>
        </is>
      </c>
      <c r="C40" t="inlineStr">
        <is>
          <t>Amazon.com</t>
        </is>
      </c>
      <c r="D40" t="inlineStr">
        <is>
          <t>indeed</t>
        </is>
      </c>
      <c r="E40">
        <f>HYPERLINK("https://www.indeed.com/viewjob?jk=fcd4a0aa0c5cb6da", "https://www.indeed.com/viewjob?jk=fcd4a0aa0c5cb6da")</f>
        <v/>
      </c>
      <c r="F40">
        <f>HYPERLINK("https://www.amazon.jobs/jobs/3059256/sr-applied-scientist-prime-video--personalization-and-discovery-science?cmpid=DA_INAD200785B", "https://www.amazon.jobs/jobs/3059256/sr-applied-scientist-prime-video--personalization-and-discovery-science?cmpid=DA_INAD200785B")</f>
        <v/>
      </c>
      <c r="G40" t="inlineStr">
        <is>
          <t>Sunnyvale, CA, US</t>
        </is>
      </c>
      <c r="H40" s="3"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in-bd01964583eda31a</t>
        </is>
      </c>
      <c r="B41" t="inlineStr">
        <is>
          <t>Applied Scientist II, Prime Video - Personalization and Discovery Science</t>
        </is>
      </c>
      <c r="C41" t="inlineStr">
        <is>
          <t>Amazon.com</t>
        </is>
      </c>
      <c r="D41" t="inlineStr">
        <is>
          <t>indeed</t>
        </is>
      </c>
      <c r="E41">
        <f>HYPERLINK("https://www.indeed.com/viewjob?jk=bd01964583eda31a", "https://www.indeed.com/viewjob?jk=bd01964583eda31a")</f>
        <v/>
      </c>
      <c r="F41">
        <f>HYPERLINK("https://www.amazon.jobs/jobs/3059253/applied-scientist-ii-prime-video--personalization-and-discovery-science?cmpid=DA_INAD200785B", "https://www.amazon.jobs/jobs/3059253/applied-scientist-ii-prime-video--personalization-and-discovery-science?cmpid=DA_INAD200785B")</f>
        <v/>
      </c>
      <c r="G41" t="inlineStr">
        <is>
          <t>Sunnyvale, CA, US</t>
        </is>
      </c>
      <c r="H41" s="3"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in-eb7cf16f3eb3508f</t>
        </is>
      </c>
      <c r="B42" t="inlineStr">
        <is>
          <t>Applied Scientist II, Prime Video - Personalization and Discovery Science</t>
        </is>
      </c>
      <c r="C42" t="inlineStr">
        <is>
          <t>Amazon.com</t>
        </is>
      </c>
      <c r="D42" t="inlineStr">
        <is>
          <t>indeed</t>
        </is>
      </c>
      <c r="E42">
        <f>HYPERLINK("https://www.indeed.com/viewjob?jk=eb7cf16f3eb3508f", "https://www.indeed.com/viewjob?jk=eb7cf16f3eb3508f")</f>
        <v/>
      </c>
      <c r="F42">
        <f>HYPERLINK("https://www.amazon.jobs/jobs/3059253/applied-scientist-ii-prime-video--personalization-and-discovery-science?cmpid=DA_INAD200785B", "https://www.amazon.jobs/jobs/3059253/applied-scientist-ii-prime-video--personalization-and-discovery-science?cmpid=DA_INAD200785B")</f>
        <v/>
      </c>
      <c r="G42" t="inlineStr">
        <is>
          <t>Seattle, WA, US</t>
        </is>
      </c>
      <c r="H42" s="3" t="n">
        <v>45881</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in-9ac2edb72f59578a</t>
        </is>
      </c>
      <c r="B43" t="inlineStr">
        <is>
          <t>Applied Scientist, Prime Video - Personalization and Discovery Science</t>
        </is>
      </c>
      <c r="C43" t="inlineStr">
        <is>
          <t>Amazon.com</t>
        </is>
      </c>
      <c r="D43" t="inlineStr">
        <is>
          <t>indeed</t>
        </is>
      </c>
      <c r="E43">
        <f>HYPERLINK("https://www.indeed.com/viewjob?jk=9ac2edb72f59578a", "https://www.indeed.com/viewjob?jk=9ac2edb72f59578a")</f>
        <v/>
      </c>
      <c r="F43">
        <f>HYPERLINK("https://www.amazon.jobs/jobs/3033050/applied-scientist-prime-video--personalization-and-discovery-science?cmpid=DA_INAD200785B", "https://www.amazon.jobs/jobs/3033050/applied-scientist-prime-video--personalization-and-discovery-science?cmpid=DA_INAD200785B")</f>
        <v/>
      </c>
      <c r="G43" t="inlineStr">
        <is>
          <t>Seattle, WA, US</t>
        </is>
      </c>
      <c r="H43" s="3" t="n">
        <v>45845</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in-8f9a4ca46ff8179e</t>
        </is>
      </c>
      <c r="B44" t="inlineStr">
        <is>
          <t>Applied Scientist, Prime Video - Personalization and Discovery Science</t>
        </is>
      </c>
      <c r="C44" t="inlineStr">
        <is>
          <t>Amazon.com</t>
        </is>
      </c>
      <c r="D44" t="inlineStr">
        <is>
          <t>indeed</t>
        </is>
      </c>
      <c r="E44">
        <f>HYPERLINK("https://www.indeed.com/viewjob?jk=8f9a4ca46ff8179e", "https://www.indeed.com/viewjob?jk=8f9a4ca46ff8179e")</f>
        <v/>
      </c>
      <c r="F44">
        <f>HYPERLINK("https://www.amazon.jobs/jobs/3033050/applied-scientist-prime-video--personalization-and-discovery-science?cmpid=DA_INAD200785B", "https://www.amazon.jobs/jobs/3033050/applied-scientist-prime-video--personalization-and-discovery-science?cmpid=DA_INAD200785B")</f>
        <v/>
      </c>
      <c r="G44" t="inlineStr">
        <is>
          <t>Sunnyvale, CA, US</t>
        </is>
      </c>
      <c r="H44" s="3" t="n">
        <v>45845</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in-069a9b130d4dc6fa</t>
        </is>
      </c>
      <c r="B45" t="inlineStr">
        <is>
          <t>Applied Scientist, Prime Video - Personalization and Discovery Science</t>
        </is>
      </c>
      <c r="C45" t="inlineStr">
        <is>
          <t>Amazon.com</t>
        </is>
      </c>
      <c r="D45" t="inlineStr">
        <is>
          <t>indeed</t>
        </is>
      </c>
      <c r="E45">
        <f>HYPERLINK("https://www.indeed.com/viewjob?jk=069a9b130d4dc6fa", "https://www.indeed.com/viewjob?jk=069a9b130d4dc6fa")</f>
        <v/>
      </c>
      <c r="F45">
        <f>HYPERLINK("https://www.amazon.jobs/jobs/3033050/applied-scientist-prime-video--personalization-and-discovery-science?cmpid=DA_INAD200785B", "https://www.amazon.jobs/jobs/3033050/applied-scientist-prime-video--personalization-and-discovery-science?cmpid=DA_INAD200785B")</f>
        <v/>
      </c>
      <c r="G45" t="inlineStr">
        <is>
          <t>New York, NY, US</t>
        </is>
      </c>
      <c r="H45" s="3" t="n">
        <v>45845</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in-c460ca72b3f340ba</t>
        </is>
      </c>
      <c r="B46" t="inlineStr">
        <is>
          <t>HR Data Engineer/Data Scientist</t>
        </is>
      </c>
      <c r="C46" t="inlineStr">
        <is>
          <t>ICF</t>
        </is>
      </c>
      <c r="D46" t="inlineStr">
        <is>
          <t>indeed</t>
        </is>
      </c>
      <c r="E46">
        <f>HYPERLINK("https://www.indeed.com/viewjob?jk=c460ca72b3f340ba", "https://www.indeed.com/viewjob?jk=c460ca72b3f340ba")</f>
        <v/>
      </c>
      <c r="F46">
        <f>HYPERLINK("https://careers.icf.com/us/en/job/IIIIIIUSR2600257EXTERNALENUS/HR-Data-Engineer-Data-Scientist?utm_source=indeed&amp;utm_medium=phenom-feeds", "https://careers.icf.com/us/en/job/IIIIIIUSR2600257EXTERNALENUS/HR-Data-Engineer-Data-Scientist?utm_source=indeed&amp;utm_medium=phenom-feeds")</f>
        <v/>
      </c>
      <c r="G46" t="inlineStr">
        <is>
          <t>Reston, VA, US</t>
        </is>
      </c>
      <c r="H46" s="3" t="n">
        <v>46048</v>
      </c>
      <c r="I46" t="inlineStr">
        <is>
          <t>Description
ICF is seeking a highly capable **HR Data Engineer / Data Scientist** to support a large federal client in modernizing its enterprise learning and workforce data ecosystem. This role centers on designing and sustaining a scalable data integration capability that unifies multiple workforce\-related data sources into a consistent, validated structure suitable for downstream HR and training systems. This position requires expertise in enterprise data engineering, workflow automation, data quality frameworks, metadata governance, and the translation of complex business rules into reliable technical logic. The ideal candidate brings experience working with HR, identity, or workforce\-related datasets in large organizations and can partner directly with senior stakeholders across technical and business domains.
Prior experience working in federally\-regulated environments and proximity to the DC\-Maryland\-Virginia (DMV) area with the ability to go onsite as needed is strongly preferred.
 **Key Responsibilities**
* Design, build, and maintain automated pipelines that unify multiple HR and workforce‑related datasets into standardized, validated outputs.
* Develop and document transformation rules, business logic, mapping structures, and data quality checks to ensure accuracy and consistency.
* Create scalable workflows for ingesting structured and semi‑structured data from diverse systems with varying formats and update cycles.
* Implement validation routines, anomaly detection, and error‑handling mechanisms to maintain reliable, high‑quality data products.
* Produce well‑structured, standardized outputs compatible with enterprise learning or workforce management platforms.
* Collaborate with technical and non‑technical stakeholders to refine requirements, resolve data ambiguities, and support decision‑making.
* Maintain alignment with enterprise‑wide data standards, schemas, and governance guidance as they evolve.
* Participate in cross‑team or cross‑agency coordination forums to represent program needs and communicate the impact of data‑related decisions.
* Develop and execute test plans, including business‑rule validation, regression checks, and iterative QA cycles.
* Identify process improvements, integration gaps, and opportunities to enhance automation, scalability, and sustainability.
* Ensure solutions continue functioning amid changes to enterprise systems, dependencies, or data availability.
* Prepare and deliver technical documentation, operational procedures, and knowledge‑transfer materials for long‑term maintainability.
* Communicate risks, dependencies, and technical impacts clearly and proactively to project managers, leadership, and governance groups.
 **Basic Qualifications**
* Bachelor’s degree in a related field (e.g., Data Science, Computer Science, Engineering, Mathematics, Information Systems, HR Analytics, or similar).
* 8\+ years of professional experience in data engineering, data science, analytics, or a closely related field.
**Additional Qualifications**
* Extensive experience sourcing, integrating, transforming, and validating structured and unstructured data from diverse systems (e.g., developing Spark jobs, performing data manipulation with PySpark/pandas, and authoring robust, production‑grade SQL transformations).
* Proven ability to design and implement automated data workflows, integration pipelines, and large‑scale transformation logic (e.g., orchestrating pipelines using Apache Airflow, Azure Data Factory (ADF), or AWS Glue).
* Hands\-on experience developing predictive models, statistical analyses, or machine learning solutions (e.g., building and validating models in Python using PySpark ML, pandas, or related libraries).
* Strong understanding of data quality management, validation frameworks, error‑handling approaches, data governance, master data management, and enterprise metadata practices (e.g., MDM survivorship rules, identity resolution logic, validation utilizing Great Expectations).
* Demonstrated ability to facilitate requirements gathering, define business rules, and translate stakeholder needs into clear technical specifications (e.g., documenting required import fields and formats, converting business logic into ETL/ELT transformations).
* Excellent communication skills with the ability to clearly convey complex technical concepts to non‑technical or cross‑functional audiences (e.g., explaining data lineage, logging, and metrics practices used to ensure pipeline traceability).
* Exceptional documentation abilities and attention to detail (e.g., version\-controlled artifacts in Git, CI/CD deployment documentation, and test suites using pytest and Great Expectations).
 **Preferred Qualifications**
* Master’s degree preferred.
* 5\+ years of experience supporting large‑scale or complex data ecosystems, preferably in government, healthcare, or highly regulated domains.
* Experience supporting HR import processes for enterprise systems (e.g., HRIS, LMS, identity systems).
* Background working with federal clients or within environments that require strict attention to data standards, compliance, and documentation.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$131,256\.00 \- $223,134\.00
Nationwide Remote Office (US99\)</t>
        </is>
      </c>
    </row>
    <row r="47">
      <c r="A47" t="inlineStr">
        <is>
          <t>in-06cc85280f5e9098</t>
        </is>
      </c>
      <c r="B47" t="inlineStr">
        <is>
          <t>Applied Scientist, Special Projects</t>
        </is>
      </c>
      <c r="C47" t="inlineStr">
        <is>
          <t>Amazon.com</t>
        </is>
      </c>
      <c r="D47" t="inlineStr">
        <is>
          <t>indeed</t>
        </is>
      </c>
      <c r="E47">
        <f>HYPERLINK("https://www.indeed.com/viewjob?jk=06cc85280f5e9098", "https://www.indeed.com/viewjob?jk=06cc85280f5e9098")</f>
        <v/>
      </c>
      <c r="F47">
        <f>HYPERLINK("https://www.amazon.jobs/jobs/3154876/applied-scientist-special-projects?cmpid=DA_INAD200785B", "https://www.amazon.jobs/jobs/3154876/applied-scientist-special-projects?cmpid=DA_INAD200785B")</f>
        <v/>
      </c>
      <c r="G47" t="inlineStr">
        <is>
          <t>Boston, MA, US</t>
        </is>
      </c>
      <c r="H47" s="3" t="n">
        <v>46028</v>
      </c>
      <c r="I47"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in-cc954c56b0efa0a0</t>
        </is>
      </c>
      <c r="B48" t="inlineStr">
        <is>
          <t>Applied Scientist, Amazon Special Projects</t>
        </is>
      </c>
      <c r="C48" t="inlineStr">
        <is>
          <t>Amazon.com</t>
        </is>
      </c>
      <c r="D48" t="inlineStr">
        <is>
          <t>indeed</t>
        </is>
      </c>
      <c r="E48">
        <f>HYPERLINK("https://www.indeed.com/viewjob?jk=cc954c56b0efa0a0", "https://www.indeed.com/viewjob?jk=cc954c56b0efa0a0")</f>
        <v/>
      </c>
      <c r="F48">
        <f>HYPERLINK("https://www.amazon.jobs/jobs/3152795/applied-scientist-amazon-special-projects?cmpid=DA_INAD200785B", "https://www.amazon.jobs/jobs/3152795/applied-scientist-amazon-special-projects?cmpid=DA_INAD200785B")</f>
        <v/>
      </c>
      <c r="G48" t="inlineStr">
        <is>
          <t>Boston, MA, US</t>
        </is>
      </c>
      <c r="H48" s="3" t="n">
        <v>46026</v>
      </c>
      <c r="I48"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in-3c924555803ecbe9</t>
        </is>
      </c>
      <c r="B49" t="inlineStr">
        <is>
          <t>Applied Scientist, Amazon Special Projects</t>
        </is>
      </c>
      <c r="C49" t="inlineStr">
        <is>
          <t>Amazon.com</t>
        </is>
      </c>
      <c r="D49" t="inlineStr">
        <is>
          <t>indeed</t>
        </is>
      </c>
      <c r="E49">
        <f>HYPERLINK("https://www.indeed.com/viewjob?jk=3c924555803ecbe9", "https://www.indeed.com/viewjob?jk=3c924555803ecbe9")</f>
        <v/>
      </c>
      <c r="F49">
        <f>HYPERLINK("https://www.amazon.jobs/jobs/3152795/applied-scientist-amazon-special-projects?cmpid=DA_INAD200785B", "https://www.amazon.jobs/jobs/3152795/applied-scientist-amazon-special-projects?cmpid=DA_INAD200785B")</f>
        <v/>
      </c>
      <c r="G49" t="inlineStr">
        <is>
          <t>Seattle, WA, US</t>
        </is>
      </c>
      <c r="H49" s="3" t="n">
        <v>46026</v>
      </c>
      <c r="I49"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in-12a7c64b79bac0b4</t>
        </is>
      </c>
      <c r="B50" t="inlineStr">
        <is>
          <t>Senior Applied Scientist, Sponsored Products and Brands, Off-Search</t>
        </is>
      </c>
      <c r="C50" t="inlineStr">
        <is>
          <t>Amazon.com</t>
        </is>
      </c>
      <c r="D50" t="inlineStr">
        <is>
          <t>indeed</t>
        </is>
      </c>
      <c r="E50">
        <f>HYPERLINK("https://www.indeed.com/viewjob?jk=12a7c64b79bac0b4", "https://www.indeed.com/viewjob?jk=12a7c64b79bac0b4")</f>
        <v/>
      </c>
      <c r="F50">
        <f>HYPERLINK("https://www.amazon.jobs/jobs/3153569/senior-applied-scientist-sponsored-products-and-brands-offsearch?cmpid=DA_INAD200785B", "https://www.amazon.jobs/jobs/3153569/senior-applied-scientist-sponsored-products-and-brands-offsearch?cmpid=DA_INAD200785B")</f>
        <v/>
      </c>
      <c r="G50" t="inlineStr">
        <is>
          <t>New York, NY, US</t>
        </is>
      </c>
      <c r="H50" s="3" t="n">
        <v>46017</v>
      </c>
      <c r="I50"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in-8bc002fffc61532c</t>
        </is>
      </c>
      <c r="B51" t="inlineStr">
        <is>
          <t>Senior Applied Scientist, Sponsored Products and Brands, Off-Search</t>
        </is>
      </c>
      <c r="C51" t="inlineStr">
        <is>
          <t>Amazon.com</t>
        </is>
      </c>
      <c r="D51" t="inlineStr">
        <is>
          <t>indeed</t>
        </is>
      </c>
      <c r="E51">
        <f>HYPERLINK("https://www.indeed.com/viewjob?jk=8bc002fffc61532c", "https://www.indeed.com/viewjob?jk=8bc002fffc61532c")</f>
        <v/>
      </c>
      <c r="F51">
        <f>HYPERLINK("https://www.amazon.jobs/jobs/3153569/senior-applied-scientist-sponsored-products-and-brands-offsearch?cmpid=DA_INAD200785B", "https://www.amazon.jobs/jobs/3153569/senior-applied-scientist-sponsored-products-and-brands-offsearch?cmpid=DA_INAD200785B")</f>
        <v/>
      </c>
      <c r="G51" t="inlineStr">
        <is>
          <t>Seattle, WA, US</t>
        </is>
      </c>
      <c r="H51" s="3" t="n">
        <v>46017</v>
      </c>
      <c r="I51"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in-32b2d318ad4410a9</t>
        </is>
      </c>
      <c r="B52" t="inlineStr">
        <is>
          <t>Sr. Applied Scientist, Amazon Ads</t>
        </is>
      </c>
      <c r="C52" t="inlineStr">
        <is>
          <t>Amazon.com</t>
        </is>
      </c>
      <c r="D52" t="inlineStr">
        <is>
          <t>indeed</t>
        </is>
      </c>
      <c r="E52">
        <f>HYPERLINK("https://www.indeed.com/viewjob?jk=32b2d318ad4410a9", "https://www.indeed.com/viewjob?jk=32b2d318ad4410a9")</f>
        <v/>
      </c>
      <c r="F52">
        <f>HYPERLINK("https://www.amazon.jobs/jobs/3139328/sr-applied-scientist-amazon-ads?cmpid=DA_INAD200785B", "https://www.amazon.jobs/jobs/3139328/sr-applied-scientist-amazon-ads?cmpid=DA_INAD200785B")</f>
        <v/>
      </c>
      <c r="G52" t="inlineStr">
        <is>
          <t>Santa Monica, CA, US</t>
        </is>
      </c>
      <c r="H52" s="3" t="n">
        <v>45998</v>
      </c>
      <c r="I5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3">
      <c r="A53" t="inlineStr">
        <is>
          <t>in-ce4ffd657e8f6c04</t>
        </is>
      </c>
      <c r="B53" t="inlineStr">
        <is>
          <t>Sr. Applied Scientist, Amazon Ads</t>
        </is>
      </c>
      <c r="C53" t="inlineStr">
        <is>
          <t>Amazon.com</t>
        </is>
      </c>
      <c r="D53" t="inlineStr">
        <is>
          <t>indeed</t>
        </is>
      </c>
      <c r="E53">
        <f>HYPERLINK("https://www.indeed.com/viewjob?jk=ce4ffd657e8f6c04", "https://www.indeed.com/viewjob?jk=ce4ffd657e8f6c04")</f>
        <v/>
      </c>
      <c r="F53">
        <f>HYPERLINK("https://www.amazon.jobs/jobs/3139328/sr-applied-scientist-amazon-ads?cmpid=DA_INAD200785B", "https://www.amazon.jobs/jobs/3139328/sr-applied-scientist-amazon-ads?cmpid=DA_INAD200785B")</f>
        <v/>
      </c>
      <c r="G53" t="inlineStr">
        <is>
          <t>Brooklyn, NY, US</t>
        </is>
      </c>
      <c r="H53" s="3" t="n">
        <v>45998</v>
      </c>
      <c r="I5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4">
      <c r="A54" t="inlineStr">
        <is>
          <t>in-6dedc83498e81664</t>
        </is>
      </c>
      <c r="B54" t="inlineStr">
        <is>
          <t>Sr. Applied Scientist, Amazon Ads</t>
        </is>
      </c>
      <c r="C54" t="inlineStr">
        <is>
          <t>Amazon.com</t>
        </is>
      </c>
      <c r="D54" t="inlineStr">
        <is>
          <t>indeed</t>
        </is>
      </c>
      <c r="E54">
        <f>HYPERLINK("https://www.indeed.com/viewjob?jk=6dedc83498e81664", "https://www.indeed.com/viewjob?jk=6dedc83498e81664")</f>
        <v/>
      </c>
      <c r="F54">
        <f>HYPERLINK("https://www.amazon.jobs/jobs/3139328/sr-applied-scientist-amazon-ads?cmpid=DA_INAD200785B", "https://www.amazon.jobs/jobs/3139328/sr-applied-scientist-amazon-ads?cmpid=DA_INAD200785B")</f>
        <v/>
      </c>
      <c r="G54" t="inlineStr">
        <is>
          <t>Corvallis, OR, US</t>
        </is>
      </c>
      <c r="H54" s="3" t="n">
        <v>45998</v>
      </c>
      <c r="I5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5">
      <c r="A55" t="inlineStr">
        <is>
          <t>in-02c51110488925d4</t>
        </is>
      </c>
      <c r="B55" t="inlineStr">
        <is>
          <t>Sr. Applied Scientist, Amazon Ads</t>
        </is>
      </c>
      <c r="C55" t="inlineStr">
        <is>
          <t>Amazon.com</t>
        </is>
      </c>
      <c r="D55" t="inlineStr">
        <is>
          <t>indeed</t>
        </is>
      </c>
      <c r="E55">
        <f>HYPERLINK("https://www.indeed.com/viewjob?jk=02c51110488925d4", "https://www.indeed.com/viewjob?jk=02c51110488925d4")</f>
        <v/>
      </c>
      <c r="F55">
        <f>HYPERLINK("https://www.amazon.jobs/jobs/3139328/sr-applied-scientist-amazon-ads?cmpid=DA_INAD200785B", "https://www.amazon.jobs/jobs/3139328/sr-applied-scientist-amazon-ads?cmpid=DA_INAD200785B")</f>
        <v/>
      </c>
      <c r="G55" t="inlineStr">
        <is>
          <t>Palo Alto, CA, US</t>
        </is>
      </c>
      <c r="H55" s="3" t="n">
        <v>45998</v>
      </c>
      <c r="I5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6">
      <c r="A56" t="inlineStr">
        <is>
          <t>in-f8c592d0bcd47145</t>
        </is>
      </c>
      <c r="B56" t="inlineStr">
        <is>
          <t>Sr. Applied Scientist, Amazon Ads</t>
        </is>
      </c>
      <c r="C56" t="inlineStr">
        <is>
          <t>Amazon.com</t>
        </is>
      </c>
      <c r="D56" t="inlineStr">
        <is>
          <t>indeed</t>
        </is>
      </c>
      <c r="E56">
        <f>HYPERLINK("https://www.indeed.com/viewjob?jk=f8c592d0bcd47145", "https://www.indeed.com/viewjob?jk=f8c592d0bcd47145")</f>
        <v/>
      </c>
      <c r="F56">
        <f>HYPERLINK("https://www.amazon.jobs/jobs/3139328/sr-applied-scientist-amazon-ads?cmpid=DA_INAD200785B", "https://www.amazon.jobs/jobs/3139328/sr-applied-scientist-amazon-ads?cmpid=DA_INAD200785B")</f>
        <v/>
      </c>
      <c r="G56" t="inlineStr">
        <is>
          <t>Boston, MA, US</t>
        </is>
      </c>
      <c r="H56" s="3" t="n">
        <v>45998</v>
      </c>
      <c r="I5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7">
      <c r="A57" t="inlineStr">
        <is>
          <t>in-6a760b6ad1034c54</t>
        </is>
      </c>
      <c r="B57" t="inlineStr">
        <is>
          <t>Sr. Applied Scientist, Amazon Ads</t>
        </is>
      </c>
      <c r="C57" t="inlineStr">
        <is>
          <t>Amazon.com</t>
        </is>
      </c>
      <c r="D57" t="inlineStr">
        <is>
          <t>indeed</t>
        </is>
      </c>
      <c r="E57">
        <f>HYPERLINK("https://www.indeed.com/viewjob?jk=6a760b6ad1034c54", "https://www.indeed.com/viewjob?jk=6a760b6ad1034c54")</f>
        <v/>
      </c>
      <c r="F57">
        <f>HYPERLINK("https://www.amazon.jobs/jobs/3139328/sr-applied-scientist-amazon-ads?cmpid=DA_INAD200785B", "https://www.amazon.jobs/jobs/3139328/sr-applied-scientist-amazon-ads?cmpid=DA_INAD200785B")</f>
        <v/>
      </c>
      <c r="G57" t="inlineStr">
        <is>
          <t>Seattle, WA, US</t>
        </is>
      </c>
      <c r="H57" s="3" t="n">
        <v>45998</v>
      </c>
      <c r="I5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8">
      <c r="A58" t="inlineStr">
        <is>
          <t>in-c16459d1708e871e</t>
        </is>
      </c>
      <c r="B58" t="inlineStr">
        <is>
          <t>Sr. Applied Scientist, Amazon Ads</t>
        </is>
      </c>
      <c r="C58" t="inlineStr">
        <is>
          <t>Amazon.com</t>
        </is>
      </c>
      <c r="D58" t="inlineStr">
        <is>
          <t>indeed</t>
        </is>
      </c>
      <c r="E58">
        <f>HYPERLINK("https://www.indeed.com/viewjob?jk=c16459d1708e871e", "https://www.indeed.com/viewjob?jk=c16459d1708e871e")</f>
        <v/>
      </c>
      <c r="F58">
        <f>HYPERLINK("https://www.amazon.jobs/jobs/3139328/sr-applied-scientist-amazon-ads?cmpid=DA_INAD200785B", "https://www.amazon.jobs/jobs/3139328/sr-applied-scientist-amazon-ads?cmpid=DA_INAD200785B")</f>
        <v/>
      </c>
      <c r="G58" t="inlineStr">
        <is>
          <t>Boulder, CO, US</t>
        </is>
      </c>
      <c r="H58" s="3" t="n">
        <v>45998</v>
      </c>
      <c r="I5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9">
      <c r="A59" t="inlineStr">
        <is>
          <t>in-342bf93e927de69d</t>
        </is>
      </c>
      <c r="B59" t="inlineStr">
        <is>
          <t>Sr. Applied Scientist, Amazon Ads</t>
        </is>
      </c>
      <c r="C59" t="inlineStr">
        <is>
          <t>Amazon.com</t>
        </is>
      </c>
      <c r="D59" t="inlineStr">
        <is>
          <t>indeed</t>
        </is>
      </c>
      <c r="E59">
        <f>HYPERLINK("https://www.indeed.com/viewjob?jk=342bf93e927de69d", "https://www.indeed.com/viewjob?jk=342bf93e927de69d")</f>
        <v/>
      </c>
      <c r="F59">
        <f>HYPERLINK("https://www.amazon.jobs/jobs/3139328/sr-applied-scientist-amazon-ads?cmpid=DA_INAD200785B", "https://www.amazon.jobs/jobs/3139328/sr-applied-scientist-amazon-ads?cmpid=DA_INAD200785B")</f>
        <v/>
      </c>
      <c r="G59" t="inlineStr">
        <is>
          <t>Tukwila, WA, US</t>
        </is>
      </c>
      <c r="H59" s="3" t="n">
        <v>45998</v>
      </c>
      <c r="I5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0">
      <c r="A60" t="inlineStr">
        <is>
          <t>in-816b4ee7a7d32c5a</t>
        </is>
      </c>
      <c r="B60" t="inlineStr">
        <is>
          <t>Sr. Applied Scientist, Amazon Ads</t>
        </is>
      </c>
      <c r="C60" t="inlineStr">
        <is>
          <t>Amazon.com</t>
        </is>
      </c>
      <c r="D60" t="inlineStr">
        <is>
          <t>indeed</t>
        </is>
      </c>
      <c r="E60">
        <f>HYPERLINK("https://www.indeed.com/viewjob?jk=816b4ee7a7d32c5a", "https://www.indeed.com/viewjob?jk=816b4ee7a7d32c5a")</f>
        <v/>
      </c>
      <c r="F60">
        <f>HYPERLINK("https://www.amazon.jobs/jobs/3139328/sr-applied-scientist-amazon-ads?cmpid=DA_INAD200785B", "https://www.amazon.jobs/jobs/3139328/sr-applied-scientist-amazon-ads?cmpid=DA_INAD200785B")</f>
        <v/>
      </c>
      <c r="G60" t="inlineStr">
        <is>
          <t>New York, NY, US</t>
        </is>
      </c>
      <c r="H60" s="3" t="n">
        <v>45998</v>
      </c>
      <c r="I6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1">
      <c r="A61" t="inlineStr">
        <is>
          <t>in-3bab952ae3978726</t>
        </is>
      </c>
      <c r="B61" t="inlineStr">
        <is>
          <t>Sr. Applied Scientist, Amazon Ads</t>
        </is>
      </c>
      <c r="C61" t="inlineStr">
        <is>
          <t>Amazon.com</t>
        </is>
      </c>
      <c r="D61" t="inlineStr">
        <is>
          <t>indeed</t>
        </is>
      </c>
      <c r="E61">
        <f>HYPERLINK("https://www.indeed.com/viewjob?jk=3bab952ae3978726", "https://www.indeed.com/viewjob?jk=3bab952ae3978726")</f>
        <v/>
      </c>
      <c r="F61">
        <f>HYPERLINK("https://www.amazon.jobs/jobs/3139328/sr-applied-scientist-amazon-ads?cmpid=DA_INAD200785B", "https://www.amazon.jobs/jobs/3139328/sr-applied-scientist-amazon-ads?cmpid=DA_INAD200785B")</f>
        <v/>
      </c>
      <c r="G61" t="inlineStr">
        <is>
          <t>Sunnyvale, CA, US</t>
        </is>
      </c>
      <c r="H61" s="3" t="n">
        <v>45998</v>
      </c>
      <c r="I6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2">
      <c r="A62" t="inlineStr">
        <is>
          <t>in-71b196df2db1621b</t>
        </is>
      </c>
      <c r="B62" t="inlineStr">
        <is>
          <t>Applied Scientist, ML Compiler</t>
        </is>
      </c>
      <c r="C62" t="inlineStr">
        <is>
          <t>Amazon Web Services</t>
        </is>
      </c>
      <c r="D62" t="inlineStr">
        <is>
          <t>indeed</t>
        </is>
      </c>
      <c r="E62">
        <f>HYPERLINK("https://www.indeed.com/viewjob?jk=71b196df2db1621b", "https://www.indeed.com/viewjob?jk=71b196df2db1621b")</f>
        <v/>
      </c>
      <c r="F62">
        <f>HYPERLINK("https://www.amazon.jobs/jobs/3136884/applied-scientist-ml-compiler?cmpid=DA_INAD200785B", "https://www.amazon.jobs/jobs/3136884/applied-scientist-ml-compiler?cmpid=DA_INAD200785B")</f>
        <v/>
      </c>
      <c r="G62" t="inlineStr">
        <is>
          <t>Cupertino, CA, US</t>
        </is>
      </c>
      <c r="H62" s="3" t="n">
        <v>45993</v>
      </c>
      <c r="I62"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in-d4a7d019f94ed118</t>
        </is>
      </c>
      <c r="B63" t="inlineStr">
        <is>
          <t>Applied Scientist, ML Compiler</t>
        </is>
      </c>
      <c r="C63" t="inlineStr">
        <is>
          <t>Amazon Web Services</t>
        </is>
      </c>
      <c r="D63" t="inlineStr">
        <is>
          <t>indeed</t>
        </is>
      </c>
      <c r="E63">
        <f>HYPERLINK("https://www.indeed.com/viewjob?jk=d4a7d019f94ed118", "https://www.indeed.com/viewjob?jk=d4a7d019f94ed118")</f>
        <v/>
      </c>
      <c r="F63">
        <f>HYPERLINK("https://www.amazon.jobs/jobs/3136884/applied-scientist-ml-compiler?cmpid=DA_INAD200785B", "https://www.amazon.jobs/jobs/3136884/applied-scientist-ml-compiler?cmpid=DA_INAD200785B")</f>
        <v/>
      </c>
      <c r="G63" t="inlineStr">
        <is>
          <t>Seattle, WA, US</t>
        </is>
      </c>
      <c r="H63" s="3" t="n">
        <v>45993</v>
      </c>
      <c r="I63"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in-6e6b14dce6060d95</t>
        </is>
      </c>
      <c r="B64" t="inlineStr">
        <is>
          <t>Senior Data Scientist, Data and Machine Learning, WWPS US Federal</t>
        </is>
      </c>
      <c r="C64" t="inlineStr">
        <is>
          <t>Amazon Web Services</t>
        </is>
      </c>
      <c r="D64" t="inlineStr">
        <is>
          <t>indeed</t>
        </is>
      </c>
      <c r="E64">
        <f>HYPERLINK("https://www.indeed.com/viewjob?jk=6e6b14dce6060d95", "https://www.indeed.com/viewjob?jk=6e6b14dce6060d95")</f>
        <v/>
      </c>
      <c r="F64">
        <f>HYPERLINK("https://www.amazon.jobs/jobs/3139664/senior-data-scientist-data-and-machine-learning-wwps-us-federal?cmpid=DA_INAD200785B", "https://www.amazon.jobs/jobs/3139664/senior-data-scientist-data-and-machine-learning-wwps-us-federal?cmpid=DA_INAD200785B")</f>
        <v/>
      </c>
      <c r="G64" t="inlineStr">
        <is>
          <t>Herndon, VA, US</t>
        </is>
      </c>
      <c r="H64" s="3" t="n">
        <v>45993</v>
      </c>
      <c r="I64"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65">
      <c r="A65" t="inlineStr">
        <is>
          <t>in-9939abd040d9052d</t>
        </is>
      </c>
      <c r="B65" t="inlineStr">
        <is>
          <t>Senior Data Scientist, Data and Machine Learning, WWPS US Federal</t>
        </is>
      </c>
      <c r="C65" t="inlineStr">
        <is>
          <t>Amazon Web Services</t>
        </is>
      </c>
      <c r="D65" t="inlineStr">
        <is>
          <t>indeed</t>
        </is>
      </c>
      <c r="E65">
        <f>HYPERLINK("https://www.indeed.com/viewjob?jk=9939abd040d9052d", "https://www.indeed.com/viewjob?jk=9939abd040d9052d")</f>
        <v/>
      </c>
      <c r="F65">
        <f>HYPERLINK("https://www.amazon.jobs/jobs/3139664/senior-data-scientist-data-and-machine-learning-wwps-us-federal?cmpid=DA_INAD200785B", "https://www.amazon.jobs/jobs/3139664/senior-data-scientist-data-and-machine-learning-wwps-us-federal?cmpid=DA_INAD200785B")</f>
        <v/>
      </c>
      <c r="G65" t="inlineStr">
        <is>
          <t>Denver, CO, US</t>
        </is>
      </c>
      <c r="H65" s="3" t="n">
        <v>45993</v>
      </c>
      <c r="I65"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66">
      <c r="A66" t="inlineStr">
        <is>
          <t>in-ba89962d9d0fc626</t>
        </is>
      </c>
      <c r="B66" t="inlineStr">
        <is>
          <t>Senior Data Scientist, Data and Machine Learning, WWPS US Federal</t>
        </is>
      </c>
      <c r="C66" t="inlineStr">
        <is>
          <t>Amazon Web Services</t>
        </is>
      </c>
      <c r="D66" t="inlineStr">
        <is>
          <t>indeed</t>
        </is>
      </c>
      <c r="E66">
        <f>HYPERLINK("https://www.indeed.com/viewjob?jk=ba89962d9d0fc626", "https://www.indeed.com/viewjob?jk=ba89962d9d0fc626")</f>
        <v/>
      </c>
      <c r="F66">
        <f>HYPERLINK("https://www.amazon.jobs/jobs/3139664/senior-data-scientist-data-and-machine-learning-wwps-us-federal?cmpid=DA_INAD200785B", "https://www.amazon.jobs/jobs/3139664/senior-data-scientist-data-and-machine-learning-wwps-us-federal?cmpid=DA_INAD200785B")</f>
        <v/>
      </c>
      <c r="G66" t="inlineStr">
        <is>
          <t>Arlington, VA, US</t>
        </is>
      </c>
      <c r="H66" s="3" t="n">
        <v>45993</v>
      </c>
      <c r="I66"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67">
      <c r="A67" t="inlineStr">
        <is>
          <t>in-54a57ddd1fd6bae6</t>
        </is>
      </c>
      <c r="B67" t="inlineStr">
        <is>
          <t>Senior Data Scientist, Data and Machine Learning, WWPS US Federal</t>
        </is>
      </c>
      <c r="C67" t="inlineStr">
        <is>
          <t>Amazon Web Services</t>
        </is>
      </c>
      <c r="D67" t="inlineStr">
        <is>
          <t>indeed</t>
        </is>
      </c>
      <c r="E67">
        <f>HYPERLINK("https://www.indeed.com/viewjob?jk=54a57ddd1fd6bae6", "https://www.indeed.com/viewjob?jk=54a57ddd1fd6bae6")</f>
        <v/>
      </c>
      <c r="F67">
        <f>HYPERLINK("https://www.amazon.jobs/jobs/3139664/senior-data-scientist-data-and-machine-learning-wwps-us-federal?cmpid=DA_INAD200785B", "https://www.amazon.jobs/jobs/3139664/senior-data-scientist-data-and-machine-learning-wwps-us-federal?cmpid=DA_INAD200785B")</f>
        <v/>
      </c>
      <c r="G67" t="inlineStr">
        <is>
          <t>Jessup, MD, US</t>
        </is>
      </c>
      <c r="H67" s="3" t="n">
        <v>45993</v>
      </c>
      <c r="I67"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68">
      <c r="A68" t="inlineStr">
        <is>
          <t>in-bb84b14dfb654555</t>
        </is>
      </c>
      <c r="B68" t="inlineStr">
        <is>
          <t>Senior Data Scientist, Data and Machine Learning, WWPS US Federal</t>
        </is>
      </c>
      <c r="C68" t="inlineStr">
        <is>
          <t>Amazon Web Services</t>
        </is>
      </c>
      <c r="D68" t="inlineStr">
        <is>
          <t>indeed</t>
        </is>
      </c>
      <c r="E68">
        <f>HYPERLINK("https://www.indeed.com/viewjob?jk=bb84b14dfb654555", "https://www.indeed.com/viewjob?jk=bb84b14dfb654555")</f>
        <v/>
      </c>
      <c r="F68">
        <f>HYPERLINK("https://www.amazon.jobs/jobs/3139664/senior-data-scientist-data-and-machine-learning-wwps-us-federal?cmpid=DA_INAD200785B", "https://www.amazon.jobs/jobs/3139664/senior-data-scientist-data-and-machine-learning-wwps-us-federal?cmpid=DA_INAD200785B")</f>
        <v/>
      </c>
      <c r="G68" t="inlineStr">
        <is>
          <t>St. Louis, MO, US</t>
        </is>
      </c>
      <c r="H68" s="3" t="n">
        <v>45993</v>
      </c>
      <c r="I68"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69">
      <c r="A69" t="inlineStr">
        <is>
          <t>in-5495fd6fce2c302c</t>
        </is>
      </c>
      <c r="B69" t="inlineStr">
        <is>
          <t>Data Scientist, Data and Machine Learning, WWPS US Federal</t>
        </is>
      </c>
      <c r="C69" t="inlineStr">
        <is>
          <t>Amazon Web Services</t>
        </is>
      </c>
      <c r="D69" t="inlineStr">
        <is>
          <t>indeed</t>
        </is>
      </c>
      <c r="E69">
        <f>HYPERLINK("https://www.indeed.com/viewjob?jk=5495fd6fce2c302c", "https://www.indeed.com/viewjob?jk=5495fd6fce2c302c")</f>
        <v/>
      </c>
      <c r="F69">
        <f>HYPERLINK("https://www.amazon.jobs/jobs/3136940/data-scientist-data-and-machine-learning-wwps-us-federal?cmpid=DA_INAD200785B", "https://www.amazon.jobs/jobs/3136940/data-scientist-data-and-machine-learning-wwps-us-federal?cmpid=DA_INAD200785B")</f>
        <v/>
      </c>
      <c r="G69" t="inlineStr">
        <is>
          <t>Denver, CO, US</t>
        </is>
      </c>
      <c r="H69" s="3" t="n">
        <v>45993</v>
      </c>
      <c r="I69"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70">
      <c r="A70" t="inlineStr">
        <is>
          <t>in-d032a2e682791b06</t>
        </is>
      </c>
      <c r="B70" t="inlineStr">
        <is>
          <t>Data Scientist, Data and Machine Learning, WWPS US Federal</t>
        </is>
      </c>
      <c r="C70" t="inlineStr">
        <is>
          <t>Amazon Web Services</t>
        </is>
      </c>
      <c r="D70" t="inlineStr">
        <is>
          <t>indeed</t>
        </is>
      </c>
      <c r="E70">
        <f>HYPERLINK("https://www.indeed.com/viewjob?jk=d032a2e682791b06", "https://www.indeed.com/viewjob?jk=d032a2e682791b06")</f>
        <v/>
      </c>
      <c r="F70">
        <f>HYPERLINK("https://www.amazon.jobs/jobs/3136940/data-scientist-data-and-machine-learning-wwps-us-federal?cmpid=DA_INAD200785B", "https://www.amazon.jobs/jobs/3136940/data-scientist-data-and-machine-learning-wwps-us-federal?cmpid=DA_INAD200785B")</f>
        <v/>
      </c>
      <c r="G70" t="inlineStr">
        <is>
          <t>Herndon, VA, US</t>
        </is>
      </c>
      <c r="H70" s="3" t="n">
        <v>45993</v>
      </c>
      <c r="I70"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71">
      <c r="A71" t="inlineStr">
        <is>
          <t>in-2c5b8aaa3d3b13ce</t>
        </is>
      </c>
      <c r="B71" t="inlineStr">
        <is>
          <t>Data Scientist, Data and Machine Learning, WWPS US Federal</t>
        </is>
      </c>
      <c r="C71" t="inlineStr">
        <is>
          <t>Amazon Web Services</t>
        </is>
      </c>
      <c r="D71" t="inlineStr">
        <is>
          <t>indeed</t>
        </is>
      </c>
      <c r="E71">
        <f>HYPERLINK("https://www.indeed.com/viewjob?jk=2c5b8aaa3d3b13ce", "https://www.indeed.com/viewjob?jk=2c5b8aaa3d3b13ce")</f>
        <v/>
      </c>
      <c r="F71">
        <f>HYPERLINK("https://www.amazon.jobs/jobs/3136940/data-scientist-data-and-machine-learning-wwps-us-federal?cmpid=DA_INAD200785B", "https://www.amazon.jobs/jobs/3136940/data-scientist-data-and-machine-learning-wwps-us-federal?cmpid=DA_INAD200785B")</f>
        <v/>
      </c>
      <c r="G71" t="inlineStr">
        <is>
          <t>St. Louis, MO, US</t>
        </is>
      </c>
      <c r="H71" s="3" t="n">
        <v>45993</v>
      </c>
      <c r="I71"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72">
      <c r="A72" t="inlineStr">
        <is>
          <t>in-9d3d813f46064f4c</t>
        </is>
      </c>
      <c r="B72" t="inlineStr">
        <is>
          <t>Senior Applied Scientist, Locomotion, Amazon Industrial Robotics</t>
        </is>
      </c>
      <c r="C72" t="inlineStr">
        <is>
          <t>Amazon.com</t>
        </is>
      </c>
      <c r="D72" t="inlineStr">
        <is>
          <t>indeed</t>
        </is>
      </c>
      <c r="E72">
        <f>HYPERLINK("https://www.indeed.com/viewjob?jk=9d3d813f46064f4c", "https://www.indeed.com/viewjob?jk=9d3d813f46064f4c")</f>
        <v/>
      </c>
      <c r="F72">
        <f>HYPERLINK("https://www.amazon.jobs/jobs/3134751/senior-applied-scientist-locomotion-amazon-industrial-robotics?cmpid=DA_INAD200785B", "https://www.amazon.jobs/jobs/3134751/senior-applied-scientist-locomotion-amazon-industrial-robotics?cmpid=DA_INAD200785B")</f>
        <v/>
      </c>
      <c r="G72" t="inlineStr">
        <is>
          <t>Reading, MA, US</t>
        </is>
      </c>
      <c r="H72" s="3" t="n">
        <v>45992</v>
      </c>
      <c r="I7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in-d9dca5f3c77cb5f9</t>
        </is>
      </c>
      <c r="B73" t="inlineStr">
        <is>
          <t>Senior Applied Scientist, Locomotion, Amazon Industrial Robotics</t>
        </is>
      </c>
      <c r="C73" t="inlineStr">
        <is>
          <t>Amazon.com</t>
        </is>
      </c>
      <c r="D73" t="inlineStr">
        <is>
          <t>indeed</t>
        </is>
      </c>
      <c r="E73">
        <f>HYPERLINK("https://www.indeed.com/viewjob?jk=d9dca5f3c77cb5f9", "https://www.indeed.com/viewjob?jk=d9dca5f3c77cb5f9")</f>
        <v/>
      </c>
      <c r="F73">
        <f>HYPERLINK("https://www.amazon.jobs/jobs/3134751/senior-applied-scientist-locomotion-amazon-industrial-robotics?cmpid=DA_INAD200785B", "https://www.amazon.jobs/jobs/3134751/senior-applied-scientist-locomotion-amazon-industrial-robotics?cmpid=DA_INAD200785B")</f>
        <v/>
      </c>
      <c r="G73" t="inlineStr">
        <is>
          <t>Reading, MA, US</t>
        </is>
      </c>
      <c r="H73" s="3" t="n">
        <v>45992</v>
      </c>
      <c r="I7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in-8a76660a1d05e0e9</t>
        </is>
      </c>
      <c r="B74" t="inlineStr">
        <is>
          <t>Sr. Applied Scientist, SPB Advertiser Guidance</t>
        </is>
      </c>
      <c r="C74" t="inlineStr">
        <is>
          <t>Amazon.com</t>
        </is>
      </c>
      <c r="D74" t="inlineStr">
        <is>
          <t>indeed</t>
        </is>
      </c>
      <c r="E74">
        <f>HYPERLINK("https://www.indeed.com/viewjob?jk=8a76660a1d05e0e9", "https://www.indeed.com/viewjob?jk=8a76660a1d05e0e9")</f>
        <v/>
      </c>
      <c r="F74">
        <f>HYPERLINK("https://www.amazon.jobs/jobs/3132336/sr-applied-scientist-spb-advertiser-guidance?cmpid=DA_INAD200785B", "https://www.amazon.jobs/jobs/3132336/sr-applied-scientist-spb-advertiser-guidance?cmpid=DA_INAD200785B")</f>
        <v/>
      </c>
      <c r="G74" t="inlineStr">
        <is>
          <t>Palo Alto, CA, US</t>
        </is>
      </c>
      <c r="H74" s="3" t="n">
        <v>45981</v>
      </c>
      <c r="I7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in-6245e7314a076e7a</t>
        </is>
      </c>
      <c r="B75" t="inlineStr">
        <is>
          <t>Sr. Applied Scientist, SPB Advertiser Guidance</t>
        </is>
      </c>
      <c r="C75" t="inlineStr">
        <is>
          <t>Amazon.com</t>
        </is>
      </c>
      <c r="D75" t="inlineStr">
        <is>
          <t>indeed</t>
        </is>
      </c>
      <c r="E75">
        <f>HYPERLINK("https://www.indeed.com/viewjob?jk=6245e7314a076e7a", "https://www.indeed.com/viewjob?jk=6245e7314a076e7a")</f>
        <v/>
      </c>
      <c r="F75">
        <f>HYPERLINK("https://www.amazon.jobs/jobs/3132336/sr-applied-scientist-spb-advertiser-guidance?cmpid=DA_INAD200785B", "https://www.amazon.jobs/jobs/3132336/sr-applied-scientist-spb-advertiser-guidance?cmpid=DA_INAD200785B")</f>
        <v/>
      </c>
      <c r="G75" t="inlineStr">
        <is>
          <t>Seattle, WA, US</t>
        </is>
      </c>
      <c r="H75" s="3" t="n">
        <v>45981</v>
      </c>
      <c r="I7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in-feaa170ce27ddd48</t>
        </is>
      </c>
      <c r="B76" t="inlineStr">
        <is>
          <t>Sr. Applied Scientist, SPB Advertiser Guidance</t>
        </is>
      </c>
      <c r="C76" t="inlineStr">
        <is>
          <t>Amazon.com</t>
        </is>
      </c>
      <c r="D76" t="inlineStr">
        <is>
          <t>indeed</t>
        </is>
      </c>
      <c r="E76">
        <f>HYPERLINK("https://www.indeed.com/viewjob?jk=feaa170ce27ddd48", "https://www.indeed.com/viewjob?jk=feaa170ce27ddd48")</f>
        <v/>
      </c>
      <c r="F76">
        <f>HYPERLINK("https://www.amazon.jobs/jobs/3132336/sr-applied-scientist-spb-advertiser-guidance?cmpid=DA_INAD200785B", "https://www.amazon.jobs/jobs/3132336/sr-applied-scientist-spb-advertiser-guidance?cmpid=DA_INAD200785B")</f>
        <v/>
      </c>
      <c r="G76" t="inlineStr">
        <is>
          <t>New York, NY, US</t>
        </is>
      </c>
      <c r="H76" s="3" t="n">
        <v>45981</v>
      </c>
      <c r="I7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in-9e456d5b7d16c02d</t>
        </is>
      </c>
      <c r="B77" t="inlineStr">
        <is>
          <t>Senior Applied Scientist, Artificial General Intelligence</t>
        </is>
      </c>
      <c r="C77" t="inlineStr">
        <is>
          <t>Amazon.com</t>
        </is>
      </c>
      <c r="D77" t="inlineStr">
        <is>
          <t>indeed</t>
        </is>
      </c>
      <c r="E77">
        <f>HYPERLINK("https://www.indeed.com/viewjob?jk=9e456d5b7d16c02d", "https://www.indeed.com/viewjob?jk=9e456d5b7d16c02d")</f>
        <v/>
      </c>
      <c r="F77">
        <f>HYPERLINK("https://www.amazon.jobs/jobs/3131971/senior-applied-scientist-artificial-general-intelligence?cmpid=DA_INAD200785B", "https://www.amazon.jobs/jobs/3131971/senior-applied-scientist-artificial-general-intelligence?cmpid=DA_INAD200785B")</f>
        <v/>
      </c>
      <c r="G77" t="inlineStr">
        <is>
          <t>New York, NY, US</t>
        </is>
      </c>
      <c r="H77" s="3" t="n">
        <v>45980</v>
      </c>
      <c r="I7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in-90fdd545123a5bd8</t>
        </is>
      </c>
      <c r="B78" t="inlineStr">
        <is>
          <t>Senior Applied Scientist, Artificial General Intelligence</t>
        </is>
      </c>
      <c r="C78" t="inlineStr">
        <is>
          <t>Amazon.com</t>
        </is>
      </c>
      <c r="D78" t="inlineStr">
        <is>
          <t>indeed</t>
        </is>
      </c>
      <c r="E78">
        <f>HYPERLINK("https://www.indeed.com/viewjob?jk=90fdd545123a5bd8", "https://www.indeed.com/viewjob?jk=90fdd545123a5bd8")</f>
        <v/>
      </c>
      <c r="F78">
        <f>HYPERLINK("https://www.amazon.jobs/jobs/3131971/senior-applied-scientist-artificial-general-intelligence?cmpid=DA_INAD200785B", "https://www.amazon.jobs/jobs/3131971/senior-applied-scientist-artificial-general-intelligence?cmpid=DA_INAD200785B")</f>
        <v/>
      </c>
      <c r="G78" t="inlineStr">
        <is>
          <t>Boston, MA, US</t>
        </is>
      </c>
      <c r="H78" s="3" t="n">
        <v>45980</v>
      </c>
      <c r="I7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in-a3c68844911bc053</t>
        </is>
      </c>
      <c r="B79" t="inlineStr">
        <is>
          <t>Senior Applied Scientist, Artificial General Intelligence</t>
        </is>
      </c>
      <c r="C79" t="inlineStr">
        <is>
          <t>Amazon.com</t>
        </is>
      </c>
      <c r="D79" t="inlineStr">
        <is>
          <t>indeed</t>
        </is>
      </c>
      <c r="E79">
        <f>HYPERLINK("https://www.indeed.com/viewjob?jk=a3c68844911bc053", "https://www.indeed.com/viewjob?jk=a3c68844911bc053")</f>
        <v/>
      </c>
      <c r="F79">
        <f>HYPERLINK("https://www.amazon.jobs/jobs/3131971/senior-applied-scientist-artificial-general-intelligence?cmpid=DA_INAD200785B", "https://www.amazon.jobs/jobs/3131971/senior-applied-scientist-artificial-general-intelligence?cmpid=DA_INAD200785B")</f>
        <v/>
      </c>
      <c r="G79" t="inlineStr">
        <is>
          <t>Seattle, WA, US</t>
        </is>
      </c>
      <c r="H79" s="3" t="n">
        <v>45980</v>
      </c>
      <c r="I7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in-fe690f99e489109b</t>
        </is>
      </c>
      <c r="B80" t="inlineStr">
        <is>
          <t>Senior Applied Scientist, Artificial General Intelligence</t>
        </is>
      </c>
      <c r="C80" t="inlineStr">
        <is>
          <t>Amazon.com</t>
        </is>
      </c>
      <c r="D80" t="inlineStr">
        <is>
          <t>indeed</t>
        </is>
      </c>
      <c r="E80">
        <f>HYPERLINK("https://www.indeed.com/viewjob?jk=fe690f99e489109b", "https://www.indeed.com/viewjob?jk=fe690f99e489109b")</f>
        <v/>
      </c>
      <c r="F80">
        <f>HYPERLINK("https://www.amazon.jobs/jobs/3131971/senior-applied-scientist-artificial-general-intelligence?cmpid=DA_INAD200785B", "https://www.amazon.jobs/jobs/3131971/senior-applied-scientist-artificial-general-intelligence?cmpid=DA_INAD200785B")</f>
        <v/>
      </c>
      <c r="G80" t="inlineStr">
        <is>
          <t>Sunnyvale, CA, US</t>
        </is>
      </c>
      <c r="H80" s="3" t="n">
        <v>45980</v>
      </c>
      <c r="I8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in-5610e40a30d70f2e</t>
        </is>
      </c>
      <c r="B81" t="inlineStr">
        <is>
          <t>Applied Scientist II, SPB Advertiser Guidance</t>
        </is>
      </c>
      <c r="C81" t="inlineStr">
        <is>
          <t>Amazon.com</t>
        </is>
      </c>
      <c r="D81" t="inlineStr">
        <is>
          <t>indeed</t>
        </is>
      </c>
      <c r="E81">
        <f>HYPERLINK("https://www.indeed.com/viewjob?jk=5610e40a30d70f2e", "https://www.indeed.com/viewjob?jk=5610e40a30d70f2e")</f>
        <v/>
      </c>
      <c r="F81">
        <f>HYPERLINK("https://www.amazon.jobs/jobs/3131876/applied-scientist-ii-spb-advertiser-guidance?cmpid=DA_INAD200785B", "https://www.amazon.jobs/jobs/3131876/applied-scientist-ii-spb-advertiser-guidance?cmpid=DA_INAD200785B")</f>
        <v/>
      </c>
      <c r="G81" t="inlineStr">
        <is>
          <t>New York, NY, US</t>
        </is>
      </c>
      <c r="H81" s="3" t="n">
        <v>45980</v>
      </c>
      <c r="I8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in-61393b701796e3bb</t>
        </is>
      </c>
      <c r="B82" t="inlineStr">
        <is>
          <t>Applied Scientist II, SPB Advertiser Guidance</t>
        </is>
      </c>
      <c r="C82" t="inlineStr">
        <is>
          <t>Amazon.com</t>
        </is>
      </c>
      <c r="D82" t="inlineStr">
        <is>
          <t>indeed</t>
        </is>
      </c>
      <c r="E82">
        <f>HYPERLINK("https://www.indeed.com/viewjob?jk=61393b701796e3bb", "https://www.indeed.com/viewjob?jk=61393b701796e3bb")</f>
        <v/>
      </c>
      <c r="F82">
        <f>HYPERLINK("https://www.amazon.jobs/jobs/3131876/applied-scientist-ii-spb-advertiser-guidance?cmpid=DA_INAD200785B", "https://www.amazon.jobs/jobs/3131876/applied-scientist-ii-spb-advertiser-guidance?cmpid=DA_INAD200785B")</f>
        <v/>
      </c>
      <c r="G82" t="inlineStr">
        <is>
          <t>Palo Alto, CA, US</t>
        </is>
      </c>
      <c r="H82" s="3" t="n">
        <v>45980</v>
      </c>
      <c r="I8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in-4cf2b1891d962886</t>
        </is>
      </c>
      <c r="B83" t="inlineStr">
        <is>
          <t>Applied Scientist II, SPB Advertiser Guidance</t>
        </is>
      </c>
      <c r="C83" t="inlineStr">
        <is>
          <t>Amazon.com</t>
        </is>
      </c>
      <c r="D83" t="inlineStr">
        <is>
          <t>indeed</t>
        </is>
      </c>
      <c r="E83">
        <f>HYPERLINK("https://www.indeed.com/viewjob?jk=4cf2b1891d962886", "https://www.indeed.com/viewjob?jk=4cf2b1891d962886")</f>
        <v/>
      </c>
      <c r="F83">
        <f>HYPERLINK("https://www.amazon.jobs/jobs/3131876/applied-scientist-ii-spb-advertiser-guidance?cmpid=DA_INAD200785B", "https://www.amazon.jobs/jobs/3131876/applied-scientist-ii-spb-advertiser-guidance?cmpid=DA_INAD200785B")</f>
        <v/>
      </c>
      <c r="G83" t="inlineStr">
        <is>
          <t>Seattle, WA, US</t>
        </is>
      </c>
      <c r="H83" s="3" t="n">
        <v>45980</v>
      </c>
      <c r="I8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in-9548a38573317c99</t>
        </is>
      </c>
      <c r="B84" t="inlineStr">
        <is>
          <t>Principal Applied Scientist, Sponsored Products and Brands</t>
        </is>
      </c>
      <c r="C84" t="inlineStr">
        <is>
          <t>Amazon.com</t>
        </is>
      </c>
      <c r="D84" t="inlineStr">
        <is>
          <t>indeed</t>
        </is>
      </c>
      <c r="E84">
        <f>HYPERLINK("https://www.indeed.com/viewjob?jk=9548a38573317c99", "https://www.indeed.com/viewjob?jk=9548a38573317c99")</f>
        <v/>
      </c>
      <c r="F84">
        <f>HYPERLINK("https://www.amazon.jobs/jobs/3130855/principal-applied-scientist-sponsored-products-and-brands?cmpid=DA_INAD200785B", "https://www.amazon.jobs/jobs/3130855/principal-applied-scientist-sponsored-products-and-brands?cmpid=DA_INAD200785B")</f>
        <v/>
      </c>
      <c r="G84" t="inlineStr">
        <is>
          <t>New York, NY, US</t>
        </is>
      </c>
      <c r="H84" s="3" t="n">
        <v>45979</v>
      </c>
      <c r="I8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in-16aa09b4dbafe2ad</t>
        </is>
      </c>
      <c r="B85" t="inlineStr">
        <is>
          <t>Principal Applied Scientist, Sponsored Products and Brands</t>
        </is>
      </c>
      <c r="C85" t="inlineStr">
        <is>
          <t>Amazon.com</t>
        </is>
      </c>
      <c r="D85" t="inlineStr">
        <is>
          <t>indeed</t>
        </is>
      </c>
      <c r="E85">
        <f>HYPERLINK("https://www.indeed.com/viewjob?jk=16aa09b4dbafe2ad", "https://www.indeed.com/viewjob?jk=16aa09b4dbafe2ad")</f>
        <v/>
      </c>
      <c r="F85">
        <f>HYPERLINK("https://www.amazon.jobs/jobs/3130855/principal-applied-scientist-sponsored-products-and-brands?cmpid=DA_INAD200785B", "https://www.amazon.jobs/jobs/3130855/principal-applied-scientist-sponsored-products-and-brands?cmpid=DA_INAD200785B")</f>
        <v/>
      </c>
      <c r="G85" t="inlineStr">
        <is>
          <t>Seattle, WA, US</t>
        </is>
      </c>
      <c r="H85" s="3" t="n">
        <v>45979</v>
      </c>
      <c r="I8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in-3b783192c45746ba</t>
        </is>
      </c>
      <c r="B86" t="inlineStr">
        <is>
          <t>Applied Scientist II, Robotics and ML, Amazon Industrial Robotics</t>
        </is>
      </c>
      <c r="C86" t="inlineStr">
        <is>
          <t>Amazon.com</t>
        </is>
      </c>
      <c r="D86" t="inlineStr">
        <is>
          <t>indeed</t>
        </is>
      </c>
      <c r="E86">
        <f>HYPERLINK("https://www.indeed.com/viewjob?jk=3b783192c45746ba", "https://www.indeed.com/viewjob?jk=3b783192c45746ba")</f>
        <v/>
      </c>
      <c r="F86">
        <f>HYPERLINK("https://www.amazon.jobs/jobs/3128219/applied-scientist-ii-robotics-and-ml-amazon-industrial-robotics?cmpid=DA_INAD200785B", "https://www.amazon.jobs/jobs/3128219/applied-scientist-ii-robotics-and-ml-amazon-industrial-robotics?cmpid=DA_INAD200785B")</f>
        <v/>
      </c>
      <c r="G86" t="inlineStr">
        <is>
          <t>Reading, MA, US</t>
        </is>
      </c>
      <c r="H86" s="3" t="n">
        <v>45975</v>
      </c>
      <c r="I8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in-33138f913a51b1b3</t>
        </is>
      </c>
      <c r="B87" t="inlineStr">
        <is>
          <t>Applied Scientist II, Robotics and ML, Amazon Industrial Robotics</t>
        </is>
      </c>
      <c r="C87" t="inlineStr">
        <is>
          <t>Amazon.com</t>
        </is>
      </c>
      <c r="D87" t="inlineStr">
        <is>
          <t>indeed</t>
        </is>
      </c>
      <c r="E87">
        <f>HYPERLINK("https://www.indeed.com/viewjob?jk=33138f913a51b1b3", "https://www.indeed.com/viewjob?jk=33138f913a51b1b3")</f>
        <v/>
      </c>
      <c r="F87">
        <f>HYPERLINK("https://www.amazon.jobs/jobs/3128219/applied-scientist-ii-robotics-and-ml-amazon-industrial-robotics?cmpid=DA_INAD200785B", "https://www.amazon.jobs/jobs/3128219/applied-scientist-ii-robotics-and-ml-amazon-industrial-robotics?cmpid=DA_INAD200785B")</f>
        <v/>
      </c>
      <c r="G87" t="inlineStr">
        <is>
          <t>Reading, MA, US</t>
        </is>
      </c>
      <c r="H87" s="3" t="n">
        <v>45975</v>
      </c>
      <c r="I87"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in-8cc2a94784770eaf</t>
        </is>
      </c>
      <c r="B88" t="inlineStr">
        <is>
          <t>Sr. Applied Scientist, Amazon Industrial Robotics</t>
        </is>
      </c>
      <c r="C88" t="inlineStr">
        <is>
          <t>Amazon.com</t>
        </is>
      </c>
      <c r="D88" t="inlineStr">
        <is>
          <t>indeed</t>
        </is>
      </c>
      <c r="E88">
        <f>HYPERLINK("https://www.indeed.com/viewjob?jk=8cc2a94784770eaf", "https://www.indeed.com/viewjob?jk=8cc2a94784770eaf")</f>
        <v/>
      </c>
      <c r="F88">
        <f>HYPERLINK("https://www.amazon.jobs/jobs/3128751/sr-applied-scientist-amazon-industrial-robotics?cmpid=DA_INAD200785B", "https://www.amazon.jobs/jobs/3128751/sr-applied-scientist-amazon-industrial-robotics?cmpid=DA_INAD200785B")</f>
        <v/>
      </c>
      <c r="G88" t="inlineStr">
        <is>
          <t>Reading, MA, US</t>
        </is>
      </c>
      <c r="H88" s="3" t="n">
        <v>45973</v>
      </c>
      <c r="I88"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in-71daa461cf675d69</t>
        </is>
      </c>
      <c r="B89" t="inlineStr">
        <is>
          <t>Sr. Applied Scientist, Amazon Industrial Robotics</t>
        </is>
      </c>
      <c r="C89" t="inlineStr">
        <is>
          <t>Amazon.com</t>
        </is>
      </c>
      <c r="D89" t="inlineStr">
        <is>
          <t>indeed</t>
        </is>
      </c>
      <c r="E89">
        <f>HYPERLINK("https://www.indeed.com/viewjob?jk=71daa461cf675d69", "https://www.indeed.com/viewjob?jk=71daa461cf675d69")</f>
        <v/>
      </c>
      <c r="F89">
        <f>HYPERLINK("https://www.amazon.jobs/jobs/3128751/sr-applied-scientist-amazon-industrial-robotics?cmpid=DA_INAD200785B", "https://www.amazon.jobs/jobs/3128751/sr-applied-scientist-amazon-industrial-robotics?cmpid=DA_INAD200785B")</f>
        <v/>
      </c>
      <c r="G89" t="inlineStr">
        <is>
          <t>Reading, MA, US</t>
        </is>
      </c>
      <c r="H89" s="3" t="n">
        <v>45973</v>
      </c>
      <c r="I89"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in-6ed880d5535884e7</t>
        </is>
      </c>
      <c r="B90" t="inlineStr">
        <is>
          <t>Senior Applied Scientist, Planning and Controls, Amazon Industrial Robotics</t>
        </is>
      </c>
      <c r="C90" t="inlineStr">
        <is>
          <t>Amazon.com</t>
        </is>
      </c>
      <c r="D90" t="inlineStr">
        <is>
          <t>indeed</t>
        </is>
      </c>
      <c r="E90">
        <f>HYPERLINK("https://www.indeed.com/viewjob?jk=6ed880d5535884e7", "https://www.indeed.com/viewjob?jk=6ed880d5535884e7")</f>
        <v/>
      </c>
      <c r="F90">
        <f>HYPERLINK("https://www.amazon.jobs/jobs/3127891/senior-applied-scientist-planning-and-controls-amazon-industrial-robotics?cmpid=DA_INAD200785B", "https://www.amazon.jobs/jobs/3127891/senior-applied-scientist-planning-and-controls-amazon-industrial-robotics?cmpid=DA_INAD200785B")</f>
        <v/>
      </c>
      <c r="G90" t="inlineStr">
        <is>
          <t>Reading, MA, US</t>
        </is>
      </c>
      <c r="H90" s="3" t="n">
        <v>45972</v>
      </c>
      <c r="I90"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unprecedented scale, working with world\-class teams pushing the boundaries of what's possible in robotic manipulation, locomotion, and human\-robot interaction.
We are seeking an Applied Scientist to develop innovative and scalable solutions in motion planning and feedback controls for complex robotic systems. In this role, you will take responsibility for developing robot physics models, performing analysis, and devising and implementing algorithms for the control and estimation of robotic systems. You will collaborate with a world\-class team of experts in perception, machine learning, motion planning, and feedback controls to innovate and develop solutions for complex real\-world problems.
As part of your work, you will investigate applicable academic and industry research to develop, implement, and test solutions that support product features. You will also design and validate production designs. To succeed in this role, you should demonstrate a strong working knowledge of physical systems, a desire to learn from new challenges, and the problem\-solving and communication skills to work within a highly interactive and experienced team. Candidates must show a hands\-on passion for their work and the ability to communicate their ideas and concepts both verbally and visually.
Key job responsibilities  
* Conduct research, design, implement, and assess feedback control and motion planning algorithms, ensuring integration across various disciplines.
* Develop experiments and build prototypes to implement control algorithms, planners, and optimization techniques.
* Collaborate closely with software engineering teams to ensure scalable, real\-time implementation of algorithms.
* Partner with cross\-functional engineering teams to deploy algorithms from initial prototyping to production\-level implementation.
* Engage with stakeholders across hardware, scientific, and operational teams to iterate on system design and implementation.
**BASIC QUALIFICATIONS**
------------------------
* Experience programming in Java, C\+\+, Python or related language
* PhD in engineering, technology, computer science, machine learning, robotics, operations research, statistics, mathematics or equivalent quantitative field
* Experience in building machine learning models for business application
* 5\+ years of industry or academic research experience in applied research and development in robotics, with a focus on motion planning and feedback controls.
**PREFERRED QUALIFICATIONS**
----------------------------
* Experience in patents or publications at top\-tier peer\-reviewed conferences or journals
* Proven ability to innovate and develop robust and scalable solutions to complex robotics problems.
* Experience in trajectory optimization for multi\-degree\-of\-freedom (multi\-DOF) robotic systems
* Experience in designing controllers using Model Predictive Control, Optimal Control,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in-7ecb13ea3ade6117</t>
        </is>
      </c>
      <c r="B91" t="inlineStr">
        <is>
          <t>Senior Applied Scientist, Planning and Controls, Amazon Industrial Robotics</t>
        </is>
      </c>
      <c r="C91" t="inlineStr">
        <is>
          <t>Amazon.com</t>
        </is>
      </c>
      <c r="D91" t="inlineStr">
        <is>
          <t>indeed</t>
        </is>
      </c>
      <c r="E91">
        <f>HYPERLINK("https://www.indeed.com/viewjob?jk=7ecb13ea3ade6117", "https://www.indeed.com/viewjob?jk=7ecb13ea3ade6117")</f>
        <v/>
      </c>
      <c r="F91">
        <f>HYPERLINK("https://www.amazon.jobs/jobs/3127891/senior-applied-scientist-planning-and-controls-amazon-industrial-robotics?cmpid=DA_INAD200785B", "https://www.amazon.jobs/jobs/3127891/senior-applied-scientist-planning-and-controls-amazon-industrial-robotics?cmpid=DA_INAD200785B")</f>
        <v/>
      </c>
      <c r="G91" t="inlineStr">
        <is>
          <t>Reading, MA, US</t>
        </is>
      </c>
      <c r="H91" s="3" t="n">
        <v>45972</v>
      </c>
      <c r="I9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unprecedented scale, working with world\-class teams pushing the boundaries of what's possible in robotic manipulation, locomotion, and human\-robot interaction.
We are seeking an Applied Scientist to develop innovative and scalable solutions in motion planning and feedback controls for complex robotic systems. In this role, you will take responsibility for developing robot physics models, performing analysis, and devising and implementing algorithms for the control and estimation of robotic systems. You will collaborate with a world\-class team of experts in perception, machine learning, motion planning, and feedback controls to innovate and develop solutions for complex real\-world problems.
As part of your work, you will investigate applicable academic and industry research to develop, implement, and test solutions that support product features. You will also design and validate production designs. To succeed in this role, you should demonstrate a strong working knowledge of physical systems, a desire to learn from new challenges, and the problem\-solving and communication skills to work within a highly interactive and experienced team. Candidates must show a hands\-on passion for their work and the ability to communicate their ideas and concepts both verbally and visually.
Key job responsibilities  
* Conduct research, design, implement, and assess feedback control and motion planning algorithms, ensuring integration across various disciplines.
* Develop experiments and build prototypes to implement control algorithms, planners, and optimization techniques.
* Collaborate closely with software engineering teams to ensure scalable, real\-time implementation of algorithms.
* Partner with cross\-functional engineering teams to deploy algorithms from initial prototyping to production\-level implementation.
* Engage with stakeholders across hardware, scientific, and operational teams to iterate on system design and implementation.
**BASIC QUALIFICATIONS**
------------------------
* Experience programming in Java, C\+\+, Python or related language
* PhD in engineering, technology, computer science, machine learning, robotics, operations research, statistics, mathematics or equivalent quantitative field
* Experience in building machine learning models for business application
* 5\+ years of industry or academic research experience in applied research and development in robotics, with a focus on motion planning and feedback controls.
**PREFERRED QUALIFICATIONS**
----------------------------
* Experience in patents or publications at top\-tier peer\-reviewed conferences or journals
* Proven ability to innovate and develop robust and scalable solutions to complex robotics problems.
* Experience in trajectory optimization for multi\-degree\-of\-freedom (multi\-DOF) robotic systems
* Experience in designing controllers using Model Predictive Control, Optimal Control,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in-688f6d55ed512492</t>
        </is>
      </c>
      <c r="B92" t="inlineStr">
        <is>
          <t>Principal Applied Scientist, Amazon AGI</t>
        </is>
      </c>
      <c r="C92" t="inlineStr">
        <is>
          <t>Amazon.com</t>
        </is>
      </c>
      <c r="D92" t="inlineStr">
        <is>
          <t>indeed</t>
        </is>
      </c>
      <c r="E92">
        <f>HYPERLINK("https://www.indeed.com/viewjob?jk=688f6d55ed512492", "https://www.indeed.com/viewjob?jk=688f6d55ed512492")</f>
        <v/>
      </c>
      <c r="F92">
        <f>HYPERLINK("https://www.amazon.jobs/jobs/3128808/principal-applied-scientist-amazon-agi?cmpid=DA_INAD200785B", "https://www.amazon.jobs/jobs/3128808/principal-applied-scientist-amazon-agi?cmpid=DA_INAD200785B")</f>
        <v/>
      </c>
      <c r="G92" t="inlineStr">
        <is>
          <t>San Francisco, CA, US</t>
        </is>
      </c>
      <c r="H92" s="3" t="n">
        <v>45964</v>
      </c>
      <c r="I92"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in-8f673f74f41426ab</t>
        </is>
      </c>
      <c r="B93" t="inlineStr">
        <is>
          <t>Principal Applied Scientist, Amazon AGI</t>
        </is>
      </c>
      <c r="C93" t="inlineStr">
        <is>
          <t>Amazon.com</t>
        </is>
      </c>
      <c r="D93" t="inlineStr">
        <is>
          <t>indeed</t>
        </is>
      </c>
      <c r="E93">
        <f>HYPERLINK("https://www.indeed.com/viewjob?jk=8f673f74f41426ab", "https://www.indeed.com/viewjob?jk=8f673f74f41426ab")</f>
        <v/>
      </c>
      <c r="F93">
        <f>HYPERLINK("https://www.amazon.jobs/jobs/3128808/principal-applied-scientist-amazon-agi?cmpid=DA_INAD200785B", "https://www.amazon.jobs/jobs/3128808/principal-applied-scientist-amazon-agi?cmpid=DA_INAD200785B")</f>
        <v/>
      </c>
      <c r="G93" t="inlineStr">
        <is>
          <t>Boston, MA, US</t>
        </is>
      </c>
      <c r="H93" s="3" t="n">
        <v>45964</v>
      </c>
      <c r="I93"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in-cf56dadf6087702b</t>
        </is>
      </c>
      <c r="B94" t="inlineStr">
        <is>
          <t>Principal Applied Scientist, AWS Agentic AI Science</t>
        </is>
      </c>
      <c r="C94" t="inlineStr">
        <is>
          <t>Amazon Web Services</t>
        </is>
      </c>
      <c r="D94" t="inlineStr">
        <is>
          <t>indeed</t>
        </is>
      </c>
      <c r="E94">
        <f>HYPERLINK("https://www.indeed.com/viewjob?jk=cf56dadf6087702b", "https://www.indeed.com/viewjob?jk=cf56dadf6087702b")</f>
        <v/>
      </c>
      <c r="F94">
        <f>HYPERLINK("https://www.amazon.jobs/jobs/3132887/principal-applied-scientist-aws-agentic-ai-science?cmpid=DA_INAD200785B", "https://www.amazon.jobs/jobs/3132887/principal-applied-scientist-aws-agentic-ai-science?cmpid=DA_INAD200785B")</f>
        <v/>
      </c>
      <c r="G94" t="inlineStr">
        <is>
          <t>New York, NY, US</t>
        </is>
      </c>
      <c r="H94" s="3" t="n">
        <v>45963</v>
      </c>
      <c r="I94"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in-4b004e05b7c84b80</t>
        </is>
      </c>
      <c r="B95" t="inlineStr">
        <is>
          <t>Principal Applied Scientist, AWS Agentic AI Science</t>
        </is>
      </c>
      <c r="C95" t="inlineStr">
        <is>
          <t>Amazon Web Services</t>
        </is>
      </c>
      <c r="D95" t="inlineStr">
        <is>
          <t>indeed</t>
        </is>
      </c>
      <c r="E95">
        <f>HYPERLINK("https://www.indeed.com/viewjob?jk=4b004e05b7c84b80", "https://www.indeed.com/viewjob?jk=4b004e05b7c84b80")</f>
        <v/>
      </c>
      <c r="F95">
        <f>HYPERLINK("https://www.amazon.jobs/jobs/3132887/principal-applied-scientist-aws-agentic-ai-science?cmpid=DA_INAD200785B", "https://www.amazon.jobs/jobs/3132887/principal-applied-scientist-aws-agentic-ai-science?cmpid=DA_INAD200785B")</f>
        <v/>
      </c>
      <c r="G95" t="inlineStr">
        <is>
          <t>Santa Clara, CA, US</t>
        </is>
      </c>
      <c r="H95" s="3" t="n">
        <v>45963</v>
      </c>
      <c r="I95"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in-0b7663218af2b5f5</t>
        </is>
      </c>
      <c r="B96" t="inlineStr">
        <is>
          <t>Sr. Applied Scientist, Sponsored Product Off-Search</t>
        </is>
      </c>
      <c r="C96" t="inlineStr">
        <is>
          <t>Amazon.com</t>
        </is>
      </c>
      <c r="D96" t="inlineStr">
        <is>
          <t>indeed</t>
        </is>
      </c>
      <c r="E96">
        <f>HYPERLINK("https://www.indeed.com/viewjob?jk=0b7663218af2b5f5", "https://www.indeed.com/viewjob?jk=0b7663218af2b5f5")</f>
        <v/>
      </c>
      <c r="F96">
        <f>HYPERLINK("https://www.amazon.jobs/jobs/3120815/sr-applied-scientist-sponsored-product-offsearch-?cmpid=DA_INAD200785B", "https://www.amazon.jobs/jobs/3120815/sr-applied-scientist-sponsored-product-offsearch-?cmpid=DA_INAD200785B")</f>
        <v/>
      </c>
      <c r="G96" t="inlineStr">
        <is>
          <t>Seattle, WA, US</t>
        </is>
      </c>
      <c r="H96" s="3" t="n">
        <v>45963</v>
      </c>
      <c r="I96"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in-91cfb27ccfbebded</t>
        </is>
      </c>
      <c r="B97" t="inlineStr">
        <is>
          <t>Sr. Applied Scientist, Sponsored Product Off-Search</t>
        </is>
      </c>
      <c r="C97" t="inlineStr">
        <is>
          <t>Amazon.com</t>
        </is>
      </c>
      <c r="D97" t="inlineStr">
        <is>
          <t>indeed</t>
        </is>
      </c>
      <c r="E97">
        <f>HYPERLINK("https://www.indeed.com/viewjob?jk=91cfb27ccfbebded", "https://www.indeed.com/viewjob?jk=91cfb27ccfbebded")</f>
        <v/>
      </c>
      <c r="F97">
        <f>HYPERLINK("https://www.amazon.jobs/jobs/3120815/sr-applied-scientist-sponsored-product-offsearch-?cmpid=DA_INAD200785B", "https://www.amazon.jobs/jobs/3120815/sr-applied-scientist-sponsored-product-offsearch-?cmpid=DA_INAD200785B")</f>
        <v/>
      </c>
      <c r="G97" t="inlineStr">
        <is>
          <t>New York, NY, US</t>
        </is>
      </c>
      <c r="H97" s="3" t="n">
        <v>45963</v>
      </c>
      <c r="I97"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in-02794f23f3a4b978</t>
        </is>
      </c>
      <c r="B98" t="inlineStr">
        <is>
          <t>Applied Scientist, AWS Agentic AI</t>
        </is>
      </c>
      <c r="C98" t="inlineStr">
        <is>
          <t>Amazon Web Services</t>
        </is>
      </c>
      <c r="D98" t="inlineStr">
        <is>
          <t>indeed</t>
        </is>
      </c>
      <c r="E98">
        <f>HYPERLINK("https://www.indeed.com/viewjob?jk=02794f23f3a4b978", "https://www.indeed.com/viewjob?jk=02794f23f3a4b978")</f>
        <v/>
      </c>
      <c r="F98">
        <f>HYPERLINK("https://www.amazon.jobs/jobs/3141517/applied-scientist-aws-agentic-ai-?cmpid=DA_INAD200785B", "https://www.amazon.jobs/jobs/3141517/applied-scientist-aws-agentic-ai-?cmpid=DA_INAD200785B")</f>
        <v/>
      </c>
      <c r="G98" t="inlineStr">
        <is>
          <t>New York, NY, US</t>
        </is>
      </c>
      <c r="H98" s="3" t="n">
        <v>45962</v>
      </c>
      <c r="I9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in-a8c346b52776af3f</t>
        </is>
      </c>
      <c r="B99" t="inlineStr">
        <is>
          <t>Applied Scientist, AWS Agentic AI</t>
        </is>
      </c>
      <c r="C99" t="inlineStr">
        <is>
          <t>Amazon Web Services</t>
        </is>
      </c>
      <c r="D99" t="inlineStr">
        <is>
          <t>indeed</t>
        </is>
      </c>
      <c r="E99">
        <f>HYPERLINK("https://www.indeed.com/viewjob?jk=a8c346b52776af3f", "https://www.indeed.com/viewjob?jk=a8c346b52776af3f")</f>
        <v/>
      </c>
      <c r="F99">
        <f>HYPERLINK("https://www.amazon.jobs/jobs/3141517/applied-scientist-aws-agentic-ai-?cmpid=DA_INAD200785B", "https://www.amazon.jobs/jobs/3141517/applied-scientist-aws-agentic-ai-?cmpid=DA_INAD200785B")</f>
        <v/>
      </c>
      <c r="G99" t="inlineStr">
        <is>
          <t>Santa Clara, CA, US</t>
        </is>
      </c>
      <c r="H99" s="3" t="n">
        <v>45962</v>
      </c>
      <c r="I9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in-0b7c2ef16feb525b</t>
        </is>
      </c>
      <c r="B100" t="inlineStr">
        <is>
          <t>Applied Scientist, AWS Agentic AI</t>
        </is>
      </c>
      <c r="C100" t="inlineStr">
        <is>
          <t>Amazon Web Services</t>
        </is>
      </c>
      <c r="D100" t="inlineStr">
        <is>
          <t>indeed</t>
        </is>
      </c>
      <c r="E100">
        <f>HYPERLINK("https://www.indeed.com/viewjob?jk=0b7c2ef16feb525b", "https://www.indeed.com/viewjob?jk=0b7c2ef16feb525b")</f>
        <v/>
      </c>
      <c r="F100">
        <f>HYPERLINK("https://www.amazon.jobs/jobs/3141517/applied-scientist-aws-agentic-ai-?cmpid=DA_INAD200785B", "https://www.amazon.jobs/jobs/3141517/applied-scientist-aws-agentic-ai-?cmpid=DA_INAD200785B")</f>
        <v/>
      </c>
      <c r="G100" t="inlineStr">
        <is>
          <t>Seattle, WA, US</t>
        </is>
      </c>
      <c r="H100" s="3" t="n">
        <v>45962</v>
      </c>
      <c r="I10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in-d12a35238f62816e</t>
        </is>
      </c>
      <c r="B101" t="inlineStr">
        <is>
          <t>Principal Applied Scientist, Advertiser Growth, Amazon Sponsored Products &amp; Brands</t>
        </is>
      </c>
      <c r="C101" t="inlineStr">
        <is>
          <t>Amazon.com</t>
        </is>
      </c>
      <c r="D101" t="inlineStr">
        <is>
          <t>indeed</t>
        </is>
      </c>
      <c r="E101">
        <f>HYPERLINK("https://www.indeed.com/viewjob?jk=d12a35238f62816e", "https://www.indeed.com/viewjob?jk=d12a35238f62816e")</f>
        <v/>
      </c>
      <c r="F101">
        <f>HYPERLINK("https://www.amazon.jobs/jobs/3115279/principal-applied-scientist-advertiser-growth-amazon-sponsored-products--brands?cmpid=DA_INAD200785B", "https://www.amazon.jobs/jobs/3115279/principal-applied-scientist-advertiser-growth-amazon-sponsored-products--brands?cmpid=DA_INAD200785B")</f>
        <v/>
      </c>
      <c r="G101" t="inlineStr">
        <is>
          <t>New York, NY, US</t>
        </is>
      </c>
      <c r="H101" s="3" t="n">
        <v>45942</v>
      </c>
      <c r="I10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in-2917699021cd78d5</t>
        </is>
      </c>
      <c r="B102" t="inlineStr">
        <is>
          <t>Principal Applied Scientist, Advertiser Growth, Amazon Sponsored Products &amp; Brands</t>
        </is>
      </c>
      <c r="C102" t="inlineStr">
        <is>
          <t>Amazon.com</t>
        </is>
      </c>
      <c r="D102" t="inlineStr">
        <is>
          <t>indeed</t>
        </is>
      </c>
      <c r="E102">
        <f>HYPERLINK("https://www.indeed.com/viewjob?jk=2917699021cd78d5", "https://www.indeed.com/viewjob?jk=2917699021cd78d5")</f>
        <v/>
      </c>
      <c r="F102">
        <f>HYPERLINK("https://www.amazon.jobs/jobs/3115279/principal-applied-scientist-advertiser-growth-amazon-sponsored-products--brands?cmpid=DA_INAD200785B", "https://www.amazon.jobs/jobs/3115279/principal-applied-scientist-advertiser-growth-amazon-sponsored-products--brands?cmpid=DA_INAD200785B")</f>
        <v/>
      </c>
      <c r="G102" t="inlineStr">
        <is>
          <t>Palo Alto, CA, US</t>
        </is>
      </c>
      <c r="H102" s="3" t="n">
        <v>45942</v>
      </c>
      <c r="I10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in-f4a0ddf66f5269dd</t>
        </is>
      </c>
      <c r="B103" t="inlineStr">
        <is>
          <t>Principal Applied Scientist, Advertiser Growth, Amazon Sponsored Products &amp; Brands</t>
        </is>
      </c>
      <c r="C103" t="inlineStr">
        <is>
          <t>Amazon.com</t>
        </is>
      </c>
      <c r="D103" t="inlineStr">
        <is>
          <t>indeed</t>
        </is>
      </c>
      <c r="E103">
        <f>HYPERLINK("https://www.indeed.com/viewjob?jk=f4a0ddf66f5269dd", "https://www.indeed.com/viewjob?jk=f4a0ddf66f5269dd")</f>
        <v/>
      </c>
      <c r="F103">
        <f>HYPERLINK("https://www.amazon.jobs/jobs/3115279/principal-applied-scientist-advertiser-growth-amazon-sponsored-products--brands?cmpid=DA_INAD200785B", "https://www.amazon.jobs/jobs/3115279/principal-applied-scientist-advertiser-growth-amazon-sponsored-products--brands?cmpid=DA_INAD200785B")</f>
        <v/>
      </c>
      <c r="G103" t="inlineStr">
        <is>
          <t>Seattle, WA, US</t>
        </is>
      </c>
      <c r="H103" s="3" t="n">
        <v>45942</v>
      </c>
      <c r="I10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in-c7d719d3a51ac353</t>
        </is>
      </c>
      <c r="B104" t="inlineStr">
        <is>
          <t>Applied Scientist</t>
        </is>
      </c>
      <c r="C104" t="inlineStr">
        <is>
          <t>Amazon.com</t>
        </is>
      </c>
      <c r="D104" t="inlineStr">
        <is>
          <t>indeed</t>
        </is>
      </c>
      <c r="E104">
        <f>HYPERLINK("https://www.indeed.com/viewjob?jk=c7d719d3a51ac353", "https://www.indeed.com/viewjob?jk=c7d719d3a51ac353")</f>
        <v/>
      </c>
      <c r="F104">
        <f>HYPERLINK("https://www.amazon.jobs/jobs/3106501/applied-scientist?cmpid=DA_INAD200785B", "https://www.amazon.jobs/jobs/3106501/applied-scientist?cmpid=DA_INAD200785B")</f>
        <v/>
      </c>
      <c r="G104" t="inlineStr">
        <is>
          <t>Seattle, WA, US</t>
        </is>
      </c>
      <c r="H104" s="3" t="n">
        <v>45939</v>
      </c>
      <c r="I10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in-ee161c98c0d73145</t>
        </is>
      </c>
      <c r="B105" t="inlineStr">
        <is>
          <t>Sr. Applied Scientist, SPB Advertiser Guidance</t>
        </is>
      </c>
      <c r="C105" t="inlineStr">
        <is>
          <t>Amazon.com</t>
        </is>
      </c>
      <c r="D105" t="inlineStr">
        <is>
          <t>indeed</t>
        </is>
      </c>
      <c r="E105">
        <f>HYPERLINK("https://www.indeed.com/viewjob?jk=ee161c98c0d73145", "https://www.indeed.com/viewjob?jk=ee161c98c0d73145")</f>
        <v/>
      </c>
      <c r="F105">
        <f>HYPERLINK("https://www.amazon.jobs/jobs/3106497/sr-applied-scientist-spb-advertiser-guidance?cmpid=DA_INAD200785B", "https://www.amazon.jobs/jobs/3106497/sr-applied-scientist-spb-advertiser-guidance?cmpid=DA_INAD200785B")</f>
        <v/>
      </c>
      <c r="G105" t="inlineStr">
        <is>
          <t>Palo Alto, CA, US</t>
        </is>
      </c>
      <c r="H105" s="3" t="n">
        <v>45939</v>
      </c>
      <c r="I10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in-6a0e9aaab1cb997d</t>
        </is>
      </c>
      <c r="B106" t="inlineStr">
        <is>
          <t>Applied Scientist</t>
        </is>
      </c>
      <c r="C106" t="inlineStr">
        <is>
          <t>Amazon.com</t>
        </is>
      </c>
      <c r="D106" t="inlineStr">
        <is>
          <t>indeed</t>
        </is>
      </c>
      <c r="E106">
        <f>HYPERLINK("https://www.indeed.com/viewjob?jk=6a0e9aaab1cb997d", "https://www.indeed.com/viewjob?jk=6a0e9aaab1cb997d")</f>
        <v/>
      </c>
      <c r="F106">
        <f>HYPERLINK("https://www.amazon.jobs/jobs/3106501/applied-scientist?cmpid=DA_INAD200785B", "https://www.amazon.jobs/jobs/3106501/applied-scientist?cmpid=DA_INAD200785B")</f>
        <v/>
      </c>
      <c r="G106" t="inlineStr">
        <is>
          <t>New York, NY, US</t>
        </is>
      </c>
      <c r="H106" s="3" t="n">
        <v>45939</v>
      </c>
      <c r="I10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in-b82712439138d133</t>
        </is>
      </c>
      <c r="B107" t="inlineStr">
        <is>
          <t>Applied Scientist</t>
        </is>
      </c>
      <c r="C107" t="inlineStr">
        <is>
          <t>Amazon.com</t>
        </is>
      </c>
      <c r="D107" t="inlineStr">
        <is>
          <t>indeed</t>
        </is>
      </c>
      <c r="E107">
        <f>HYPERLINK("https://www.indeed.com/viewjob?jk=b82712439138d133", "https://www.indeed.com/viewjob?jk=b82712439138d133")</f>
        <v/>
      </c>
      <c r="F107">
        <f>HYPERLINK("https://www.amazon.jobs/jobs/3106501/applied-scientist?cmpid=DA_INAD200785B", "https://www.amazon.jobs/jobs/3106501/applied-scientist?cmpid=DA_INAD200785B")</f>
        <v/>
      </c>
      <c r="G107" t="inlineStr">
        <is>
          <t>Palo Alto, CA, US</t>
        </is>
      </c>
      <c r="H107" s="3" t="n">
        <v>45939</v>
      </c>
      <c r="I10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in-2c02d892d0266a32</t>
        </is>
      </c>
      <c r="B108" t="inlineStr">
        <is>
          <t>Sr. Applied Scientist, SPB Advertiser Guidance</t>
        </is>
      </c>
      <c r="C108" t="inlineStr">
        <is>
          <t>Amazon.com</t>
        </is>
      </c>
      <c r="D108" t="inlineStr">
        <is>
          <t>indeed</t>
        </is>
      </c>
      <c r="E108">
        <f>HYPERLINK("https://www.indeed.com/viewjob?jk=2c02d892d0266a32", "https://www.indeed.com/viewjob?jk=2c02d892d0266a32")</f>
        <v/>
      </c>
      <c r="F108">
        <f>HYPERLINK("https://www.amazon.jobs/jobs/3106497/sr-applied-scientist-spb-advertiser-guidance?cmpid=DA_INAD200785B", "https://www.amazon.jobs/jobs/3106497/sr-applied-scientist-spb-advertiser-guidance?cmpid=DA_INAD200785B")</f>
        <v/>
      </c>
      <c r="G108" t="inlineStr">
        <is>
          <t>New York, NY, US</t>
        </is>
      </c>
      <c r="H108" s="3" t="n">
        <v>45939</v>
      </c>
      <c r="I10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in-83dc405c2add6041</t>
        </is>
      </c>
      <c r="B109" t="inlineStr">
        <is>
          <t>Sr. Applied Scientist, SPB Advertiser Guidance</t>
        </is>
      </c>
      <c r="C109" t="inlineStr">
        <is>
          <t>Amazon.com</t>
        </is>
      </c>
      <c r="D109" t="inlineStr">
        <is>
          <t>indeed</t>
        </is>
      </c>
      <c r="E109">
        <f>HYPERLINK("https://www.indeed.com/viewjob?jk=83dc405c2add6041", "https://www.indeed.com/viewjob?jk=83dc405c2add6041")</f>
        <v/>
      </c>
      <c r="F109">
        <f>HYPERLINK("https://www.amazon.jobs/jobs/3106497/sr-applied-scientist-spb-advertiser-guidance?cmpid=DA_INAD200785B", "https://www.amazon.jobs/jobs/3106497/sr-applied-scientist-spb-advertiser-guidance?cmpid=DA_INAD200785B")</f>
        <v/>
      </c>
      <c r="G109" t="inlineStr">
        <is>
          <t>Seattle, WA, US</t>
        </is>
      </c>
      <c r="H109" s="3" t="n">
        <v>45939</v>
      </c>
      <c r="I10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in-744a2f9a8976246f</t>
        </is>
      </c>
      <c r="B110" t="inlineStr">
        <is>
          <t>Senior Applied Scientist, Sponsored Products and Brands</t>
        </is>
      </c>
      <c r="C110" t="inlineStr">
        <is>
          <t>Amazon.com</t>
        </is>
      </c>
      <c r="D110" t="inlineStr">
        <is>
          <t>indeed</t>
        </is>
      </c>
      <c r="E110">
        <f>HYPERLINK("https://www.indeed.com/viewjob?jk=744a2f9a8976246f", "https://www.indeed.com/viewjob?jk=744a2f9a8976246f")</f>
        <v/>
      </c>
      <c r="F110">
        <f>HYPERLINK("https://www.amazon.jobs/jobs/3094886/senior-applied-scientist-sponsored-products-and-brands?cmpid=DA_INAD200785B", "https://www.amazon.jobs/jobs/3094886/senior-applied-scientist-sponsored-products-and-brands?cmpid=DA_INAD200785B")</f>
        <v/>
      </c>
      <c r="G110" t="inlineStr">
        <is>
          <t>Seattle, WA, US</t>
        </is>
      </c>
      <c r="H110" s="3" t="n">
        <v>45922</v>
      </c>
      <c r="I11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in-7a006d7287a57d99</t>
        </is>
      </c>
      <c r="B111" t="inlineStr">
        <is>
          <t>Senior Applied Scientist, Sponsored Products and Brands</t>
        </is>
      </c>
      <c r="C111" t="inlineStr">
        <is>
          <t>Amazon.com</t>
        </is>
      </c>
      <c r="D111" t="inlineStr">
        <is>
          <t>indeed</t>
        </is>
      </c>
      <c r="E111">
        <f>HYPERLINK("https://www.indeed.com/viewjob?jk=7a006d7287a57d99", "https://www.indeed.com/viewjob?jk=7a006d7287a57d99")</f>
        <v/>
      </c>
      <c r="F111">
        <f>HYPERLINK("https://www.amazon.jobs/jobs/3094886/senior-applied-scientist-sponsored-products-and-brands?cmpid=DA_INAD200785B", "https://www.amazon.jobs/jobs/3094886/senior-applied-scientist-sponsored-products-and-brands?cmpid=DA_INAD200785B")</f>
        <v/>
      </c>
      <c r="G111" t="inlineStr">
        <is>
          <t>New York, NY, US</t>
        </is>
      </c>
      <c r="H111" s="3" t="n">
        <v>45922</v>
      </c>
      <c r="I11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in-652867ea81adf0fd</t>
        </is>
      </c>
      <c r="B112" t="inlineStr">
        <is>
          <t>Applied Scientist, Workplace Health &amp; Safety</t>
        </is>
      </c>
      <c r="C112" t="inlineStr">
        <is>
          <t>Amazon.com</t>
        </is>
      </c>
      <c r="D112" t="inlineStr">
        <is>
          <t>indeed</t>
        </is>
      </c>
      <c r="E112">
        <f>HYPERLINK("https://www.indeed.com/viewjob?jk=652867ea81adf0fd", "https://www.indeed.com/viewjob?jk=652867ea81adf0fd")</f>
        <v/>
      </c>
      <c r="F112">
        <f>HYPERLINK("https://www.amazon.jobs/jobs/3144886/applied-scientist-workplace-health--safety-?cmpid=DA_INAD200785B", "https://www.amazon.jobs/jobs/3144886/applied-scientist-workplace-health--safety-?cmpid=DA_INAD200785B")</f>
        <v/>
      </c>
      <c r="G112" t="inlineStr">
        <is>
          <t>Nashville, TN, US</t>
        </is>
      </c>
      <c r="H112" s="3" t="n">
        <v>45917</v>
      </c>
      <c r="I11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in-2cff0c6e9bea4912</t>
        </is>
      </c>
      <c r="B113" t="inlineStr">
        <is>
          <t>Applied Scientist, Workplace Health &amp; Safety</t>
        </is>
      </c>
      <c r="C113" t="inlineStr">
        <is>
          <t>Amazon.com</t>
        </is>
      </c>
      <c r="D113" t="inlineStr">
        <is>
          <t>indeed</t>
        </is>
      </c>
      <c r="E113">
        <f>HYPERLINK("https://www.indeed.com/viewjob?jk=2cff0c6e9bea4912", "https://www.indeed.com/viewjob?jk=2cff0c6e9bea4912")</f>
        <v/>
      </c>
      <c r="F113">
        <f>HYPERLINK("https://www.amazon.jobs/jobs/3144886/applied-scientist-workplace-health--safety-?cmpid=DA_INAD200785B", "https://www.amazon.jobs/jobs/3144886/applied-scientist-workplace-health--safety-?cmpid=DA_INAD200785B")</f>
        <v/>
      </c>
      <c r="G113" t="inlineStr">
        <is>
          <t>Bellevue, WA, US</t>
        </is>
      </c>
      <c r="H113" s="3" t="n">
        <v>45917</v>
      </c>
      <c r="I113"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in-c49aafff21ddbf75</t>
        </is>
      </c>
      <c r="B114" t="inlineStr">
        <is>
          <t>Sr. Applied Scientist, Amazon Advertising</t>
        </is>
      </c>
      <c r="C114" t="inlineStr">
        <is>
          <t>Amazon.com</t>
        </is>
      </c>
      <c r="D114" t="inlineStr">
        <is>
          <t>indeed</t>
        </is>
      </c>
      <c r="E114">
        <f>HYPERLINK("https://www.indeed.com/viewjob?jk=c49aafff21ddbf75", "https://www.indeed.com/viewjob?jk=c49aafff21ddbf75")</f>
        <v/>
      </c>
      <c r="F114">
        <f>HYPERLINK("https://www.amazon.jobs/jobs/3035686/sr-applied-scientist-amazon-advertising?cmpid=DA_INAD200785B", "https://www.amazon.jobs/jobs/3035686/sr-applied-scientist-amazon-advertising?cmpid=DA_INAD200785B")</f>
        <v/>
      </c>
      <c r="G114" t="inlineStr">
        <is>
          <t>Arlington, VA, US</t>
        </is>
      </c>
      <c r="H114" s="3" t="n">
        <v>45851</v>
      </c>
      <c r="I1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in-4db1d4da766f0b10</t>
        </is>
      </c>
      <c r="B115" t="inlineStr">
        <is>
          <t>Sr. Applied Scientist, Amazon Advertising</t>
        </is>
      </c>
      <c r="C115" t="inlineStr">
        <is>
          <t>Amazon.com</t>
        </is>
      </c>
      <c r="D115" t="inlineStr">
        <is>
          <t>indeed</t>
        </is>
      </c>
      <c r="E115">
        <f>HYPERLINK("https://www.indeed.com/viewjob?jk=4db1d4da766f0b10", "https://www.indeed.com/viewjob?jk=4db1d4da766f0b10")</f>
        <v/>
      </c>
      <c r="F115">
        <f>HYPERLINK("https://www.amazon.jobs/jobs/3035686/sr-applied-scientist-amazon-advertising?cmpid=DA_INAD200785B", "https://www.amazon.jobs/jobs/3035686/sr-applied-scientist-amazon-advertising?cmpid=DA_INAD200785B")</f>
        <v/>
      </c>
      <c r="G115" t="inlineStr">
        <is>
          <t>Simi Valley, CA, US</t>
        </is>
      </c>
      <c r="H115" s="3" t="n">
        <v>45851</v>
      </c>
      <c r="I1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in-9f87d3551d6dcb11</t>
        </is>
      </c>
      <c r="B116" t="inlineStr">
        <is>
          <t>Sr. Applied Scientist, Amazon Advertising</t>
        </is>
      </c>
      <c r="C116" t="inlineStr">
        <is>
          <t>Amazon.com</t>
        </is>
      </c>
      <c r="D116" t="inlineStr">
        <is>
          <t>indeed</t>
        </is>
      </c>
      <c r="E116">
        <f>HYPERLINK("https://www.indeed.com/viewjob?jk=9f87d3551d6dcb11", "https://www.indeed.com/viewjob?jk=9f87d3551d6dcb11")</f>
        <v/>
      </c>
      <c r="F116">
        <f>HYPERLINK("https://www.amazon.jobs/jobs/3035686/sr-applied-scientist-amazon-advertising?cmpid=DA_INAD200785B", "https://www.amazon.jobs/jobs/3035686/sr-applied-scientist-amazon-advertising?cmpid=DA_INAD200785B")</f>
        <v/>
      </c>
      <c r="G116" t="inlineStr">
        <is>
          <t>West Hollywood, CA, US</t>
        </is>
      </c>
      <c r="H116" s="3" t="n">
        <v>45851</v>
      </c>
      <c r="I1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in-35c2049dce63b3a2</t>
        </is>
      </c>
      <c r="B117" t="inlineStr">
        <is>
          <t>Sr. Applied Scientist, Amazon Advertising</t>
        </is>
      </c>
      <c r="C117" t="inlineStr">
        <is>
          <t>Amazon.com</t>
        </is>
      </c>
      <c r="D117" t="inlineStr">
        <is>
          <t>indeed</t>
        </is>
      </c>
      <c r="E117">
        <f>HYPERLINK("https://www.indeed.com/viewjob?jk=35c2049dce63b3a2", "https://www.indeed.com/viewjob?jk=35c2049dce63b3a2")</f>
        <v/>
      </c>
      <c r="F117">
        <f>HYPERLINK("https://www.amazon.jobs/jobs/3035686/sr-applied-scientist-amazon-advertising?cmpid=DA_INAD200785B", "https://www.amazon.jobs/jobs/3035686/sr-applied-scientist-amazon-advertising?cmpid=DA_INAD200785B")</f>
        <v/>
      </c>
      <c r="G117" t="inlineStr">
        <is>
          <t>Los Angeles, CA, US</t>
        </is>
      </c>
      <c r="H117" s="3" t="n">
        <v>45851</v>
      </c>
      <c r="I1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in-9d0c2f20d75e5aa7</t>
        </is>
      </c>
      <c r="B118" t="inlineStr">
        <is>
          <t>Sr. Applied Scientist, Amazon Advertising</t>
        </is>
      </c>
      <c r="C118" t="inlineStr">
        <is>
          <t>Amazon.com</t>
        </is>
      </c>
      <c r="D118" t="inlineStr">
        <is>
          <t>indeed</t>
        </is>
      </c>
      <c r="E118">
        <f>HYPERLINK("https://www.indeed.com/viewjob?jk=9d0c2f20d75e5aa7", "https://www.indeed.com/viewjob?jk=9d0c2f20d75e5aa7")</f>
        <v/>
      </c>
      <c r="F118">
        <f>HYPERLINK("https://www.amazon.jobs/jobs/3035686/sr-applied-scientist-amazon-advertising?cmpid=DA_INAD200785B", "https://www.amazon.jobs/jobs/3035686/sr-applied-scientist-amazon-advertising?cmpid=DA_INAD200785B")</f>
        <v/>
      </c>
      <c r="G118" t="inlineStr">
        <is>
          <t>Austin, TX, US</t>
        </is>
      </c>
      <c r="H118" s="3" t="n">
        <v>45851</v>
      </c>
      <c r="I1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in-5eef2d6d296b9a19</t>
        </is>
      </c>
      <c r="B119" t="inlineStr">
        <is>
          <t>Sr. Applied Scientist, Amazon Advertising</t>
        </is>
      </c>
      <c r="C119" t="inlineStr">
        <is>
          <t>Amazon.com</t>
        </is>
      </c>
      <c r="D119" t="inlineStr">
        <is>
          <t>indeed</t>
        </is>
      </c>
      <c r="E119">
        <f>HYPERLINK("https://www.indeed.com/viewjob?jk=5eef2d6d296b9a19", "https://www.indeed.com/viewjob?jk=5eef2d6d296b9a19")</f>
        <v/>
      </c>
      <c r="F119">
        <f>HYPERLINK("https://www.amazon.jobs/jobs/3035686/sr-applied-scientist-amazon-advertising?cmpid=DA_INAD200785B", "https://www.amazon.jobs/jobs/3035686/sr-applied-scientist-amazon-advertising?cmpid=DA_INAD200785B")</f>
        <v/>
      </c>
      <c r="G119" t="inlineStr">
        <is>
          <t>Palo Alto, CA, US</t>
        </is>
      </c>
      <c r="H119" s="3" t="n">
        <v>45851</v>
      </c>
      <c r="I1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in-e4fce677417573ec</t>
        </is>
      </c>
      <c r="B120" t="inlineStr">
        <is>
          <t>Sr. Applied Scientist, Amazon Advertising</t>
        </is>
      </c>
      <c r="C120" t="inlineStr">
        <is>
          <t>Amazon.com</t>
        </is>
      </c>
      <c r="D120" t="inlineStr">
        <is>
          <t>indeed</t>
        </is>
      </c>
      <c r="E120">
        <f>HYPERLINK("https://www.indeed.com/viewjob?jk=e4fce677417573ec", "https://www.indeed.com/viewjob?jk=e4fce677417573ec")</f>
        <v/>
      </c>
      <c r="F120">
        <f>HYPERLINK("https://www.amazon.jobs/jobs/3035686/sr-applied-scientist-amazon-advertising?cmpid=DA_INAD200785B", "https://www.amazon.jobs/jobs/3035686/sr-applied-scientist-amazon-advertising?cmpid=DA_INAD200785B")</f>
        <v/>
      </c>
      <c r="G120" t="inlineStr">
        <is>
          <t>Seattle, WA, US</t>
        </is>
      </c>
      <c r="H120" s="3" t="n">
        <v>45851</v>
      </c>
      <c r="I1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in-b941beaa0bb171da</t>
        </is>
      </c>
      <c r="B121" t="inlineStr">
        <is>
          <t>Sr. Applied Scientist, Amazon Advertising</t>
        </is>
      </c>
      <c r="C121" t="inlineStr">
        <is>
          <t>Amazon.com</t>
        </is>
      </c>
      <c r="D121" t="inlineStr">
        <is>
          <t>indeed</t>
        </is>
      </c>
      <c r="E121">
        <f>HYPERLINK("https://www.indeed.com/viewjob?jk=b941beaa0bb171da", "https://www.indeed.com/viewjob?jk=b941beaa0bb171da")</f>
        <v/>
      </c>
      <c r="F121">
        <f>HYPERLINK("https://www.amazon.jobs/jobs/3035686/sr-applied-scientist-amazon-advertising?cmpid=DA_INAD200785B", "https://www.amazon.jobs/jobs/3035686/sr-applied-scientist-amazon-advertising?cmpid=DA_INAD200785B")</f>
        <v/>
      </c>
      <c r="G121" t="inlineStr">
        <is>
          <t>New York, NY, US</t>
        </is>
      </c>
      <c r="H121" s="3" t="n">
        <v>45851</v>
      </c>
      <c r="I12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in-73c5a87351f1bb0b</t>
        </is>
      </c>
      <c r="B122" t="inlineStr">
        <is>
          <t>Senior Applied Scientist, Artificial General Intelligence</t>
        </is>
      </c>
      <c r="C122" t="inlineStr">
        <is>
          <t>Amazon.com</t>
        </is>
      </c>
      <c r="D122" t="inlineStr">
        <is>
          <t>indeed</t>
        </is>
      </c>
      <c r="E122">
        <f>HYPERLINK("https://www.indeed.com/viewjob?jk=73c5a87351f1bb0b", "https://www.indeed.com/viewjob?jk=73c5a87351f1bb0b")</f>
        <v/>
      </c>
      <c r="F122">
        <f>HYPERLINK("https://www.amazon.jobs/jobs/3032183/senior-applied-scientist-artificial-general-intelligence?cmpid=DA_INAD200785B", "https://www.amazon.jobs/jobs/3032183/senior-applied-scientist-artificial-general-intelligence?cmpid=DA_INAD200785B")</f>
        <v/>
      </c>
      <c r="G122" t="inlineStr">
        <is>
          <t>New York, NY, US</t>
        </is>
      </c>
      <c r="H122" s="3" t="n">
        <v>45838</v>
      </c>
      <c r="I12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in-28ba63d3737c95db</t>
        </is>
      </c>
      <c r="B123" t="inlineStr">
        <is>
          <t>Senior Applied Scientist, Artificial General Intelligence</t>
        </is>
      </c>
      <c r="C123" t="inlineStr">
        <is>
          <t>Amazon.com</t>
        </is>
      </c>
      <c r="D123" t="inlineStr">
        <is>
          <t>indeed</t>
        </is>
      </c>
      <c r="E123">
        <f>HYPERLINK("https://www.indeed.com/viewjob?jk=28ba63d3737c95db", "https://www.indeed.com/viewjob?jk=28ba63d3737c95db")</f>
        <v/>
      </c>
      <c r="F123">
        <f>HYPERLINK("https://www.amazon.jobs/jobs/3032183/senior-applied-scientist-artificial-general-intelligence?cmpid=DA_INAD200785B", "https://www.amazon.jobs/jobs/3032183/senior-applied-scientist-artificial-general-intelligence?cmpid=DA_INAD200785B")</f>
        <v/>
      </c>
      <c r="G123" t="inlineStr">
        <is>
          <t>Sunnyvale, CA, US</t>
        </is>
      </c>
      <c r="H123" s="3" t="n">
        <v>45838</v>
      </c>
      <c r="I12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in-db47c9e60d4767b2</t>
        </is>
      </c>
      <c r="B124" t="inlineStr">
        <is>
          <t>Senior Applied Scientist, Artificial General Intelligence</t>
        </is>
      </c>
      <c r="C124" t="inlineStr">
        <is>
          <t>Amazon.com</t>
        </is>
      </c>
      <c r="D124" t="inlineStr">
        <is>
          <t>indeed</t>
        </is>
      </c>
      <c r="E124">
        <f>HYPERLINK("https://www.indeed.com/viewjob?jk=db47c9e60d4767b2", "https://www.indeed.com/viewjob?jk=db47c9e60d4767b2")</f>
        <v/>
      </c>
      <c r="F124">
        <f>HYPERLINK("https://www.amazon.jobs/jobs/3032183/senior-applied-scientist-artificial-general-intelligence?cmpid=DA_INAD200785B", "https://www.amazon.jobs/jobs/3032183/senior-applied-scientist-artificial-general-intelligence?cmpid=DA_INAD200785B")</f>
        <v/>
      </c>
      <c r="G124" t="inlineStr">
        <is>
          <t>Boston, MA, US</t>
        </is>
      </c>
      <c r="H124" s="3" t="n">
        <v>45838</v>
      </c>
      <c r="I12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in-d95447fb6e2f81cd</t>
        </is>
      </c>
      <c r="B125" t="inlineStr">
        <is>
          <t>Sr. Applied Scientist, Sales AI</t>
        </is>
      </c>
      <c r="C125" t="inlineStr">
        <is>
          <t>Amazon.com</t>
        </is>
      </c>
      <c r="D125" t="inlineStr">
        <is>
          <t>indeed</t>
        </is>
      </c>
      <c r="E125">
        <f>HYPERLINK("https://www.indeed.com/viewjob?jk=d95447fb6e2f81cd", "https://www.indeed.com/viewjob?jk=d95447fb6e2f81cd")</f>
        <v/>
      </c>
      <c r="F125">
        <f>HYPERLINK("https://www.amazon.jobs/jobs/3020528/sr-applied-scientist-sales-ai?cmpid=DA_INAD200785B", "https://www.amazon.jobs/jobs/3020528/sr-applied-scientist-sales-ai?cmpid=DA_INAD200785B")</f>
        <v/>
      </c>
      <c r="G125" t="inlineStr">
        <is>
          <t>Seattle, WA, US</t>
        </is>
      </c>
      <c r="H125" s="3" t="n">
        <v>45830</v>
      </c>
      <c r="I12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in-9787a376248ee92e</t>
        </is>
      </c>
      <c r="B126" t="inlineStr">
        <is>
          <t>Sr. Applied Scientist, Sales AI</t>
        </is>
      </c>
      <c r="C126" t="inlineStr">
        <is>
          <t>Amazon.com</t>
        </is>
      </c>
      <c r="D126" t="inlineStr">
        <is>
          <t>indeed</t>
        </is>
      </c>
      <c r="E126">
        <f>HYPERLINK("https://www.indeed.com/viewjob?jk=9787a376248ee92e", "https://www.indeed.com/viewjob?jk=9787a376248ee92e")</f>
        <v/>
      </c>
      <c r="F126">
        <f>HYPERLINK("https://www.amazon.jobs/jobs/3020528/sr-applied-scientist-sales-ai?cmpid=DA_INAD200785B", "https://www.amazon.jobs/jobs/3020528/sr-applied-scientist-sales-ai?cmpid=DA_INAD200785B")</f>
        <v/>
      </c>
      <c r="G126" t="inlineStr">
        <is>
          <t>New York, NY, US</t>
        </is>
      </c>
      <c r="H126" s="3" t="n">
        <v>45830</v>
      </c>
      <c r="I12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in-d4965072bc5dce75</t>
        </is>
      </c>
      <c r="B127" t="inlineStr">
        <is>
          <t>Sr. Applied Scientist, Sales AI</t>
        </is>
      </c>
      <c r="C127" t="inlineStr">
        <is>
          <t>Amazon.com</t>
        </is>
      </c>
      <c r="D127" t="inlineStr">
        <is>
          <t>indeed</t>
        </is>
      </c>
      <c r="E127">
        <f>HYPERLINK("https://www.indeed.com/viewjob?jk=d4965072bc5dce75", "https://www.indeed.com/viewjob?jk=d4965072bc5dce75")</f>
        <v/>
      </c>
      <c r="F127">
        <f>HYPERLINK("https://www.amazon.jobs/jobs/3020528/sr-applied-scientist-sales-ai?cmpid=DA_INAD200785B", "https://www.amazon.jobs/jobs/3020528/sr-applied-scientist-sales-ai?cmpid=DA_INAD200785B")</f>
        <v/>
      </c>
      <c r="G127" t="inlineStr">
        <is>
          <t>Sunnyvale, CA, US</t>
        </is>
      </c>
      <c r="H127" s="3" t="n">
        <v>45830</v>
      </c>
      <c r="I12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in-345fc73280c73fdb</t>
        </is>
      </c>
      <c r="B128" t="inlineStr">
        <is>
          <t>Sr. Applied Scientist, AGI Info</t>
        </is>
      </c>
      <c r="C128" t="inlineStr">
        <is>
          <t>Amazon.com</t>
        </is>
      </c>
      <c r="D128" t="inlineStr">
        <is>
          <t>indeed</t>
        </is>
      </c>
      <c r="E128">
        <f>HYPERLINK("https://www.indeed.com/viewjob?jk=345fc73280c73fdb", "https://www.indeed.com/viewjob?jk=345fc73280c73fdb")</f>
        <v/>
      </c>
      <c r="F128">
        <f>HYPERLINK("https://www.amazon.jobs/jobs/2999351/sr-applied-scientist-agi-info?cmpid=DA_INAD200785B", "https://www.amazon.jobs/jobs/2999351/sr-applied-scientist-agi-info?cmpid=DA_INAD200785B")</f>
        <v/>
      </c>
      <c r="G128" t="inlineStr">
        <is>
          <t>Bellevue, WA, US</t>
        </is>
      </c>
      <c r="H128" s="3" t="n">
        <v>45811</v>
      </c>
      <c r="I128"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in-83aa10442c63e0e1</t>
        </is>
      </c>
      <c r="B129" t="inlineStr">
        <is>
          <t>Sr. Applied Scientist, AGI Info</t>
        </is>
      </c>
      <c r="C129" t="inlineStr">
        <is>
          <t>Amazon.com</t>
        </is>
      </c>
      <c r="D129" t="inlineStr">
        <is>
          <t>indeed</t>
        </is>
      </c>
      <c r="E129">
        <f>HYPERLINK("https://www.indeed.com/viewjob?jk=83aa10442c63e0e1", "https://www.indeed.com/viewjob?jk=83aa10442c63e0e1")</f>
        <v/>
      </c>
      <c r="F129">
        <f>HYPERLINK("https://www.amazon.jobs/jobs/2999351/sr-applied-scientist-agi-info?cmpid=DA_INAD200785B", "https://www.amazon.jobs/jobs/2999351/sr-applied-scientist-agi-info?cmpid=DA_INAD200785B")</f>
        <v/>
      </c>
      <c r="G129" t="inlineStr">
        <is>
          <t>Sunnyvale, CA, US</t>
        </is>
      </c>
      <c r="H129" s="3" t="n">
        <v>45811</v>
      </c>
      <c r="I129"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in-7d9f208225d090db</t>
        </is>
      </c>
      <c r="B130" t="inlineStr">
        <is>
          <t>Principal Applied Scientist, Delivery Foundation Model</t>
        </is>
      </c>
      <c r="C130" t="inlineStr">
        <is>
          <t>Amazon.com</t>
        </is>
      </c>
      <c r="D130" t="inlineStr">
        <is>
          <t>indeed</t>
        </is>
      </c>
      <c r="E130">
        <f>HYPERLINK("https://www.indeed.com/viewjob?jk=7d9f208225d090db", "https://www.indeed.com/viewjob?jk=7d9f208225d090db")</f>
        <v/>
      </c>
      <c r="F130">
        <f>HYPERLINK("https://www.amazon.jobs/jobs/3006938/principal-applied-scientist-delivery-foundation-model-?cmpid=DA_INAD200785B", "https://www.amazon.jobs/jobs/3006938/principal-applied-scientist-delivery-foundation-model-?cmpid=DA_INAD200785B")</f>
        <v/>
      </c>
      <c r="G130" t="inlineStr">
        <is>
          <t>New York, NY, US</t>
        </is>
      </c>
      <c r="H130" s="3" t="n">
        <v>45810</v>
      </c>
      <c r="I13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in-01f7a17ba92e6d05</t>
        </is>
      </c>
      <c r="B131" t="inlineStr">
        <is>
          <t>Principal Applied Scientist, Delivery Foundation Model</t>
        </is>
      </c>
      <c r="C131" t="inlineStr">
        <is>
          <t>Amazon.com</t>
        </is>
      </c>
      <c r="D131" t="inlineStr">
        <is>
          <t>indeed</t>
        </is>
      </c>
      <c r="E131">
        <f>HYPERLINK("https://www.indeed.com/viewjob?jk=01f7a17ba92e6d05", "https://www.indeed.com/viewjob?jk=01f7a17ba92e6d05")</f>
        <v/>
      </c>
      <c r="F131">
        <f>HYPERLINK("https://www.amazon.jobs/jobs/3006938/principal-applied-scientist-delivery-foundation-model-?cmpid=DA_INAD200785B", "https://www.amazon.jobs/jobs/3006938/principal-applied-scientist-delivery-foundation-model-?cmpid=DA_INAD200785B")</f>
        <v/>
      </c>
      <c r="G131" t="inlineStr">
        <is>
          <t>Bellevue, WA, US</t>
        </is>
      </c>
      <c r="H131" s="3" t="n">
        <v>45810</v>
      </c>
      <c r="I13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in-86b5258f4c4f2345</t>
        </is>
      </c>
      <c r="B132" t="inlineStr">
        <is>
          <t>Principal Applied Scientist, Delivery Foundation Model</t>
        </is>
      </c>
      <c r="C132" t="inlineStr">
        <is>
          <t>Amazon.com</t>
        </is>
      </c>
      <c r="D132" t="inlineStr">
        <is>
          <t>indeed</t>
        </is>
      </c>
      <c r="E132">
        <f>HYPERLINK("https://www.indeed.com/viewjob?jk=86b5258f4c4f2345", "https://www.indeed.com/viewjob?jk=86b5258f4c4f2345")</f>
        <v/>
      </c>
      <c r="F132">
        <f>HYPERLINK("https://www.amazon.jobs/jobs/3006938/principal-applied-scientist-delivery-foundation-model-?cmpid=DA_INAD200785B", "https://www.amazon.jobs/jobs/3006938/principal-applied-scientist-delivery-foundation-model-?cmpid=DA_INAD200785B")</f>
        <v/>
      </c>
      <c r="G132" t="inlineStr">
        <is>
          <t>Santa Clara, CA, US</t>
        </is>
      </c>
      <c r="H132" s="3" t="n">
        <v>45810</v>
      </c>
      <c r="I13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in-82b306a16bc94fd0</t>
        </is>
      </c>
      <c r="B133" t="inlineStr">
        <is>
          <t>Principal Applied Scientist, Delivery Foundation Model</t>
        </is>
      </c>
      <c r="C133" t="inlineStr">
        <is>
          <t>Amazon.com</t>
        </is>
      </c>
      <c r="D133" t="inlineStr">
        <is>
          <t>indeed</t>
        </is>
      </c>
      <c r="E133">
        <f>HYPERLINK("https://www.indeed.com/viewjob?jk=82b306a16bc94fd0", "https://www.indeed.com/viewjob?jk=82b306a16bc94fd0")</f>
        <v/>
      </c>
      <c r="F133">
        <f>HYPERLINK("https://www.amazon.jobs/jobs/3006938/principal-applied-scientist-delivery-foundation-model-?cmpid=DA_INAD200785B", "https://www.amazon.jobs/jobs/3006938/principal-applied-scientist-delivery-foundation-model-?cmpid=DA_INAD200785B")</f>
        <v/>
      </c>
      <c r="G133" t="inlineStr">
        <is>
          <t>Austin, TX, US</t>
        </is>
      </c>
      <c r="H133" s="3" t="n">
        <v>45810</v>
      </c>
      <c r="I13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in-5fd34f050a943032</t>
        </is>
      </c>
      <c r="B134" t="inlineStr">
        <is>
          <t>Senior Applied Scientist, Delivery Foundation Model</t>
        </is>
      </c>
      <c r="C134" t="inlineStr">
        <is>
          <t>Amazon.com</t>
        </is>
      </c>
      <c r="D134" t="inlineStr">
        <is>
          <t>indeed</t>
        </is>
      </c>
      <c r="E134">
        <f>HYPERLINK("https://www.indeed.com/viewjob?jk=5fd34f050a943032", "https://www.indeed.com/viewjob?jk=5fd34f050a943032")</f>
        <v/>
      </c>
      <c r="F134">
        <f>HYPERLINK("https://www.amazon.jobs/jobs/2998435/senior-applied-scientist-delivery-foundation-model-?cmpid=DA_INAD200785B", "https://www.amazon.jobs/jobs/2998435/senior-applied-scientist-delivery-foundation-model-?cmpid=DA_INAD200785B")</f>
        <v/>
      </c>
      <c r="G134" t="inlineStr">
        <is>
          <t>Santa Clara, CA, US</t>
        </is>
      </c>
      <c r="H134" s="3" t="n">
        <v>45806</v>
      </c>
      <c r="I13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in-a28479f6891a8191</t>
        </is>
      </c>
      <c r="B135" t="inlineStr">
        <is>
          <t>Senior Applied Scientist, Delivery Foundation Model</t>
        </is>
      </c>
      <c r="C135" t="inlineStr">
        <is>
          <t>Amazon.com</t>
        </is>
      </c>
      <c r="D135" t="inlineStr">
        <is>
          <t>indeed</t>
        </is>
      </c>
      <c r="E135">
        <f>HYPERLINK("https://www.indeed.com/viewjob?jk=a28479f6891a8191", "https://www.indeed.com/viewjob?jk=a28479f6891a8191")</f>
        <v/>
      </c>
      <c r="F135">
        <f>HYPERLINK("https://www.amazon.jobs/jobs/2998435/senior-applied-scientist-delivery-foundation-model-?cmpid=DA_INAD200785B", "https://www.amazon.jobs/jobs/2998435/senior-applied-scientist-delivery-foundation-model-?cmpid=DA_INAD200785B")</f>
        <v/>
      </c>
      <c r="G135" t="inlineStr">
        <is>
          <t>Bellevue, WA, US</t>
        </is>
      </c>
      <c r="H135" s="3" t="n">
        <v>45806</v>
      </c>
      <c r="I13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in-acdd62f75611b639</t>
        </is>
      </c>
      <c r="B136" t="inlineStr">
        <is>
          <t>Senior Applied Scientist, Delivery Foundation Model</t>
        </is>
      </c>
      <c r="C136" t="inlineStr">
        <is>
          <t>Amazon.com</t>
        </is>
      </c>
      <c r="D136" t="inlineStr">
        <is>
          <t>indeed</t>
        </is>
      </c>
      <c r="E136">
        <f>HYPERLINK("https://www.indeed.com/viewjob?jk=acdd62f75611b639", "https://www.indeed.com/viewjob?jk=acdd62f75611b639")</f>
        <v/>
      </c>
      <c r="F136">
        <f>HYPERLINK("https://www.amazon.jobs/jobs/2998435/senior-applied-scientist-delivery-foundation-model-?cmpid=DA_INAD200785B", "https://www.amazon.jobs/jobs/2998435/senior-applied-scientist-delivery-foundation-model-?cmpid=DA_INAD200785B")</f>
        <v/>
      </c>
      <c r="G136" t="inlineStr">
        <is>
          <t>New York, NY, US</t>
        </is>
      </c>
      <c r="H136" s="3" t="n">
        <v>45806</v>
      </c>
      <c r="I13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in-6d42a0e7ea588068</t>
        </is>
      </c>
      <c r="B137" t="inlineStr">
        <is>
          <t>Principal Applied Scientist, Delivery Foundation Model</t>
        </is>
      </c>
      <c r="C137" t="inlineStr">
        <is>
          <t>Amazon.com</t>
        </is>
      </c>
      <c r="D137" t="inlineStr">
        <is>
          <t>indeed</t>
        </is>
      </c>
      <c r="E137">
        <f>HYPERLINK("https://www.indeed.com/viewjob?jk=6d42a0e7ea588068", "https://www.indeed.com/viewjob?jk=6d42a0e7ea588068")</f>
        <v/>
      </c>
      <c r="F137">
        <f>HYPERLINK("https://www.amazon.jobs/jobs/2998635/principal-applied-scientist-delivery-foundation-model-?cmpid=DA_INAD200785B", "https://www.amazon.jobs/jobs/2998635/principal-applied-scientist-delivery-foundation-model-?cmpid=DA_INAD200785B")</f>
        <v/>
      </c>
      <c r="G137" t="inlineStr">
        <is>
          <t>New York, NY, US</t>
        </is>
      </c>
      <c r="H137" s="3" t="n">
        <v>45757</v>
      </c>
      <c r="I13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in-9a3d68d7822bf16d</t>
        </is>
      </c>
      <c r="B138" t="inlineStr">
        <is>
          <t>Principal Applied Scientist, Delivery Foundation Model</t>
        </is>
      </c>
      <c r="C138" t="inlineStr">
        <is>
          <t>Amazon.com</t>
        </is>
      </c>
      <c r="D138" t="inlineStr">
        <is>
          <t>indeed</t>
        </is>
      </c>
      <c r="E138">
        <f>HYPERLINK("https://www.indeed.com/viewjob?jk=9a3d68d7822bf16d", "https://www.indeed.com/viewjob?jk=9a3d68d7822bf16d")</f>
        <v/>
      </c>
      <c r="F138">
        <f>HYPERLINK("https://www.amazon.jobs/jobs/2998635/principal-applied-scientist-delivery-foundation-model-?cmpid=DA_INAD200785B", "https://www.amazon.jobs/jobs/2998635/principal-applied-scientist-delivery-foundation-model-?cmpid=DA_INAD200785B")</f>
        <v/>
      </c>
      <c r="G138" t="inlineStr">
        <is>
          <t>Santa Clara, CA, US</t>
        </is>
      </c>
      <c r="H138" s="3" t="n">
        <v>45757</v>
      </c>
      <c r="I13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in-6ee370e784b376a0</t>
        </is>
      </c>
      <c r="B139" t="inlineStr">
        <is>
          <t>Principal Applied Scientist, Delivery Foundation Model</t>
        </is>
      </c>
      <c r="C139" t="inlineStr">
        <is>
          <t>Amazon.com</t>
        </is>
      </c>
      <c r="D139" t="inlineStr">
        <is>
          <t>indeed</t>
        </is>
      </c>
      <c r="E139">
        <f>HYPERLINK("https://www.indeed.com/viewjob?jk=6ee370e784b376a0", "https://www.indeed.com/viewjob?jk=6ee370e784b376a0")</f>
        <v/>
      </c>
      <c r="F139">
        <f>HYPERLINK("https://www.amazon.jobs/jobs/2998635/principal-applied-scientist-delivery-foundation-model-?cmpid=DA_INAD200785B", "https://www.amazon.jobs/jobs/2998635/principal-applied-scientist-delivery-foundation-model-?cmpid=DA_INAD200785B")</f>
        <v/>
      </c>
      <c r="G139" t="inlineStr">
        <is>
          <t>Bellevue, WA, US</t>
        </is>
      </c>
      <c r="H139" s="3" t="n">
        <v>45757</v>
      </c>
      <c r="I13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in-c34bbf701840c735</t>
        </is>
      </c>
      <c r="B140" t="inlineStr">
        <is>
          <t>Principal Applied Scientist, FAR (Frontier AI &amp; Robotics)</t>
        </is>
      </c>
      <c r="C140" t="inlineStr">
        <is>
          <t>Amazon.com</t>
        </is>
      </c>
      <c r="D140" t="inlineStr">
        <is>
          <t>indeed</t>
        </is>
      </c>
      <c r="E140">
        <f>HYPERLINK("https://www.indeed.com/viewjob?jk=c34bbf701840c735", "https://www.indeed.com/viewjob?jk=c34bbf701840c735")</f>
        <v/>
      </c>
      <c r="F140">
        <f>HYPERLINK("https://www.amazon.jobs/jobs/2938625/principal-applied-scientist-far-frontier-ai--robotics?cmpid=DA_INAD200785B", "https://www.amazon.jobs/jobs/2938625/principal-applied-scientist-far-frontier-ai--robotics?cmpid=DA_INAD200785B")</f>
        <v/>
      </c>
      <c r="G140" t="inlineStr">
        <is>
          <t>San Francisco, CA, US</t>
        </is>
      </c>
      <c r="H140" s="3" t="n">
        <v>45740</v>
      </c>
      <c r="I14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in-2fd595bbc923e017</t>
        </is>
      </c>
      <c r="B141" t="inlineStr">
        <is>
          <t>Principal Applied Scientist, FAR (Frontier AI &amp; Robotics)</t>
        </is>
      </c>
      <c r="C141" t="inlineStr">
        <is>
          <t>Amazon.com</t>
        </is>
      </c>
      <c r="D141" t="inlineStr">
        <is>
          <t>indeed</t>
        </is>
      </c>
      <c r="E141">
        <f>HYPERLINK("https://www.indeed.com/viewjob?jk=2fd595bbc923e017", "https://www.indeed.com/viewjob?jk=2fd595bbc923e017")</f>
        <v/>
      </c>
      <c r="F141">
        <f>HYPERLINK("https://www.amazon.jobs/jobs/2938625/principal-applied-scientist-far-frontier-ai--robotics?cmpid=DA_INAD200785B", "https://www.amazon.jobs/jobs/2938625/principal-applied-scientist-far-frontier-ai--robotics?cmpid=DA_INAD200785B")</f>
        <v/>
      </c>
      <c r="G141" t="inlineStr">
        <is>
          <t>Seattle, WA, US</t>
        </is>
      </c>
      <c r="H141" s="3" t="n">
        <v>45740</v>
      </c>
      <c r="I14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li-4366325405</t>
        </is>
      </c>
      <c r="B2" t="inlineStr">
        <is>
          <t>Product Data Scientist, Payments</t>
        </is>
      </c>
      <c r="C2" t="inlineStr">
        <is>
          <t>Uber</t>
        </is>
      </c>
      <c r="D2" t="inlineStr">
        <is>
          <t>linkedin</t>
        </is>
      </c>
      <c r="E2" t="inlineStr"/>
      <c r="F2" t="inlineStr"/>
      <c r="G2" t="inlineStr">
        <is>
          <t>Sunnyvale, CA</t>
        </is>
      </c>
      <c r="H2" t="inlineStr"/>
      <c r="I2" t="inlineStr">
        <is>
          <t>**About The Role**
 We are looking for a Data Scientist to join our Payments Science team and make significant contributions to our mission to streamline and optimize Uber's global payment experiences.
 You will work with product managers, engineers and fellow data scientists to shape the direction of one or more products within Payments. You will work on fast\-moving, high\-stakes problems reaching a global audience. A deep analytical passion and the ability to execute on key business priorities is a must for this role.
**What The Candidate Will Need / Bonus Points**
 \-\-\-\- What the Candidate Will Do \-\-\-\-
* Analyze key data assets to understand our payment experiences.
* Develop and monitor strategic metrics and understand all underlying drivers.
* Design and run experiments to analyze the impact of product changes.
* Deep dive into data to evaluate proposed product changes and identify opportunities for improving the user experience.
* Collaborate with product managers and other business leaders to make decisions based on data insights and experiment results.
* Communicate your findings to cross functional peers and management.
**Basic Qualifications**
* Bachelors or M.S. with a degree in Statistics, Economics, Computer Science, or other quantitative fields.
* 3yrs\+ experience in improving products, understanding the user journey and extracting insights from data.
* You know SQL in and out and also are comfortable with using Python and R when needed.
* 3yrs\+ experience in launching multiple experiments (such as A/B experiments) and an expert in experimental design and using statistical methods in exploratory analysis.
* Advanced experience with dashboarding/data visualization (i.e. Google Data Studio, Tableau, Mixpanel, Looker or similar).
* Ability to work in a self\-guided manner and deliver on tight timelines and prioritize tasks while maintaining quality and detail.
* Strong communication and organization skills and able to communicate with a diverse set of stakeholders.
**Preferred Qualifications**
* Experience with causal inference and statistical methods.
* Data engineering/pipeline creation experience.
* Prior experience within the payments or fintech industry.
 For San Francisco, CA\-based roles: The base salary range for this role is USD$142,000 per year \- USD$158,000 per year. For Sunnyvale, CA\-based roles: The base salary range for this role is USD$142,000 per year \- USD$158,000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USD$142,000 per year \- USD$158,000 per year. For Sunnyvale, CA\-based roles: The base salary range for this role is USD$142,000 per year \- USD$158,000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3">
      <c r="A3" t="inlineStr">
        <is>
          <t>li-4306618897</t>
        </is>
      </c>
      <c r="B3" t="inlineStr">
        <is>
          <t>Data Scientist - Data-Driven Global Investment Firm</t>
        </is>
      </c>
      <c r="C3" t="inlineStr">
        <is>
          <t>Andiamo</t>
        </is>
      </c>
      <c r="D3" t="inlineStr">
        <is>
          <t>linkedin</t>
        </is>
      </c>
      <c r="E3" t="inlineStr"/>
      <c r="F3" t="inlineStr"/>
      <c r="G3" t="inlineStr">
        <is>
          <t>New York, NY</t>
        </is>
      </c>
      <c r="H3" t="inlineStr"/>
      <c r="I3" t="inlineStr">
        <is>
          <t>Data Scientist
**About The Role**
 When you work in this role, you’ll tackle tough problems alongside other scientists and engineers—people who will challenge your ideas, share knowledge, and collaborate on impactful projects. You’ll be doing work that matters, developing solutions to complex real\-world problems using data, invention, and rigorous inquiry.
**Responsibilities**
* Independently research and develop hypotheses based on diverse real\-world datasets.
* Conduct literature reviews to apply cutting\-edge methodologies for extracting meaningful signals from data.
* Partner with engineers and stakeholders to rigorously explore and test your theories.
* Stay engaged in the academic community by joining reading circles and attending seminars to keep up with the latest research.
**Qualifications**
* 1–5\+ years of experience in applied data analysis and prediction, preferably in an industry setting.
* Degree in a technical or quantitative discipline such as statistics, mathematics, physics, electrical engineering, or computer science.
* Proficiency in Python and SQL.
* Experience conducting in\-depth research projects involving real\-world data.
* Ability to think independently, approach analysis creatively, and communicate complex ideas clearly.
* Background in finance is not required—strong research skills are most important.
**Benefits**
* Core Benefits: Fully paid medical and dental insurance premiums for employees and dependents, competitive 401k match, employer\-paid life and disability insurance.
* Perks: Onsite gyms with laundry service, wellness activities, casual dress, snacks, game rooms.
* Learning: Tuition reimbursement, conference and training sponsorship.
* Time Off: Generous vacation and unlimited sick days, competitive paid caregiver leaves.
* Hybrid Work Policy: Flexible in\-office days with budget for home office setup.
**Compensation**
 The base pay for this role will be between
 **$165,000 and $300,000** 
 . This role may also be eligible for additional forms of compensation and benefits such as discretionary bonuses, health and wellness plans, and 401(k) contributions. Discretionary bonus can be a significant portion of total compensation. Actual compensation will depend on skills, qualifications, and experience.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4">
      <c r="A4" t="inlineStr">
        <is>
          <t>li-4306638000</t>
        </is>
      </c>
      <c r="B4" t="inlineStr">
        <is>
          <t>Data Scientist - Data-Driven Global Investment Firm</t>
        </is>
      </c>
      <c r="C4" t="inlineStr">
        <is>
          <t>Andiamo</t>
        </is>
      </c>
      <c r="D4" t="inlineStr">
        <is>
          <t>linkedin</t>
        </is>
      </c>
      <c r="E4" t="inlineStr"/>
      <c r="F4" t="inlineStr"/>
      <c r="G4" t="inlineStr">
        <is>
          <t>San Francisco, CA</t>
        </is>
      </c>
      <c r="H4" t="inlineStr"/>
      <c r="I4" t="inlineStr">
        <is>
          <t>Data Scientist
**About The Role**
 When you work in this role, you’ll tackle tough problems alongside other scientists and engineers—people who will challenge your ideas, share knowledge, and collaborate on impactful projects. You’ll be doing work that matters, developing solutions to complex real\-world problems using data, invention, and rigorous inquiry.
**Responsibilities**
* Independently research and develop hypotheses based on diverse real\-world datasets.
* Conduct literature reviews to apply cutting\-edge methodologies for extracting meaningful signals from data.
* Partner with engineers and stakeholders to rigorously explore and test your theories.
* Stay engaged in the academic community by joining reading circles and attending seminars to keep up with the latest research.
**Qualifications**
* 1–5\+ years of experience in applied data analysis and prediction, preferably in an industry setting.
* Degree in a technical or quantitative discipline such as statistics, mathematics, physics, electrical engineering, or computer science.
* Proficiency in Python and SQL.
* Experience conducting in\-depth research projects involving real\-world data.
* Ability to think independently, approach analysis creatively, and communicate complex ideas clearly.
* Background in finance is not required—strong research skills are most important.
**Benefits**
* Core Benefits: Fully paid medical and dental insurance premiums for employees and dependents, competitive 401k match, employer\-paid life and disability insurance.
* Perks: Onsite gyms with laundry service, wellness activities, casual dress, snacks, game rooms.
* Learning: Tuition reimbursement, conference and training sponsorship.
* Time Off: Generous vacation and unlimited sick days, competitive paid caregiver leaves.
* Hybrid Work Policy: Flexible in\-office days with budget for home office setup.
**Compensation**
 The base pay for this role will be between
 **$165,000 and $300,000** 
 . This role may also be eligible for additional forms of compensation and benefits such as discretionary bonuses, health and wellness plans, and 401(k) contributions. Discretionary bonus can be a significant portion of total compensation. Actual compensation will depend on skills, qualifications, and experience.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5">
      <c r="A5" t="inlineStr">
        <is>
          <t>li-4306616932</t>
        </is>
      </c>
      <c r="B5" t="inlineStr">
        <is>
          <t>Data Scientist - Data-Driven Global Investment Firm</t>
        </is>
      </c>
      <c r="C5" t="inlineStr">
        <is>
          <t>Andiamo</t>
        </is>
      </c>
      <c r="D5" t="inlineStr">
        <is>
          <t>linkedin</t>
        </is>
      </c>
      <c r="E5" t="inlineStr"/>
      <c r="F5" t="inlineStr"/>
      <c r="G5" t="inlineStr">
        <is>
          <t>Boston, MA</t>
        </is>
      </c>
      <c r="H5" t="inlineStr"/>
      <c r="I5" t="inlineStr">
        <is>
          <t>Data Scientist
**About The Role**
 When you work in this role, you’ll tackle tough problems alongside other scientists and engineers—people who will challenge your ideas, share knowledge, and collaborate on impactful projects. You’ll be doing work that matters, developing solutions to complex real\-world problems using data, invention, and rigorous inquiry.
**Responsibilities**
* Independently research and develop hypotheses based on diverse real\-world datasets.
* Conduct literature reviews to apply cutting\-edge methodologies for extracting meaningful signals from data.
* Partner with engineers and stakeholders to rigorously explore and test your theories.
* Stay engaged in the academic community by joining reading circles and attending seminars to keep up with the latest research.
**Qualifications**
* 1–5\+ years of experience in applied data analysis and prediction, preferably in an industry setting.
* Degree in a technical or quantitative discipline such as statistics, mathematics, physics, electrical engineering, or computer science.
* Proficiency in Python and SQL.
* Experience conducting in\-depth research projects involving real\-world data.
* Ability to think independently, approach analysis creatively, and communicate complex ideas clearly.
* Background in finance is not required—strong research skills are most important.
**Benefits**
* Core Benefits: Fully paid medical and dental insurance premiums for employees and dependents, competitive 401k match, employer\-paid life and disability insurance.
* Perks: Onsite gyms with laundry service, wellness activities, casual dress, snacks, game rooms.
* Learning: Tuition reimbursement, conference and training sponsorship.
* Time Off: Generous vacation and unlimited sick days, competitive paid caregiver leaves.
* Hybrid Work Policy: Flexible in\-office days with budget for home office setup.
**Compensation**
 The base pay for this role will be between
 **$165,000 and $300,000** 
 . This role may also be eligible for additional forms of compensation and benefits such as discretionary bonuses, health and wellness plans, and 401(k) contributions. Discretionary bonus can be a significant portion of total compensation. Actual compensation will depend on skills, qualifications, and experience.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6">
      <c r="A6" t="inlineStr">
        <is>
          <t>li-4301496278</t>
        </is>
      </c>
      <c r="B6" t="inlineStr">
        <is>
          <t>Data Scientist, Product Analytics</t>
        </is>
      </c>
      <c r="C6" t="inlineStr">
        <is>
          <t>Meta</t>
        </is>
      </c>
      <c r="D6" t="inlineStr">
        <is>
          <t>linkedin</t>
        </is>
      </c>
      <c r="E6" t="inlineStr"/>
      <c r="F6" t="inlineStr"/>
      <c r="G6" t="inlineStr">
        <is>
          <t>Sunnyvale, CA</t>
        </is>
      </c>
      <c r="H6" t="inlineStr"/>
      <c r="I6"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Currently has, or is in the process of obtaining a Bachelor's degree in Computer Science, Computer Engineering, relevant technical field, or equivalent practical experience. Degree must be completed prior to joining Meta
* Bachelor's degree in Mathematics, Statistics, a relevant technical field, or equivalent
* 2\+ years of work experience in analytics and data querying languages (e.g. SQL), scripting languages (e.g. Python), and/or statistical/mathematical software (e.g. R)
*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$119,000/year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
      <c r="A7" t="inlineStr">
        <is>
          <t>li-4306629597</t>
        </is>
      </c>
      <c r="B7" t="inlineStr">
        <is>
          <t>Data Scientist - Data-Driven Global Investment Firm</t>
        </is>
      </c>
      <c r="C7" t="inlineStr">
        <is>
          <t>Andiamo</t>
        </is>
      </c>
      <c r="D7" t="inlineStr">
        <is>
          <t>linkedin</t>
        </is>
      </c>
      <c r="E7" t="inlineStr"/>
      <c r="F7" t="inlineStr"/>
      <c r="G7" t="inlineStr">
        <is>
          <t>Seattle, WA</t>
        </is>
      </c>
      <c r="H7" t="inlineStr"/>
      <c r="I7" t="inlineStr">
        <is>
          <t>Data Scientist
**About The Role**
 When you work in this role, you’ll tackle tough problems alongside other scientists and engineers—people who will challenge your ideas, share knowledge, and collaborate on impactful projects. You’ll be doing work that matters, developing solutions to complex real\-world problems using data, invention, and rigorous inquiry.
**Responsibilities**
* Independently research and develop hypotheses based on diverse real\-world datasets.
* Conduct literature reviews to apply cutting\-edge methodologies for extracting meaningful signals from data.
* Partner with engineers and stakeholders to rigorously explore and test your theories.
* Stay engaged in the academic community by joining reading circles and attending seminars to keep up with the latest research.
**Qualifications**
* 1–5\+ years of experience in applied data analysis and prediction, preferably in an industry setting.
* Degree in a technical or quantitative discipline such as statistics, mathematics, physics, electrical engineering, or computer science.
* Proficiency in Python and SQL.
* Experience conducting in\-depth research projects involving real\-world data.
* Ability to think independently, approach analysis creatively, and communicate complex ideas clearly.
* Background in finance is not required—strong research skills are most important.
**Benefits**
* Core Benefits: Fully paid medical and dental insurance premiums for employees and dependents, competitive 401k match, employer\-paid life and disability insurance.
* Perks: Onsite gyms with laundry service, wellness activities, casual dress, snacks, game rooms.
* Learning: Tuition reimbursement, conference and training sponsorship.
* Time Off: Generous vacation and unlimited sick days, competitive paid caregiver leaves.
* Hybrid Work Policy: Flexible in\-office days with budget for home office setup.
**Compensation**
 The base pay for this role will be between
 **$165,000 and $300,000** 
 . This role may also be eligible for additional forms of compensation and benefits such as discretionary bonuses, health and wellness plans, and 401(k) contributions. Discretionary bonus can be a significant portion of total compensation. Actual compensation will depend on skills, qualifications, and experience.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8">
      <c r="A8" t="inlineStr">
        <is>
          <t>li-4301485474</t>
        </is>
      </c>
      <c r="B8" t="inlineStr">
        <is>
          <t>Data Scientist, Product Analytics</t>
        </is>
      </c>
      <c r="C8" t="inlineStr">
        <is>
          <t>Meta</t>
        </is>
      </c>
      <c r="D8" t="inlineStr">
        <is>
          <t>linkedin</t>
        </is>
      </c>
      <c r="E8" t="inlineStr"/>
      <c r="F8" t="inlineStr"/>
      <c r="G8" t="inlineStr">
        <is>
          <t>Bellevue, WA</t>
        </is>
      </c>
      <c r="H8" t="inlineStr"/>
      <c r="I8"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Currently has, or is in the process of obtaining a Bachelor's degree in Computer Science, Computer Engineering, relevant technical field, or equivalent practical experience. Degree must be completed prior to joining Meta
* Bachelor's degree in Mathematics, Statistics, a relevant technical field, or equivalent
* 2\+ years of work experience in analytics and data querying languages (e.g. SQL), scripting languages (e.g. Python), and/or statistical/mathematical software (e.g. R)
*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$119,000/year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
      <c r="A9" t="inlineStr">
        <is>
          <t>li-4306628631</t>
        </is>
      </c>
      <c r="B9" t="inlineStr">
        <is>
          <t>Data Scientist - Global Tech Leader</t>
        </is>
      </c>
      <c r="C9" t="inlineStr">
        <is>
          <t>Andiamo</t>
        </is>
      </c>
      <c r="D9" t="inlineStr">
        <is>
          <t>linkedin</t>
        </is>
      </c>
      <c r="E9" t="inlineStr"/>
      <c r="F9" t="inlineStr"/>
      <c r="G9" t="inlineStr">
        <is>
          <t>New York, NY</t>
        </is>
      </c>
      <c r="H9" t="inlineStr"/>
      <c r="I9" t="inlineStr">
        <is>
          <t>Data Scientist – Product \&amp; AI
**About The Role**
 We are looking for a
 **Data Scientist** 
 to help solve complex, high\-impact problems in product development and AI. You will work with
 **large\-scale, high\-dimensional data sets** 
 , applying statistical methods, machine learning, and experimentation to guide product decisions and improve user experiences. Your insights will influence the direction of features, platforms, and strategies used by thousands of organizations.
 As a mid\-level data scientist, you’ll own projects end\-to\-end: defining success metrics, designing experiments, building predictive models, and communicating findings to cross\-functional partners. You’ll collaborate with product managers, engineers, and designers to turn raw data into actionable insights that drive measurable business and product outcomes.
 This role is a chance to move beyond dashboards—you’ll uncover patterns, tell compelling stories with data, and contribute to building scalable data science practices that push the boundaries of what’s possible.
 What You’ll Do
* Apply Analytical Methods: Use statistical modeling, machine learning, and data visualization to extract insights and guide product strategy.
* Experiment \&amp; Learn: Design, run, and analyze A/B tests and other experiments to evaluate product changes and quantify impact.
* Build Predictive Models: Develop models that forecast user behavior, product performance, and key metrics.
* Define Success Metrics: Establish clear goals and KPIs that align product teams around measurable outcomes.
* Collaborate Across Teams: Partner with engineers, designers, and product leaders to ensure insights are translated into impactful features.
* Communicate Findings: Present results and recommendations to stakeholders, framing technical insights in clear, actionable terms.
* Contribute to Data Platforms: Work with engineering partners to improve data pipelines, instrumentation, and experimentation frameworks.
 What We’re Looking For
* Professional Experience: Around 5 years of applied data science experience in product analytics, business intelligence, or machine learning.
* Programming Skills: Proficiency in SQL and Python (or R) for data manipulation, modeling, and analysis.
* Experimentation: Familiarity with experimental design, causal inference, and A/B testing at scale.
* Statistical Foundation: Strong grounding in probability, statistics, and data\-driven problem solving.
* Communication: Ability to clearly present technical analyses to non\-technical audiences and drive alignment on decisions.
* Education: Bachelor’s degree in Statistics, Mathematics, Computer Science, Engineering, or related field; Master’s degree a plus.
**Preferred Qualifications**
* Experience working with product teams or SaaS platforms.
* Knowledge of ML frameworks (scikit\-learn, TensorFlow, or PyTorch) and data visualization tools (Tableau, Looker, or similar).
* Exposure to cloud data environments (AWS, GCP, or Azure).
 ✨
 **Why Join** 
 : This is your chance to tackle challenging data problems in AI and product development. You’ll apply advanced methods, work with talented colleagues, and contribute to products that affect millions of users and billions of data points—all while growing your skills and career.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0">
      <c r="A10" t="inlineStr">
        <is>
          <t>li-4366347209</t>
        </is>
      </c>
      <c r="B10" t="inlineStr">
        <is>
          <t>Senior Data Scientist - Statistical Analysis</t>
        </is>
      </c>
      <c r="C10" t="inlineStr">
        <is>
          <t>Tiger Analytics</t>
        </is>
      </c>
      <c r="D10" t="inlineStr">
        <is>
          <t>linkedin</t>
        </is>
      </c>
      <c r="E10" t="inlineStr"/>
      <c r="F10" t="inlineStr"/>
      <c r="G10" t="inlineStr">
        <is>
          <t>Chicago, IL</t>
        </is>
      </c>
      <c r="H10" t="inlineStr"/>
      <c r="I10" t="inlineStr">
        <is>
          <t>Tiger Analytics is pioneering what AI and analytics can do to solve some of the toughest problems faced by organizations globally. We develop bespoke solutions powered by data and technology for several Fortune 100 companies. We have offices in multiple cities across the US, UK, India, and Singapore, and a substantial remote global workforce.
 We are also market leaders in AI and analytics consulting in the CPG \&amp; retail industry with over 40% of our revenues coming from the sector. This is our fastest\-growing sector, and we are beefing up our talent in the space.
 We are looking for a Senior Data Scientist with deep expertise in statistical analysis, statistical modeling, program evaluation. strong coding capabilities to add to our team.
**Key Responsibilities:**
* Lead statistical analysis and modeling efforts for program evaluation and business impact assessment
* Design and execute evaluation methodologies (e.g., A/B testing, quasi\-experimental designs, causal inference)
* Apply advanced statistical techniques such as regression, hypothesis testing, time\-series analysis, and multivariate analysis
* Develop predictive and explanatory models to assess program outcomes and performance
* Translate complex analytical findings into clear, actionable insights for business and leadership stakeholders
* Work closely with cross\-functional teams (product, business, strategy) to define evaluation metrics and success criteria
* Ensure data quality, statistical validity, and reproducibility of analyses
* Mentor junior team members and review analytical work for rigor and accuracy
* Collaborate, coach, and learn with a growing team of experienced Data Scientists
**Requirements**
* 6\-7 years of experience in Data Science, Advanced Analytics, or Statistical Modeling roles
* Strong foundation in statistics and probability with hands\-on application in real\-world programs
* Proven experience in program evaluation, impact measurement, or policy/business evaluation
* Expertise in statistical modeling techniques (linear/logistic regression, mixed models, time\-series, causal models)
* Proficiency in Python or R for statistical analysis and modeling
* Strong SQL skills for data extraction and analysis
* Experience working with large, complex datasets
* Excellent communication skills with the ability to explain statistical results to non\-technical audiences
* Experience with causal inference frameworks (PSM, DiD, uplift modeling, Bayesian methods)
**Benefits**
 This position offers an excellent opportunity for significant career development in a fast\-growing and challenging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11">
      <c r="A11" t="inlineStr">
        <is>
          <t>li-4366355019</t>
        </is>
      </c>
      <c r="B11" t="inlineStr">
        <is>
          <t>Data Scientist - Compete</t>
        </is>
      </c>
      <c r="C11" t="inlineStr">
        <is>
          <t>Microsoft</t>
        </is>
      </c>
      <c r="D11" t="inlineStr">
        <is>
          <t>linkedin</t>
        </is>
      </c>
      <c r="E11" t="inlineStr"/>
      <c r="F11" t="inlineStr"/>
      <c r="G11" t="inlineStr">
        <is>
          <t>Redmond, WA</t>
        </is>
      </c>
      <c r="H11" t="inlineStr"/>
      <c r="I11" t="inlineStr">
        <is>
          <t>**Overview**
 Are you a data professional deeply interested in the current race in AI? Come join us! We are looking for a
 **Data Scientist** 
 to support Compete.
 We help quantify how Microsoft products are performing relative to the broader marketplace e.g. market share across a variety of metrics. We use a wide combination of data sources (1P, 3P, public, surveys, panels, etc) and science models to produce our estimates. As a business facing team, interest and ability to connect product and strategy hypotheses back to data and qualitative factors is central to the role. AI is a big focus, both as a competitive space (e.g. Copilot, ChatGPT, Gemini, Claude, etc) and because we are actively integrating AI into our daily workflows.
 Join over 150 data scientists on the broader horizontal IDEAs team where data science, engineering, and PM work together to support multiple business and product verticals at scale! In this role you will both support stakeholders directly and work with the broader IDEAs team to scale your solutions across Microsoft.
 We play a crucial role in supporting Microsoft 365 and the Experiences \+ Devices group (E\+D), both of which are central to the Company's mission to empower individuals and organizations to achieve more. Our objective is to foster a data\-informed culture by equipping the Experiences \+ Devices group with actionable insights to guide their decisions. This initiative represents a significant opportunity to deliver impactful information that will improve operational efficiency, drive empowerment, and support Microsoft’s success in the evolving AI landscape.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Business Understanding, Impact, and Management. Understands problems facing projects. Able to leverage knowledge of data science to uncover important factors that can influence outcomes. Describes the primary objectives of the team from a business perspective. Collaborates with internal cross\-functional stakeholders to understand business needs. Produces a project plan to specify necessary steps required for completion. Assesses current situation for resources, risks, contingencies, requirements, assumptions, and constraints. Engages business stakeholders to capture and shape their thinking on data\-driven methods. Leads customer conversations to understand, define, and solve business problems. Influences stakeholders by effectively making compelling cases through storytelling, visualizations, and other influencing tools. Exemplifies and enforces team standards related to bias, privacy, and ethics.
* Data Preparation and Understanding. Acquires data necessary for successful completion of the project plan. Proactively detects changes and communicates to senior leads. Develops useable data sets for modeling purposes. Contributes to ethics and privacy policies related to collecting and preparing data by providing updates and suggestions around internal best practices. Contributes to data integrity/cleanliness conversations with customers.
* Coding and Debugging. Writes efficient, readable, extensible code from scratch that spans multiple features/solutions. Develops technical expertise in proper modeling, coding, and/or debugging techniques. Understands the causes of common defects and uses best practices in preventing them from occurring. Collaborates with other teams and leverages best practices from those teams into work of their own team. Mentors and guides less experienced scientists in better understanding coding and debugging best practices.
* Customer/Partner Orientation. Applies a customer\-oriented focus by understanding customer needs and perspectives. Builds trust with customers by leveraging interpretability and knowledge of Microsoft products and solutions. Helps drive realistic customer expectations, including information about the limitations of their data.
* Industry and Research Knowledge / Opportunity Identification. Uses business knowledge and technical expertise to provide feedback to the engineering team to identify potential future business opportunities. Develops an understanding of work being done across teams to propose potential collaboration efforts. Coaches and provides support to execute strategy. Leverages capabilities within existing systems.
* Modeling and Statistical Analysis. Leverages knowledge of machine learning solutions and individual algorithms to identify the best approach to complete objectives. Understands modeling techniques and selects the correct approach to prepare data, train and optimize the model, and evaluate the output for statistical and business significance. Breaks down complex statistics and machine learning topics into manageable topics to explain to customers.
**Qualifications**
**Required Qualifications:**
* Bachelor's Degree in Data Science, Mathematics, Statistics, Econometrics, Economics, Operations Research, Computer Science, or related field AND 5\+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 OR Doctorate in Data Science, Mathematics, Statistics, Econometrics, Economics, Operations Research, Computer Science, or related field AND 1\+ year(s) data\-science experience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Longer job experience than the minimum required
* Experience writing SQL queries
* Experience supporting software products and metrics (e.g. active usage)
* Experience directly supporting business stakeholders
* Experience working with product and engineering to scale your solutions
 \#DPG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
      <c r="A12" t="inlineStr">
        <is>
          <t>li-4349505673</t>
        </is>
      </c>
      <c r="B12" t="inlineStr">
        <is>
          <t>Data Scientist - Mobile Growth</t>
        </is>
      </c>
      <c r="C12" t="inlineStr">
        <is>
          <t>Electronic Arts (EA)</t>
        </is>
      </c>
      <c r="D12" t="inlineStr">
        <is>
          <t>linkedin</t>
        </is>
      </c>
      <c r="E12" t="inlineStr"/>
      <c r="F12" t="inlineStr"/>
      <c r="G12" t="inlineStr">
        <is>
          <t>Redwood City, CA</t>
        </is>
      </c>
      <c r="H12" t="inlineStr"/>
      <c r="I12"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The Data \&amp; Insights (D\&amp;I) team harnesses the power of data to deliver transformative insights and solutions to EA game teams and players. D\&amp;I teams are involved in every aspect of data, driving strategy and governance; building powerful data and AI applications; and developing personalization, experimentation, and analytics tools, and more. When you join D\&amp;I, you're joining a team of passionate experts working to enable more profound understanding, better ways of working, and more meaningful experiences for our players.
 We're looking for a sharp, curious, and collaborative Data Scientist to join our Growth Analytics team. You'll work closely with media buyers to build models and experiments that inform our marketing strategy. Your insights will shape how we allocate budget, measure impact, and forecast performance across digital channels.
 You'll join a tight\-knit team of five data scientists and will report directly to the Senior Manager of Data Science.
 This is a hybrid role with an expectation of 3 in\-office days per week. The position is open to candidates based near any EA office in Canada and the United States (
 *listed above* 
 )
**Responsibilities**
* Build Bayesian Hierarchical Media Mix Models (MMMs) to quantify the contribution of marketing channels
* Design and analyze geo\-based incrementality experiments and user\-level re\-engagement tests to measure the causal impact of marketing spend
* Lead the design and analysis of retargeting experiments, applying A/B testing principles to evaluate incremental impact and guide campaign optimization
* Develop budget optimization tools to support strategic decision\-making
* Create forecasting models (ie: Prophet) to project game performance
* Translate model insights into actionable recommendations, collaborate closely with media buyers and presenting results and insights to stakeholders
**Qualifications**
* Master's degree in a quantitative field (e.g., Statistics, Econometrics) and 2–5 years of experience in data science or analytics, ideally focused on marketing measurement or experimentation
* Familiarity with MMMs, causal inference techniques (e.g. Causal Impact, Fixed Effect Regression), and experimental design
* Strong experience with Python/R and SQL
* Comfort working in a Bayesian modeling framework
* Ability to communicate technical results to non\-technical stakeholders
 We want to connect you with job opportunities that align with your interests, skills, and expertise. When you create an EA Careers Account and are logged into the portal, you can click “Get Recommendations” to view a curated list of job openings. These recommendations are enhanced by automated processing, including artificial intelligence, and take into account your skills and experience. However, all employment decisions are made by our hiring teams, not by automated systems.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\*$100,000 \- $139,500 CAD
* California (depending on location e.g. Los Angeles vs. San Francisco) \*$117,000 \- $179,600 USD
* Washington (depending on location e.g. Seattle vs. Spokane) \*$108,900 \- $145,200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13">
      <c r="A13" t="inlineStr">
        <is>
          <t>li-4306620923</t>
        </is>
      </c>
      <c r="B13" t="inlineStr">
        <is>
          <t>Senior Data Scientist - Global Finance Leader</t>
        </is>
      </c>
      <c r="C13" t="inlineStr">
        <is>
          <t>Andiamo</t>
        </is>
      </c>
      <c r="D13" t="inlineStr">
        <is>
          <t>linkedin</t>
        </is>
      </c>
      <c r="E13" t="inlineStr"/>
      <c r="F13" t="inlineStr"/>
      <c r="G13" t="inlineStr">
        <is>
          <t>New York, NY</t>
        </is>
      </c>
      <c r="H13" t="inlineStr"/>
      <c r="I13" t="inlineStr">
        <is>
          <t>Senior Data Scientist – Global Finance
 Senior Data Scientist – Global Finance
**About The Role**
 We are seeking a highly skilled
 **Senior Data Scientist** 
 to join a global finance firm and tackle some of the most complex challenges in markets, risk, and investment strategy. You will work with large\-scale financial, transactional, and alternative datasets, applying advanced statistical methods, machine learning, and AI to generate insights that directly influence trading, risk management, and business decisions across global markets.
 This role sits at the intersection of data science, engineering, and finance. You will partner with quantitative researchers, traders, and technologists to design models, build scalable data products, and deliver solutions that provide a measurable competitive advantage. You will also contribute to the evolution of firm\-wide data science practices, mentoring peers and setting best practices for analytics in high\-stakes environments.
 What You’ll Do
* Model Development: Build, test, and deploy predictive and statistical models for trading, risk, and investment strategies.
* Experimentation: Design and analyze experiments to evaluate new data sources, trading hypotheses, or risk frameworks.
* Advanced Analytics: Apply machine learning, natural language processing, and time\-series forecasting to financial and alternative datasets.
* Data Engineering Collaboration: Partner with data engineers to ensure data pipelines and infrastructure are scalable, reliable, and optimized for research.
* Business Impact: Translate complex data findings into actionable insights for executives, traders, and global stakeholders.
* Mentorship: Share knowledge of statistical methodology, ML techniques, and applied research best practices with junior team members.
 What We’re Looking For
* Professional Experience: 6\+ years of applied data science experience, preferably in finance, technology, or similarly data\-rich industries.
* Technical Skills: Proficiency in Python, R, or Scala, with strong SQL expertise; experience with ML libraries such as scikit\-learn, TensorFlow, or PyTorch.
* Statistical Foundation: Strong knowledge of probability, econometrics, experimental design, and causal inference.
* Financial Domain Knowledge: Familiarity with markets, risk modeling, or portfolio optimization is highly desirable (but not strictly required).
* Big Data Tools: Experience working with large\-scale distributed systems (Spark, Hadoop, or cloud\-native data platforms).
* Collaboration: Ability to work effectively with quantitative researchers, engineers, and business leaders in a global setting.
* Education: Master’s or PhD in Computer Science, Statistics, Mathematics, Engineering, or a related quantitative field.
 Why Join
 This is a unique opportunity to apply cutting\-edge data science to problems of global financial significance. As Senior Data Scientist, you will help shape strategies that impact markets and clients worldwide, while working alongside some of the most talented minds in finance and technology. The challenges are complex, the datasets are massive, and the potential impact is extraordinary.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4">
      <c r="A14" t="inlineStr">
        <is>
          <t>li-4306638004</t>
        </is>
      </c>
      <c r="B14" t="inlineStr">
        <is>
          <t>Data Scientist - Global Tech Leader</t>
        </is>
      </c>
      <c r="C14" t="inlineStr">
        <is>
          <t>Andiamo</t>
        </is>
      </c>
      <c r="D14" t="inlineStr">
        <is>
          <t>linkedin</t>
        </is>
      </c>
      <c r="E14" t="inlineStr"/>
      <c r="F14" t="inlineStr"/>
      <c r="G14" t="inlineStr">
        <is>
          <t>San Francisco, CA</t>
        </is>
      </c>
      <c r="H14" t="inlineStr"/>
      <c r="I14" t="inlineStr">
        <is>
          <t>Data Scientist – Product \&amp; AI
**About The Role**
 We are looking for a
 **Data Scientist** 
 to help solve complex, high\-impact problems in product development and AI. You will work with
 **large\-scale, high\-dimensional data sets** 
 , applying statistical methods, machine learning, and experimentation to guide product decisions and improve user experiences. Your insights will influence the direction of features, platforms, and strategies used by thousands of organizations.
 As a mid\-level data scientist, you’ll own projects end\-to\-end: defining success metrics, designing experiments, building predictive models, and communicating findings to cross\-functional partners. You’ll collaborate with product managers, engineers, and designers to turn raw data into actionable insights that drive measurable business and product outcomes.
 This role is a chance to move beyond dashboards—you’ll uncover patterns, tell compelling stories with data, and contribute to building scalable data science practices that push the boundaries of what’s possible.
 What You’ll Do
* Apply Analytical Methods: Use statistical modeling, machine learning, and data visualization to extract insights and guide product strategy.
* Experiment \&amp; Learn: Design, run, and analyze A/B tests and other experiments to evaluate product changes and quantify impact.
* Build Predictive Models: Develop models that forecast user behavior, product performance, and key metrics.
* Define Success Metrics: Establish clear goals and KPIs that align product teams around measurable outcomes.
* Collaborate Across Teams: Partner with engineers, designers, and product leaders to ensure insights are translated into impactful features.
* Communicate Findings: Present results and recommendations to stakeholders, framing technical insights in clear, actionable terms.
* Contribute to Data Platforms: Work with engineering partners to improve data pipelines, instrumentation, and experimentation frameworks.
 What We’re Looking For
* Professional Experience: Around 5 years of applied data science experience in product analytics, business intelligence, or machine learning.
* Programming Skills: Proficiency in SQL and Python (or R) for data manipulation, modeling, and analysis.
* Experimentation: Familiarity with experimental design, causal inference, and A/B testing at scale.
* Statistical Foundation: Strong grounding in probability, statistics, and data\-driven problem solving.
* Communication: Ability to clearly present technical analyses to non\-technical audiences and drive alignment on decisions.
* Education: Bachelor’s degree in Statistics, Mathematics, Computer Science, Engineering, or related field; Master’s degree a plus.
**Preferred Qualifications**
* Experience working with product teams or SaaS platforms.
* Knowledge of ML frameworks (scikit\-learn, TensorFlow, or PyTorch) and data visualization tools (Tableau, Looker, or similar).
* Exposure to cloud data environments (AWS, GCP, or Azure).
 ✨
 **Why Join** 
 : This is your chance to tackle challenging data problems in AI and product development. You’ll apply advanced methods, work with talented colleagues, and contribute to products that affect millions of users and billions of data points—all while growing your skills and career.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5">
      <c r="A15" t="inlineStr">
        <is>
          <t>li-4132917033</t>
        </is>
      </c>
      <c r="B15" t="inlineStr">
        <is>
          <t>Health Data Scientist</t>
        </is>
      </c>
      <c r="C15" t="inlineStr">
        <is>
          <t>Voloridge Investment Management, LLC</t>
        </is>
      </c>
      <c r="D15" t="inlineStr">
        <is>
          <t>linkedin</t>
        </is>
      </c>
      <c r="E15" t="inlineStr"/>
      <c r="F15" t="inlineStr"/>
      <c r="G15" t="inlineStr">
        <is>
          <t>Jupiter, FL</t>
        </is>
      </c>
      <c r="H15" t="inlineStr"/>
      <c r="I15" t="inlineStr">
        <is>
          <t>Voloridge Health, headquartered in Jupiter, FL, is a proactive healthcare technology company. We develop advanced tools to deliver predictive, personalized insights to empower individuals and organizations to make data\-driven decisions, promoting longer, healthier lives. Voloridge Health is dedicated to developing a data\-science\-driven approach to assess, track, and improve healthspan. Founded in 2023 with the same data science background that has propelled its sister company, Voloridge Investment Management, as an award\-winning quantitative hedge fund.
 Data Science is at the core of our business. We are seeking
 **Data Scientists** 
 who have dedicated themselves to excellence in quantitative disciples such as mathematics, statistics or physics and who share our mission of improving health outcomes through data science. If you are eager to collaborate with a world\-renowned team Voloridge Health could be the home for you.
**Summary Of Job Functions**
* Building and evaluating modern numerical/modeling techniques
* Working daily with complex, large\-scale datasets
* Collaborative research projects requiring deep thinking, technical skills, and ingenuity
* Keeping abreast of the latest research related to applications of machine learning to health
**Minimum Requirements**
* Deep understanding of modern machine learning techniques and algorithms
* Must demonstrate exceptional aptitude in descriptive and inferential statistics
* Extremely detail\-oriented and self\-motivated
* Experience with time series data
* Extensive experience working with large data
* Creative thinker and self\-learner, able to demonstrate extraordinary critical thinking and analytical skills
* Competent skills in programming languages such as Python, R, C/\#/\+\+
* Ability to communicate actionable results with present senior leadership
* Advanced degree in Physics, Statistics, Mathematics or other quantitative disciplines or equivalent experience
* Ability to work onsite in our Jupiter, FL office
**Preferred Skills And Previous Experience**
* Outstanding achievements such as Math competitions, Kaggle – Grandmaster/Master, exceptional scores on SAT/GRE/LSAT, Chess Grandmaster, etc.
* Experience with relational SQL databases
**Benefits**
* Relocation assistance available for the right candidate
* Highly competitive base salary
* Health, dental, vision, life, and disability insurance
* 401K
 Voloridge Health is an Equal Opportunity Employer. All qualified applicants are encouraged to apply and will receive consideration for employment without regard to race, color, religion, sex, sexual orientation, gender identity, national origin, disability, protected veteran status, or any other legally protected characteristic or status.</t>
        </is>
      </c>
    </row>
    <row r="16">
      <c r="A16" t="inlineStr">
        <is>
          <t>li-4327676325</t>
        </is>
      </c>
      <c r="B16" t="inlineStr">
        <is>
          <t>Data Scientist</t>
        </is>
      </c>
      <c r="C16" t="inlineStr">
        <is>
          <t>AutoZone</t>
        </is>
      </c>
      <c r="D16" t="inlineStr">
        <is>
          <t>linkedin</t>
        </is>
      </c>
      <c r="E16" t="inlineStr"/>
      <c r="F16" t="inlineStr"/>
      <c r="G16" t="inlineStr">
        <is>
          <t>Memphis, TN</t>
        </is>
      </c>
      <c r="H16" t="inlineStr"/>
      <c r="I16" t="inlineStr">
        <is>
          <t>**Job Description**
 As a Data Scientist at AutoZone, you’ll be the analytical powerhouse behind our business solutions. You’ll dig deep into data, build models, and deliver insights that shape everything from marketing strategies to customer experiences. Your work will help us connect the dots and unlock opportunities hidden within our data—ultimately driving growth and innovation across the organization.
**Responsibilities**
**RESPONSIBILITIES**
* Partner with senior data scientists and leadership to understand business needs.
* Research and design innovative statistical models for data analysis.
* Communicate insights clearly to stakeholders across the organization.
* Mine and analyze data to optimize product development, marketing, and business strategies.
* Develop predictive models to improve customer experience and revenue generation.
* Build and maintain A/B testing frameworks and monitor model performance.
* Stay current with industry trends and emerging technologies.
* Collaborate with cross\-functional teams to implement models and track outcomes.
**Qualifications**
**What We Are Looking For**
* Bachelor’s degree in Statistics, Applied Mathematics, Economics, or related field ( Master’s preferred).
* 5\-7 years of experience in statistical analysis and data modeling.
* Proficiency in SQL, SAS, and programming languages such as R or Python.
* Strong knowledge of statistical techniques (e.g., regression, cluster analysis , time series modeling).
* Ability to communicate complex findings in a clear, actionable way.
* A collaborative mindset and a passion for problem\-solving.
**You’ll Go the Extra Mile If You Have**
* Advanced experience in predictive modeling and pattern recognition.
* Expertise in developing custom algorithms and data models.
* Familiarity with A/B testing frameworks and model quality assessment.
* A track record of leveraging data to drive measurable business outcomes.
**About Us**
 Since opening our first store in 1979, AutoZone has grown into a leading retailer and distributor of automotive parts and accessories across the Americas. Our customer\-first mindset and commitment to Going the Extra Mile define who we are, for both our customers and AutoZoners. Working at AutoZone means being part of a team that values dedication, teamwork, and growth. Whether you're helping customers or building your career, we provide tools and support to help you succeed and drive your future.
**Benefits At AutoZone**
 AutoZone offers thoughtful benefits programs with one\-on\-one benefits guidance designed to improve AutoZoners’ physical, mental and financial well\-being.
**All AutoZoners (Full\-Time And Part\-Time)**
* Competitive pay
* Unrivaled company culture
* Medical, dental and vision plans
* Exclusive discounts and perks, including an AutoZone in\-store discount
* 401(k) with company match and Stock Purchase Plan
* AutoZoners Living Well Program for free mental health support
* Opportunities for career growth
**Additional Benefits For Full\-Time AutoZoners**
* Paid time off
* Life, and short\- and long\-term disability insurance options
* Health Savings and Flexible Spending Accounts with wellness rewards
* Tuition reimbursement
 Minimum age requirements may apply. Eligibility and waiting period requirements may apply; benefits for AutoZoners in Puerto Rico, Hawaii, or the U.S. Virgin Islands may differ. Learn more about all that AutoZone has to offer at Careers.AutoZone.com.
 We proudly support Veterans, Active\-duty Service Members, Reservists, National Guard and Military Families. Your experience is highly valued, and we encourage you to apply to join our team.
**Online Application**
 An online application is required. Click the Apply button to complete your application. For step\-by\-step instructions on how to apply visit careers.autozone.com/candidateresources.
 AutoZone, and its subsidiary, ALLDATA are equal opportunity employers. All applicants will be considered for employment without attention to age, race, color, religion, sex, sexual orientation, gender identity, national origin, veteran or disability status, or any other legally protected categories.</t>
        </is>
      </c>
    </row>
    <row r="17">
      <c r="A17" t="inlineStr">
        <is>
          <t>li-4366341366</t>
        </is>
      </c>
      <c r="B17" t="inlineStr">
        <is>
          <t>Data Scientist</t>
        </is>
      </c>
      <c r="C17" t="inlineStr">
        <is>
          <t>Hirenza</t>
        </is>
      </c>
      <c r="D17" t="inlineStr">
        <is>
          <t>linkedin</t>
        </is>
      </c>
      <c r="E17" t="inlineStr"/>
      <c r="F17" t="inlineStr"/>
      <c r="G17" t="inlineStr"/>
      <c r="H17" t="inlineStr"/>
      <c r="I17" t="inlineStr">
        <is>
          <t>**About The Company**
 At Best Buy, we are dedicated to enriching the lives of our customers through innovative technology solutions. Our commitment extends across multiple channels including our online platform, physical retail stores, and in\-home services. We strive to address key human needs by solving technology challenges related to entertainment, productivity, communication, health, security, and nutrition. Our mission is to make technology accessible, useful, and impactful in everyday life, fostering a seamless integration of digital and physical experiences for our diverse customer base.
**About The Role**
 As a Lead Data Scientist at Best Buy, you will play a pivotal role in leveraging advanced statistical and machine learning techniques to analyze complex, enterprise\-wide data. Your primary responsibility will be to uncover insights that drive strategic decision\-making and create tangible value across various business domains. You will lead the technical direction of the data science team, providing thought leadership and innovative solutions that enhance our core capabilities. This role offers an exceptional opportunity to influence the future of retail technology, improve customer experiences, and contribute to the transformation of how Best Buy operates daily.
**Qualifications**
 The ideal candidate will possess a strong background in quantitative fields with a minimum of six years of relevant experience. A bachelor's degree in Computer Science, Engineering, Physics, Mathematics, Operations Research, or a related discipline is required; advanced degrees such as a Master's or Ph.D. are preferred. Candidates should have at least two years of experience working with cloud platforms like Google Cloud Platform (GCP), Amazon Web Services (AWS), or Microsoft Azure. Proficiency in programming languages such as Python, R, or Julia is essential, along with expertise in data wrangling, machine learning frameworks (e.g., PyTorch, TensorFlow), and statistical modeling. Experience with distributed data processing tools like Apache Spark or Apache Beam, and familiarity with high\-performance machine learning frameworks, will be advantageous.
**Responsibilities**
* Lead the application of scientific methods to solve complex, real\-world business problems across multiple domains, including market growth, customer retention, retail portfolio, and services.
* Develop and implement innovative statistical and machine learning models to analyze large and intricate datasets, delivering actionable insights that inform strategic decisions.
* Contribute to and enhance Best Buy’s core data science capabilities by applying deep knowledge of analytics, statistics, and AI/ML techniques.
* Collaborate with business partners to identify key opportunities for growth and improvement, influencing decisions that impact millions of customers and the company's operations.
* Mentor junior data scientists by assigning tasks, reviewing work for quality, and fostering a culture of continuous learning and development within the team.
* Engage with technical and non\-technical stakeholders to assess the feasibility of proposed solutions, working closely with engineers and product teams to deploy scalable, reliable models.
* Present analytical results and machine learning product designs in a clear, interpretable manner to both technical teams and executive leadership, ensuring alignment and understanding across the organization.
**Benefits**
 At Best Buy, we prioritize the well\-being and growth of our employees by offering comprehensive benefits that support both your professional and personal life. Our packages include competitive compensation, a generous employee discount, and programs dedicated to physical and mental health support. We believe in fostering an inclusive environment where employees can thrive, develop their careers, and achieve a healthy work\-life balance. We also provide opportunities for ongoing learning and development, ensuring our team remains at the forefront of technological advancements.
 Equal Opportunity
 Best Buy is an equal opportunity employer. We are committed to creating an inclusive environment that values diversity and ensures equal employment opportunities regardless of race, color, religion, gender, sexual orientation, gender identity or expression, national origin, age, disability, or any other protected status. We believe that a diverse workforce fosters innovation and drives our success, and we welcome applicants from all backgrounds to join our team.</t>
        </is>
      </c>
    </row>
    <row r="18">
      <c r="A18" t="inlineStr">
        <is>
          <t>li-4306637047</t>
        </is>
      </c>
      <c r="B18" t="inlineStr">
        <is>
          <t>Senior Data Scientist - Global Finance Leader</t>
        </is>
      </c>
      <c r="C18" t="inlineStr">
        <is>
          <t>Andiamo</t>
        </is>
      </c>
      <c r="D18" t="inlineStr">
        <is>
          <t>linkedin</t>
        </is>
      </c>
      <c r="E18" t="inlineStr"/>
      <c r="F18" t="inlineStr"/>
      <c r="G18" t="inlineStr">
        <is>
          <t>San Francisco, CA</t>
        </is>
      </c>
      <c r="H18" t="inlineStr"/>
      <c r="I18" t="inlineStr">
        <is>
          <t>Senior Data Scientist – Global Finance
 Senior Data Scientist – Global Finance
**About The Role**
 We are seeking a highly skilled
 **Senior Data Scientist** 
 to join a global finance firm and tackle some of the most complex challenges in markets, risk, and investment strategy. You will work with large\-scale financial, transactional, and alternative datasets, applying advanced statistical methods, machine learning, and AI to generate insights that directly influence trading, risk management, and business decisions across global markets.
 This role sits at the intersection of data science, engineering, and finance. You will partner with quantitative researchers, traders, and technologists to design models, build scalable data products, and deliver solutions that provide a measurable competitive advantage. You will also contribute to the evolution of firm\-wide data science practices, mentoring peers and setting best practices for analytics in high\-stakes environments.
 What You’ll Do
* Model Development: Build, test, and deploy predictive and statistical models for trading, risk, and investment strategies.
* Experimentation: Design and analyze experiments to evaluate new data sources, trading hypotheses, or risk frameworks.
* Advanced Analytics: Apply machine learning, natural language processing, and time\-series forecasting to financial and alternative datasets.
* Data Engineering Collaboration: Partner with data engineers to ensure data pipelines and infrastructure are scalable, reliable, and optimized for research.
* Business Impact: Translate complex data findings into actionable insights for executives, traders, and global stakeholders.
* Mentorship: Share knowledge of statistical methodology, ML techniques, and applied research best practices with junior team members.
 What We’re Looking For
* Professional Experience: 6\+ years of applied data science experience, preferably in finance, technology, or similarly data\-rich industries.
* Technical Skills: Proficiency in Python, R, or Scala, with strong SQL expertise; experience with ML libraries such as scikit\-learn, TensorFlow, or PyTorch.
* Statistical Foundation: Strong knowledge of probability, econometrics, experimental design, and causal inference.
* Financial Domain Knowledge: Familiarity with markets, risk modeling, or portfolio optimization is highly desirable (but not strictly required).
* Big Data Tools: Experience working with large\-scale distributed systems (Spark, Hadoop, or cloud\-native data platforms).
* Collaboration: Ability to work effectively with quantitative researchers, engineers, and business leaders in a global setting.
* Education: Master’s or PhD in Computer Science, Statistics, Mathematics, Engineering, or a related quantitative field.
 Why Join
 This is a unique opportunity to apply cutting\-edge data science to problems of global financial significance. As Senior Data Scientist, you will help shape strategies that impact markets and clients worldwide, while working alongside some of the most talented minds in finance and technology. The challenges are complex, the datasets are massive, and the potential impact is extraordinary.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9">
      <c r="A19" t="inlineStr">
        <is>
          <t>li-4351236807</t>
        </is>
      </c>
      <c r="B19" t="inlineStr">
        <is>
          <t>Data Scientist - Mobile Growth</t>
        </is>
      </c>
      <c r="C19" t="inlineStr">
        <is>
          <t>Electronic Arts (EA)</t>
        </is>
      </c>
      <c r="D19" t="inlineStr">
        <is>
          <t>linkedin</t>
        </is>
      </c>
      <c r="E19" t="inlineStr"/>
      <c r="F19" t="inlineStr"/>
      <c r="G19" t="inlineStr">
        <is>
          <t>Los Angeles, CA</t>
        </is>
      </c>
      <c r="H19" t="inlineStr"/>
      <c r="I19"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The Data \&amp; Insights (D\&amp;I) team harnesses the power of data to deliver transformative insights and solutions to EA game teams and players. D\&amp;I teams are involved in every aspect of data, driving strategy and governance; building powerful data and AI applications; and developing personalization, experimentation, and analytics tools, and more. When you join D\&amp;I, you're joining a team of passionate experts working to enable more profound understanding, better ways of working, and more meaningful experiences for our players.
 We're looking for a sharp, curious, and collaborative Data Scientist to join our Growth Analytics team. You'll work closely with media buyers to build models and experiments that inform our marketing strategy. Your insights will shape how we allocate budget, measure impact, and forecast performance across digital channels.
 You'll join a tight\-knit team of five data scientists and will report directly to the Senior Manager of Data Science.
 This is a hybrid role with an expectation of 3 in\-office days per week. The position is open to candidates based near any EA office in Canada and the United States (
 *listed above* 
 )
**Responsibilities**
* Build Bayesian Hierarchical Media Mix Models (MMMs) to quantify the contribution of marketing channels
* Design and analyze geo\-based incrementality experiments and user\-level re\-engagement tests to measure the causal impact of marketing spend
* Lead the design and analysis of retargeting experiments, applying A/B testing principles to evaluate incremental impact and guide campaign optimization
* Develop budget optimization tools to support strategic decision\-making
* Create forecasting models (ie: Prophet) to project game performance
* Translate model insights into actionable recommendations, collaborate closely with media buyers and presenting results and insights to stakeholders
**Qualifications**
* Master's degree in a quantitative field (e.g., Statistics, Econometrics) and 2–5 years of experience in data science or analytics, ideally focused on marketing measurement or experimentation
* Familiarity with MMMs, causal inference techniques (e.g. Causal Impact, Fixed Effect Regression), and experimental design
* Strong experience with Python/R and SQL
* Comfort working in a Bayesian modeling framework
* Ability to communicate technical results to non\-technical stakeholders
 We want to connect you with job opportunities that align with your interests, skills, and expertise. When you create an EA Careers Account and are logged into the portal, you can click “Get Recommendations” to view a curated list of job openings. These recommendations are enhanced by automated processing, including artificial intelligence, and take into account your skills and experience. However, all employment decisions are made by our hiring teams, not by automated systems.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\*$100,000 \- $139,500 CAD
* California (depending on location e.g. Los Angeles vs. San Francisco) \*$117,000 \- $179,600 USD
* Washington (depending on location e.g. Seattle vs. Spokane) \*$108,900 \- $145,200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20">
      <c r="A20" t="inlineStr">
        <is>
          <t>li-4306616933</t>
        </is>
      </c>
      <c r="B20" t="inlineStr">
        <is>
          <t>Data Scientist - Global Tech Leader</t>
        </is>
      </c>
      <c r="C20" t="inlineStr">
        <is>
          <t>Andiamo</t>
        </is>
      </c>
      <c r="D20" t="inlineStr">
        <is>
          <t>linkedin</t>
        </is>
      </c>
      <c r="E20" t="inlineStr"/>
      <c r="F20" t="inlineStr"/>
      <c r="G20" t="inlineStr">
        <is>
          <t>Boston, MA</t>
        </is>
      </c>
      <c r="H20" t="inlineStr"/>
      <c r="I20" t="inlineStr">
        <is>
          <t>Data Scientist – Product \&amp; AI
**About The Role**
 We are looking for a
 **Data Scientist** 
 to help solve complex, high\-impact problems in product development and AI. You will work with
 **large\-scale, high\-dimensional data sets** 
 , applying statistical methods, machine learning, and experimentation to guide product decisions and improve user experiences. Your insights will influence the direction of features, platforms, and strategies used by thousands of organizations.
 As a mid\-level data scientist, you’ll own projects end\-to\-end: defining success metrics, designing experiments, building predictive models, and communicating findings to cross\-functional partners. You’ll collaborate with product managers, engineers, and designers to turn raw data into actionable insights that drive measurable business and product outcomes.
 This role is a chance to move beyond dashboards—you’ll uncover patterns, tell compelling stories with data, and contribute to building scalable data science practices that push the boundaries of what’s possible.
 What You’ll Do
* Apply Analytical Methods: Use statistical modeling, machine learning, and data visualization to extract insights and guide product strategy.
* Experiment \&amp; Learn: Design, run, and analyze A/B tests and other experiments to evaluate product changes and quantify impact.
* Build Predictive Models: Develop models that forecast user behavior, product performance, and key metrics.
* Define Success Metrics: Establish clear goals and KPIs that align product teams around measurable outcomes.
* Collaborate Across Teams: Partner with engineers, designers, and product leaders to ensure insights are translated into impactful features.
* Communicate Findings: Present results and recommendations to stakeholders, framing technical insights in clear, actionable terms.
* Contribute to Data Platforms: Work with engineering partners to improve data pipelines, instrumentation, and experimentation frameworks.
 What We’re Looking For
* Professional Experience: Around 5 years of applied data science experience in product analytics, business intelligence, or machine learning.
* Programming Skills: Proficiency in SQL and Python (or R) for data manipulation, modeling, and analysis.
* Experimentation: Familiarity with experimental design, causal inference, and A/B testing at scale.
* Statistical Foundation: Strong grounding in probability, statistics, and data\-driven problem solving.
* Communication: Ability to clearly present technical analyses to non\-technical audiences and drive alignment on decisions.
* Education: Bachelor’s degree in Statistics, Mathematics, Computer Science, Engineering, or related field; Master’s degree a plus.
**Preferred Qualifications**
* Experience working with product teams or SaaS platforms.
* Knowledge of ML frameworks (scikit\-learn, TensorFlow, or PyTorch) and data visualization tools (Tableau, Looker, or similar).
* Exposure to cloud data environments (AWS, GCP, or Azure).
 ✨
 **Why Join** 
 : This is your chance to tackle challenging data problems in AI and product development. You’ll apply advanced methods, work with talented colleagues, and contribute to products that affect millions of users and billions of data points—all while growing your skills and career.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21">
      <c r="A21" t="inlineStr">
        <is>
          <t>li-4351137014</t>
        </is>
      </c>
      <c r="B21" t="inlineStr">
        <is>
          <t>Data Scientist - Mobile Growth</t>
        </is>
      </c>
      <c r="C21" t="inlineStr">
        <is>
          <t>Electronic Arts (EA)</t>
        </is>
      </c>
      <c r="D21" t="inlineStr">
        <is>
          <t>linkedin</t>
        </is>
      </c>
      <c r="E21" t="inlineStr"/>
      <c r="F21" t="inlineStr"/>
      <c r="G21" t="inlineStr">
        <is>
          <t>Austin, TX</t>
        </is>
      </c>
      <c r="H21" t="inlineStr"/>
      <c r="I21"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The Data \&amp; Insights (D\&amp;I) team harnesses the power of data to deliver transformative insights and solutions to EA game teams and players. D\&amp;I teams are involved in every aspect of data, driving strategy and governance; building powerful data and AI applications; and developing personalization, experimentation, and analytics tools, and more. When you join D\&amp;I, you're joining a team of passionate experts working to enable more profound understanding, better ways of working, and more meaningful experiences for our players.
 We're looking for a sharp, curious, and collaborative Data Scientist to join our Growth Analytics team. You'll work closely with media buyers to build models and experiments that inform our marketing strategy. Your insights will shape how we allocate budget, measure impact, and forecast performance across digital channels.
 You'll join a tight\-knit team of five data scientists and will report directly to the Senior Manager of Data Science.
 This is a hybrid role with an expectation of 3 in\-office days per week. The position is open to candidates based near any EA office in Canada and the United States (
 *listed above* 
 )
**Responsibilities**
* Build Bayesian Hierarchical Media Mix Models (MMMs) to quantify the contribution of marketing channels
* Design and analyze geo\-based incrementality experiments and user\-level re\-engagement tests to measure the causal impact of marketing spend
* Lead the design and analysis of retargeting experiments, applying A/B testing principles to evaluate incremental impact and guide campaign optimization
* Develop budget optimization tools to support strategic decision\-making
* Create forecasting models (ie: Prophet) to project game performance
* Translate model insights into actionable recommendations, collaborate closely with media buyers and presenting results and insights to stakeholders
**Qualifications**
* Master's degree in a quantitative field (e.g., Statistics, Econometrics) and 2–5 years of experience in data science or analytics, ideally focused on marketing measurement or experimentation
* Familiarity with MMMs, causal inference techniques (e.g. Causal Impact, Fixed Effect Regression), and experimental design
* Strong experience with Python/R and SQL
* Comfort working in a Bayesian modeling framework
* Ability to communicate technical results to non\-technical stakeholders
 We want to connect you with job opportunities that align with your interests, skills, and expertise. When you create an EA Careers Account and are logged into the portal, you can click “Get Recommendations” to view a curated list of job openings. These recommendations are enhanced by automated processing, including artificial intelligence, and take into account your skills and experience. However, all employment decisions are made by our hiring teams, not by automated systems.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\*$100,000 \- $139,500 CAD
* California (depending on location e.g. Los Angeles vs. San Francisco) \*$117,000 \- $179,600 USD
* Washington (depending on location e.g. Seattle vs. Spokane) \*$108,900 \- $145,200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22">
      <c r="A22" t="inlineStr">
        <is>
          <t>li-4366353578</t>
        </is>
      </c>
      <c r="B22" t="inlineStr">
        <is>
          <t>Computer Vision Data Scientist</t>
        </is>
      </c>
      <c r="C22" t="inlineStr">
        <is>
          <t>IDEXX</t>
        </is>
      </c>
      <c r="D22" t="inlineStr">
        <is>
          <t>linkedin</t>
        </is>
      </c>
      <c r="E22" t="inlineStr"/>
      <c r="F22" t="inlineStr"/>
      <c r="G22" t="inlineStr">
        <is>
          <t>Westbrook, ME</t>
        </is>
      </c>
      <c r="H22" t="inlineStr"/>
      <c r="I22" t="inlineStr">
        <is>
          <t>We are seeking a
 **Computer Vision Data Scientist** 
 with a few years of accomplished image analysis experience to develop imaging algorithms for veterinary clinical instrument platforms. In this role you will join a team developing microscopy algorithms for IDEXX’s revolutionary inVue platform. Your work will have immediate impact transforming cytology analysis in the veterinary clinic. This role offers hands\-on experience developing algorithms that combine deep learning and classical computer vision approaches to solve challenging image discrimination problems that will be deployed on embedded systems. You will work on a cross\-functional team of clinical, technical and business experts. If solving high impact and challenging computer vision problems excites you, we want to talk to you!
**This is a hybrid role and will require you to be in the office 2 days per week.**
**In This Role You Will**
* Develop and implement computer vision algorithms combining supervised deep learning (CNNs, transformers), unsupervised machine learning, and classical techniques (feature extraction, morphological operations, edge detection) for discrimination tasks.
* Assist in the research, prototyping, and implementation of computer vision solutions for medical imaging and cellular analysis applications.
* Support the development and validation of image processing pipelines that perform reliably across diverse imaging conditions and sample variations.
* Work with the team to implement and optimize computer vision models for deployment on embedded devices and NVIDIA GPUs.
* Conduct experiments and performance evaluations to validate algorithm performance, including benchmarking and statistical analysis.
* Collaborate with cross\-functional teams including engineers, clinical experts, and product stakeholders to understand and address clinical requirements.
* Contribute to technical documentation for computer vision development, including algorithm design and validation methodologies.
* Stay current with advances in computer vision, machine learning, and medical imaging through continuous learning.
* Guide the work of junior imaging data scientists.
**What do you need to succeed?**
* M.S. in Computer Science, Electrical Engineering, Data Science, or related field, or B.S. with relevant internship/project experience in computer vision.
* Foundational knowledge of both classical computer vision techniques and modern deep learning approaches.
* Proficiency in Python and experience with deep learning frameworks, particularly PyTorch
* Experience designing, training, and evaluating CNNs or other neural architectures for image classification, segmentation, or detection (through coursework, projects, internships, or research).
* Exposure to model optimization and deployment considerations for resource\-constrained environments.
* Understanding of challenging discrimination problems in imaging (e.g., subtle feature detection, class imbalance).
* Solid foundation in experimental design including dataset preparation, validation strategies, and performance evaluation.
* Familiarity with cloud platforms, particularly AWS, is a plus.
* Exposure to Databricks or similar ML workflow platforms is beneficial but not required.
* Strong analytical and problem\-solving abilities with attention to detail.
* Interest in or exposure to microscopy imaging, digital cytology, or histopathology is a plus.
* Ability to communicate technical concepts clearly and work effectively in team settings.
* Enthusiasm for learning and applying new techniques to solve real\-world problems.
**What You Can Expect From Us**
* Base salary range starting at $128,000 based on experience
* Opportunity for annual cash bonus
* Health / Dental / Vision Benefits Day\-One
* 5% matching 401k
* Additional benefits including but not limited to financial support, pet insurance, mental health resources, volunteer paid days off, employee stock program, foundation donation matching, and much more
**Why IDEXX?**
 We’re proud of the work we do because our work matters. An innovation leader in every industry we serve, we follow our Purpose and Guiding Principles to help pet owners worldwide keep their companion animals healthy and happy, to ensure safe drinking water for billions, and to help farmers protect livestock and poultry from disease. We have customers in over 175 countries and a global workforce of over 10,000 talented people.
 So, what does that mean for you? We enrich the livelihoods of our employees with a positive and respectful work culture that embraces challenges and encourages learning and discovery. At IDEXX, you will be supported by competitive compensation, incentives, and benefits while enjoying purposeful work that drives improvement.
**Let’s Pursue What Matters.**
*IDEXX values a diverse workforce and workplace and strongly encourages women, people of color, LGBT individuals, people with disabilities, members of ethnic minorities, foreign\-born residents, and veterans to apply.*
*IDEXX is an equal opportunity employer. Applicants will not be discriminated against because of race, color, creed, sex, sexual orientation, gender identity or expression, age, religion, national origin, citizenship status, disability, ancestry, marital status, veteran status, medical condition, or any protected category prohibited by local, state, or federal laws.*
*While we appreciate our staffing partners, we are unable to accept unsolicited agency resumes.*</t>
        </is>
      </c>
    </row>
    <row r="23">
      <c r="A23" t="inlineStr">
        <is>
          <t>li-4366000128</t>
        </is>
      </c>
      <c r="B23" t="inlineStr">
        <is>
          <t>Data Scientist</t>
        </is>
      </c>
      <c r="C23" t="inlineStr">
        <is>
          <t>RemoteHunter</t>
        </is>
      </c>
      <c r="D23" t="inlineStr">
        <is>
          <t>linkedin</t>
        </is>
      </c>
      <c r="E23" t="inlineStr"/>
      <c r="F23" t="inlineStr"/>
      <c r="G23" t="inlineStr"/>
      <c r="H23" t="inlineStr"/>
      <c r="I23"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4">
      <c r="A24" t="inlineStr">
        <is>
          <t>li-4366348439</t>
        </is>
      </c>
      <c r="B24" t="inlineStr">
        <is>
          <t>Data Scientist</t>
        </is>
      </c>
      <c r="C24" t="inlineStr">
        <is>
          <t>Best Job Tool</t>
        </is>
      </c>
      <c r="D24" t="inlineStr">
        <is>
          <t>linkedin</t>
        </is>
      </c>
      <c r="E24" t="inlineStr"/>
      <c r="F24" t="inlineStr"/>
      <c r="G24" t="inlineStr"/>
      <c r="H24" t="inlineStr"/>
      <c r="I24" t="inlineStr">
        <is>
          <t>**About The Company**
 Guidehouse is a leading global consultancy dedicated to delivering innovative solutions that address complex business and societal challenges. With a focus on strategic advisory, technology, and managed services, Guidehouse partners with clients across various industries including government, financial services, healthcare, energy, and the public sector. Our mission is to help organizations navigate change, optimize operations, and achieve sustainable growth through data\-driven insights and advanced technological capabilities. We foster a culture of inclusion, collaboration, and continuous learning, ensuring our team members are equipped to deliver impactful results for our clients and communities.
**About The Role**
 We are seeking a skilled Data Scientist to join our AI and Data Capability Team at Guidehouse. In this role, you will be instrumental in helping our clients harness the power of data to drive strategic decision\-making and operational efficiency. Your expertise will contribute to the full spectrum of data analytics services, from data collection and management to advanced machine learning and artificial intelligence solutions. This position offers an exciting opportunity to work on high\-impact projects within a collaborative environment, supporting government agencies and private sector clients in transforming their data into actionable insights. The ideal candidate will have a strong foundation in data analysis, visualization, and programming, along with a passion for solving complex problems through innovative data science techniques.
**Qualifications**
 The successful candidate must meet the following qualifications:
* U.S. Citizenship is required.
* Bachelor’s degree in Computer Science, Data Science, Statistics, or a related field.
* Minimum of three (3\) years of experience utilizing Power BI, Tableau, or similar visualization tools to develop intuitive dashboards and visualizations.
* Proficiency in SQL, R, and other programming languages for data querying and statistical analysis.
* Strong understanding of statistical concepts, probability, and experimental design.
* Experience with cloud platforms such as Amazon Web Services, Azure, or Google Cloud, and familiarity with containerization technologies like Docker.
* Knowledge of data governance principles to ensure data quality and reliability.
* Curiosity and creativity to identify hidden patterns and uncover opportunities within data sets.
* Excellent communication skills to effectively bridge technical and non\-technical audiences.
**Responsibilities**
 The key responsibilities of this role include:
* Data Collection \&amp; Management: Identify, gather, and manage data from primary and secondary sources, ensuring its accuracy, completeness, and integrity for analysis.
* Data Cleaning \&amp; Preprocessing: Prepare raw data by identifying and resolving inconsistencies, missing values, and errors to facilitate effective analysis.
* Data Analysis \&amp; Interpretation: Apply statistical techniques and analytical methods to explore datasets, discover trends, and generate actionable insights.
* Data Visualization \&amp; Reporting: Develop comprehensive reports, dashboards, and visualizations using tools like Tableau or Power BI to communicate findings clearly to stakeholders.
* Collaboration \&amp; Communication: Work closely with cross\-functional teams to understand business requirements and translate data insights into strategic recommendations.
* Problem Solving: Use data\-driven approaches to address specific business challenges, identify underperforming processes, and recommend improvements.
**Benefits**
 Guidehouse offers a comprehensive total rewards package designed to support the well\-being and professional growth of our employees. Our benefits include:
* Medical, prescription, dental, and vision insurance coverage.
* Personal and family sick leave, along with company\-paid holidays.
* Potential eligibility for a discretionary variable incentive bonus.
* Parental leave and adoption assistance programs.
* 401(k) retirement savings plan with company matching.
* Basic and supplemental life insurance options.
* Health Savings Account, Flexible Spending Accounts for dental, vision, and dependent care.
* Short\-term and long\-term disability coverage.
* Student loan repayment programs.
* Tuition reimbursement, ongoing training, and professional development opportunities.
* Skills development certifications and career advancement support.
* Employee referral incentives and community engagement initiatives.
* Emergency backup childcare services and mobility stipends.
 Equal Opportunity
 Guidehouse is an Equal Opportunity Employer committed to fostering an inclusive and diverse workplace. We welcome applications from protected veterans, individuals with disabilities, and all qualified applicants regardless of race, color, religion, gender, gender identity or expression, sexual orientation, national origin, age, or other protected status. We ensure fair hiring practices and consider qualified applicants with criminal histories in accordance with applicable laws and ordinances. If you require accommodations during the application process, please contact Guidehouse Recruiting. We do not charge fees or require payments at any stage of the hiring process and advise caution against unauthorized communications from third parties. Guidehouse values integrity, transparency, and respect in all our employment practices.</t>
        </is>
      </c>
    </row>
    <row r="25">
      <c r="A25" t="inlineStr">
        <is>
          <t>li-4356112253</t>
        </is>
      </c>
      <c r="B25" t="inlineStr">
        <is>
          <t>Senior Data Scientist</t>
        </is>
      </c>
      <c r="C25" t="inlineStr">
        <is>
          <t>Copeland</t>
        </is>
      </c>
      <c r="D25" t="inlineStr">
        <is>
          <t>linkedin</t>
        </is>
      </c>
      <c r="E25" t="inlineStr"/>
      <c r="F25" t="inlineStr"/>
      <c r="G25" t="inlineStr">
        <is>
          <t>St Louis, MO</t>
        </is>
      </c>
      <c r="H25" t="inlineStr"/>
      <c r="I25" t="inlineStr">
        <is>
          <t>**About Us**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that is built for the needs of the world ahead.
 Whether you are a professional looking for a career change, an undergraduate student exploring your first opportunity, or recent graduate with an advanced degree, we have opportunities that will allow you to innovate, be challenged and make an impact. Join our team and start your journey today!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that is built for the needs of the world ahead.
 Whether you are a professional looking for a career change, an undergraduate student exploring your first opportunity, or a recent graduate with an advanced degree, we have opportunities that will allow you to innovate, be challenged and make an impact. Join our team and start your journey today!
**As a Senior Data Scientist, You Will**
* Apply machine learning, econometrics, and operations research to optimize HVACR system performance and energy consumption
* Discover and deliver on opportunities to improve processes in our enterprise through data analytics and automation
* Develop customer\-focused solutions that address global resource and efficiency challenges
* Work on an array of problem types, including optimization, forecasting, statistical analysis, control theory, and LLM’s
* Establish and maintain collaboration with other internal teams to apply cloud and edge\-computing capabilities for production and proprietary algorithms
* Develop a deep understanding of the HVACR and cold chain industries to ensure technical solutions align with business goals
* Adapt advanced techniques from peer\-reviewed journals and conferences into practical, scalable solutions for real\-world engineering challenges
**Required Education, Experience, \&amp; Skills**
* Bachelor’s degree in Computer Science, Statistics, Chemical Engineering, Mechanical Engineering, Electronic / Electrical Engineering, Aerospace Engineering, Mathematics, or other relevant degree
* 3\+ years of relevant experience
* Experience in data wrangling and modeling in Python or similar language
* Proficient in verifying raw data integrity through automation and exploratory data analysis (EDA) techniques
* Proficient in robust statistics, hypothesis testing, experimental design
* Ability to work virtually with a global team
* Ability to translate ambiguous business problems into actionable analytics and data science tasks
**Preferred Education, Experience, \&amp; Skills**
* Interdisciplinary background, combining data science expertise with a solid grounding in traditional engineering fields such as Chemical, Mechanical, Aerospace, or related disciplines.
* Advanced Degree in Analytics / Computer Science / Artificial Intelligence / Mathematics, Statistics, Chemical Engineering, Mechanical Engineering, Electronic / Electrical Engineering, Aerospace Engineering
* Knowledge of HVAC and refrigeration related thermodynamics, system operation and system control logic
* Experience in applying signal processing (time and frequency domain) for feature engineering
* Experience in applying optimal control theory and reinforcement learning (RL)
* Proven experience as the technical lead for project(s) or research or acted as a change agent for transformation initiatives
* Experience with Azure DevOps and Agile sprints
* Ability and interest in translating highly sophisticated and abstract concepts to internal and external team members with minimum analytics knowledge
**Our Commitment to Our People**
 Across the globe, we are united by a singular Purpose: Sustainability is no small ambition. That’s why everything we do is geared toward a sustainable future—for our generation and all those to come. Through groundbreaking innovations, HVACR technology and cold chain solutions, we are reducing carbon emissions and improving energy efficiency in spaces of all sizes, from residential to commercial to industrial.
 Our employees are our greatest strength. We believe that our culture of passion, openness, and collaboration empowers us to work toward the same goal \- to make the world a better place. We invest in the end\-to\-end development of our people, beginning at onboarding and through senior leadership, so they can thrive personally and professionally.
 Flexible and competitive benefits plans offer the right options to meet your individual/family needs: medical insurance plans, dental and vision coverage, 401(k) and more. We provide employees with flexible time off plans, including paid parental leave, vacation and holiday leave.
 Together, we have the opportunity – and the power – to continue to revolutionize the technology behind air conditioning, heating and refrigeration, and cultivate a better future. Learn more about us and how you can join our team!
**Our Commitment to Inclusion \&amp; Belonging**
 At Copeland, we cultivate a strong sense of inclusion and belonging where individuals of all backgrounds, and with diverse perspectives, are embraced and treated fairly to enable a stronger workforce. Our employee resource groups play an important role in culture and community building at Copeland.
**Work Authorization**
 Copeland will only employ those who are legally authorized to work in the United States. This is not a position for which sponsorship will be provided. Individuals with temporary visas such as E, F\-1 with OPT or CPT, H\-1, H\-2, L\-1, B, J or TN, or who need sponsorship for work authorization now or in the future, are not eligible for hire.
**Equal Opportunity Employer**
 Copeland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If you have a disability and are having difficulty accessing or using this website to apply for a position, please contact: copeland.careers@copeland.com</t>
        </is>
      </c>
    </row>
    <row r="26">
      <c r="A26" t="inlineStr">
        <is>
          <t>li-4132851020</t>
        </is>
      </c>
      <c r="B26" t="inlineStr">
        <is>
          <t>Data Scientist II</t>
        </is>
      </c>
      <c r="C26" t="inlineStr">
        <is>
          <t>Coinbase</t>
        </is>
      </c>
      <c r="D26" t="inlineStr">
        <is>
          <t>linkedin</t>
        </is>
      </c>
      <c r="E26" t="inlineStr"/>
      <c r="F26" t="inlineStr"/>
      <c r="G26" t="inlineStr"/>
      <c r="H26" t="inlineStr"/>
      <c r="I26"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Data Science is an integral component of Coinbase’s product and decision making process: we work in partnership with Product, Engineering and Design to influence the roadmap and better understand our users. With a deep expertise in experimentation, analytics and advanced modeling, we produce insights which directly move the company’s bottom line.
***What you'll be doing***
* Perform analyses on products to answer open\-ended questions and provide strategic recommendations.
* Design and guide experiments/analysis to measure impact and drive product improvements.
* Develop and maintain key metrics and reports, enhancing data infrastructure for better analysis.
***What we look for in you:***
* At least a BA/BS in a quantitative field (ex Math, Stats, Physics, or Computer Science) with ≥2\+ years of relevant experience.
* Experience driving impact for a digital product with an iterative development cycle.
* Understanding of statistical concepts and practical experience applying them (in A\|B testing, causal inference, ML, etc.).
* Experience in data analyses using SQL.
* Experience in programming/modeling in Python.
* Demonstration of our core cultural values: clear communication, positive energy, continuous learning, and efficient execution.
*Disclaimer: Applying for a specific role does not guarantee consideration for that exact position. Leveling and team matching are assessed throughout the interview process.* 
 ID: G2462
 Pay Transparency Notice: Depending on your work location, the target annual salary for this position can range as detailed below. Full time offers from Coinbase also include target bonus \+ target equity \+ benefits (including medical, dental, vision and 401(k)).
 Pay Range: : $152,405 USD \- $179,300 USD
 Please be advised that each candidate may submit a maximum of four applications within any 30\-day period. We encourage you to carefully evaluate how your skills and interests align with Coinbase's roles before applying.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here
 .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t>
        </is>
      </c>
    </row>
    <row r="27">
      <c r="A27" t="inlineStr">
        <is>
          <t>li-4355983714</t>
        </is>
      </c>
      <c r="B27" t="inlineStr">
        <is>
          <t>Senior Data Scientist</t>
        </is>
      </c>
      <c r="C27" t="inlineStr">
        <is>
          <t>Copeland</t>
        </is>
      </c>
      <c r="D27" t="inlineStr">
        <is>
          <t>linkedin</t>
        </is>
      </c>
      <c r="E27" t="inlineStr"/>
      <c r="F27" t="inlineStr"/>
      <c r="G27" t="inlineStr">
        <is>
          <t>Kennesaw, GA</t>
        </is>
      </c>
      <c r="H27" t="inlineStr"/>
      <c r="I27" t="inlineStr">
        <is>
          <t>**About Us**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that is built for the needs of the world ahead.
 Whether you are a professional looking for a career change, an undergraduate student exploring your first opportunity, or recent graduate with an advanced degree, we have opportunities that will allow you to innovate, be challenged and make an impact. Join our team and start your journey today!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that is built for the needs of the world ahead.
 Whether you are a professional looking for a career change, an undergraduate student exploring your first opportunity, or a recent graduate with an advanced degree, we have opportunities that will allow you to innovate, be challenged and make an impact. Join our team and start your journey today!
**As a Senior Data Scientist, You Will**
* Apply machine learning, econometrics, and operations research to optimize HVACR system performance and energy consumption
* Discover and deliver on opportunities to improve processes in our enterprise through data analytics and automation
* Develop customer\-focused solutions that address global resource and efficiency challenges
* Work on an array of problem types, including optimization, forecasting, statistical analysis, control theory, and LLM’s
* Establish and maintain collaboration with other internal teams to apply cloud and edge\-computing capabilities for production and proprietary algorithms
* Develop a deep understanding of the HVACR and cold chain industries to ensure technical solutions align with business goals
* Adapt advanced techniques from peer\-reviewed journals and conferences into practical, scalable solutions for real\-world engineering challenges
**Required Education, Experience, \&amp; Skills**
* Bachelor’s degree in Computer Science, Statistics, Chemical Engineering, Mechanical Engineering, Electronic / Electrical Engineering, Aerospace Engineering, Mathematics, or other relevant degree
* 3\+ years of relevant experience
* Experience in data wrangling and modeling in Python or similar language
* Proficient in verifying raw data integrity through automation and exploratory data analysis (EDA) techniques
* Proficient in robust statistics, hypothesis testing, experimental design
* Ability to work virtually with a global team
* Ability to translate ambiguous business problems into actionable analytics and data science tasks
**Preferred Education, Experience, \&amp; Skills**
* Interdisciplinary background, combining data science expertise with a solid grounding in traditional engineering fields such as Chemical, Mechanical, Aerospace, or related disciplines.
* Advanced Degree in Analytics / Computer Science / Artificial Intelligence / Mathematics, Statistics, Chemical Engineering, Mechanical Engineering, Electronic / Electrical Engineering, Aerospace Engineering
* Knowledge of HVAC and refrigeration related thermodynamics, system operation and system control logic
* Experience in applying signal processing (time and frequency domain) for feature engineering
* Experience in applying optimal control theory and reinforcement learning (RL)
* Proven experience as the technical lead for project(s) or research or acted as a change agent for transformation initiatives
* Experience with Azure DevOps and Agile sprints
* Ability and interest in translating highly sophisticated and abstract concepts to internal and external team members with minimum analytics knowledge
**Our Commitment to Our People**
 Across the globe, we are united by a singular Purpose: Sustainability is no small ambition. That’s why everything we do is geared toward a sustainable future—for our generation and all those to come. Through groundbreaking innovations, HVACR technology and cold chain solutions, we are reducing carbon emissions and improving energy efficiency in spaces of all sizes, from residential to commercial to industrial.
 Our employees are our greatest strength. We believe that our culture of passion, openness, and collaboration empowers us to work toward the same goal \- to make the world a better place. We invest in the end\-to\-end development of our people, beginning at onboarding and through senior leadership, so they can thrive personally and professionally.
 Flexible and competitive benefits plans offer the right options to meet your individual/family needs: medical insurance plans, dental and vision coverage, 401(k) and more. We provide employees with flexible time off plans, including paid parental leave, vacation and holiday leave.
 Together, we have the opportunity – and the power – to continue to revolutionize the technology behind air conditioning, heating and refrigeration, and cultivate a better future. Learn more about us and how you can join our team!
**Our Commitment to Inclusion \&amp; Belonging**
 At Copeland, we cultivate a strong sense of inclusion and belonging where individuals of all backgrounds, and with diverse perspectives, are embraced and treated fairly to enable a stronger workforce. Our employee resource groups play an important role in culture and community building at Copeland.
**Work Authorization**
 Copeland will only employ those who are legally authorized to work in the United States. This is not a position for which sponsorship will be provided. Individuals with temporary visas such as E, F\-1 with OPT or CPT, H\-1, H\-2, L\-1, B, J or TN, or who need sponsorship for work authorization now or in the future, are not eligible for hire.
**Equal Opportunity Employer**
 Copeland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If you have a disability and are having difficulty accessing or using this website to apply for a position, please contact: copeland.careers@copeland.com</t>
        </is>
      </c>
    </row>
    <row r="28">
      <c r="A28" t="inlineStr">
        <is>
          <t>li-4356161520</t>
        </is>
      </c>
      <c r="B28" t="inlineStr">
        <is>
          <t>Senior Data Scientist</t>
        </is>
      </c>
      <c r="C28" t="inlineStr">
        <is>
          <t>Copeland</t>
        </is>
      </c>
      <c r="D28" t="inlineStr">
        <is>
          <t>linkedin</t>
        </is>
      </c>
      <c r="E28" t="inlineStr"/>
      <c r="F28" t="inlineStr"/>
      <c r="G28" t="inlineStr">
        <is>
          <t>Sidney, OH</t>
        </is>
      </c>
      <c r="H28" t="inlineStr"/>
      <c r="I28" t="inlineStr">
        <is>
          <t>**About Us**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that is built for the needs of the world ahead.
 Whether you are a professional looking for a career change, an undergraduate student exploring your first opportunity, or recent graduate with an advanced degree, we have opportunities that will allow you to innovate, be challenged and make an impact. Join our team and start your journey today!
 We are a global climate technologies company engineered for sustainability. We create sustainable and efficient residential, commercial and industrial spaces through HVACR technologies. We protect temperature\-sensitive goods throughout the cold chain. And we bring comfort to people globally. Best\-in\-class engineering, design and manufacturing combined with category\-leading brands in compression, controls, software and monitoring solutions result in next\-generation climate technology that is built for the needs of the world ahead.
 Whether you are a professional looking for a career change, an undergraduate student exploring your first opportunity, or a recent graduate with an advanced degree, we have opportunities that will allow you to innovate, be challenged and make an impact. Join our team and start your journey today!
**As a Senior Data Scientist, You Will**
* Apply machine learning, econometrics, and operations research to optimize HVACR system performance and energy consumption
* Discover and deliver on opportunities to improve processes in our enterprise through data analytics and automation
* Develop customer\-focused solutions that address global resource and efficiency challenges
* Work on an array of problem types, including optimization, forecasting, statistical analysis, control theory, and LLM’s
* Establish and maintain collaboration with other internal teams to apply cloud and edge\-computing capabilities for production and proprietary algorithms
* Develop a deep understanding of the HVACR and cold chain industries to ensure technical solutions align with business goals
* Adapt advanced techniques from peer\-reviewed journals and conferences into practical, scalable solutions for real\-world engineering challenges
**Required Education, Experience, \&amp; Skills**
* Bachelor’s degree in Computer Science, Statistics, Chemical Engineering, Mechanical Engineering, Electronic / Electrical Engineering, Aerospace Engineering, Mathematics, or other relevant degree
* 3\+ years of relevant experience
* Experience in data wrangling and modeling in Python or similar language
* Proficient in verifying raw data integrity through automation and exploratory data analysis (EDA) techniques
* Proficient in robust statistics, hypothesis testing, experimental design
* Ability to work virtually with a global team
* Ability to translate ambiguous business problems into actionable analytics and data science tasks
**Preferred Education, Experience, \&amp; Skills**
* Interdisciplinary background, combining data science expertise with a solid grounding in traditional engineering fields such as Chemical, Mechanical, Aerospace, or related disciplines.
* Advanced Degree in Analytics / Computer Science / Artificial Intelligence / Mathematics, Statistics, Chemical Engineering, Mechanical Engineering, Electronic / Electrical Engineering, Aerospace Engineering
* Knowledge of HVAC and refrigeration related thermodynamics, system operation and system control logic
* Experience in applying signal processing (time and frequency domain) for feature engineering
* Experience in applying optimal control theory and reinforcement learning (RL)
* Proven experience as the technical lead for project(s) or research or acted as a change agent for transformation initiatives
* Experience with Azure DevOps and Agile sprints
* Ability and interest in translating highly sophisticated and abstract concepts to internal and external team members with minimum analytics knowledge
**Our Commitment to Our People**
 Across the globe, we are united by a singular Purpose: Sustainability is no small ambition. That’s why everything we do is geared toward a sustainable future—for our generation and all those to come. Through groundbreaking innovations, HVACR technology and cold chain solutions, we are reducing carbon emissions and improving energy efficiency in spaces of all sizes, from residential to commercial to industrial.
 Our employees are our greatest strength. We believe that our culture of passion, openness, and collaboration empowers us to work toward the same goal \- to make the world a better place. We invest in the end\-to\-end development of our people, beginning at onboarding and through senior leadership, so they can thrive personally and professionally.
 Flexible and competitive benefits plans offer the right options to meet your individual/family needs: medical insurance plans, dental and vision coverage, 401(k) and more. We provide employees with flexible time off plans, including paid parental leave, vacation and holiday leave.
 Together, we have the opportunity – and the power – to continue to revolutionize the technology behind air conditioning, heating and refrigeration, and cultivate a better future. Learn more about us and how you can join our team!
**Our Commitment to Inclusion \&amp; Belonging**
 At Copeland, we cultivate a strong sense of inclusion and belonging where individuals of all backgrounds, and with diverse perspectives, are embraced and treated fairly to enable a stronger workforce. Our employee resource groups play an important role in culture and community building at Copeland.
**Work Authorization**
 Copeland will only employ those who are legally authorized to work in the United States. This is not a position for which sponsorship will be provided. Individuals with temporary visas such as E, F\-1 with OPT or CPT, H\-1, H\-2, L\-1, B, J or TN, or who need sponsorship for work authorization now or in the future, are not eligible for hire.
**Equal Opportunity Employer**
 Copeland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If you have a disability and are having difficulty accessing or using this website to apply for a position, please contact: copeland.careers@copeland.com</t>
        </is>
      </c>
    </row>
    <row r="29">
      <c r="A29" t="inlineStr">
        <is>
          <t>li-4354608408</t>
        </is>
      </c>
      <c r="B29" t="inlineStr">
        <is>
          <t>Data Scientist</t>
        </is>
      </c>
      <c r="C29" t="inlineStr">
        <is>
          <t>Advance Auto Parts</t>
        </is>
      </c>
      <c r="D29" t="inlineStr">
        <is>
          <t>linkedin</t>
        </is>
      </c>
      <c r="E29" t="inlineStr"/>
      <c r="F29" t="inlineStr"/>
      <c r="G29" t="inlineStr">
        <is>
          <t>Raleigh, NC</t>
        </is>
      </c>
      <c r="H29" t="inlineStr"/>
      <c r="I29" t="inlineStr">
        <is>
          <t>**Job Description**
**Role Summary**
 We are seeking an experienced
 **Data Scientist** 
 with strong expertise in Data Science, machine learning engineering with hands on experience in designing and deploying ML solutions in production. This role focuses on building scalable ML solutions, productionizing models, and enabling robust ML platforms for enterprise\-grade deployments.
**This position is 4 days in office, 1 day remote per week, based at our corporate headquarters in Raleigh, North Carolina (North Hills)**
**Key Responsibilities**
* Build ML Models: Design and implement predictive and prescriptive models for regression, classification, and optimization problems.Apply advanced techniques such as structural time series modeling and boosting algorithms (e.g., XGBoost, LightGBM).
* Train and Tune Models: Develop and tune machine learning models using Python, PySpark, TensorFlow, and PyTorch.
* Collaboration \&amp; Communication: Work closely with stakeholders to understand business challenges and translate them into data science solutions and work in the end\-to\-end solutioning. Collaborate with cross\-functional teams to ensure successful integration of models into business processes.
* Monitoring \&amp; Visualization: Rapidly prototype and test hypotheses to validate model approaches. Build automated workflows for model monitoring and performance evaluation. Create dashboards using tools like Databricks and Palantir to visualize key model metrics like model drift, Shapley values etc.
* Productionize ML: Build repeatable paths from experimentation to deployment (batch, streaming, and low\-latency endpoints), including feature engineering, training, evaluation,
* Own ML Platform: Stand up and operate core platform components—model registry, feature store, experiment tracking, artifact stores, and standardized CI/CD for ML.
* Pipeline Engineering: Author robust data/ML pipelines (orchestrated with Step Functions / Airflow / Argo) that train, validate, and release models on schedules or events.
* Observability \&amp; Quality: Implement end\-to\-end monitoring, data validation, model/drift checks, and alerting SLA/SLOs.
* Governance \&amp; Risk: Enforce model/version lineage, reproducibility, approvals, rollback plans, auditability, and cost controls aligned to enterprise policies.
* Partner \&amp; Mentor: Collaborate with on\-shore/off\-shore teams; coach data scientists on packaging, testing, and performance; contribute to standards and reviews.
* Hands\-on Delivery: Prototype new patterns; troubleshoot production issues across data, model, and infrastructure layers.
**Required Qualifications**
* Education: Bachelor’s degree in Computer Science, Information Technology, Data Science, or related field.
* Programming: 5\+ years experience with Python (pandas, PySpark, scikit\-learn; familiarity with PyTorch/TensorFlow helpful), bash, experience with Docker.
* ML Experimentation: Design and implement predictive and prescriptive models for regression, classification, and optimization problems. Apply advanced techniques such as structural time series modeling and boosting algorithms (e.g., XGBoost, LightGBM).
* ML Tooling: 5\+ years experience with SageMaker (training, processing, pipelines, model registry, endpoints) or equivalents (Kubeflow, MLflow/Feast, Vertex, Databricks ML).
* Pipelines \&amp; Orchestration: 5\+ years’ experience with Databricks DABS or Airflow or Step Functions, e\-driven designs with EventBridge/SQS/Kinesis.
* Cloud Foundations: 3\+ years experience with AWS/Azure/GCP on various services like ECR/ECS, Lambda, API Gateway, S3, Glue/Athena/EMR, RDS/Aurora (PostgreSQL/MySQL), DynamoDB, CloudWatch, IAM, VPC, WAF.
* Snowflake Foundations: Warehouses, databases, schemas, stages, Snowflake SQL, RBAC, UDF, Snowpark.
* CI/CD: 3\+ years hands\-on experience with CodeBuild/Code Pipeline or GitHub Actions/GitLab; blue/green, canary, and shadow deployments for models and services.
* Feature Pipelines: Proven experience with batch/stream pipelines, schema management, partitioning, performance tuning; parquet/iceberg best practices.
* Testing \&amp; Monitoring: Unit/integration tests for data and models, contract tests for features, reproducible training; data drift/performance monitoring.
* Operational Mindset: Incident response for model services, SLOs, dashboards, runbooks; strong debugging across data, model, and infra layers.
* Soft Skills: Clear communication, collaborative mindset, and a bias to automate \&amp; document.
**Additional Qualification**
* Experience in retail/manufacturing is preferred.
**California Residents Click Below For Privacy Notice**
 https://jobs.advanceautoparts.com/us/en/disclosures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row>
    <row r="30">
      <c r="A30" t="inlineStr">
        <is>
          <t>li-4254365968</t>
        </is>
      </c>
      <c r="B30" t="inlineStr">
        <is>
          <t>Data Scientist, Analytics (Technical Leadership)</t>
        </is>
      </c>
      <c r="C30" t="inlineStr">
        <is>
          <t>Meta</t>
        </is>
      </c>
      <c r="D30" t="inlineStr">
        <is>
          <t>linkedin</t>
        </is>
      </c>
      <c r="E30" t="inlineStr"/>
      <c r="F30" t="inlineStr"/>
      <c r="G30" t="inlineStr">
        <is>
          <t>Washington, DC</t>
        </is>
      </c>
      <c r="H30" t="inlineStr"/>
      <c r="I30" t="inlineStr">
        <is>
          <t>We are seeking experienced Data Scientists to join our team and drive impact across various product areas. As a Data Scientist, you will collaborate with cross\-functional partners to identify and solve complex problems using data and analysis. Your role will involve shaping product development, quantifying new opportunities, and ensuring products bring value to users and the company. You will guide teams using data\-driven insights, develop hypotheses, and employ rigorous analytical approaches to test them. You will tell data\-driven stories, present clear insights, and build credibility with stakeholders. By joining our team, you will become part of a world\-class analytics community dedicated to skill development and career growth in analytics and beyond.
 Data Scientist, Analytics (Technical Leadership) Responsibilities:
* Work with complex data sets to solve challenging problems using analytical and statistical approaches
* Apply technical expertise in quantitative analysis, experimentation, and data mining to develop product strategies
* Identify and measure success through goal setting, forecasting, and monitoring key metrics
* Partner with cross\-functional teams to inform and execute product strategy and investment decisions
* Build long\-term vision and strategy for programs and products
* Collaborate with executives to define and develop data platforms and instrumentation
* Effectively communicate insights and recommendations to stakeholders
* Define success metrics, forecast changes, and set team goals
* Support developing roadmaps and coordinate analytics efforts across teams
 Minimum Qualifications:
* Bachelor's degree in Computer Science, Computer Engineering, relevant technical field, or equivalent practical experience
* Mathematics, Statistics, Operations Research) 5\+ years of experience with data querying languages (e.g. SQL), scripting languages (e.g. Python), or statistical/mathematical software (e.g. R, SAS, Matlab)
* 8\+ years of work experience leading analytics work in IC capacity, working collaboratively with Engineering and cross\-functional partners, and guiding data\-influenced product planning, prioritization and strategy development
* Experience working effectively with and leading complex analytics projects across multiple stakeholders and cross\-functional teams, including Engineering, PM/TPM, Analytics and Finance
* Experience with predictive modeling, machine learning, and experimentation/causal inference methods
* Experience communicating complex technical topics in a clear, precise, and actionable manner
 Preferred Qualifications:
* 10\+ years of experience communicating the results of analyses to leadership teams to influence the strategy
* Masters or Ph.D. Degree in a quantitative field
* Bachelor's Degree in an analytical or scientific field (e.g. Computer Science, Engineering, Mathematics, Statistics, Operations Research)
* 10\+ years of experience doing complex quantitative analysis in product analytics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$210,000/year to $281,000/year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1">
      <c r="A31" t="inlineStr">
        <is>
          <t>li-4366317986</t>
        </is>
      </c>
      <c r="B31" t="inlineStr">
        <is>
          <t>Lead Data Scientist</t>
        </is>
      </c>
      <c r="C31" t="inlineStr">
        <is>
          <t>Alpha Associates Recruitment</t>
        </is>
      </c>
      <c r="D31" t="inlineStr">
        <is>
          <t>linkedin</t>
        </is>
      </c>
      <c r="E31" t="inlineStr"/>
      <c r="F31" t="inlineStr"/>
      <c r="G31" t="inlineStr">
        <is>
          <t>San Francisco, CA</t>
        </is>
      </c>
      <c r="H31" t="inlineStr"/>
      <c r="I31" t="inlineStr">
        <is>
          <t>**Lead Data Scientist (AI / Agentic Systems)** 
**Salary: $180,000–$600,000\+ (Open to multiple seniority levels)** 
 Building the learning backbone for next\-gen, AI\-native platforms where agents don’t just respond \- they adapt, reason, and improve over time.
 This role owns the full loop:
 Data → Experience → Rewards → Feedback → System Adaptation → Product Impact
 You’ll design systems that capture long\-horizon behavior, shape real\-world rewards, prevent drift, and enable agents to plan based on predicted outcomes \- not static models or proxy metrics.
 What they’re open to:
 Senior to Principal / Staff / Lead\-level Data Scientists with hands\-on experience in:
* Agentic systems (LangGraph, LangChain, or equivalent)
* LLM\-enabled production platforms
* Feedback \&amp; reward loop design
* Large\-scale data engineering
* Long\-horizon evaluation, drift detection, and system safety
 If you’ve built systems that learn from experience, not just analyze it, this one’s worth a conversation so please apply immediately!</t>
        </is>
      </c>
    </row>
    <row r="32">
      <c r="A32" t="inlineStr">
        <is>
          <t>li-4354628121</t>
        </is>
      </c>
      <c r="B32" t="inlineStr">
        <is>
          <t>Applied Scientist, Amazon Special Projects</t>
        </is>
      </c>
      <c r="C32" t="inlineStr">
        <is>
          <t>Amazon</t>
        </is>
      </c>
      <c r="D32" t="inlineStr">
        <is>
          <t>linkedin</t>
        </is>
      </c>
      <c r="E32" t="inlineStr"/>
      <c r="F32" t="inlineStr"/>
      <c r="G32" t="inlineStr">
        <is>
          <t>Boston, MA</t>
        </is>
      </c>
      <c r="H32" t="inlineStr"/>
      <c r="I32" t="inlineStr">
        <is>
          <t>**Description**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A3152795</t>
        </is>
      </c>
    </row>
    <row r="33">
      <c r="A33" t="inlineStr">
        <is>
          <t>li-4365994981</t>
        </is>
      </c>
      <c r="B33" t="inlineStr">
        <is>
          <t>Senior Manager, Clinical Data Scientist</t>
        </is>
      </c>
      <c r="C33" t="inlineStr">
        <is>
          <t>Summit Therapeutics, Inc.</t>
        </is>
      </c>
      <c r="D33" t="inlineStr">
        <is>
          <t>linkedin</t>
        </is>
      </c>
      <c r="E33" t="inlineStr"/>
      <c r="F33" t="inlineStr"/>
      <c r="G33" t="inlineStr">
        <is>
          <t>Menlo Park, CA</t>
        </is>
      </c>
      <c r="H33" t="inlineStr"/>
      <c r="I33" t="inlineStr">
        <is>
          <t>**Location: On\-Site 4 days per week at our Menlo Park, CA office**
**Overview Of Role**
 Summit is looking for a highly motivated Sr. Manager/ Principal Clinical Data Scientist to join our growing team. This role will play a critical part in advancing our technology and data\-driven clinical data review and monitoring strategy through automation, analytics, and cross\-functional data support. The ideal candidate will have deep experience in clinical data programming in a biotech industry, an eye for workflow optimization, and a passion for applying technical solutions to improve data quality and operational efficiency.
**Role And Responsibilities** 
* Programming and Automation
+ Use programming expertise to gain insight into clinical data
+ Design and implement automation strategies to streamline clinical data programming workflows
+ Develop and maintain reusable code modules and templates for data cleaning, transformation, and validation
+ Support development of advanced edit checks, derived datasets, and statistical outputs to support data review
+ Collaborate closely with Statistical Programming and Biostatistics to ensure data cleaning efforts are aligned with analysis goals and regulatory submission requirements
+ Leverage AI and machine learning tools to enhance data review efficiency and automate tracking of review activities and data quality issues
* Cross\-Functional Data Support
+ Serve as a design and technical resource to cross\-functional teams including Clinical Operations, Clinical Development, Biostatistics, and Safety
+ Collaborate with Clinical Data Managers to organize complex data sources and support ongoing reviews and data reconciliations
+ Translate functional review needs into scalable data solutions and tools
* Visualization and Dashboard Development
+ Design and develop interactive dashboards to visualize key clinical data, metrics, and workflow statuses
+ Partner with stakeholders to ensure dashboards meet user needs and enable timely, informed decision\-making
+ Monitor dashboard performance, iterate on features, and resolve data integration issues
* Leadership and Collaboration
+ Foster technical growth within the Clinical Data Science team
+ Represent Clinical Data Science in cross\-functional working groups and process improvement efforts
* All other duties as assigned
**Experience, Education And Specialized Knowledge And Skills** 
* Required:
+ Master’s or Bachelor’s degree in Data Science, Biostatistics, Computer Science, Life Sciences, or a related field
+ Minimum of 5\+ years of experience in clinical data programming or clinical data science within a pharmaceutical, biotech, clinical research organizations, or CRO environment
+ Proficiency in R, SAS, or Python, and experience with data visualization tools (e.g., Shiny, Spotfire, Tableau)
+ Demonstrated ability to collaborate with cross\-functional teams and translate non\-technical requirements into technical solutions
* Preferred:
+ Experience with maintaining data visualization systems
+ Experience with Github
+ Familiarity with EDC systems (e.g., Medidata Rave) and other external data sources
+ Understanding of clinical data standards (e.g., CDISC, SDTM) and clinical trial processes
+ Prior experience in oncology or complex therapeutic areas
 The pay range for this role is $170,000 to $190,000 annually.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bonus, stock, benefits and/or other applicable variable compensation.
 Summit does not accept referrals from employment businesses and/or employment agencies in respect of the vacancies posted on this site. All employment businesses/agencies are required to contact Summit’s Talent Acquisition team at recruiting@smmttx.com to obtain prior written authorization before referring any candidates to Summit.</t>
        </is>
      </c>
    </row>
    <row r="34">
      <c r="A34" t="inlineStr">
        <is>
          <t>li-4354589821</t>
        </is>
      </c>
      <c r="B34" t="inlineStr">
        <is>
          <t>Applied Scientist, Amazon Special Projects</t>
        </is>
      </c>
      <c r="C34" t="inlineStr">
        <is>
          <t>Amazon</t>
        </is>
      </c>
      <c r="D34" t="inlineStr">
        <is>
          <t>linkedin</t>
        </is>
      </c>
      <c r="E34" t="inlineStr"/>
      <c r="F34" t="inlineStr"/>
      <c r="G34" t="inlineStr">
        <is>
          <t>Seattle, WA</t>
        </is>
      </c>
      <c r="H34" t="inlineStr"/>
      <c r="I34" t="inlineStr">
        <is>
          <t>**Description**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A3152795</t>
        </is>
      </c>
    </row>
    <row r="35">
      <c r="A35" t="inlineStr">
        <is>
          <t>li-4269544657</t>
        </is>
      </c>
      <c r="B35" t="inlineStr">
        <is>
          <t>Senior Data Scientist - NLP/LLM Specialist</t>
        </is>
      </c>
      <c r="C35" t="inlineStr">
        <is>
          <t>Allison Worldwide</t>
        </is>
      </c>
      <c r="D35" t="inlineStr">
        <is>
          <t>linkedin</t>
        </is>
      </c>
      <c r="E35" t="inlineStr"/>
      <c r="F35" t="inlineStr"/>
      <c r="G35" t="inlineStr">
        <is>
          <t>Chicago, IL</t>
        </is>
      </c>
      <c r="H35" t="inlineStr"/>
      <c r="I35" t="inlineStr">
        <is>
          <t>**About Us**
 We imagine the new. Inspire the next. And use the power of our creativity to help build up those around us.
 At Allison, we provide a limitless environment where you can build, create, and grow. Our openly collaborative and highly supportive culture is free from bureaucracy and red tape. With over 1,000 innovators from diverse backgrounds, we break new ground for world\-class clients across 50 global markets and dozens of industries. We believe in creating a space where everyone can freely express their opinions, share their ideas and dreams for the future, and be themselves.
 We foster an inclusive culture that attracts builders from all backgrounds who can envision new solutions and create outcomes that move our clients' businesses forward, while helping everyone on the team learn and grow together. Our shared ideal of the builder's mindset is limitless and available to everyone, and we push the boundaries to create new and innovative solutions for our clients and ourselves.
 We create lasting impact and relationships, and our culture fosters meaningful connections and friendships that last beyond the workplace. If you're ready to join a team that pushes you to be your best, supports you every step of the way, and celebrates your successes, welcome to Allison.
**Overview**
**About the Job**
 We are seeking an exceptional
 **Senior Data Scientist** 
 with deep expertise in Natural Language Processing and Large Language Models to join our consulting practice. You'll work directly with Fortune 500 clients to solve complex business challenges using state\-of\-the\-art AI technologies across diverse industries.
**Ideal Candidate Profile**
 You combine academic rigor with practical engineering skills and exceptional client communication abilities. You will work end\-to\-end from project initiation through client delivery, comfortable both building sophisticated algorithms and presenting findings directly to clients. You excel at automating repetitive tasks and developing reusable frameworks that scale across multiple engagements. You should be comfortable implementing cutting\-edge research while translating complex technical concepts into actionable business strategies. Strong presentation skills and the ability to build trust with senior executives are essential.
**Responsibilities**
* Lead client workshops and discovery sessions to identify NLP opportunities
* Develop and present technical proposals to C\-level executives
* Manage multiple client projects simultaneously while maintaining quality and timelines
* Design and implement novel NLP solutions for complex business problems
* Architect scalable solutions for processing and analyzing large text corpora
* Build custom language models tailored to each client's unique industry challenges
* Automate repetitive analytical tasks and develop reusable algorithmic frameworks
* Mentor junior data scientists and provide technical guidance on NLP projects
* Develop automated content analysis, document processing, and customer insight systems
* Create scalable text analytics platforms that drive measurable business outcomes
* Work across retail, finance, healthcare, and media sectors
* Translate complex AI capabilities into clear business value propositions
**Technical Environment**
* Languages: Python (primary), R, SQL, potentially C\+\+ for optimization
* ML Frameworks: PyTorch, TensorFlow, Hugging Face Transformers
* Infrastructure: Kubernetes, Docker, cloud platforms (AWS/GCP/Azure)
* Tools: MLflow, Weights \&amp; Biases, Apache Airflow, Spark, Vector databases
**Required**
**Qualifications**
* PhD in Computer Science, Computational Linguistics, Statistics, Mathematics, Economics, Econometrics, or related quantitative field
* Minimum 5 years of professional experience in data science, machine learning, or related roles
* Advanced NLP expertise: Deep understanding of transformer architectures, attention mechanisms, and modern NLP techniques
* Large Language Model proficiency: Hands\-on experience with LLM fine\-tuning, prompt engineering, RLHF, and deployment at scale
* Programming mastery: Expert\-level Python, with strong knowledge of PyTorch/TensorFlow, Hugging Face ecosystem
* MLOps \&amp; Infrastructure: Experience with model deployment, monitoring, and scaling in production environments
* Experience writing production code and ensuring well\-managed software delivery
* Experience with foundation models (GPT, BERT, T5, LLaMA, etc.)
* Knowledge of retrieval\-augmented generation (RAG) systems
* Understanding of model compression techniques (quantization, distillation, pruning)
* Experience with evaluation metrics and benchmarking for language models
**Preferred**
* Experience in consulting or client\-facing technical roles
* Knowledge of specialized domains (healthcare NLP, legal AI, financial text analysis)
* Cloud platform expertise (AWS SageMaker, Google Cloud AI, Azure ML)
* Open\-source contributions to major ML/NLP libraries
**Benefits**
* Hybrid work environment with home and office schedule (2\+ days in office per week) and work from anywhere weeks
* Comprehensive health benefits (healthcare, vision, dental, pet, home, and auto insurance)
* Generous time off policies (unlimited paid time off, wellness days, national holidays, summer Fridays)
* Four\-week sabbatical every five consecutive years of employment
* Exceptional parental leave benefits
* Global mentorship and networking programs
* Monthly cell phone reimbursement
* 401k savings and employee stock purchase plan
* Volunteer hours (20 hours annually) for designated non\-profit partner and personal choice
* Globally driven inclusive initiatives (Employee Advocacy Groups, equity committee)
* Career growth opportunities, such as Allison University (multi\-day customized trainings for each level)
**Equal Opportunities**
 Our mission is to create a positive and entrepreneurial environment where talented people thrive on creativity. We celebrate inclusivity and are committed to providing an inclusive environment for our employees. We do not tolerate discrimination or harassment of any kind and are committed to building an agency where everyone is welcome, and every voice is heard. We are proud to be an equal opportunity employer.
 In order to comply with equal pay and salary transparency laws in various locations, we believe the target range of base compensation in all locations within the United States for this role is $155k\-$240k. Actual compensation is influenced by a wide array of factors including but not limited to skill set, level of experience, and location.
 In addition to medical, dental and vision coverage, we offer a generous unlimited PTO plan, 401k program and comprehensive benefits plan. Additional perks and benefits include a month\-long sabbatical, active employee advocacy groups, globally driven inclusivity initiatives, wellness days, summer Fridays and learning and development programs for our employees.
 \#executive</t>
        </is>
      </c>
    </row>
    <row r="36">
      <c r="A36" t="inlineStr">
        <is>
          <t>li-4343729874</t>
        </is>
      </c>
      <c r="B36" t="inlineStr">
        <is>
          <t>Lead Data Scientist - GM Protection</t>
        </is>
      </c>
      <c r="C36" t="inlineStr">
        <is>
          <t>GM Financial</t>
        </is>
      </c>
      <c r="D36" t="inlineStr">
        <is>
          <t>linkedin</t>
        </is>
      </c>
      <c r="E36" t="inlineStr"/>
      <c r="F36" t="inlineStr"/>
      <c r="G36" t="inlineStr">
        <is>
          <t>Fort Worth, TX</t>
        </is>
      </c>
      <c r="H36" t="inlineStr"/>
      <c r="I36" t="inlineStr">
        <is>
          <t>**Job Description**
**Why GM Financial?**
 GM Financial is the wholly owned captive finance subsidiary of General Motors and is headquartered in Fort Worth, U.S. We are a global provider of auto finance solutions, with operations in North America, South America and the Asia Pacific region. Through our long\-standing relationships with auto dealers, we offer attractive retail financing and lease programs to meet the needs of each customer. We also offer commercial lending products to dealers to help them finance and grow their businesses.
 At GM Financial, our team members define and shape our culture — an environment that welcomes new ideas, fosters integrity and creates a sense of community and belonging. Here we do more than work — we thrive.
 Our Purpose: We pioneer the innovations that move and connect people to what matters
**Responsibilities**
**About the role:**
 GM Financial is targeting significant growth as it transforms the Protection/Insurance Products into a full captive platform. Our team is responsible for bringing the branded General Motors F\&amp;I products to market and we work hands on with our dealer partners to improve performance in their F\&amp;I department. To provide the most competitive products and business insights, we are building advanced data and analytics capabilities.
 The Lead Data Scientist will play a critical role in advancing data science solutions that drive marketing effectiveness and optimize claims management for GM Protection. This position will lead the end\-to\-end design, development, deployment, and maintenance of advanced analytical and AI\-driven systems, ensuring robust, scalable, and production\-ready solutions. As a senior technical expert, you will guide projects from concept to production, embedding automation and engineering rigor into workflows to enable continuous integration and reliable delivery. The role demands deep expertise in quantitative methods, strong knowledge of data ecosystems and modern tooling, and a commitment to engineering excellence through code quality, peer reviews, and best practices. You will collaborate closely with cross\-functional teams to translate business objectives into actionable solutions, mentor other data scientists, and champion innovation and operational discipline across the data science lifecycle.
**In This Role You Will**
* ﻿Provide leadership, coaching, and/or mentoring to data science team
* Lead the design, development and deployment of advanced mathematical and AI/ML solutions, including NLP and LLM\-based systems.
* Apply advanced analytics to uncover patterns, detect anomalies, and model sequential behaviors in complex datasets.
* Drive engineering excellence through code reviews, quality standards, and mentoring across the data science team.
* Establish monitoring frameworks for model performance, drift detection, and continuous improvement.
* Ensure delivered products meet key business metrics, collaborate with partners to translate objectives into actionable solutions, and advise leadership on strategic use of analytics.
* Seek needed information and conduct research projects from design through analysis, summarizing findings and communicating insights, recommendations and implications to senior leadership.
* Prioritize effectively and deliver results within deadlines in a fast\-paced environment.
**Qualifications**
**What makes you an ideal candidate?**
* ﻿Strong quantitative, analytical and data interpretation skills with a solid foundation of mathematics, probability, and statistics
* Advanced knowledge and demonstrated understanding of applied methodologies including least squares regression, logistic regression, sampling methodologies, time series, survival analysis, cluster analysis, categorical data analysis, decision trees, multivariate methodologies, non\-parametric techniques, principal components, and linear programming techniques as well as hands\-on experience with NLP, LLMs, and Agentic RAG\-based solutions
* Advanced skills and proficiency in Python, SAS, SQL
* Ability to design and implement model deployment, documentation and monitoring protocols
* Comprehensive knowledge and experience with data engineering, and data analysis techniques in cloud environments (Azure/Databricks/AWS/GCP)
* Strong written and verbal presentation skills with an ability to communicate effectively with Senior Management by making complex concepts easy to understand
* Ability to be curious, ask questions, explore, and be creative when analyzing data and business problems
* Ability to interact collaboratively with internal and external customers
* Capable of managing multiple and varied projects, including the ability to coordinate and balance numerous tasks in a time\-sensitive environment, under pressure
* Domain experience in automotive, telematics, warranty and claim operations
**Experience**
* 5\-7 years in related field or function required
* Experience leading through mentorship in related field preferred
* Experience leading projects and initiatives through influence preferred
* High School Diploma or equivalent required
* Master’s Degree or PhD in Statistics, Applied Mathematics, Econometrics, Economics, Operations Research, Industrial Engineering, Computer Science, Physics or similar quantitative field required (a combination of education, certifications, and/or work experience may be considered in lieu of an advanced degree)
**What We Offer:** 
 Generous benefits package available on day one to include: 401K matching, bonding leave for new parents (12 weeks, 100% paid), tuition assistance, training, GM employee auto discount, community service pay and nine company holidays.
**Our Culture:**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minimum of 2\-days a week in Fort Worth, TX
***We cannot provide any visa sponsorship for this role now or in the future.***</t>
        </is>
      </c>
    </row>
    <row r="37">
      <c r="A37" t="inlineStr">
        <is>
          <t>li-4354180691</t>
        </is>
      </c>
      <c r="B37" t="inlineStr">
        <is>
          <t>Data Engineer / Data Scientist / Data Architect - Full time</t>
        </is>
      </c>
      <c r="C37" t="inlineStr">
        <is>
          <t>Ztek Consulting</t>
        </is>
      </c>
      <c r="D37" t="inlineStr">
        <is>
          <t>linkedin</t>
        </is>
      </c>
      <c r="E37" t="inlineStr"/>
      <c r="F37" t="inlineStr"/>
      <c r="G37" t="inlineStr">
        <is>
          <t>Vienna, VA</t>
        </is>
      </c>
      <c r="H37" t="inlineStr"/>
      <c r="I37" t="inlineStr">
        <is>
          <t>Below are the 3 roles open:
 1\) Data Engineer
 2\) Data Scientist
 3\) Data Architect
**Job Descriptions:** 
**Data Engineer** 
* Design, build, and optimize batch and real\-time data pipelines using Python, SQL, Airflow, Kafka, and AWS Glue
* Lead scalable ETL and data lake architectures across distributed cloud environments
* Ensure data quality, governance, security, and compliance while supporting analytics and data science needs
* Mentor junior engineers and collaborate with stakeholders to deliver reliable, well\-documented data solutions
**Data Scientist** 
* 3\+ years of experience in statistical modeling and applied data analysis, including regression, classification, clustering, and time\-series analysis
* Proficient in Python or R, with hands\-on experience in data wrangling, visualization, and model development
* Strong experience with SQL/Spark SQL, basic data modeling, and cloud platforms (AWS, Azure, or GCP)
* Excellent ability to communicate complex insights and manage multiple priorities effectively
**Data Architect:** 
* Lead and mentor data engineering teams while architecting and building enterprise\-scale data platforms from design through production
* Develop and optimize production\-grade ETL/ELT pipelines, data models, and data warehouses using Python, SQL, PySpark, and cloud platforms (AWS/GCP)
* Implement CI/CD, data governance, quality frameworks, and secure, compliant data solutions aligned with federal/VA standards
* Collaborate with cross\-functional stakeholders to translate business requirements into scalable, high\-quality data solutions</t>
        </is>
      </c>
    </row>
    <row r="38">
      <c r="A38" t="inlineStr">
        <is>
          <t>li-4343831624</t>
        </is>
      </c>
      <c r="B38" t="inlineStr">
        <is>
          <t>Senior Applied Scientist - Agentic AI</t>
        </is>
      </c>
      <c r="C38" t="inlineStr">
        <is>
          <t>Oracle</t>
        </is>
      </c>
      <c r="D38" t="inlineStr">
        <is>
          <t>linkedin</t>
        </is>
      </c>
      <c r="E38" t="inlineStr"/>
      <c r="F38" t="inlineStr"/>
      <c r="G38" t="inlineStr">
        <is>
          <t>New York, NY</t>
        </is>
      </c>
      <c r="H38" t="inlineStr"/>
      <c r="I38"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optimization.We are seeking a Senior Applied Scientist (with a PhD preferably) to perform innovation in AI agents for enterprise analytics—focusing on planning, multi\-step reasoning, and tool\-augmented execution with large language models over unstructured data (documents, logs, emails, multimodal artifacts). You will design agent architectures, memory and planning systems, retrieval and grounding pipelines, and evaluation frameworks that deliver reliable, auditable, and cost\-efficient enterprise outcomes. You will partner closely with research engineers and product teams to ship agentic systems to production, rigorously evaluate reasoning quality and safety, and drive measurable customer and business impact.
**Responsibilities**
 Responsibilities:
* Perform end\-to\-end agentic system development: define agent goals and decomposition strategies; design planners, controllers, and executors; implement tool\-use orchestration (APIs, SQL, vector search, code execution) and robust recovery/rollback.
* Advance planning and reasoning: hierarchical/task planning, self\-reflection and critique, debate/tree\-search methods, constraint satisfaction, and chain\-of\-thought/toolformer\-style approaches to improve correctness, faithfulness, and robustness.
* Ground LLMs on unstructured data: build retrieval and indexing over documents, semi\-structured data
* Ensure safety, privacy, and compliance: content safety policies, least\-privilege tool access, execution sandboxes, prompt/memory redaction, PII handling, and governance appropriate for regulated enterprise settings; implement interpretable action logs.
* Productionize agentic solutions: collaborate with platform teams to ship planning/orchestration services and evaluation harnesses; implement observability, telemetry, canarying, rollback, and lifecycle management for agent workflows.
* Stay current with research and translate advances into production differentiators; mentor teammates and contribute to a culture of scientific rigor and impact.
**Minimum Qualifications**
* PhD in Computer Science, Machine Learning, Statistics, Electrical Engineering, or related field with a focus relevant to LLMs, planning/reasoning, NLP, or autonomous/interactive systems.
* Experience (industry or applied research) building and deploying ML/LLM systems, including agentic workflows, retrieval/grounding, and evaluation at scale.
* Demonstrated expertise in agentic methods: multi\-step planning, tool\-use orchestration, reflection/critique, and structured reasoning (e.g., CoT, programmatic planning).
* Strong background in retrieval over unstructured data, RAG architectures, document preprocessing, indexing, and provenance tracking for accuracy, safety, and robustness.
* Proficient in Python and modern ML stacks: PyTorch/JAX, Transformers, vector databases/IR libraries, orchestration frameworks; solid software engineering practices and experimentation discipline.
* Track record of publications in top venues (e.g., NeurIPS, ICML, ICLR, ACL, EMNLP, NAACL) or equivalent demonstrated impact in production systems.
**Preferred Qualifications**
* Experience designing data/feedback pipelines for agent evaluation: step\-level labeling, trace audits, and active learning for hard cases; familiarity with bias/variance trade\-offs.
* Knowledge of search/planning and decision\-making: tree search, bandits for tool/model selection, off\-policy evaluation for policy changes, and statistical testing for online experiments.
* Familiarity with LLM efficiency and serving: PEFT/LoRA/QLoRA, quantization, KV cache management, batching, speculative decoding, routing across models/skills, and throughput/latency trade\-offs.
* Experience integrating safety/guardrails and policy enforcement: sandboxed tool execution, OAuth/secret management, rate\-limiting, jailbreak/prompt\-injection defenses, and privacy\-preserving telemetry aligned with enterprise compliance.
* Comfortable collaborating across research, engineering, product, and legal/compliance; excellent communication skills to explain methods and results to technical and non\-technical stakeholders.
* Practical experience with experiment tracking, model registries, CI/CD for ML, and production observability for agent traces and actions.
 Career Level \- IC3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9">
      <c r="A39" t="inlineStr">
        <is>
          <t>li-4327777173</t>
        </is>
      </c>
      <c r="B39" t="inlineStr">
        <is>
          <t>Data Scientist II, Senior</t>
        </is>
      </c>
      <c r="C39" t="inlineStr">
        <is>
          <t>American Bureau of Shipping (ABS)</t>
        </is>
      </c>
      <c r="D39" t="inlineStr">
        <is>
          <t>linkedin</t>
        </is>
      </c>
      <c r="E39" t="inlineStr"/>
      <c r="F39" t="inlineStr"/>
      <c r="G39" t="inlineStr">
        <is>
          <t>Houston, TX</t>
        </is>
      </c>
      <c r="H39" t="inlineStr"/>
      <c r="I39" t="inlineStr">
        <is>
          <t>**Job Description**
 The Senior Data Scientist II analyzes complex structured and unstructured data using state\-of\-the\-art data science methods for data driven decision making. Develop algorithms that enable machines to perform tasks that typically require human intelligence. Moreover, this role uses both knowledge of data science and Artificial Intelligence methods and applies them to solve real world problems. The Senior Data Scientist II mentors junior team members, leads development of data products, communicates complex solutions effectively, and guides decision\-making within the organization.
**What You Will Do:**
* Apply advanced data science concepts to deliver data\-driven digital offerings and insights using Databricks Lakehouse architecture.
* Utilize modern machine learning methods and domain understanding to support the creation of new products and services, leveraging MLflow for experiment tracking and model lifecycle management.
* Collaborate with data and analytics teams and cross\-functional departments such as digital, services, class, and engineering to build scalable ML solutions and deliver actionable insights.
* Write independent source code in Python, PySpark, and SQL, validate and test models, and use Databricks Feature Store for consistent feature reuse and governance.
* Design and implement robust data architectures using Delta Lake and manage data assets securely via Unity Catalog and Azure Data Lake.
* Combine Agile methodologies with data science practices to build advanced analytics and AI products using Databricks Workflows and Azure ML Pipelines.
* Develop, test, deploy, and maintain machine learning and AI models using Databricks Runtime for ML, ensuring scalability, performance, and governance.
* Lead the data\-driven decision\-making process, from data collection and analysis to implementation and monitoring of solutions using Databricks Jobs, CI/CD pipelines, and Azure DevOps.
* Support organizational decision\-making based on the results of analytics efforts, ensuring traceability and governance via Unity Catalog and Azure Purview.
* Work independently on data engineering, preprocessing, and preparation tasks using Databricks Notebooks, SQL Warehouses, and Azure Synapse Analytics.
* Mentor data scientists, ASPIRES, and interns, providing guidance and support in their professional development and technical growth.
* Evaluate and partner with external customers, vendors, university relations, and other teams to drive innovation and collaboration.
* Stay current in the field of AI and advanced analytics, with a focus on innovations within the Databricks, Azure, and OpenAI ecosystems, including LLMs, GenAI, and MLOps.
* Develop and deploy scalable and interpretable data products per business\-defined requirements using Databricks Repos, Model Serving, and Azure Machine Learning.
**What You Will Need:**
 Education and Experience
* Bachelor’s Degree in Data Science, Information Systems, Computer Science, Engineering or other relevant field with relevant experience.
* Required \-5 or more years of experience in Data Science, Information Systems, Computer Science, Engineering, or other field with relevant experience.
* Preferred \- Master’s Degree in Data Science, Data Analytics, Information Systems, Computer Science, Engineering or other relevant field. Preferred \- 1 or more years of work experience as a Sr Data Scientist, demonstrating leadership on projects involving applied AI and Machine Learning
**Knowledge, Skills, And Abilities**
* Strong written and verbal communications skills
* Strong written and verbal communication skills, with the ability to translate complex data into actionable insights.
* Experienced in working with cross\-functional teams to understand business challenges and deliver data\-driven solutions.
* Proficient in machine learning, data mining, statistical analysis, and applied AI methods using Databricks, Azure ML, and Dataiku.
* Skilled in developing scalable ML solutions and translating analytics into business impact.
* Advanced proficiency in Python, PySpark, SQL, and tools such as Jupyter, VS Code, and MLflow.
* Experience with database technologies and architectures including Delta Lake, Azure Data Lake, SQL Warehouses, and Synapse Analytics.
* Hands\-on experience with AutoML platforms such as Dataiku, and familiarity with Azure AutoML.
* Deep understanding of Azure Cloud resources, including Azure Machine Learning, Azure DevOps, Azure Cognitive Search, and Azure OpenAI.
* Familiarity with Generative AI solutions, Large Language Models, and NLP frameworks like Hugging Face Transformers.
* Ability to develop a working knowledge of ABS Rules, Guides, statutory regulations, and related instructions, as well as the ABS Employee Safety Policy.
 It Would Be Nice If You Have:
* Career Essentials in Generative AI by Microsoft and LinkedIn
* Build Your Generative AI Productivity Skills with Microsoft and LinkedIn
* Azure AI Fundamentals
* Azure Data Scientist Associate
* Azure AI Engineer Associate/Databricks Certification
**Reporting Relationships:**
 Reports to Senior Manager on Data and Analytics team
**Notice:**
 This position requires access to information that is subject to control by the Export Administration Regulations and/or the International Traffic in Arms Regulations. Any offer of employment shall be contingent upon the Company’s verification that the candidate is a “U.S. Person” or upon the receipt of all necessary export licenses or authorizations that may be required by U.S. export control laws. “U.S. Persons” are defined as U.S. citizens, U.S. lawful permanent residents (i.e., “green card” holders), or any individual granted protected status under the Immigration and Nationality Act (8 U.S.C.
* 1324b(a)(3\)), including asylees and refugees. In the event a candidate refuses or cannot otherwise provide the necessary information for the Company to determine whether such licenses may be required, or for the Company to obtain any required licenses, the Company shall maintain the exclusive right to discontinue the application process and/or withdraw any contingent offer that has been made.
**About Us**
 We set out more than 160 years ago to promote the security of life and property at sea and preserve the natural environment. Today, we remain true to our mission and continue to support organizations facing a rapidly evolving seascape of challenging regulations and new technologies. Through it all, we are anchored by a vision and mission that help our clients find clarity in uncertain times.
 ABS is a global leader in marine and offshore classification and other innovative safety, quality, and environmental services. We’re at the forefront of supporting the global energy transition at sea, the application of remote and autonomous marine systems, cutting\-edge technical solutions, and many more exciting advancements. Our commitment to safety, reliability, and efficiency is ever\-present, guiding our clients to safer and more efficient operations.
**About Our Benefits**
 ABS Bureau proudly offers a variety of industry\-leading benefits designed to enhance the life and well\-being of our employees and their families. These benefits include, but are not limited to, medical insurance (PPO and HD), dental and vision insurance, Health Savings Account (HSA), Flexible Savings Account (FSA), life insurance, accidental death and dismemberment insurance, disability leave programs, parental leave program, paid holidays, and paid vacation time. The Company provides an Employee Assistance Plan (EAP) that offers support in personal wellness, including work\-life services. ABS Bureau also offers a 401K plan with a generous company match, subject to plan requirements.
**Equal Opportunity**
 ABS Bureau is committed to the equal employment opportunity of its employees and prohibits discrimination against any employee or qualified applicant based on race, color, creed, religion, national origin, sex, gender identity, age, disability, marital status, sexual orientation, citizenship status or veteran status, or other non\-work\-related characteristics that may be protected under the law of the Federal Government or specific state employment laws.
**Notice**
 ABS and Affiliated Companies (ABS) will not pay a fee to any third\-party agency without a valid ABS Master Service Agreement (MSA) authorized and signed by Human Resources. Any resume, CV, application, or other forms of candidate submission provided to any employee of ABS without a valid MSA on file will be considered property of ABS, and no fee will be paid.
**Other**
 This job description is not intended, and should not be construed, to be an all\-inclusive list of responsibilities, skills, efforts or working conditions associated with the job of the incumbent. It is intended to be an accurate reflection of the principal job elements essential for making a fair decision regarding the pay structure of the job. \#ogjs</t>
        </is>
      </c>
    </row>
    <row r="40">
      <c r="A40" t="inlineStr">
        <is>
          <t>li-4343831626</t>
        </is>
      </c>
      <c r="B40" t="inlineStr">
        <is>
          <t>Senior Applied Scientist - Agentic AI</t>
        </is>
      </c>
      <c r="C40" t="inlineStr">
        <is>
          <t>Oracle</t>
        </is>
      </c>
      <c r="D40" t="inlineStr">
        <is>
          <t>linkedin</t>
        </is>
      </c>
      <c r="E40" t="inlineStr"/>
      <c r="F40" t="inlineStr"/>
      <c r="G40" t="inlineStr">
        <is>
          <t>Seattle, WA</t>
        </is>
      </c>
      <c r="H40" t="inlineStr"/>
      <c r="I40"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optimization.We are seeking a Senior Applied Scientist (with a PhD preferably) to perform innovation in AI agent evaluation and user experience (UX), and to advance machine learning for structured data at enterprise scale. You will define evaluation frameworks for multi\-step, tool\-using agents; design user\-centric studies and telemetry; and build robust metrics that connect agent behavior to measurable user and business outcomes. You will also develop and productionize ML methods for structured/tabular data—including forecasting, anomaly detection, and causal insights—that power analytic workflows and agent decision\-making. You will partner closely with research engineers, product/UX, and platform teams to ship reliable, safe, and delightful agent experiences into production.
**Responsibilities**
 Responsibilities:
* Perform end\-to\-end agent evaluation programs: establish task taxonomies, gold standards, and reproducible scenarios for tool\-using and planning agents across BI, SQL, and data preparation workflows; design rubric\-based and pairwise evaluations to measure correctness, grounding, and traceability.
* Stay current with research and translate advances into production differentiators; mentor teammates and contribute to a culture of scientific rigor and impact.
**Minimum Qualifications**
* PhD in Computer Science, Machine Learning, Human\-Computer Interaction, Statistics, Electrical Engineering, or related field with focus relevant to AI agents, evaluation/UX, or structured data ML.
* Experience (industry or applied research) building and evaluating ML systems, including agentic workflows, UX research for AI products, and structured/tabular ML in production.
* Demonstrated expertise in human/AI evaluation: rubric and study design, telemetry and instrumentation, A/B testing, and statistical analysis; ability to connect evaluation metrics to product outcomes.
* Strong background in structured data ML: feature engineering, time series forecasting, anomaly detection, causal inference, and robustness for enterprise datasets; proficiency with SQL and data warehousing concepts.
* Proficient in Python and modern ML stacks (e.g., PyTorch/JAX) and libraries for evaluation and experimentation; solid software engineering practices, experiment tracking, and reproducibility discipline.
* Track record of publications in top venues (e.g., NeurIPS, ICML, NAACL, ICLR, ACL, CHI) or equivalent evidence of impact.
**Preferred Qualifications**
* Experience building scalable evaluation platforms for tool\-using agents
* Expertise in UX research methods for AI
* Knowledge of planning and tool\-use policies
* Familiarity with efficiency and serving: batching, KV cache management, quantization/PEFT for cost/latency trade\-offs; observability and alerting for agent behavior drifts.
* Experience integrating safety/guardrails, policy enforcement, and privacy\-preserving telemetry into production workflows aligned with enterprise compliance.
* Comfortable collaborating across research, engineering, product, and legal/compliance; excellent communication skills to explain methods and results to technical and non\-technical stakeholders.
 Career Level \- IC3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1">
      <c r="A41" t="inlineStr">
        <is>
          <t>li-4355975022</t>
        </is>
      </c>
      <c r="B41" t="inlineStr">
        <is>
          <t>Senior Principal Applied Scientist - AI Infrastructure Innovation</t>
        </is>
      </c>
      <c r="C41" t="inlineStr">
        <is>
          <t>Oracle</t>
        </is>
      </c>
      <c r="D41" t="inlineStr">
        <is>
          <t>linkedin</t>
        </is>
      </c>
      <c r="E41" t="inlineStr"/>
      <c r="F41" t="inlineStr"/>
      <c r="G41" t="inlineStr"/>
      <c r="H41" t="inlineStr"/>
      <c r="I41" t="inlineStr">
        <is>
          <t>**Job Description**
 As a Senior Principal Applied Scientist on OCI’s AI Innovation team, you’ll shaping Oracle’s next generation AI infrastructure. You will bring foresight into concrete requirements for training and serving models at massive scale. Your evidence\-backed insights will guide where we invest across the stack so OCI’s AI Infra offerings are ready for what is coming in the future.
 This role requires a deep understanding of machine learning techniques, including foundation model evaluation, traditional NLP/CV metrics, human evaluation, confidence estimation, agentive application evaluation, and RAG application evaluation. The successful candidate will have experience in conducting in\-depth research, producing production\-ready code, and collaborating with cross\-functional teams to integrate evaluation capabilities into various products. A strong background in programming languages, such as Python, and experience with machine learning frameworks, such as TensorFlow or PyTorch, is also required.
 In this role, you will lead deep research and rigorous evaluation of LLMs and related systems, designing benchmarks that capture quality, latency, cost, and reliability in real production settings. Expect to prototype new training and inference methods and run large\-scale experiments that reveal scaling behavior and bottlenecks.
 A PhD in Computer Science, Mathematics, Statistics, Physics, Linguistics, or a related field, with a dissertation or thesis centered on machine learning techniques, is preferred, although a Master's or Bachelor's degree with relevant experience will also be considered.
**Responsibilities**
* Research and Development: Conduct in\-depth research on foundation model evaluation, including traditional NLP/CV metrics, LLMaaJ techniques, human evaluation, confidence estimation, agentive application evaluation, and RAG application evaluation. Produce production\-ready code for handoff of POC applications to counterparts in Engineering.
* Collaboration: Work closely with cross\-functional teams to integrate evaluation capabilities into various applications and products.
* Innovation: Identify new opportunities for evaluation and explore emerging technologies.
* Stay Updated: Maintain a deep understanding of industry trends and advancements in evaluation.
**Qualifications and Experience:**
* PhD Computer Science, Mathematics, Statistics, Physics, Linguistics or a related field (with a dissertation, thesis or final project centered in Machine Learning/Deep Learning/Generative AI/Computational Linguistics) and a minimum of 4 years work experience. Candidates without a PhD but with 5\+ additional years' experience will be considered.
* Strong publication record, including as a lead author or reviewer, in top\-tier journals or conferences.
* Extensive experience in generative AI and model/application evaluation.
* Strong understanding of machine learning algorithms and architectures
* Excellent problem\-solving and analytical skills
* Strong leadership and communication abilities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2">
      <c r="A42" t="inlineStr">
        <is>
          <t>li-4355955062</t>
        </is>
      </c>
      <c r="B42" t="inlineStr">
        <is>
          <t>Senior Principal Applied Scientist - AI Infrastructure Innovation</t>
        </is>
      </c>
      <c r="C42" t="inlineStr">
        <is>
          <t>Oracle</t>
        </is>
      </c>
      <c r="D42" t="inlineStr">
        <is>
          <t>linkedin</t>
        </is>
      </c>
      <c r="E42" t="inlineStr"/>
      <c r="F42" t="inlineStr"/>
      <c r="G42" t="inlineStr"/>
      <c r="H42" t="inlineStr"/>
      <c r="I42" t="inlineStr">
        <is>
          <t>**Job Description**
 As a Senior Principal Applied Scientist on OCI’s AI Innovation team, you’ll shaping Oracle’s next generation AI infrastructure. You will bring foresight into concrete requirements for training and serving models at massive scale. Your evidence\-backed insights will guide where we invest across the stack so OCI’s AI Infra offerings are ready for what is coming in the future.
 This role requires a deep understanding of machine learning techniques, including foundation model evaluation, traditional NLP/CV metrics, human evaluation, confidence estimation, agentive application evaluation, and RAG application evaluation. The successful candidate will have experience in conducting in\-depth research, producing production\-ready code, and collaborating with cross\-functional teams to integrate evaluation capabilities into various products. A strong background in programming languages, such as Python, and experience with machine learning frameworks, such as TensorFlow or PyTorch, is also required.
 In this role, you will lead deep research and rigorous evaluation of LLMs and related systems, designing benchmarks that capture quality, latency, cost, and reliability in real production settings. Expect to prototype new training and inference methods and run large\-scale experiments that reveal scaling behavior and bottlenecks.
 A PhD in Computer Science, Mathematics, Statistics, Physics, Linguistics, or a related field, with a dissertation or thesis centered on machine learning techniques, is preferred, although a Master's or Bachelor's degree with relevant experience will also be considered.
**Responsibilities**
* Research and Development: Conduct in\-depth research on foundation model evaluation, including traditional NLP/CV metrics, LLMaaJ techniques, human evaluation, confidence estimation, agentive application evaluation, and RAG application evaluation. Produce production\-ready code for handoff of POC applications to counterparts in Engineering.
* Collaboration: Work closely with cross\-functional teams to integrate evaluation capabilities into various applications and products.
* Innovation: Identify new opportunities for evaluation and explore emerging technologies.
* Stay Updated: Maintain a deep understanding of industry trends and advancements in evaluation.
**Qualifications and Experience:**
* PhD Computer Science, Mathematics, Statistics, Physics, Linguistics or a related field (with a dissertation, thesis or final project centered in Machine Learning/Deep Learning/Generative AI/Computational Linguistics) and a minimum of 4 years work experience. Candidates without a PhD but with 5\+ additional years' experience will be considered.
* Strong publication record, including as a lead author or reviewer, in top\-tier journals or conferences.
* Extensive experience in generative AI and model/application evaluation.
* Strong understanding of machine learning algorithms and architectures
* Excellent problem\-solving and analytical skills
* Strong leadership and communication abilities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3">
      <c r="A43" t="inlineStr">
        <is>
          <t>li-4355964912</t>
        </is>
      </c>
      <c r="B43" t="inlineStr">
        <is>
          <t>Senior Principal Applied Scientist - AI Infrastructure Innovation</t>
        </is>
      </c>
      <c r="C43" t="inlineStr">
        <is>
          <t>Oracle</t>
        </is>
      </c>
      <c r="D43" t="inlineStr">
        <is>
          <t>linkedin</t>
        </is>
      </c>
      <c r="E43" t="inlineStr"/>
      <c r="F43" t="inlineStr"/>
      <c r="G43" t="inlineStr">
        <is>
          <t>Seattle, WA</t>
        </is>
      </c>
      <c r="H43" t="inlineStr"/>
      <c r="I43" t="inlineStr">
        <is>
          <t>**Job Description**
 As a Senior Principal Applied Scientist on OCI’s AI Innovation team, you’ll shaping Oracle’s next generation AI infrastructure. You will bring foresight into concrete requirements for training and serving models at massive scale. Your evidence\-backed insights will guide where we invest across the stack so OCI’s AI Infra offerings are ready for what is coming in the future.
 This role requires a deep understanding of machine learning techniques, including foundation model evaluation, traditional NLP/CV metrics, human evaluation, confidence estimation, agentive application evaluation, and RAG application evaluation. The successful candidate will have experience in conducting in\-depth research, producing production\-ready code, and collaborating with cross\-functional teams to integrate evaluation capabilities into various products. A strong background in programming languages, such as Python, and experience with machine learning frameworks, such as TensorFlow or PyTorch, is also required.
 In this role, you will lead deep research and rigorous evaluation of LLMs and related systems, designing benchmarks that capture quality, latency, cost, and reliability in real production settings. Expect to prototype new training and inference methods and run large\-scale experiments that reveal scaling behavior and bottlenecks.
 A PhD in Computer Science, Mathematics, Statistics, Physics, Linguistics, or a related field, with a dissertation or thesis centered on machine learning techniques, is preferred, although a Master's or Bachelor's degree with relevant experience will also be considered.
**Responsibilities**
* Research and Development: Conduct in\-depth research on foundation model evaluation, including traditional NLP/CV metrics, LLMaaJ techniques, human evaluation, confidence estimation, agentive application evaluation, and RAG application evaluation. Produce production\-ready code for handoff of POC applications to counterparts in Engineering.
* Collaboration: Work closely with cross\-functional teams to integrate evaluation capabilities into various applications and products.
* Innovation: Identify new opportunities for evaluation and explore emerging technologies.
* Stay Updated: Maintain a deep understanding of industry trends and advancements in evaluation.
**Qualifications and Experience:**
* PhD Computer Science, Mathematics, Statistics, Physics, Linguistics or a related field (with a dissertation, thesis or final project centered in Machine Learning/Deep Learning/Generative AI/Computational Linguistics) and a minimum of 4 years work experience. Candidates without a PhD but with 5\+ additional years' experience will be considered.
* Strong publication record, including as a lead author or reviewer, in top\-tier journals or conferences.
* Extensive experience in generative AI and model/application evaluation.
* Strong understanding of machine learning algorithms and architectures
* Excellent problem\-solving and analytical skills
* Strong leadership and communication abilities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4">
      <c r="A44" t="inlineStr">
        <is>
          <t>li-4356003716</t>
        </is>
      </c>
      <c r="B44" t="inlineStr">
        <is>
          <t>Senior Principal Applied Scientist - AI Infrastructure Innovation</t>
        </is>
      </c>
      <c r="C44" t="inlineStr">
        <is>
          <t>Oracle</t>
        </is>
      </c>
      <c r="D44" t="inlineStr">
        <is>
          <t>linkedin</t>
        </is>
      </c>
      <c r="E44" t="inlineStr"/>
      <c r="F44" t="inlineStr"/>
      <c r="G44" t="inlineStr">
        <is>
          <t>Nashville, TN</t>
        </is>
      </c>
      <c r="H44" t="inlineStr"/>
      <c r="I44" t="inlineStr">
        <is>
          <t>**Job Description**
 As a Senior Principal Applied Scientist on OCI’s AI Innovation team, you’ll shaping Oracle’s next generation AI infrastructure. You will bring foresight into concrete requirements for training and serving models at massive scale. Your evidence\-backed insights will guide where we invest across the stack so OCI’s AI Infra offerings are ready for what is coming in the future.
 This role requires a deep understanding of machine learning techniques, including foundation model evaluation, traditional NLP/CV metrics, human evaluation, confidence estimation, agentive application evaluation, and RAG application evaluation. The successful candidate will have experience in conducting in\-depth research, producing production\-ready code, and collaborating with cross\-functional teams to integrate evaluation capabilities into various products. A strong background in programming languages, such as Python, and experience with machine learning frameworks, such as TensorFlow or PyTorch, is also required.
 In this role, you will lead deep research and rigorous evaluation of LLMs and related systems, designing benchmarks that capture quality, latency, cost, and reliability in real production settings. Expect to prototype new training and inference methods and run large\-scale experiments that reveal scaling behavior and bottlenecks.
 A PhD in Computer Science, Mathematics, Statistics, Physics, Linguistics, or a related field, with a dissertation or thesis centered on machine learning techniques, is preferred, although a Master's or Bachelor's degree with relevant experience will also be considered.
**Responsibilities**
* Research and Development: Conduct in\-depth research on foundation model evaluation, including traditional NLP/CV metrics, LLMaaJ techniques, human evaluation, confidence estimation, agentive application evaluation, and RAG application evaluation. Produce production\-ready code for handoff of POC applications to counterparts in Engineering.
* Collaboration: Work closely with cross\-functional teams to integrate evaluation capabilities into various applications and products.
* Innovation: Identify new opportunities for evaluation and explore emerging technologies.
* Stay Updated: Maintain a deep understanding of industry trends and advancements in evaluation.
**Qualifications and Experience:**
* PhD Computer Science, Mathematics, Statistics, Physics, Linguistics or a related field (with a dissertation, thesis or final project centered in Machine Learning/Deep Learning/Generative AI/Computational Linguistics) and a minimum of 4 years work experience. Candidates without a PhD but with 5\+ additional years' experience will be considered.
* Strong publication record, including as a lead author or reviewer, in top\-tier journals or conferences.
* Extensive experience in generative AI and model/application evaluation.
* Strong understanding of machine learning algorithms and architectures
* Excellent problem\-solving and analytical skills
* Strong leadership and communication abilities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5">
      <c r="A45" t="inlineStr">
        <is>
          <t>li-4356200415</t>
        </is>
      </c>
      <c r="B45" t="inlineStr">
        <is>
          <t>Senior Principal Applied Scientist - AI Infrastructure Innovation</t>
        </is>
      </c>
      <c r="C45" t="inlineStr">
        <is>
          <t>Oracle</t>
        </is>
      </c>
      <c r="D45" t="inlineStr">
        <is>
          <t>linkedin</t>
        </is>
      </c>
      <c r="E45" t="inlineStr"/>
      <c r="F45" t="inlineStr"/>
      <c r="G45" t="inlineStr">
        <is>
          <t>Redwood City, CA</t>
        </is>
      </c>
      <c r="H45" t="inlineStr"/>
      <c r="I45" t="inlineStr">
        <is>
          <t>**Job Description**
 As a Senior Principal Applied Scientist on OCI’s AI Innovation team, you’ll shaping Oracle’s next generation AI infrastructure. You will bring foresight into concrete requirements for training and serving models at massive scale. Your evidence\-backed insights will guide where we invest across the stack so OCI’s AI Infra offerings are ready for what is coming in the future.
 This role requires a deep understanding of machine learning techniques, including foundation model evaluation, traditional NLP/CV metrics, human evaluation, confidence estimation, agentive application evaluation, and RAG application evaluation. The successful candidate will have experience in conducting in\-depth research, producing production\-ready code, and collaborating with cross\-functional teams to integrate evaluation capabilities into various products. A strong background in programming languages, such as Python, and experience with machine learning frameworks, such as TensorFlow or PyTorch, is also required.
 In this role, you will lead deep research and rigorous evaluation of LLMs and related systems, designing benchmarks that capture quality, latency, cost, and reliability in real production settings. Expect to prototype new training and inference methods and run large\-scale experiments that reveal scaling behavior and bottlenecks.
 A PhD in Computer Science, Mathematics, Statistics, Physics, Linguistics, or a related field, with a dissertation or thesis centered on machine learning techniques, is preferred, although a Master's or Bachelor's degree with relevant experience will also be considered.
**Responsibilities**
* Research and Development: Conduct in\-depth research on foundation model evaluation, including traditional NLP/CV metrics, LLMaaJ techniques, human evaluation, confidence estimation, agentive application evaluation, and RAG application evaluation. Produce production\-ready code for handoff of POC applications to counterparts in Engineering.
* Collaboration: Work closely with cross\-functional teams to integrate evaluation capabilities into various applications and products.
* Innovation: Identify new opportunities for evaluation and explore emerging technologies.
* Stay Updated: Maintain a deep understanding of industry trends and advancements in evaluation.
**Qualifications and Experience:**
* PhD Computer Science, Mathematics, Statistics, Physics, Linguistics or a related field (with a dissertation, thesis or final project centered in Machine Learning/Deep Learning/Generative AI/Computational Linguistics) and a minimum of 4 years work experience. Candidates without a PhD but with 5\+ additional years' experience will be considered.
* Strong publication record, including as a lead author or reviewer, in top\-tier journals or conferences.
* Extensive experience in generative AI and model/application evaluation.
* Strong understanding of machine learning algorithms and architectures
* Excellent problem\-solving and analytical skills
* Strong leadership and communication abilities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6">
      <c r="A46" t="inlineStr">
        <is>
          <t>li-4356200414</t>
        </is>
      </c>
      <c r="B46" t="inlineStr">
        <is>
          <t>Senior Principal Applied Scientist - AI Infrastructure Innovation</t>
        </is>
      </c>
      <c r="C46" t="inlineStr">
        <is>
          <t>Oracle</t>
        </is>
      </c>
      <c r="D46" t="inlineStr">
        <is>
          <t>linkedin</t>
        </is>
      </c>
      <c r="E46" t="inlineStr"/>
      <c r="F46" t="inlineStr"/>
      <c r="G46" t="inlineStr">
        <is>
          <t>Seattle, WA</t>
        </is>
      </c>
      <c r="H46" t="inlineStr"/>
      <c r="I46" t="inlineStr">
        <is>
          <t>**Job Description**
 As a Senior Principal Applied Scientist on OCI’s AI Innovation team, you’ll shaping Oracle’s next generation AI infrastructure. You will bring foresight into concrete requirements for training and serving models at massive scale. Your evidence\-backed insights will guide where we invest across the stack so OCI’s AI Infra offerings are ready for what is coming in the future.
 This role requires a deep understanding of machine learning techniques, including foundation model evaluation, traditional NLP/CV metrics, human evaluation, confidence estimation, agentive application evaluation, and RAG application evaluation. The successful candidate will have experience in conducting in\-depth research, producing production\-ready code, and collaborating with cross\-functional teams to integrate evaluation capabilities into various products. A strong background in programming languages, such as Python, and experience with machine learning frameworks, such as TensorFlow or PyTorch, is also required.
 In this role, you will lead deep research and rigorous evaluation of LLMs and related systems, designing benchmarks that capture quality, latency, cost, and reliability in real production settings. Expect to prototype new training and inference methods and run large\-scale experiments that reveal scaling behavior and bottlenecks.
 A PhD in Computer Science, Mathematics, Statistics, Physics, Linguistics, or a related field, with a dissertation or thesis centered on machine learning techniques, is preferred, although a Master's or Bachelor's degree with relevant experience will also be considered.
**Responsibilities**
* Research and Development: Conduct in\-depth research on foundation model evaluation, including traditional NLP/CV metrics, LLMaaJ techniques, human evaluation, confidence estimation, agentive application evaluation, and RAG application evaluation. Produce production\-ready code for handoff of POC applications to counterparts in Engineering.
* Collaboration: Work closely with cross\-functional teams to integrate evaluation capabilities into various applications and products.
* Innovation: Identify new opportunities for evaluation and explore emerging technologies.
* Stay Updated: Maintain a deep understanding of industry trends and advancements in evaluation.
**Qualifications and Experience:**
* PhD Computer Science, Mathematics, Statistics, Physics, Linguistics or a related field (with a dissertation, thesis or final project centered in Machine Learning/Deep Learning/Generative AI/Computational Linguistics) and a minimum of 4 years work experience. Candidates without a PhD but with 5\+ additional years' experience will be considered.
* Strong publication record, including as a lead author or reviewer, in top\-tier journals or conferences.
* Extensive experience in generative AI and model/application evaluation.
* Strong understanding of machine learning algorithms and architectures
* Excellent problem\-solving and analytical skills
* Strong leadership and communication abilities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7">
      <c r="A47" t="inlineStr">
        <is>
          <t>li-4366359541</t>
        </is>
      </c>
      <c r="B47" t="inlineStr">
        <is>
          <t>Senior Data Scientist (Model Audit)</t>
        </is>
      </c>
      <c r="C47" t="inlineStr">
        <is>
          <t>Navy Federal Credit Union</t>
        </is>
      </c>
      <c r="D47" t="inlineStr">
        <is>
          <t>linkedin</t>
        </is>
      </c>
      <c r="E47" t="inlineStr"/>
      <c r="F47" t="inlineStr"/>
      <c r="G47" t="inlineStr">
        <is>
          <t>Vienna, VA</t>
        </is>
      </c>
      <c r="H47" t="inlineStr"/>
      <c r="I47" t="inlineStr">
        <is>
          <t>**Overview**
**Navy Federal Credit Union currently does not provide sponsorship for this role. Applicants must be authorized to work in the United States without the need for current or future sponsorship.**
 Navy Federal's Internal Audit team is in the midst of an exciting transformational journey to become a best in\-class Audit function! It is our vision to be a preferred advisor to the business by building and cultivating trust through the consistent execution of high\-quality and risk\-focused audit and advisory work. We’re focused on implementing efficient processes, maximizing our use of technology, integrating data analytics into everything we do, and investing in our biggest asset, our people. If this sounds like the type of team you’d like to be a part of, then we want to learn more about you!
 Support Internal Audit’s evaluation of model risk frameworks and their ability to mitigate risk for individual models and in the aggregate. Conduct reviews of complex data science and machine learning models across the organization through audit engagements and technical reviews of models. Serve as a subject matter expert to Internal Audit staff, senior management and business partners on end\-to\-end life\-cycle management of model development, implementation, ongoing monitoring, regulatory expectations, and industry modeling practices. Conduct work assignments of increasing complexity, under moderate supervision with some latitude for independent judgment. Intermediate professional within field; requires moderate skill set and proficiency in discipline.
**Responsibilities**
* Responsible for assessing model governance processes including model inherent risk ratings, model validations, materiality of model changes, and other reviews of models as part of model \-related governance audits.
* Leverages specialized technical approaches to develop, implement, and execute model testing plans for models that require expert model risk knowledge and skills.
* Executes independent internal audit reviews of models to ensure the independent model audit process compliant with the written risk and compliance policies and procedures at a subject matter expert level.
* Evaluates model development, implementation, and use as it pertains to elements of model conceptual soundness, model assumptions, modeling methodology, model limitations, data quality, ongoing monitoring, and other more complex elements of the model development process.
* Identifies meaningful insights from large data and metadata sources
* Test hypotheses/models, analyze, and interpret results
* Exercise sound judgment and discretion within defined procedures and practices
* Develop and code moderately complex software programs, algorithms, and automated processes
* Use modeling and trend analysis to analyze data and provide insights
* Develop understanding of best practices and ethical AI
* Transform data into charts, tables, or format that aids effective decision making
* Build working relationships with team members and subject matter experts
* Lead small projects and initiatives
* Utilize effective written and verbal communication to document and present findings of analyses to a diverse audience of stakeholders
**Qualifications**
* 5\-7 years of experience in data analysis, statistical modeling or regression analysis, including language models, LLMs and/or Generative AI technologies
* Basic understanding of business and operating environment
* Statistics
* Programming, data modeling, simulation, and advanced mathematics
* SQL, R, Python, Hadoop, SAS, SPSS, Scala, AWS, Databricks
* Model lifecycle execution including model development, validation, and governance
* Technical writing
* Data storytelling and technical presentation skills
* Research Skills
* Interpersonal Skills
* Working knowledge of procedures, instructions, and validation techniques
* Model Development
* Communication
* Critical Thinking
* Collaborate and Build Relationships
* Initiative with sound judgement
* Technical (Big Data Analysis, Coding, Project Management, Technical Writing, etc.)
* Sound Judgment
* Problem Solving (Responds as problems and issues are identified)
* Master's Degree in Data Science, Statistics, Mathematics, Computers Science, Engineering, or another quantitative or related field
**Desired Qualifications**
* Prior experience with enterprise risk management, model risk management, or internal audit
* Deep knowledge and experience with SR 11\-7 and/or ASOP 56
* Understanding of various models and modeling practices used in credit risk management, fraud detection, BSA/AML, operations, treasury \&amp; finance, marketing models, etc.
* Knowledge of one or more regulations such as CECL, CCAR, Anti\-Money Laundering, ECOA, FCRA, etc.
* Advanced knowledge of Navy Federal Credit Union instructions, standards, and procedures
**Hours:** 
 Monday \- Friday, 8:00AM \- 4:30PM
**Locations:** 
 820 Follin Lane, Vienna, VA 22180 \| 5510 Heritage Oaks Drive, Pensacola, FL 32526
**About Us**
 Navy Federal provides much more than a job. We provide a meaningful career experience, including a culture that is energized, engaged and committed; and fierce appreciation for our teams, who are rewarded with highly competitive pay and generous benefits and perks.
 Our approach to careers is simple yet powerful: Make our mission your passion.
* Fortune 100 Best Companies to Work For 2025
* Yello and WayUp Top 100 Internship Programs
* Computerworld® Best Places to Work in IT
* Newsweek Most Loved Workplaces
* 2025 PEOPLE® Companies That Care
* Newsweek Most Trustworthy Companies in America
* Military Times 2025 Best for Vets Employers
* Best Companies for Latinos to Work for 2024
* Forbes® 2025 America's Best Large Employers
* Forbes® 2025 America's Best Employers for New Grads
* Forbes® 2025 America's Best Employers for Tech Workers
* 2025 RippleMatch Campus Forward Award Winner for Overall Excellence
* Military.com Top Military Spouse Employers 2025
* 2025 Handshake Early Talent Award
 From
 *Fortune* 
 . ©2025
 *Fortune* 
 Media IP Limited. All rights reserved. Used under license.
 *Fortune* 
 and
 *Fortune* 
 Media IP Limited are not affiliated with, and do not endorse products or services of, Navy Federal Credit Union.
**Equal Employment Opportunity:** 
 All qualified applicants will receive consideration for employment without regard to age, race, sex, color, religion, national origin, disability, veteran status, pregnancy, sexual orientation, genetic information, gender identity or any other basis protected by applicable law.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For additional details regarding compensation and benefits, review the Benefits page of the Navy Federal Career Site.
**Protect Yourself from Job Scams:** 
 Navy Federal Credit Union jobs are posted on our career site, jobs.navyfederal.org and reputable job boards (e.g., LinkedIn, Indeed). We do not post jobs on social media marketplaces, messaging apps or unverified websites. We will never ask candidates for payment, bank details or personal financial information during the hiring process.
**Bank Secrecy Act:** 
 Remains cognizant of and adheres to Navy Federal policies and procedures, and regulations pertaining to the Bank Secrecy Act.</t>
        </is>
      </c>
    </row>
    <row r="48">
      <c r="A48" t="inlineStr">
        <is>
          <t>li-4358252720</t>
        </is>
      </c>
      <c r="B48" t="inlineStr">
        <is>
          <t>Lead/ Staff Data Scientist (Bangkok based, relocation provided)</t>
        </is>
      </c>
      <c r="C48" t="inlineStr">
        <is>
          <t>Agoda</t>
        </is>
      </c>
      <c r="D48" t="inlineStr">
        <is>
          <t>linkedin</t>
        </is>
      </c>
      <c r="E48" t="inlineStr"/>
      <c r="F48" t="inlineStr"/>
      <c r="G48" t="inlineStr">
        <is>
          <t>Oakland, CA</t>
        </is>
      </c>
      <c r="H48" t="inlineStr"/>
      <c r="I48"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 based in Bangkok ,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**Please note \-The role will be based in Bangkok.**
 We are looking for ambitious and agile data scientists that would like to seize the opportunity to work on some of the most challenging productive machine learning and big data platforms worldwide, processing some 600B events every day and making some 5B predictions.
 As part of the Data Science and Machine Learning (AI/ML) team you will be exposed to real\-world challenges such as: dynamic pricing, predicting customer intents in real time, ranking search results to maximize lifetime value, classifying and deep learning content and personalization signals from unstructured data such as images and text, making personalized recommendations, innovating algorithm\-supported promotions and products for supply partners, discovering insights from big data, and innovating the user experience. To tackle these challenges, you will have the opportunity to work on one of the world's largest ML infrastructure employing dozens of GPUs working in parallel, 30K\+ CPU cores and 150TB of memory.
**In This Role, You’ll Get to**
* Design, code, experiment and implement models and algorithms to maximize customer experience, supply side value, business outcomes, and infrastructure readiness.
* Mine a big data of hundreds of millions of customers and more than 600M daily user generated events, supplier and pricing data, and discover actionable insights to drive improvements and innovation.
* Work with developers and a variety of business owners to deliver daily results with the best quality.
* Research discover and harness new ideas that can make a difference
**What You’ll Need To Succeed**
* 4\+ years hands\-on data science experience.
* Excellent understanding of AI/ML/DL and Statistics, as well as coding proficiency using related open source libraries and frameworks.
* Significant proficiency in SQL and languages like Python, PySpark and/or Scala.
* Can lead, work independently as well as play a key role in a team.
* Good communication and interpersonal skills for working in a multicultural work environment.
**It’s Great if You Have**
* PhD or MSc in Computer Science / Operations Research / Statistics or other quantitative fields
* Experience in NLP, image processing and/or recommendation systems
* Hands on experience in data engineering, working with big data framework like Spark/Hadoop
* Experience in data science for e\-commerce and/or OTA
*We welcome both local and international applications for this role. Full visa sponsorship and relocation assistance available for eligible candidates.*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\#mumbai \#bengalulu \#hyderabad \#pune \# \#IT \#4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49">
      <c r="A49" t="inlineStr">
        <is>
          <t>li-4354694106</t>
        </is>
      </c>
      <c r="B49" t="inlineStr">
        <is>
          <t>Lead/ Staff Data Scientist (Bangkok based, relocation provided)</t>
        </is>
      </c>
      <c r="C49" t="inlineStr">
        <is>
          <t>Agoda</t>
        </is>
      </c>
      <c r="D49" t="inlineStr">
        <is>
          <t>linkedin</t>
        </is>
      </c>
      <c r="E49" t="inlineStr"/>
      <c r="F49" t="inlineStr"/>
      <c r="G49" t="inlineStr">
        <is>
          <t>San Jose, CA</t>
        </is>
      </c>
      <c r="H49" t="inlineStr"/>
      <c r="I4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 based in Bangkok ,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**Please note \-The role will be based in Bangkok.**
 We are looking for ambitious and agile data scientists that would like to seize the opportunity to work on some of the most challenging productive machine learning and big data platforms worldwide, processing some 600B events every day and making some 5B predictions.
 As part of the Data Science and Machine Learning (AI/ML) team you will be exposed to real\-world challenges such as: dynamic pricing, predicting customer intents in real time, ranking search results to maximize lifetime value, classifying and deep learning content and personalization signals from unstructured data such as images and text, making personalized recommendations, innovating algorithm\-supported promotions and products for supply partners, discovering insights from big data, and innovating the user experience. To tackle these challenges, you will have the opportunity to work on one of the world's largest ML infrastructure employing dozens of GPUs working in parallel, 30K\+ CPU cores and 150TB of memory.
**In This Role, You’ll Get to**
* Design, code, experiment and implement models and algorithms to maximize customer experience, supply side value, business outcomes, and infrastructure readiness.
* Mine a big data of hundreds of millions of customers and more than 600M daily user generated events, supplier and pricing data, and discover actionable insights to drive improvements and innovation.
* Work with developers and a variety of business owners to deliver daily results with the best quality.
* Research discover and harness new ideas that can make a difference
**What You’ll Need To Succeed**
* 4\+ years hands\-on data science experience.
* Excellent understanding of AI/ML/DL and Statistics, as well as coding proficiency using related open source libraries and frameworks.
* Significant proficiency in SQL and languages like Python, PySpark and/or Scala.
* Can lead, work independently as well as play a key role in a team.
* Good communication and interpersonal skills for working in a multicultural work environment.
**It’s Great if You Have**
* PhD or MSc in Computer Science / Operations Research / Statistics or other quantitative fields
* Experience in NLP, image processing and/or recommendation systems
* Hands on experience in data engineering, working with big data framework like Spark/Hadoop
* Experience in data science for e\-commerce and/or OTA
*We welcome both local and international applications for this role. Full visa sponsorship and relocation assistance available for eligible candidates.*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\#mumbai \#bengalulu \#hyderabad \#pune \# \#IT \#4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50">
      <c r="A50" t="inlineStr">
        <is>
          <t>li-4366017233</t>
        </is>
      </c>
      <c r="B50" t="inlineStr">
        <is>
          <t>HR Data Engineer/Data Scientist</t>
        </is>
      </c>
      <c r="C50" t="inlineStr">
        <is>
          <t>ICF</t>
        </is>
      </c>
      <c r="D50" t="inlineStr">
        <is>
          <t>linkedin</t>
        </is>
      </c>
      <c r="E50">
        <f>HYPERLINK("https://www.linkedin.com/jobs/view/4366017233", "https://www.linkedin.com/jobs/view/4366017233")</f>
        <v/>
      </c>
      <c r="F50">
        <f>HYPERLINK("https://careers.icf.com/us/en/job/IIIIIIUSR2600257EXTERNALENUS/HR-Data-Engineer-Data-Scientist?utm_source=linkedin&amp;utm_medium=phenom-feeds&amp;urlHash=KEx4", "https://careers.icf.com/us/en/job/IIIIIIUSR2600257EXTERNALENUS/HR-Data-Engineer-Data-Scientist?utm_source=linkedin&amp;utm_medium=phenom-feeds&amp;urlHash=KEx4")</f>
        <v/>
      </c>
      <c r="G50" t="inlineStr">
        <is>
          <t>Reston, VA</t>
        </is>
      </c>
      <c r="H50" t="inlineStr"/>
      <c r="I50" t="inlineStr">
        <is>
          <t>**Description**
 ICF is seeking a highly capable
 **HR Data Engineer / Data Scientist** 
 to support a large federal client in modernizing its enterprise learning and workforce data ecosystem. This role centers on designing and sustaining a scalable data integration capability that unifies multiple workforce\-related data sources into a consistent, validated structure suitable for downstream HR and training systems. This position requires expertise in enterprise data engineering, workflow automation, data quality frameworks, metadata governance, and the translation of complex business rules into reliable technical logic. The ideal candidate brings experience working with HR, identity, or workforce\-related datasets in large organizations and can partner directly with senior stakeholders across technical and business domains.
 Prior experience working in federally\-regulated environments and proximity to the DC\-Maryland\-Virginia (DMV) area with the ability to go onsite as needed is strongly preferred.
**Key Responsibilities**
* Design, build, and maintain automated pipelines that unify multiple HR and workforce‑related datasets into standardized, validated outputs.
* Develop and document transformation rules, business logic, mapping structures, and data quality checks to ensure accuracy and consistency.
* Create scalable workflows for ingesting structured and semi‑structured data from diverse systems with varying formats and update cycles.
* Implement validation routines, anomaly detection, and error‑handling mechanisms to maintain reliable, high‑quality data products.
* Produce well‑structured, standardized outputs compatible with enterprise learning or workforce management platforms.
* Collaborate with technical and non‑technical stakeholders to refine requirements, resolve data ambiguities, and support decision‑making.
* Maintain alignment with enterprise‑wide data standards, schemas, and governance guidance as they evolve.
* Participate in cross‑team or cross‑agency coordination forums to represent program needs and communicate the impact of data‑related decisions.
* Develop and execute test plans, including business‑rule validation, regression checks, and iterative QA cycles.
* Identify process improvements, integration gaps, and opportunities to enhance automation, scalability, and sustainability.
* Ensure solutions continue functioning amid changes to enterprise systems, dependencies, or data availability.
* Prepare and deliver technical documentation, operational procedures, and knowledge‑transfer materials for long‑term maintainability.
* Communicate risks, dependencies, and technical impacts clearly and proactively to project managers, leadership, and governance groups.
**Basic Qualifications**
* Bachelor’s degree in a related field (e.g., Data Science, Computer Science, Engineering, Mathematics, Information Systems, HR Analytics, or similar).
* 8\+ years of professional experience in data engineering, data science, analytics, or a closely related field.
**Additional Qualifications**
* Extensive experience sourcing, integrating, transforming, and validating structured and unstructured data from diverse systems (e.g., developing Spark jobs, performing data manipulation with PySpark/pandas, and authoring robust, production‑grade SQL transformations).
* Proven ability to design and implement automated data workflows, integration pipelines, and large‑scale transformation logic (e.g., orchestrating pipelines using Apache Airflow, Azure Data Factory (ADF), or AWS Glue).
* Hands\-on experience developing predictive models, statistical analyses, or machine learning solutions (e.g., building and validating models in Python using PySpark ML, pandas, or related libraries).
* Strong understanding of data quality management, validation frameworks, error‑handling approaches, data governance, master data management, and enterprise metadata practices (e.g., MDM survivorship rules, identity resolution logic, validation utilizing Great Expectations).
* Demonstrated ability to facilitate requirements gathering, define business rules, and translate stakeholder needs into clear technical specifications (e.g., documenting required import fields and formats, converting business logic into ETL/ELT transformations).
* Excellent communication skills with the ability to clearly convey complex technical concepts to non‑technical or cross‑functional audiences (e.g., explaining data lineage, logging, and metrics practices used to ensure pipeline traceability).
* Exceptional documentation abilities and attention to detail (e.g., version\-controlled artifacts in Git, CI/CD deployment documentation, and test suites using pytest and Great Expectations).
**Preferred Qualifications**
* Master’s degree preferred.
* 5\+ years of experience supporting large‑scale or complex data ecosystems, preferably in government, healthcare, or highly regulated domains.
* Experience supporting HR import processes for enterprise systems (e.g., HRIS, LMS, identity systems).
* Background working with federal clients or within environments that require strict attention to data standards, compliance, and documentation.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$131,256\.00 \- $223,134\.00
 Nationwide Remote Office (US99\)</t>
        </is>
      </c>
    </row>
    <row r="51">
      <c r="A51" t="inlineStr">
        <is>
          <t>li-4351401620</t>
        </is>
      </c>
      <c r="B51" t="inlineStr">
        <is>
          <t>Senior Data Scientist</t>
        </is>
      </c>
      <c r="C51" t="inlineStr">
        <is>
          <t>Search Services</t>
        </is>
      </c>
      <c r="D51" t="inlineStr">
        <is>
          <t>linkedin</t>
        </is>
      </c>
      <c r="E51">
        <f>HYPERLINK("https://www.linkedin.com/jobs/view/4351401620", "https://www.linkedin.com/jobs/view/4351401620")</f>
        <v/>
      </c>
      <c r="F51" t="inlineStr"/>
      <c r="G51" t="inlineStr">
        <is>
          <t>Houston, TX</t>
        </is>
      </c>
      <c r="H51" t="inlineStr"/>
      <c r="I51" t="inlineStr">
        <is>
          <t>ABOUT OUR CLIENT
 Our Client is a leading private equity firm with a portfolio of upstream gas production companies. By combining petroleum engineering expertise with advanced data analytics, artificial intelligence (AI), and machine learning (ML), Our Client is driving the digital transformation of upstream operations. With a diverse set of assets and a strong focus on innovation, this role provides the opportunity to shape the future of gas production and forecasting through cutting\-edge technology.
 ABOUT THE ROLE
 The Petroleum Data Engineer will play a critical role in leveraging data to solve complex engineering challenges, optimize production, and drive operational efficiency across portfolio companies. This individual will build innovative data products, develop and deploy AI/ML models, automate workflows, and collaborate with engineering teams to unlock new insights. The role is ideal for a professional passionate about merging petroleum engineering expertise with modern data science to deliver measurable business impact.
 RESPONSIBILITIES
* Develop, optimize, and maintain data pipelines to automate upstream gas production and forecasting workflows
* Implement scalable data solutions to support monitoring, reservoir management, and efficiency initiatives
* Integrate structured and unstructured data from sensors, logs, and well data into production systems
* Design and deploy AI/ML models for production forecasting, reservoir simulation, and failure prediction
* Analyze historical and real\-time production data to identify trends and optimization opportunities
* Collaborate with domain experts to align AI/ML models with engineering principles and field use cases
* Build and deploy data products in partnership with digital and engineering teams across portfolio companies
* Serve as a technical advisor to portfolio companies on data analytics and digital transformation initiatives
* Develop user\-friendly dashboards and interfaces for data visualization and stakeholder engagement
* Ensure data quality, accuracy, and consistency across all pipelines and products
* Implement governance policies to secure sensitive production data and meet industry regulations
* Stay current with emerging technologies in petroleum data analytics, AI, and ML to drive innovation
 QUALIFICATIONS
* Bachelor’s, Master’s, or PhD in Petroleum Engineering, Data Science, Computer Science, or related field
* Five or more years of experience in upstream oil and gas, with a focus on gas production and forecasting
* Proven track record applying AI and ML to solve petroleum engineering challenges
* Proficiency in Python, R, or similar programming languages for data analytics and ML
* Hands\-on experience with frameworks such as TensorFlow, PyTorch, or scikit\-learn
* Strong understanding of upstream workflows, including reservoir simulation and optimization
* Experience with cloud platforms such as Azure, AWS, or Google Cloud, and tools like Databricks or Synapse
* Ability to build dashboards and visualizations using Power BI, Spotfire, or similar platforms
 PREFERRED QUALIFICATIONS
* Knowledge of digital oilfield technologies, IoT integration, and real\-time data processing
* Experience with data governance frameworks and tools such as Microsoft Purview
* Familiarity with industry datasets and platforms including Enverus or IHS
 SOFT SKILLS
* Strong problem\-solving abilities and innovative mindset
* Excellent communication skills, with the ability to explain technical concepts to non\-technical stakeholders
* Collaborative approach to working across diverse teams and organizations
 WHAT YOU WILL ACHIEVE
* Deliver data\-driven solutions that optimize gas production and forecasting across portfolio companies
* Enable portfolio companies to adopt AI/ML and advanced analytics as a competitive advantage
* Contribute to the digital transformation of upstream operations, shaping the future of the energy industry</t>
        </is>
      </c>
    </row>
    <row r="52">
      <c r="A52" t="inlineStr">
        <is>
          <t>li-4351354278</t>
        </is>
      </c>
      <c r="B52" t="inlineStr">
        <is>
          <t>Data Scientist - Campus Full-Time</t>
        </is>
      </c>
      <c r="C52" t="inlineStr">
        <is>
          <t>Two Sigma</t>
        </is>
      </c>
      <c r="D52" t="inlineStr">
        <is>
          <t>linkedin</t>
        </is>
      </c>
      <c r="E52">
        <f>HYPERLINK("https://www.linkedin.com/jobs/view/4351354278", "https://www.linkedin.com/jobs/view/4351354278")</f>
        <v/>
      </c>
      <c r="F52">
        <f>HYPERLINK("https://careers.twosigma.com/careers/JobDetail/New-York-New-York-United-States-Data-Scientist-Campus-Full-Time/13662?source=LinkedIn&amp;urlHash=tcr9", "https://careers.twosigma.com/careers/JobDetail/New-York-New-York-United-States-Data-Scientist-Campus-Full-Time/13662?source=LinkedIn&amp;urlHash=tcr9")</f>
        <v/>
      </c>
      <c r="G52" t="inlineStr">
        <is>
          <t>New York, United States</t>
        </is>
      </c>
      <c r="H52" t="inlineStr"/>
      <c r="I52" t="inlineStr">
        <is>
          <t>Position Summary
 Two Sigma is a financial sciences company, combining data analysis, invention, and rigorous inquiry to help solve the toughest challenges in investment management, securities, private equity, and venture capital.
 Our team of scientists, technologists, and academics looks beyond the traditional to develop creative solutions to some of the world’s most complex economic problems.
 When you work with us, you tackle tough problems alongside other scientists and engineers. People who will challenge your ideas. Who you can really learn from, and collaborate with. And you’ll be doing work that matters to a lot of people, too. Our investors include some of the world’s largest retirement funds, research institutions, educational endowments, healthcare systems and foundations. We admire what they do, and we’re proud to serve these organizations.
**You Will Take On The Following Responsibilities**
* Independently research and develop hypotheses based on diverse and unique real\-world datasets.
* Conduct literature reviews to develop and apply cutting\-edge methodologies for extracting meaningful signals from our vast data holdings.
* Partner with our engineers and business stakeholders to rigorously explore and test your theories.
* All the while, you’ll remain engaged in the academic community. As examples, you can:
* Join our reading circles to stay up to date on the latest research papers in your fields
* Attend academic seminars to learn from thought leaders from top universities
**You Should Possess The Following Qualifications**
* Degree in a technical or quantitative discipline, like chemistry, computer science, economics, statistics, or quantitative social science with an applied empirical focus (all levels welcome, from bachelor’s to doctorate)
* Proficient in Python and SQL
* Performed an in\-depth research project, examining real\-world data
* Are an independent thinker who can creatively approach data analysis and communicate complex ideas clearly
* You don’t need a background in finance. It’s nice to have, but more than half of Two Sigma’s employees come from outside the finance industry. If you’ve got the research skills, we can teach you the financial aspects of the job.
* We are particularly enthusiastic about people who bring a quantitative and data\-driven mindset to nontraditional and difficult\-to\-quantify problems.
**You Will Enjoy The Following Benefits**
* Core Benefits: Fully paid medical and dental insurance premiums for employees and dependents, competitive 401k match, employer\-paid life \&amp; disability insurance
* Perks: Onsite gyms with laundry service, wellness activities, casual dress, snacks, game rooms
* Learning: Tuition reimbursement, conference and training sponsorship
* Time Off: Generous vacation and unlimited sick days, competitive paid caregiver leaves
* Hybrid Work Policy: Flexible in\-office days with budget for home office setup
 The base pay for this role will be between $165,000 (Bachelors), $170,000 (Masters), and $190,000 (PhD) based on academic degree conferred. This role may also be eligible for other forms of compensation and benefits, such as a discretionary bonus, health, dental and other wellness plans and 401(k) contributions. Discretionary bonus can be a significant portion of total compensation. Actual compensation for successful candidates will be carefully determined based on a number of factors, including their skills, qualifications and experience.
 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
 Two Sigma is committed to providing reasonable accommodations to qualified individuals in accordance with applicable federal, state, and local laws.
 If you believe you need an accommodation, please visit our website for additional information.</t>
        </is>
      </c>
    </row>
    <row r="53">
      <c r="A53" t="inlineStr">
        <is>
          <t>li-4366038131</t>
        </is>
      </c>
      <c r="B53" t="inlineStr">
        <is>
          <t>Machine Learning - Data Scientist</t>
        </is>
      </c>
      <c r="C53" t="inlineStr">
        <is>
          <t>Apple</t>
        </is>
      </c>
      <c r="D53" t="inlineStr">
        <is>
          <t>linkedin</t>
        </is>
      </c>
      <c r="E53">
        <f>HYPERLINK("https://www.linkedin.com/jobs/view/4366038131", "https://www.linkedin.com/jobs/view/4366038131")</f>
        <v/>
      </c>
      <c r="F53">
        <f>HYPERLINK("https://jobs.apple.com/en-us/details/200640404?board_id=17682&amp;urlHash=ZvRE", "https://jobs.apple.com/en-us/details/200640404?board_id=17682&amp;urlHash=ZvRE")</f>
        <v/>
      </c>
      <c r="G53" t="inlineStr">
        <is>
          <t>Sunnyvale, CA</t>
        </is>
      </c>
      <c r="H53" t="inlineStr"/>
      <c r="I53" t="inlineStr">
        <is>
          <t>**Summary**
 Do you have a passion for computer vision and solving deep learning problems? The Video Engineering Data Analytics and Quality group is seeking an expert in evaluating machine learning and deep learning models, including foundation models and multimodal systems.
 This role will play a critical part in crafting robust evaluation frameworks, using both traditional statistical methods and modern techniques like LLM\-as\-a\-Judge! The ideal candidate combines strong analytical thinking, expertise in Python, and advanced knowledge of statistical methodologies and data quality standards.
 This role involves collaboration with teams at Apple passionate about developing foundation models, including ML engineers, data scientists, and ML Infrastructure engineers to deliver amazing user experiences!
**Description**
 Develop robust methodologies to assess the performance of foundation models (e.g., LLMs, vision\-language models, etc.) across diverse tasks.
 Leverage LLMs as judges to perform subjective and open\-ended model evaluations (e.g., for summarization, reasoning, or multimodal generation tasks).
 Build, curate, and lead evaluation datasets and benchmarks.
 Advanced proficiency in at least one scripting language, preferably Python.
 Collaborate with research, engineering, and product teams to define evaluation goals aligned with user experience and product quality.
 Conduct failure analysis and uncover edge cases to improve model robustness.
 Contribute to our tools and infrastructure to automate and scale evaluation processes.
**Minimum Qualifications**
* BS and a minimum of 3 years relevant industry experience
* Strong experience in evaluating supervised, unsupervised, and deep learning models.
* Hands\-on experience evaluating LLMs and using them as scoring/judging mechanisms.
* Familiarity with multimodal models (e.g., image \+ text, video \+ audio) and related evaluation challenges.
* Proficiency in Python and libraries such as NumPy, pandas, scikit\-learn, PyTorch, or TensorFlow.
* Solid understanding of statistical testing, sampling, confidence intervals, and metrics (e.g., precision/recall, BLEU, ROUGE, FID, etc.).
* Strong documentation skills, including the ability to write technical reports and present to non\-technical audiences.
**Preferred Qualifications**
* Experience working with open\-source evaluation tools like OpenEval, ELO\-based ranking, or LLM\-as\-a\-Judge frameworks.
* Familiarity with prompt engineering, few\-shot or zero\-shot evaluation techniques.
* Experience evaluating generative models (e.g., text generation, image generation).
* Prior contributions to ML benchmarks or public evaluations.
* Strong interpersonal skills.
**Pay \&amp; Benefits**
 At Apple, base pay is one part of our total compensation package and is determined within a range. This provides the opportunity to progress as you grow and develop within a role. The base pay range for this role is between $132,100 and $244,600,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54">
      <c r="A54" t="inlineStr">
        <is>
          <t>li-4366059390</t>
        </is>
      </c>
      <c r="B54" t="inlineStr">
        <is>
          <t>Data Scientist</t>
        </is>
      </c>
      <c r="C54" t="inlineStr">
        <is>
          <t>Sysco</t>
        </is>
      </c>
      <c r="D54" t="inlineStr">
        <is>
          <t>linkedin</t>
        </is>
      </c>
      <c r="E54">
        <f>HYPERLINK("https://www.linkedin.com/jobs/view/4366059390", "https://www.linkedin.com/jobs/view/4366059390")</f>
        <v/>
      </c>
      <c r="F54" t="inlineStr"/>
      <c r="G54" t="inlineStr"/>
      <c r="H54" t="inlineStr"/>
      <c r="I54" t="inlineStr">
        <is>
          <t>**JOB SUMMARY**
 This role will apply advanced analytics to support the evaluation and development of new demand generation, assortment, costing, pricing and supply chain models. This will require expert ability in data acquisition (internal and external to Sysco), cleansing and manipulation; mathematical modeling; analytical and heuristic solution methods; and the ability to synthesize, visualize and communicate the result. This role will require close collaboration with other functions within the Enterprise Analytics and insights Team in addition to other functions within Sysco.
**RESPONSIBILITIES**
* Identify necessary data elements and their sources, leverage appropriate tools to acquire and consolidate large volumes of data from different internal and external sources, and identify and resolve any irrelevant, corrupt, missing, or incongruent data
* Identify and use appropriate advanced analytic tools, technologies and platforms to execute analysis against business requirements, including the ability to scale, deploy and distribute models across the enterprise as needed.
* Develop performance scorecards and dashboards to monitor the adoption, implementation, and impact of models and strategies.
* Work cross\-functionally with other roles within the Enterprise Analytics Team and the Sysco broadly to tune models and ensure value created from models.
* Work with Business Technology resources on API, front end, and down stream integration.
* Collaborate with business process owners to validate model outputs and construct an appropriate training
**QUALIFICATIONS**
 Education and / or Experience:
* Master’s degree or PhD or Bachelor’s degree \+ 3 years of industry experience in management consulting, strategy, analytics, at a specialized analytics company or in an analytics organization in a corporate setting.
* Degree should be in mathematics, statistics or computer science or related field; preferred from a top tier University.
* 1\-4 years of overall analytics experience, can be inclusive of post\-graduate work
* 2\+ years of experience accessing and manipulating data in SQL or NoSQL database environments
* 1\+ years of experience with scientific scripting languages (e.g., Python) and/or object\-oriented programming (e.g., C\+\+, Java)
* 2\+ years of experience with Bayesian statistics, regression analysis (beyond linear regression), supervised learning, unsupervised learning or time\-series analysis required
**Professional Skills** 
* Experience accessing and manipulating data in SQL or NoSQL database environments
* Experience with scientific scripting languages (e.g., Python) and/or object\-oriented programming (e.g., C\+\+, Java)
* Experience with regression analysis (beyond linear regression), supervised learning, unsupervised learning or time\-series analysis requir</t>
        </is>
      </c>
    </row>
    <row r="55">
      <c r="A55" t="inlineStr">
        <is>
          <t>li-4366397772</t>
        </is>
      </c>
      <c r="B55" t="inlineStr">
        <is>
          <t>Data Scientist</t>
        </is>
      </c>
      <c r="C55" t="inlineStr">
        <is>
          <t>Amaze</t>
        </is>
      </c>
      <c r="D55" t="inlineStr">
        <is>
          <t>linkedin</t>
        </is>
      </c>
      <c r="E55">
        <f>HYPERLINK("https://www.linkedin.com/jobs/view/4366397772", "https://www.linkedin.com/jobs/view/4366397772")</f>
        <v/>
      </c>
      <c r="F55" t="inlineStr"/>
      <c r="G55" t="inlineStr">
        <is>
          <t>Costa Mesa, CA</t>
        </is>
      </c>
      <c r="H55" t="inlineStr"/>
      <c r="I55" t="inlineStr">
        <is>
          <t>**About the Role** 
 We're looking for an innovative, passionate, and self\-motivated individual with an obsession for data, products and uncovering insights, with extensive startup and/or eCommerce experience. You will be partnering with our teams from product, marketing, design, and engineering, to support the growth of our products and business. As our first dedicated data hire, you will be the key player in our data success \- organizing our data, turning data into insights, and turning insights into action to solve our business problems.
**Data @ Amaze** 
 As our Data Scientist at Amaze, you will blaze the trail for how we organize and utilize our existing and future data. Collecting raw data from various sources and preparing them in such a way that they can be interpreted by technical and non\-technical business people. Applying the generated insights to concrete business problems and solving these business problems together with business stakeholders. Utilizing various methods including data visualization, story\-telling, advanced analysis, or simple data feeds to uncover opportunities for growth and optimization. 
 We don’t want you to just be a resource that answers questions \- we want you to act as a genuine data partner with your team and the broader business. We have a lot of varied data and need people who can use their skills to help us make the most of it! 
 We also need your extensive startup, collaboration and leadership experience to build the foundations for our future data teams. This is a huge opportunity to grow alongside our fast\-growing company and be remembered as one of the reasons Amaze succeeded in its mission to Help anyone sell anything, anywhere.​ This role will act as the driver of our data strategy.   
**What you’ll do:** 
 \-Become an expert on our business and develop the analytics, data models, dashboards, and reporting relating to it with a heavy emphasis on providing necessary data to the marketing team
 \-Review, optimize, and propose, tools capturing data across the full customer journey; manage all BI tools
 \-Work with stakeholders to ensure that they understand their part of the product or business and how it is performing
 \-Find insights that suggest future directions and improvements in the product and business. 
 \- Work with  Product, Marketing, Engineering, and our third\-party tooling providers to ensure that our data is up\-to\-date and error\-free 
 \-Hands\-on development, tuning, and overall management of our Data platforms
 \- Establishing data principles, and practices to plan, manage, and deliver solutions \- ensuring integrity, quality and timeliness of data.
 \-Training, mentoring and supporting teams to gain a data mindset, and understand data principles, and practices. Extend data literacy and curiosity throughout the whole company through education projects
 \-Responsibility for the data considerations during the development of new features, functionality, and optimization from raw data ingestion, to the access and modeling layer, through to maintaining the visualization layer
 \-Providing functional and technical subject matter expertise with respect to data management, business intelligence, and reporting.
 \- Establish close partnership with leadership—especially Product, Engineering, and Marketing—to define the strategic data architecture and roadmap aligned to business strategy.
 \- Apply product\-embedded data science practices, including event\- and behavioral\-data modeling and support for AI\- and ML\-driven product features through signal design, evaluation, and feedback loops, while managing planning and delivery of data projects and initiatives across the wider business.
 \-Evaluate existing and new Data solutions to ensure they support current business needs and growth. 
 \-Work closely with stakeholders to align technologies and capabilities with business strategies while delivering pragmatic excellence when supporting business data needs by leveraging the existing platforms and architecture patterns where possible.
 \-Have an end\-to\-end vision, and see how a logical design will translate into one or more physical data models, and how the data will flow through the layered architecture within the data landscape.
 \-Evaluate and renew implemented data solutions, to ensure their relevance and effectiveness in supporting business needs and growth.
 \-Emphasize the importance of and ensure that data management practices are embedded in all data solutions.
 \-Ultimately, establish and grow the data area of business at Amaze to support our big vision.  
**What we’re looking for:** 
 \-7\+ Years of Data/Engineering Experience including experience building and leading teams.
 \-Extensive and proven experience in startups \- bring clarity to projects, teams and data to achieve business goals and fast\-paced growth.
 \- Experience working with marketing teams to help accelerate company growth and double down on marketing programs that are contributing to revenue growth. 
 \-Strong competency with SQL, and Tableau and like tools; experience with data\-warehouses such as Snowflake, FiveTran, or BigQuery is a plus!
 \-Experience wrangling and analyzing data including migrating from client to server\-side data solutions. 
 \-Experience with optimizing product funnels, running experiments, and building dashboards that effectively communicate results and outcomes.
 \-Experience working with a broad variety of teams from marketing to engineering.
 \-Familiarity with a wide set of Data Warehouse architectures and methodologies, schemas, and performance/optimization principles
 \-Strong technical knowledge of data integration, metadata and BI analytics tools.
 \-Strong communication, influencing and interpersonal skills. An engaging personality who can take the business on the journey with them. Be able to break down complex topics into simple solutions and ideas
 \-Highly organized, self\-motivated, proactive and able to plan.
 \-Ability to analyze, understand complex problems and explain technical information in business terms.
 \-Experience using Snowflake, Google Analytics,,, Tableau, PowerBI or similar BI/data visualization tools
 \- Strong background in AI, specifically with dbt Semantic Layer and similar technologies
 \-Comfortable working with stakeholders to build up accurate reports on their areas of the business
 \-Experience with establishing A/B testing and experiment analysis is a plus
 \-Experience with very large data sets is a plus. Any prior experience with creative data visualization or design is also valuable.
 \-It will require close coordination with several stakeholders and a real sense of drive and initiative to keep things moving. Nobody tells you what to do; you identify the opportunities where your team can make the largest impact and you see it through.</t>
        </is>
      </c>
    </row>
    <row r="56">
      <c r="A56" t="inlineStr">
        <is>
          <t>li-4366035777</t>
        </is>
      </c>
      <c r="B56" t="inlineStr">
        <is>
          <t>AppleCare Data Scientist</t>
        </is>
      </c>
      <c r="C56" t="inlineStr">
        <is>
          <t>Apple</t>
        </is>
      </c>
      <c r="D56" t="inlineStr">
        <is>
          <t>linkedin</t>
        </is>
      </c>
      <c r="E56">
        <f>HYPERLINK("https://www.linkedin.com/jobs/view/4366035777", "https://www.linkedin.com/jobs/view/4366035777")</f>
        <v/>
      </c>
      <c r="F56" t="inlineStr"/>
      <c r="G56" t="inlineStr">
        <is>
          <t>Sunnyvale, CA</t>
        </is>
      </c>
      <c r="H56" t="inlineStr"/>
      <c r="I56" t="inlineStr">
        <is>
          <t>**Summary**
 The people here at Apple don’t just craft products \- they build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The AppleCare Business Insights, Operations, and Systems (ACBIOS) team builds advanced analytics solutions that drive key decisions across Apple’s service and support ecosystem. As a Data Scientist, you will transform complex data into actionable insights that empower AppleCare leadership and product teams to enhance customer experience and operational excellence.
**Description**
 You will work across the data lifecycle—from modeling and extraction to visualization and storytelling—partnering closely with cross\-functional teams to deliver scalable, high\-impact insights that uphold Apple’s standards of accuracy, usability, and security.
 Design and implement advanced analytical models and pipelines using SQL and R/Python.
 Develop and optimize data extraction and transformation processes to improve accessibility and performance.
 Ensure adherence to data quality, governance, and security protocols.
 Build intuitive visualizations and dashboards to communicate insights effectively to technical and business audiences.
 Document methodologies and share analytical best practices to strengthen data culture across teams.
 Collaborate with data scientists, product managers, and leadership to shape the future of analytics platforms within AppleCare.
 Lead end\-to\-end analytics initiatives, from scoping and exploration to analysis, interpretation, and executive presentations.
**Minimum Qualifications**
* 7\+ years of applied experience in data science, business analytics, or business intelligence roles.
* Strong proficiency in SQL and R/Python (pandas, NumPy, scikit\-learn).
* Experience with data modeling, transformation, and analytics frameworks such as Snowflake.
* Skilled in building data visualizations using Tableau, and presenting insights to diverse audiences.
* Strong foundation in statistical analysis, including hypothesis testing and confidence intervals.
* Experience delivering end\-to\-end analytical projects, from scoping to presentation.
* Excellent communication and collaboration skills, including translating data insights for business stakeholders.
* Bachelor’s degree in a quantitative or technical discipline.
**Preferred Qualifications**
* Hands\-on experience with Snowpark, PySpark, and streaming/interactive visualization tools such as Streamlit or Plotly.
* Background in SMB, product, or service analytics, including service performance, warranty trends, and support operations.
* Applied experience with software engineering workflows, including Git, CI/CD, and producing maintainable, well\-documented code.
* Experience developing custom Tableau extensions or deploying LLM\-powered analytics systems.
* Strong experience in storytelling with data, translating complex analyses into actionable recommendations for leadership.
* Familiarity with large\-scale data platforms and scalable analytical pipelines.
* Master's degree in a quantitative or technical discipline.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57">
      <c r="A57" t="inlineStr">
        <is>
          <t>li-4366069393</t>
        </is>
      </c>
      <c r="B57" t="inlineStr">
        <is>
          <t>Junior Data Scientist</t>
        </is>
      </c>
      <c r="C57" t="inlineStr">
        <is>
          <t>Knowmadics</t>
        </is>
      </c>
      <c r="D57" t="inlineStr">
        <is>
          <t>linkedin</t>
        </is>
      </c>
      <c r="E57">
        <f>HYPERLINK("https://www.linkedin.com/jobs/view/4366069393", "https://www.linkedin.com/jobs/view/4366069393")</f>
        <v/>
      </c>
      <c r="F57">
        <f>HYPERLINK("https://knowmadics.bamboohr.com/careers/146?source=linkedin_premium&amp;urlHash=N3Hg", "https://knowmadics.bamboohr.com/careers/146?source=linkedin_premium&amp;urlHash=N3Hg")</f>
        <v/>
      </c>
      <c r="G57" t="inlineStr">
        <is>
          <t>Wichita, Kansas Metropolitan Area</t>
        </is>
      </c>
      <c r="H57" t="inlineStr"/>
      <c r="I57" t="inlineStr">
        <is>
          <t>Candidates should live within driving distance of the following areas: Wichita, KS; Lawton, OK; or Round Rock, TX.
**Job Purpose/Summary**
 Work with our team of engineers, scientists and human factors professionals to develop machine learning and other algorithmic data capabilities for applications in cybersecurity, space, and telecommunications. This individual contributor role will involve hands\-on work developing solutions to real\-world problems using neural networks and other algorithms. Developed solutions are actively being productionized to support ongoing space operations and other crucial infrastructure and security needs.
 Duties and Responsibilities
* Develop and evaluate machine learning solutions to interdisciplinary problems in cybersecurity and telecommunications, working with structured (time series, tabular) and unstructured (text, 3D) data.
* Collaboratively develop data collection plans, designing experiments to ensure quality and usefulness of data.
* Work with human factors specialists, and data/full stack engineers to define system requirements, review developed code, and support translating statistical concepts to coworkers.
* Support documentation of analysis results for semi\-technical stakeholders.
* Occasionally support technical interactions with collaborators, including defining technical requirements for external data collections, and reviewing technical work.
**Qualifications**
 Minimum:
* Graduate formal education in natural sciences, mathematics, economics, statistics, psychology, or other quantitative field, or mix of formal education and experience.
* 2\+ years’ professional experience with an open\-source data science stack (e.g., pandas, numpy, pytorch, keras, tensorflow, pymc3\).
* 2\+ years’ professional experience working with real\-world, complex datasets.
* Experience communicating technical results to semi\-technical audiences.
**Preferred**
* Exposure to a product\-driven machine learning organization with deployed customer\-facing capabilities.
* Exposure to a big data environment, including tools for clustered computing (e.g., Spark, Dask, streaming) and large\-scale data storage.
* Experience with RF/telecommunications physics, cybersecurity, or space operations.
* Experience with software defined radio applications
 Working conditions
 n/a
 Physical requirements
 n/a
 Direct reports
 n/a</t>
        </is>
      </c>
    </row>
    <row r="58">
      <c r="A58" t="inlineStr">
        <is>
          <t>li-4366021980</t>
        </is>
      </c>
      <c r="B58" t="inlineStr">
        <is>
          <t>ML Data Scientist - Business Analytics</t>
        </is>
      </c>
      <c r="C58" t="inlineStr">
        <is>
          <t>Apple</t>
        </is>
      </c>
      <c r="D58" t="inlineStr">
        <is>
          <t>linkedin</t>
        </is>
      </c>
      <c r="E58">
        <f>HYPERLINK("https://www.linkedin.com/jobs/view/4366021980", "https://www.linkedin.com/jobs/view/4366021980")</f>
        <v/>
      </c>
      <c r="F58">
        <f>HYPERLINK("https://jobs.apple.com/en-us/details/200625646?board_id=17682&amp;urlHash=9meo", "https://jobs.apple.com/en-us/details/200625646?board_id=17682&amp;urlHash=9meo")</f>
        <v/>
      </c>
      <c r="G58" t="inlineStr">
        <is>
          <t>Austin, TX</t>
        </is>
      </c>
      <c r="H58" t="inlineStr"/>
      <c r="I58"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The Apple Ads Data Insights team is seeking a dedicated Data Scientist who will innovate while developing the next generation of analytical solutions working multi\-functionally with Sales, Marketing, Finance, Product, and Engineering. Analytics is a team sport, and in your role, you will be a key part of data\-centric team that delivers insights that have direct and measurable impact. What makes this role exciting is the opportunity to shape how large language models and data science drive business decisions.
**Description**
 Responsibilities include turning the huge amounts of data generated by user searches, app content, and App Store context into business insights that improve the customer experience for the end\-user as well as drive discovery and efficiency for app developers. This role requires both a broad knowledge of statistics and creativity to invent and customize when vital. Dig in and get into the details. The theory behind the techniques are just the beginning. Work on projects where practical applications of these approaches get applied in real\-world scenarios. Successful analytics teams involve data scientists and data engineers working hand in hand to build insightful and efficient solutions. We're looking for an inquisitive, collaborative, and passionate person to join this amazing team.
 Support Product, Engineering, and the Executive Team with analyses, and data products to improve product performance, deepen customer insight and deliver business impact.
**Responsibilities**
* Empower the product and sales teams with insights to advise and fulfill their strategic objectives and goals.
* Monitor business metrics and identify key drivers for large scale trends and patterns in business health.
* Fine\-tune, and evaluate large language models for internal and customer\-facing use cases.
* Optimize prompt engineering and model performance for business\-specific contexts.
* Build reusable, interpretable models to identify key drivers of business performance.
* Develop frameworks that allow teams to measure, visualize, and understand causal factors and business impact.
* Partner with business stakeholders to translate strategic questions into analytical models and measurable KPIs.
**Minimum Qualifications**
* 3\+ years of recent experience in a data science role.
* Experience in statistical analysis, machine learning models, and advanced quantitative methods with a strong focus in causal inference. Must include experience with regression, classification, clustering, time\-series analysis, and LLMs.
* Exceptional programming skills in Python and SQL. Comfort with advanced analytics and data visualization tools and libraries such as Pandas, R, Spark, and Tableau.
* Deep familiarity with commonly used Statistics and ML libraries such as ScikitLearn, SparkMLLib, SciPy, and/or StatsModels.
* Demonstrated experience in applying statistics and machine learning to generate clear actionable insights.
* Comfortable with a variety of data stores such as Hadoop, and Snowflake, familiar with distributed analytics engines such as Spark/PySpark.
* Posses exceptional communication skills to communicate analyses in a clear and effective manner to technical audience and executive leadership.
* Demonstrated ability to partner with engineering, meet the data needs of the business, finding creative analytical solutions and develop initial prototypes to address complex business problems.
* Demonstrated ability to operate comfortably and optimally in a fast\-paced and constantly evolving environment.
* Bachelor's degree in a related field of study, or equivalent industry experience.
**Preferred Qualifications**
* Experience in the mobile advertising industry or related field.
* Familiarity of Causal Inference packages such as CausalImpact, DoubleML, DoWhy, and EconML.
* Familiarity with job orchestration frameworks such as Airflow.
* Demonstrated ability to build visualizations, dashboards and enable broader consumption of insights and tools for investigations.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59">
      <c r="A59" t="inlineStr">
        <is>
          <t>li-4366036295</t>
        </is>
      </c>
      <c r="B59" t="inlineStr">
        <is>
          <t>ML Data Scientist - Business Analytics</t>
        </is>
      </c>
      <c r="C59" t="inlineStr">
        <is>
          <t>Apple</t>
        </is>
      </c>
      <c r="D59" t="inlineStr">
        <is>
          <t>linkedin</t>
        </is>
      </c>
      <c r="E59">
        <f>HYPERLINK("https://www.linkedin.com/jobs/view/4366036295", "https://www.linkedin.com/jobs/view/4366036295")</f>
        <v/>
      </c>
      <c r="F59" t="inlineStr"/>
      <c r="G59" t="inlineStr">
        <is>
          <t>Cupertino, CA</t>
        </is>
      </c>
      <c r="H59" t="inlineStr"/>
      <c r="I59"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The Apple Ads Data Insights team is seeking a dedicated Data Scientist who will innovate while developing the next generation of analytical solutions working multi\-functionally with Sales, Marketing, Finance, Product, and Engineering. Analytics is a team sport, and in your role, you will be a key part of data\-centric team that delivers insights that have direct and measurable impact. What makes this role exciting is the opportunity to shape how large language models and data science drive business decisions.
**Description**
 Responsibilities include turning the huge amounts of data generated by user searches, app content, and App Store context into business insights that improve the customer experience for the end\-user as well as drive discovery and efficiency for app developers. This role requires both a broad knowledge of statistics and creativity to invent and customize when vital. Dig in and get into the details. The theory behind the techniques are just the beginning. Work on projects where practical applications of these approaches get applied in real\-world scenarios. Successful analytics teams involve data scientists and data engineers working hand in hand to build insightful and efficient solutions. We're looking for an inquisitive, collaborative, and passionate person to join this amazing team.
 Support Product, Engineering, and the Executive Team with analyses, and data products to improve product performance, deepen customer insight and deliver business impact.
**Responsibilities**
* Empower the product and sales teams with insights to advise and fulfill their strategic objectives and goals.
* Monitor business metrics and identify key drivers for large scale trends and patterns in business health.
* Fine\-tune, and evaluate large language models for internal and customer\-facing use cases.
* Optimize prompt engineering and model performance for business\-specific contexts.
* Build reusable, interpretable models to identify key drivers of business performance.
* Develop frameworks that allow teams to measure, visualize, and understand causal factors and business impact.
* Partner with business stakeholders to translate strategic questions into analytical models and measurable KPIs.
**Minimum Qualifications**
* 3\+ years of recent experience in a data science role.
* Experience in statistical analysis, machine learning models, and advanced quantitative methods with a strong focus in causal inference. Must include experience with regression, classification, clustering, time\-series analysis, and LLMs.
* Exceptional programming skills in Python and SQL. Comfort with advanced analytics and data visualization tools and libraries such as Pandas, R, Spark, and Tableau.
* Deep familiarity with commonly used Statistics and ML libraries such as ScikitLearn, SparkMLLib, SciPy, and/or StatsModels.
* Demonstrated experience in applying statistics and machine learning to generate clear actionable insights.
* Comfortable with a variety of data stores such as Hadoop, and Snowflake, familiar with distributed analytics engines such as Spark/PySpark.
* Posses exceptional communication skills to communicate analyses in a clear and effective manner to technical audience and executive leadership.
* Demonstrated ability to partner with engineering, meet the data needs of the business, finding creative analytical solutions and develop initial prototypes to address complex business problems.
* Demonstrated ability to operate comfortably and optimally in a fast\-paced and constantly evolving environment.
* Bachelor's degree in a related field of study, or equivalent industry experience.
**Preferred Qualifications**
* Experience in the mobile advertising industry or related field.
* Familiarity of Causal Inference packages such as CausalImpact, DoubleML, DoWhy, and EconML.
* Familiarity with job orchestration frameworks such as Airflow.
* Demonstrated ability to build visualizations, dashboards and enable broader consumption of insights and tools for investigations.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0">
      <c r="A60" t="inlineStr">
        <is>
          <t>li-4366037292</t>
        </is>
      </c>
      <c r="B60" t="inlineStr">
        <is>
          <t>AppleCare Data Scientist</t>
        </is>
      </c>
      <c r="C60" t="inlineStr">
        <is>
          <t>Apple</t>
        </is>
      </c>
      <c r="D60" t="inlineStr">
        <is>
          <t>linkedin</t>
        </is>
      </c>
      <c r="E60">
        <f>HYPERLINK("https://www.linkedin.com/jobs/view/4366037292", "https://www.linkedin.com/jobs/view/4366037292")</f>
        <v/>
      </c>
      <c r="F60">
        <f>HYPERLINK("https://jobs.apple.com/en-us/details/200630978?board_id=17682&amp;urlHash=f5eN", "https://jobs.apple.com/en-us/details/200630978?board_id=17682&amp;urlHash=f5eN")</f>
        <v/>
      </c>
      <c r="G60" t="inlineStr">
        <is>
          <t>Austin, TX</t>
        </is>
      </c>
      <c r="H60" t="inlineStr"/>
      <c r="I60" t="inlineStr">
        <is>
          <t>**Summary**
 The people here at Apple don’t just craft products \- they build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The AppleCare Business Insights, Operations, and Systems (ACBIOS) team builds advanced analytics solutions that drive key decisions across Apple’s service and support ecosystem. As a Data Scientist, you will transform complex data into actionable insights that empower AppleCare leadership and product teams to enhance customer experience and operational excellence.
**Description**
 You will work across the data lifecycle—from modeling and extraction to visualization and storytelling—partnering closely with cross\-functional teams to deliver scalable, high\-impact insights that uphold Apple’s standards of accuracy, usability, and security.
 Design and implement advanced analytical models and pipelines using SQL and R/Python.
 Develop and optimize data extraction and transformation processes to improve accessibility and performance.
 Ensure adherence to data quality, governance, and security protocols.
 Build intuitive visualizations and dashboards to communicate insights effectively to technical and business audiences.
 Document methodologies and share analytical best practices to strengthen data culture across teams.
 Collaborate with data scientists, product managers, and leadership to shape the future of analytics platforms within AppleCare.
 Lead end\-to\-end analytics initiatives, from scoping and exploration to analysis, interpretation, and executive presentations.
**Minimum Qualifications**
* 7\+ years of applied experience in data science, business analytics, or business intelligence roles.
* Strong proficiency in SQL and R/Python (pandas, NumPy, scikit\-learn).
* Experience with data modeling, transformation, and analytics frameworks such as Snowflake.
* Skilled in building data visualizations using Tableau, and presenting insights to diverse audiences.
* Strong foundation in statistical analysis, including hypothesis testing and confidence intervals.
* Experience delivering end\-to\-end analytical projects, from scoping to presentation.
* Excellent communication and collaboration skills, including translating data insights for business stakeholders.
* Bachelor’s degree in a quantitative or technical discipline.
**Preferred Qualifications**
* Hands\-on experience with Snowpark, PySpark, and streaming/interactive visualization tools such as Streamlit or Plotly.
* Background in SMB, product, or service analytics, including service performance, warranty trends, and support operations.
* Applied experience with software engineering workflows, including Git, CI/CD, and producing maintainable, well\-documented code.
* Experience developing custom Tableau extensions or deploying LLM\-powered analytics systems.
* Strong experience in storytelling with data, translating complex analyses into actionable recommendations for leadership.
* Familiarity with large\-scale data platforms and scalable analytical pipelines.
* Master's degree in a quantitative or technical discipline.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1">
      <c r="A61" t="inlineStr">
        <is>
          <t>li-4366066350</t>
        </is>
      </c>
      <c r="B61" t="inlineStr">
        <is>
          <t>Data Scientist II - Remote (6030)</t>
        </is>
      </c>
      <c r="C61" t="inlineStr">
        <is>
          <t>itD</t>
        </is>
      </c>
      <c r="D61" t="inlineStr">
        <is>
          <t>linkedin</t>
        </is>
      </c>
      <c r="E61">
        <f>HYPERLINK("https://www.linkedin.com/jobs/view/4366066350", "https://www.linkedin.com/jobs/view/4366066350")</f>
        <v/>
      </c>
      <c r="F61" t="inlineStr"/>
      <c r="G61" t="inlineStr">
        <is>
          <t>Phoenix, AZ</t>
        </is>
      </c>
      <c r="H61" t="inlineStr"/>
      <c r="I61" t="inlineStr">
        <is>
          <t>itD is seeking a
 **Data Scientist** 
 to produce innovative, data\-driven solutions through exploratory analysis of complex, high\-dimensional datasets. This role contributes directly to product improvement and business decision\-making by transforming raw data into actionable insights, scalable models, and impactful prototypes.
 The ideal candidate brings strong experience in data science, statistics, and machine learning, along with a proven ability to analyze large datasets and deliver meaningful analytical outcomes.
**Location:** 
 Remote (U.S.\-based); preference for PST
 We provide comprehensive medical benefits, a 401(k) plan, paid holidays, and more. Please note that we are only considering direct W2 candidates at this time, as we are unable to offer sponsorship.
**Responsibilities**
* Apply advanced statistical, mathematical, and machine learning techniques to identify patterns, opportunities, and insights within complex datasets.
* Design, develop, and evaluate predictive models and advanced algorithms to optimize value extraction from data.
* Conduct exploratory data analysis to generate hypotheses, test assumptions, and interpret experimental results.
* Partner with product and engineering teams to translate analytical prototypes into scalable products, services, and features.
* Support business intelligence and data visualization efforts, including dashboard development and ad\-hoc analytical requests.
* Analyze large datasets using SQL and Python to meet defined analytical deliverables and reporting requirements.
**Internal Responsibilities**
* Attend regular internal practice community meetings.
* Collaborate with your itD practice team on industry thought leadership.
* Complete client case studies and learning material (blogs, media material).
* Build out material to contribute to the Digital Transformation practice.
* Attend internal itD networking events (in person and virtual).
* Work with leadership on career fast\-track opportunities.
**Required Qualifications And Skills**
* 3\+ years of experience in data science, analytics, or research\-focused roles.
* Proficiency in Python and/or R for data analysis and modeling.
* Experience working with large, complex datasets.
* Hands\-on experience with data querying and analysis using SQL.
* Strong written communication skills with the ability to clearly convey complex analytical concepts.
**Preferred Qualifications And Skills**
* Experience with big data tools such as Hadoop.
* Experience with data visualization tools such as Tableau.
* Exposure to product experimentation, A/B testing, or large\-scale analytics initiatives.
**Education**
* Bachelor’s degree in economics, mathematics, computer science, engineering, statistics, or a related field required.
* Master’s degree in computer science or a relevant field preferred.
**Company Description**
 About itD: We are part of a new generation of consulting and software development company that blends diversity, innovation, and integrity with real business results. Our structure rejects any strong hierarchy, empowering us to deliver excellent results. We are a woman\- and minority\-led firm. Every day, we challenge ourselves to be considerate, fair and to re\-think what great outcomes mean for our customers. This permeates down to how we approach every interaction, on every project, for every client. You’ll thrive here if you are a dynamic self\-starter, a difference\-maker or someone who wants to deliver great results, without constraints.
 The itD Digital Experience: Joining us means you’ll be part of our global community, you have a say about your own career journey, and you’ll get a chance to give back to causes that matter. You will experience working with Fortune 500 companies and high\-performance teams across numerous industries. itD offers our employees excellent benefits such as medical, dental, vision, life insurance, paid holidays, 401K \+ matching, networking \&amp; career learning and development programs. We are growing and we want to see you grow! Visit https://itdtech.com/careers to learn more about what working at itD can mean for you.
 All qualified applicants will receive consideration for employment without regard to race, color, religion, sex, sexual orientation, gender identity, national origin, age, disability or protected veteran status, or any other legally protected basis, in accordance with applicable law. itD is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contact us at recruiting@itdtech.com and let us know the nature of your request and your contact information.
**Additional Info**
 Dynamic environment in a culture of respect, empowerment and recognition for a job well done, apply today!</t>
        </is>
      </c>
    </row>
    <row r="62">
      <c r="A62" t="inlineStr">
        <is>
          <t>li-4366386032</t>
        </is>
      </c>
      <c r="B62" t="inlineStr">
        <is>
          <t>Data Scientist</t>
        </is>
      </c>
      <c r="C62" t="inlineStr">
        <is>
          <t>Jack Henry</t>
        </is>
      </c>
      <c r="D62" t="inlineStr">
        <is>
          <t>linkedin</t>
        </is>
      </c>
      <c r="E62">
        <f>HYPERLINK("https://www.linkedin.com/jobs/view/4366386032", "https://www.linkedin.com/jobs/view/4366386032")</f>
        <v/>
      </c>
      <c r="F62">
        <f>HYPERLINK("https://www.wiraa.com/job-description/us76976C74518A0D9BDFC00379449BC759?source=Linkedin&amp;urlHash=FaCH", "https://www.wiraa.com/job-description/us76976C74518A0D9BDFC00379449BC759?source=Linkedin&amp;urlHash=FaCH")</f>
        <v/>
      </c>
      <c r="G62" t="inlineStr"/>
      <c r="H62" t="inlineStr"/>
      <c r="I62" t="inlineStr">
        <is>
          <t>**About The Company** 
 At Jack Henry, we deliver technology solutions that are digitally transforming and empowering community banks and credit unions to provide enhanced and streamlined user experiences to their customers and members. Our best‑class products are just the start as we lay the groundwork for the future of digital banking and payments. We hope you’ll join us. We can’t do it without you.
 The Data Hub team is central to this mission. We are responsible for building and maintaining Data Hub, our strategic data marketplace powered by Google BigQuery. This marketplace enables us to provide our customers with a rich, curated data set serving as the foundation for our next‑generation analytics and AI/ML capabilities.
**About The Role** 
 We are seeking a talented data scientist to join our team! This individual will assist with evaluating and broadening our data infrastructure, collaborate across product groups and departments internally, and help us turn customer data into transformative insight. The growth potential is limitless, particularly as our machine learning capacity grows. The ideal candidate is knowledgeable, creative, and collaborative, and can communicate how data can make a big impact.
 This is a remote position, but candidates must live within approximately a 70‑mile radius of our office locations in Allen, TX; Birmingham, AL; Cedar Falls, IA; Charlotte, NC; Lenexa, KS; Louisville, KY; and Springfield/Monett, MO. All positions, regardless of location, may require an onsite interview or in‑person onboarding to verify your identity.
 The salary range for this position is $90,000‑170,000, depending on experience and geographic location. Please note that this role is ineligible for immigration sponsorship and support.
**Qualifications** 
* Minimum of 4 years of progressive experience in a data science or data analyst role.
* Minimum of 2 years of experience with Python and SQL in a data\-related capacity.
* Experience with data warehousing tools such as Snowflake, BigQuery, Microsoft Fabric, or Redshift.
* Experience with data movement tools like Dataflow, Airbyte, Airflow, or dbt.
* Proven ability to collaborate with stakeholders including product management, data engineering, and business analysts.
* Strong understanding of designing and implementing complex data models in cloud data warehouses.
* Knowledge of machine learning concepts, algorithms, and their practical applications.
* Ability to lead projects, work independently on complex issues, and translate business problems into data\-driven solutions.
* Willingness to travel up to 10% for business meetings and conferences.
**Responsibilities** 
* Perform and potentially lead data onboarding, integration, and curation activities to transform raw enterprise data into organized, valuable assets.
* Design, develop, and implement robust data models within Looker and BigQuery, specifically for our JH Insights application.
* Apply rigorous data validation techniques and quality checks to ensure data accuracy, consistency, and reliability.
* Transform raw data into meaningful features suitable for analytical dashboards and AI/ML model development.
* Prepare and clean complex datasets for machine learning initiatives, including normalization, outlier detection, and feature selection.
* Conduct exploratory data analysis to uncover trends, patterns, and anomalies, translating findings into actionable insights.
* Collaborate cross\-functionally with data engineering, product management, and business analysts to define requirements and deliver solutions.
* Create and maintain comprehensive technical documentation for data definitions, transformations, and models.
* Lead data\-driven projects, mentor less experienced team members, and help shape the technical direction of data initiatives.
* Perform other duties as assigned to support team objectives and organizational goals.
**Benefits** 
* Competitive salary package aligned with experience and location.
* Comprehensive health, dental, and vision insurance plans.
* Retirement savings options with company matching contributions.
* Paid time off and holiday leave to support work\-life balance.
* Professional development opportunities and ongoing training programs.
* Flexible remote work arrangements to promote a healthy work environment.
* Employee assistance programs and wellness initiatives.
 Equal Opportunity
 At Jack Henry, we know we are better together. We do not discriminate based on race, religious creed, color, national origin, ancestry, physical or mental disability, genetic information, pregnancy, marital status, sex, gender, gender identity, gender expression, age, sexual orientation, military or veteran status, or any other protected status under applicable law. We prohibit any form of discipline, retaliation, or intimidation related to discrimination claims or reports.</t>
        </is>
      </c>
    </row>
    <row r="63">
      <c r="A63" t="inlineStr">
        <is>
          <t>li-4366038490</t>
        </is>
      </c>
      <c r="B63" t="inlineStr">
        <is>
          <t>Product Data Scientist</t>
        </is>
      </c>
      <c r="C63" t="inlineStr">
        <is>
          <t>Klaviyo</t>
        </is>
      </c>
      <c r="D63" t="inlineStr">
        <is>
          <t>linkedin</t>
        </is>
      </c>
      <c r="E63">
        <f>HYPERLINK("https://www.linkedin.com/jobs/view/4366038490", "https://www.linkedin.com/jobs/view/4366038490")</f>
        <v/>
      </c>
      <c r="F63" t="inlineStr"/>
      <c r="G63" t="inlineStr">
        <is>
          <t>San Francisco, CA</t>
        </is>
      </c>
      <c r="H63" t="inlineStr"/>
      <c r="I63"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We’re looking for someone who thrives at the intersection of data and product — someone who brings solid analytical skills, experience with experimentation, and curiosity to uncover insights that shape product strategy. You should be comfortable working with SQL and R or Python, designing and analyzing A/B tests, and translating data into actionable recommendations for product teams.
 **Please note this is a hybrid role that requires 3 days/week in our SF office. Fully remote candidates will not be considered at this time.**
**What You’ll Do**
* Partner with product and engineering teams to evaluate product opportunities through A/B testing, data analysis, and customer insights
* Contribute to the design, implementation, and analysis of experiments — ensuring correct setup, sufficient power, and clear interpretation of results
* Conduct exploratory analyses to uncover patterns in customer behavior and product usage that inform product strategy
* Define and track product and customer metrics to measure success, and help build dashboards and reporting that make insights accessible to product managers and stakeholders
* Collaborate with data engineering to ensure data pipelines and DBT models are accurate, reliable, and well\-structured for downstream use
* Communicate insights in a clear, compelling way to cross\-functional partners, making data actionable for product decisions
**Who You Are**
* You have 3\-4 years of experience in product analytics, data science, or applied statistics, preferably in a SaaS or product\-focused environment
* You hold a degree in a quantitative field such as Statistics, Mathematics, Computer Science, Economics, or Engineering
* You are proficient in SQL and have experience using either Python or R for data analysis
* You have hands\-on experience with A/B testing and statistical analysis, and are motivated to grow into more advanced methods over time
* You bring strong business intuition and curiosity, and can translate questions into structured analytical approaches
* You’re a clear communicator who can frame findings for both technical and non\-technical audiences
* You enjoy working cross\-functionally and are energized by using data to improve customer outcomes
**Why You’ll Love This Role**
* Gain hands\-on experience influencing product direction through experimentation and analytics
* Build your expertise in product data science with mentorship and collaboration from senior data scientists
* Join a company where data science is a core part of the product development lifecycle
* Be part of a culture that values analytical rigor, collaborative problem\-solving, and continuous learning
**Massachusetts Applicants**
 It is unlawful in Massachusetts to require or administer a lie detector test as a condition of employment or continued employment. An employer who violates this law shall be subject to criminal penalties and civil liability.
 Our salary range reflects the cost of labor across various U.S. geographic markets. The range displayed below reflects the minimum and maximum target salaries for the position across all our US locations. The base salary offered for this position is determined by several factors, including the applicant’s job\-related skills, relevant experience, education or training, and work location.
 In addition to base salary, our total compensation package may include participation in the company’s annual cash bonus plan, variable compensation (OTE) for sales and customer success roles, equity, sign\-on payments, and a comprehensive range of health, welfare, and wellbeing benefits based on eligibility.
 Your recruiter can provide more details about the specific salary/OTE range for your preferred location during the hiring process.
 Base Pay Range For US Locations:
 $88,000—$132,000 USD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 
*You can find our Job Applicant Privacy Notice* 
*here* 
*and here (FR).*</t>
        </is>
      </c>
    </row>
    <row r="64">
      <c r="A64" t="inlineStr">
        <is>
          <t>li-4356183201</t>
        </is>
      </c>
      <c r="B64" t="inlineStr">
        <is>
          <t>Product Data Scientist</t>
        </is>
      </c>
      <c r="C64" t="inlineStr">
        <is>
          <t>GPTZero</t>
        </is>
      </c>
      <c r="D64" t="inlineStr">
        <is>
          <t>linkedin</t>
        </is>
      </c>
      <c r="E64">
        <f>HYPERLINK("https://www.linkedin.com/jobs/view/4356183201", "https://www.linkedin.com/jobs/view/4356183201")</f>
        <v/>
      </c>
      <c r="F64" t="inlineStr"/>
      <c r="G64" t="inlineStr">
        <is>
          <t>New York, NY</t>
        </is>
      </c>
      <c r="H64" t="inlineStr"/>
      <c r="I64" t="inlineStr">
        <is>
          <t>GPTZero is on a mission to restore trust and transparency on the internet. As the leading AI detection platform, we empower educators, students, journalists, marketers, and writers to navigate the evolving landscape of AI\-generated content. With millions of users and institutions relying on us, we’re building a category\-defining company at the intersection of AI and information integrity.
 Our team comes from high\-performing engineering cultures, including Meta, Perplexity, AWS, Affirm, and leading AI research labs, including Princeton, Caltech, and Vector Institute.
 We're looking for a Product Data Scientist who can dig into user behavior and product performance, run experiments, and build dashboards that reveal how customers use our web, API, and ML\-powered products. You’ll help teams make smarter product decisions, improve engagement and retention, and ensure our models deliver real value in production.
 What you’ll do:
* Analyze user behavior across web and API products to uncover insights and growth opportunities
* Define, own, and evolve core product metrics (e.g. activation, engagement, retention, accuracy)
* Design and analyze experiments to evaluate product changes and inform decisions
* Build dashboards and self‑serve analytics to support product and business decisions
* Work with ML engineers to evaluate model performance in real‑world product contexts
 What we’re looking for:
* 3\+ years of experience in product data science, analytics, or a related role
* Very proficient with Python, SQL, and Pandas
* Strong foundation in statistics, experimentation, and causal inference
* Deep understanding of AI\-powered products, including model performance, cost and speed tradeoffs
* Ability to translate business and product questions into rigorous analyses
* High ownership mindset with a bias toward action, learning, and iteration
* Comfort working in fast‑moving, ambiguous, 0 → 1 environments
 Bonus
* Experience working closely with ML or research teams
* Experience with Databricks (PySpark) and Amplitude
 Who you’ll be joining
 We’re a small team. We value ownership, transparency, and listening to each other.
 Everyone works and interacts with everyone. Everyone is free to attend meetings across product functions, whether it's diving into designs or dropping into our ML learning groups.
 Here are some people you’ll work closely with. You’ll be meeting everyone.
* Edward (CEO), data\-powered investigative journalism at BBC and Bellingcat, threat intelligence at Microsoft, ML researcher at Princeton
* Alex (CTO), Ph.D. dropout, R\&amp;D at Uber self\-driving and Facebook, 3 patents in ML, 2021 and 2019 Best ML Hack at Stanford
* Hriday (Growth Lead), expert on taking products viral. Founded Wildfire, raised $3M, scaled it to 1M users and exited to Opendoor. Most recently, he worked on growth at Perplexity.
* Jacob (Full Stack), top of class at Waterloo, ex\-Affirm, Lime, Level and Zynga
* Midhun (Full Stack), former India lead at Angelist, former co\-founder of Nuance, Ex\-Intuit/Bloomberg
 Our Perks
 🏥 Health, dental, and vision coverage
 💻 Hybrid work in Downtown Office with lunch
 🚀 Competitive salary
 🍰 Competitive equity for a founding team member
* We are a cash\-flow positive/profitable company experiencing exponential growth in multiple industries. We are open to sharing our growth metrics with applicants.
 🎉 Quarterly team retreats and offsites
 🏝 Flexible PTO
 💡Learning stipend, mentorship, and time with world\-class advisors, including:
* Tom Glocer (former CEO of Reuters, who recently reviewed the beta and is advising our product team on launching hallucination detection)
* Gaurav Vohra (former Head of Growth at Superhuman, taking them from $0 to $10Ms of revenue, advising our growth team biweekly)
* Russ Heddleston (exited CEO Docsend to Dropbox, recently dropped into all\-hands to share additional strategies for growing our self\-serve GTM motion)
* Ruslan Salakhutdinov (former director of AI at Apple, and current VP of Research for LLama, who meets monthly with our team to advise on AI model development)
* Amy Saper (founding product marketer at Stripe, who offers time with our team on growth strategies)
* Jack Altman (CEO of Lattice, brother of Sam Altman) on building great product culture
* Mike Smith (COO Walmart.com, COO StitchFix) and Jeff Barrett CTO StitchFix, on scaling a great engineering team.
 At GPTZero, our recruiting team is involved in every step of the hiring process. We use AI\-based tools (such as Endorsed.ai and Juicebox.ai) to help us to accelerate candidates at the resume review stage by marking when candidates met certain key criteria.
 **These tools are never the final say in a hiring decision \- humans are.**
 Compensation Range: $120K \- $185K</t>
        </is>
      </c>
    </row>
    <row r="65">
      <c r="A65" t="inlineStr">
        <is>
          <t>li-4356212210</t>
        </is>
      </c>
      <c r="B65" t="inlineStr">
        <is>
          <t>Senior Data Scientist</t>
        </is>
      </c>
      <c r="C65" t="inlineStr">
        <is>
          <t>Outdoorsy</t>
        </is>
      </c>
      <c r="D65" t="inlineStr">
        <is>
          <t>linkedin</t>
        </is>
      </c>
      <c r="E65">
        <f>HYPERLINK("https://www.linkedin.com/jobs/view/4356212210", "https://www.linkedin.com/jobs/view/4356212210")</f>
        <v/>
      </c>
      <c r="F65" t="inlineStr"/>
      <c r="G65" t="inlineStr">
        <is>
          <t>Austin, TX</t>
        </is>
      </c>
      <c r="H65" t="inlineStr"/>
      <c r="I65" t="inlineStr">
        <is>
          <t>**About The Outdoorsy Group**
 Founded in 2015, Outdoorsy Group pioneered access to the outdoors by building the world's leading outdoor travel ecosystem. Millions of guests trust Outdoorsy to create lifelong family memories, while hosts rely on its products and innovations to grow their businesses and unlock life\-changing sources of income. Outdoorsy Group's portfolio includes
 **Outdoorsy.com** 
**,** 
 the largest outdoor travel and hospitality marketplace; the
 **Destination Network** 
 , a growing collection of campgrounds and glamping retreats set in some of the country's most iconic landscapes; and
 **Roamly** 
 , its proprietary insurtech platform powering
 **Outdoorsy.com** 
 and enabling insurance infrastructure for global marketplaces. Together, Outdoorsy Group's businesses are united by a long\-term mission: to restore our relationship with the outdoors—and with one another.
**About Outdoorsy**
 Outdoorsy is the world's largest RV rental and outdoor travel marketplace. Our platform has facilitated over
 **9 million nights spent outdoors** 
 across almost
 **2 million trips** 
 , establishing us as the leader in experiential travel through RV rentals that are available in 4,800 cities across North America. Outdoorsy's marketplace, insurance, and retreats provide life\-changing financial benefits for RV hosts and retreat communities and offer guests the trust and guidance they need to enjoy memorable rustic travel experiences. Outdoorsy's team is inspired by a mission to restore our relationship with the outdoors and each other by inviting guests to Live Outdoorsy.
**About Roamly**
 Roamly is a leading provider of innovative, specialty insurance solutions purpose\-built for the modern mobility and marketplace travel economy. As a Lloyd's Coverholder and AI\-first insurance innovator, Roamly delivers a robust platform, deep carrier partnerships, and an expanding ecosystem that empowers consumers, professional fleet owners, and marketplaces to unlock new revenue streams while reducing risk. Our technology harnesses AI, advanced automation, and embedded distribution to power tailored coverages for recreational vehicles, carsharing, and other emerging mobility models—covering everything from underwriting and claims to compliance, data analytics, and real\-time risk management. Learn more at
 **www.roamly.com** 
 .
**About the Role:**
 The Outdoorsy Group is seeking a Data Scientist to solve complex advanced analytics challenges for Outdoorsy and Roamly. Reporting to the Senior Director of Analytics, they will be responsible for building dynamic pricing and recommendation engines, as well as predictive retention and claims models. The ideal candidate will be able to show a track record of leveraging advanced analytics and machine learning to solve complex problems in the travel or insurance space. With the role straddling both Outdoorsy and Roamly, they will need to demonstrate a passion and aptitude for pivoting between different business models and goals. If you're self\-driven and looking to make an impact in a fast\-paced environment, then we'd love to have you!
* Candidates in Austin, TX will be prioritized
**Requirements**
**Key Responsibilities \&amp; Deliverables**
* Develop Lead Scoring algorithms that predict the LTV of qualified insurance leads, and pass it back to our ad partners to optimize bidding strategies, as well as to our internal Sales team to prioritize outreach
* Develop models to predict churn and claims losses across our insurance products. Work closely with the Underwriting team to ensure these models are integrated into business processes
* Assist in the development of a dynamic pricing model to help RV marketplace hosts adjust prices seamlessly in response to seasonal and vehicle\-based factors, as well as surges in demand
* Develop models to predict what ancillary products should be recommended for upsell to a given Outdoorsy / Roamly customer
* Use advanced statistical methods to conduct audience clustering and segmentation on both RV Rental and Insurance customers, and evangelize these findings across stakeholders in Marketing and Product
* Collaborate closely with Data Analysts and Engineers to ensure that data pipelines and models are accurate and optimized
**Who You Are (Candidate Profile)**
* Industry Expert: 3\+ years data science experience, with a proven track record of standing up Machine Learning algorithms within consumer\-facing products (Travel, marketplace, or insurance experience preferred)
* Business\-Focused: Proven ability to understand business imperatives and trade\-offs (Bookings vs. Revenue, Premium vs. Risk) and tailor outputs to align with company goals
* Collaborative Team Player: You work effectively across departments, e.g. Product, Engineering, and Finance, and understand that great products come from diverse perspectives
* Velocity\-Focused: You thrive in fast\-paced environments where priorities shift quickly, and you're energized by solving real customer problems
* Technical Proficiency: Advanced expertise in SQL, Python/R, and relevant machine learning libraries. Demonstrated experience with statistical methods such as regression, hypothesis testing, clustering, classification, tree\-based methods, neural networks, and anomaly detection. Familiarity with ELT tools such as FiveTran and DBT, and ability to collaborate with data counterparts on data repositories and models. Expertise with business intelligence tools such as Tableau (preferred)
* Academic Background: Degree in a quantitative field like data science, mathematics, economics, or computer science, or equivalent practical experience (Masters preferred)
**Benefits**
**Why You'll Love Working Here**
* Competitive Compensation: Base salary of $140k\-$200k DOE
* Growth Opportunity: Join a company in its early stages and help build its foundation for success
* Equity: Opportunity to earn equity compensation
* Comprehensive Benefits: 100% company\-paid medical premiums for employees, 401(k) \[Match], and Flexible PTO
* Vibrant Culture: Lively Austin HQ with catered lunches, Happy Hours, and team\-building events.
* Work\-Life Balance: Enjoy RV rental discounts and a company culture that values a healthy balance between work and adventure</t>
        </is>
      </c>
    </row>
    <row r="66">
      <c r="A66" t="inlineStr">
        <is>
          <t>li-4366053048</t>
        </is>
      </c>
      <c r="B66" t="inlineStr">
        <is>
          <t>Machine Learning - Data Scientist</t>
        </is>
      </c>
      <c r="C66" t="inlineStr">
        <is>
          <t>Apple</t>
        </is>
      </c>
      <c r="D66" t="inlineStr">
        <is>
          <t>linkedin</t>
        </is>
      </c>
      <c r="E66">
        <f>HYPERLINK("https://www.linkedin.com/jobs/view/4366053048", "https://www.linkedin.com/jobs/view/4366053048")</f>
        <v/>
      </c>
      <c r="F66" t="inlineStr"/>
      <c r="G66" t="inlineStr">
        <is>
          <t>Boulder, CO</t>
        </is>
      </c>
      <c r="H66" t="inlineStr"/>
      <c r="I66" t="inlineStr">
        <is>
          <t>**Summary**
 Do you have a passion for computer vision and solving deep learning problems? The Video Engineering Data Analytics and Quality group is seeking an expert in evaluating machine learning and deep learning models, including foundation models and multimodal systems.
 This role will play a critical part in crafting robust evaluation frameworks, using both traditional statistical methods and modern techniques like LLM\-as\-a\-Judge! The ideal candidate combines strong analytical thinking, expertise in Python, and advanced knowledge of statistical methodologies and data quality standards.
 This role involves collaboration with teams at Apple passionate about developing foundation models, including ML engineers, data scientists, and ML Infrastructure engineers to deliver amazing user experiences!
**Description**
 Develop robust methodologies to assess the performance of foundation models (e.g., LLMs, vision\-language models, etc.) across diverse tasks.
 Leverage LLMs as judges to perform subjective and open\-ended model evaluations (e.g., for summarization, reasoning, or multimodal generation tasks).
 Build, curate, and lead evaluation datasets and benchmarks.
 Advanced proficiency in at least one scripting language, preferably Python.
 Collaborate with research, engineering, and product teams to define evaluation goals aligned with user experience and product quality.
 Conduct failure analysis and uncover edge cases to improve model robustness.
 Contribute to our tools and infrastructure to automate and scale evaluation processes.
**Minimum Qualifications**
* BS and a minimum of 3 years relevant industry experience
* Strong experience in evaluating supervised, unsupervised, and deep learning models.
* Hands\-on experience evaluating LLMs and using them as scoring/judging mechanisms.
* Familiarity with multimodal models (e.g., image \+ text, video \+ audio) and related evaluation challenges.
* Proficiency in Python and libraries such as NumPy, pandas, scikit\-learn, PyTorch, or TensorFlow.
* Solid understanding of statistical testing, sampling, confidence intervals, and metrics (e.g., precision/recall, BLEU, ROUGE, FID, etc.).
* Strong documentation skills, including the ability to write technical reports and present to non\-technical audiences.
**Preferred Qualifications**
* Experience working with open\-source evaluation tools like OpenEval, ELO\-based ranking, or LLM\-as\-a\-Judge frameworks.
* Familiarity with prompt engineering, few\-shot or zero\-shot evaluation techniques.
* Experience evaluating generative models (e.g., text generation, image generation).
* Prior contributions to ML benchmarks or public evaluations.
* Strong interpersonal skills.
**Pay \&amp; Benefits**
 At Apple, base pay is one part of our total compensation package and is determined within a range. This provides the opportunity to progress as you grow and develop within a role. The base pay range for this role is between $132,100 and $244,600,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7">
      <c r="A67" t="inlineStr">
        <is>
          <t>li-4366235500</t>
        </is>
      </c>
      <c r="B67" t="inlineStr">
        <is>
          <t>Data Scientist III (6026)</t>
        </is>
      </c>
      <c r="C67" t="inlineStr">
        <is>
          <t>itD</t>
        </is>
      </c>
      <c r="D67" t="inlineStr">
        <is>
          <t>linkedin</t>
        </is>
      </c>
      <c r="E67">
        <f>HYPERLINK("https://www.linkedin.com/jobs/view/4366235500", "https://www.linkedin.com/jobs/view/4366235500")</f>
        <v/>
      </c>
      <c r="F67" t="inlineStr"/>
      <c r="G67" t="inlineStr">
        <is>
          <t>Menlo Park, CA</t>
        </is>
      </c>
      <c r="H67" t="inlineStr"/>
      <c r="I67" t="inlineStr">
        <is>
          <t>itD is seeking a Data Scientist lll to provide advanced analytical and modeling support for strategic initiatives across large\-scale product ecosystems. This role contributes directly to data\-driven decision\-making by delivering actionable insights, robust metrics, and experimentation frameworks that inform product and ecosystem strategy. The ideal candidate brings deep data science expertise, strong communication skills, and a proven ability to drive impact in fast\-paced environments.
**Location:** 
 Onsite \- Menlo Park, CA
**Pay Range:** 
 $58 \- 65 (hourly)
 We provide comprehensive medical benefits, a 401(k) plan, paid holidays, and more. Please note that we are only considering direct W2 candidates at this time, as we are unable to offer sponsorship.
**Responsibilities**
* Analyze large, complex datasets to identify trends, patterns, and actionable insights supporting product and ecosystem performance.
* Develop, implement, and maintain key metrics to measure health, growth, and engagement across products and platforms.
* Design and execute structured experiments to evaluate new features, initiatives, and strategies.
* Collaborate closely with cross\-functional partners to define analytical requirements and inform strategic decisions.
* Build dashboards and reports using data visualization tools to communicate insights to technical and non\-technical stakeholders.
* Deliver high\-quality ad hoc analyses in response to time\-sensitive business questions.
**Internal Responsibilities**
* Attend regular internal practice community meetings.
* Collaborate with your itD practice team on industry thought leadership.
* Complete client case studies and learning material (blogs, media material).
* Build out material to contribute to the Digital Transformation practice.
* Attend internal itD networking events (in person and virtual).
* Work with leadership on career fast\-track opportunities.
**Required Qualifications And Skills**
* 5\+ years of professional experience in data science, analytics, or a related role.
* Advanced proficiency in SQL and at least one programming language (Python or R).
* Strong analytical and modeling skills with experience in product or ecosystem analysis.
* Hands\-on experience with data visualization tools such as Tableau, Unidash, or Metrics360\.
* Proven ability to communicate complex findings clearly and effectively to diverse stakeholders.
* Ability to work independently and manage competing priorities in a fast\-paced environment.
* Experience working with large\-scale datasets.
**Preferred Qualifications And Skills**
* Prior experience supporting large\-scale technology or platform ecosystems.
* Previous experience working in a contractor or consulting capacity.
* Familiarity with large\-scale data infrastructure and distributed query systems.
* Knowledge of experimentation design and causal inference methodologies.
* Prior experience working in Meta environments is highly preferred.
**Education**
 Bachelor’s degree in Data Science, Statistics, Computer Science, Economics, or a related quantitative field, or equivalent work experience required.
**Company Description**
 About itD: We are part of a new generation of consulting and software development company that blends diversity, innovation, and integrity with real business results. Our structure rejects any strong hierarchy, empowering us to deliver excellent results. We are a woman\- and minority\-led firm. Every day, we challenge ourselves to be considerate, fair and to re\-think what great outcomes mean for our customers. This permeates down to how we approach every interaction, on every project, for every client. You’ll thrive here if you are a dynamic self\-starter, a difference\-maker or someone who wants to deliver great results, without constraints.
 The itD Digital Experience: Joining us means you’ll be part of our global community, you have a say about your own career journey, and you’ll get a chance to give back to causes that matter. You will experience working with Fortune 500 companies and high\-performance teams across numerous industries. itD offers our employees excellent benefits such as medical, dental, vision, life insurance, paid holidays, 401K \+ matching, networking \&amp; career learning and development programs. We are growing and we want to see you grow! Visit https://itdtech.com/careers to learn more about what working at itD can mean for you.
 All qualified applicants will receive consideration for employment without regard to race, color, religion, sex, sexual orientation, gender identity, national origin, age, disability or protected veteran status, or any other legally protected basis, in accordance with applicable law. itD is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contact us at recruiting@itdtech.com and let us know the nature of your request and your contact information.
**Additional Info**
 Dynamic environment in a culture of respect, empowerment and recognition for a job well done, apply today!</t>
        </is>
      </c>
    </row>
    <row r="68">
      <c r="A68" t="inlineStr">
        <is>
          <t>li-4351351420</t>
        </is>
      </c>
      <c r="B68" t="inlineStr">
        <is>
          <t>Data Scientist- TS/SCI</t>
        </is>
      </c>
      <c r="C68" t="inlineStr">
        <is>
          <t>MORSE Corp</t>
        </is>
      </c>
      <c r="D68" t="inlineStr">
        <is>
          <t>linkedin</t>
        </is>
      </c>
      <c r="E68">
        <f>HYPERLINK("https://www.linkedin.com/jobs/view/4351351420", "https://www.linkedin.com/jobs/view/4351351420")</f>
        <v/>
      </c>
      <c r="F68" t="inlineStr"/>
      <c r="G68" t="inlineStr"/>
      <c r="H68" t="inlineStr"/>
      <c r="I68"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MORSE is searching for a Data Scientist with expertise in data analysis, data science, and algorithm development in one or more of a variety of fields including visual classification, big data, natural language processing, machine translation, time sequenced data, and advanced metrics. You will be part of teams performing Test and Evaluation (T\&amp;E) of AI and machine learning models and algorithms to give national security customers insights into the capabilities of applying AI to solve real world problems.
 Responsibilities:
 * Perform data analysis, test and evaluation of existing machine learning algorithms, and development of advanced algorithms to model physical and autonomous systems,
* Work with MORSE’s current team of engineers to transition algorithms to software applications and real\-time embedded systems.
* Support the transition of the developed algorithms to software using one or more programming languages such as Python, C, C\+\+, Java, or MATLAB.
* Work with customers, stakeholders, and other vendors to present concepts, analyses, and test results
* Present a path forward and solutions to solve complex data problems
* Research and identify new methods for machine learning and data analysis
 Requirements:
 * US CITIZENSHIP REQUIRED and an active Top Secret Security Clearance with SCI eligibility
* Masters or Ph.D in Data Science, Computer Science, Engineering, Applied Mathematics, Physics, Physical or Biological Sciences or a related field
* 3\+ years of experience in Data Science or Analysis
* Solid understanding of data analysis, physics, linear algebra, statistics, algorithms, optimization, and/or machine learning methods
* Proficiency in one or more programming languages like Python, Matlab, C, or C\+\+
* Demonstrated experience with large, multidimensional, or complex data sets in one or more of the following areas: parsing, cleaning, storage strategies, provenance tracking, database formats, and parallelized data transformations
* Good communication skills
* Self\-starter and driven
* Prior experience in defense is a plus
 MORSE Corp’s salary range for this role carefully considers a wide range of compensation factors, including but not limited to, prior experience, education, skills and expertise, location, internal equity, and other factors that are job related and consistent with business need. Therefore, final offer amounts may vary from the amount stated. Depending on role eligibility, total compensation may also include bonus, stock, 401(k) match, paid time off, medical, dental, vision and life insurance.Employees also receive 10 paid holidays per year. MORSE maintains an “open” leave policy that does not restrict exempt, regular full\-time employees to a specific number of paid sick or vacation days. However, this policy is not an “unlimited” paid leave policy. 
 Compensation: $110,000 USD \- $210,000 USD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69">
      <c r="A69" t="inlineStr">
        <is>
          <t>li-4366053422</t>
        </is>
      </c>
      <c r="B69" t="inlineStr">
        <is>
          <t>Product Data Scientist</t>
        </is>
      </c>
      <c r="C69" t="inlineStr">
        <is>
          <t>Klaviyo</t>
        </is>
      </c>
      <c r="D69" t="inlineStr">
        <is>
          <t>linkedin</t>
        </is>
      </c>
      <c r="E69">
        <f>HYPERLINK("https://www.linkedin.com/jobs/view/4366053422", "https://www.linkedin.com/jobs/view/4366053422")</f>
        <v/>
      </c>
      <c r="F69" t="inlineStr"/>
      <c r="G69" t="inlineStr">
        <is>
          <t>Boston, MA</t>
        </is>
      </c>
      <c r="H69" t="inlineStr"/>
      <c r="I69"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We’re looking for someone who thrives at the intersection of data and product — someone who brings solid analytical skills, experience with experimentation, and curiosity to uncover insights that shape product strategy. You should be comfortable working with SQL and R or Python, designing and analyzing A/B tests, and translating data into actionable recommendations for product teams.
 **Please note this is a hybrid role that requires 3 days/week in our Boston office. Fully remote candidates will not be considered at this time.**
**What You’ll Do**
* Partner with product and engineering teams to evaluate product opportunities through A/B testing, data analysis, and customer insights
* Contribute to the design, implementation, and analysis of experiments — ensuring correct setup, sufficient power, and clear interpretation of results
* Conduct exploratory analyses to uncover patterns in customer behavior and product usage that inform product strategy
* Define and track product and customer metrics to measure success, and help build dashboards and reporting that make insights accessible to product managers and stakeholders
* Collaborate with data engineering to ensure data pipelines and DBT models are accurate, reliable, and well\-structured for downstream use
* Communicate insights in a clear, compelling way to cross\-functional partners, making data actionable for product decisions
**Who You Are**
* You have 3\-4 years of experience in product analytics, data science, or applied statistics, preferably in a SaaS or product\-focused environment
* You hold a degree in a quantitative field such as Statistics, Mathematics, Computer Science, Economics, or Engineering
* You are proficient in SQL and have experience using either Python or R for data analysis
* You have hands\-on experience with A/B testing and statistical analysis, and are motivated to grow into more advanced methods over time
* You bring strong business intuition and curiosity, and can translate questions into structured analytical approaches
* You’re a clear communicator who can frame findings for both technical and non\-technical audiences
* You enjoy working cross\-functionally and are energized by using data to improve customer outcomes
**Why You’ll Love This Role**
* Gain hands\-on experience influencing product direction through experimentation and analytics
* Build your expertise in product data science with mentorship and collaboration from senior data scientists
* Join a company where data science is a core part of the product development lifecycle
* Be part of a culture that values analytical rigor, collaborative problem\-solving, and continuous learning
**Massachusetts Applicants**
 It is unlawful in Massachusetts to require or administer a lie detector test as a condition of employment or continued employment. An employer who violates this law shall be subject to criminal penalties and civil liability.
 Our salary range reflects the cost of labor across various U.S. geographic markets. The range displayed below reflects the minimum and maximum target salaries for the position across all our US locations. The base salary offered for this position is determined by several factors, including the applicant’s job\-related skills, relevant experience, education or training, and work location.
 In addition to base salary, our total compensation package may include participation in the company’s annual cash bonus plan, variable compensation (OTE) for sales and customer success roles, equity, sign\-on payments, and a comprehensive range of health, welfare, and wellbeing benefits based on eligibility.
 Your recruiter can provide more details about the specific salary/OTE range for your preferred location during the hiring process.
 Base Pay Range For US Locations:
 $88,000—$132,000 USD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 
*You can find our Job Applicant Privacy Notice* 
*here* 
*and here (FR).*</t>
        </is>
      </c>
    </row>
    <row r="70">
      <c r="A70" t="inlineStr">
        <is>
          <t>li-4366619172</t>
        </is>
      </c>
      <c r="B70" t="inlineStr">
        <is>
          <t>Senior AI Data Scientist, Consumer Lending - Remote</t>
        </is>
      </c>
      <c r="C70" t="inlineStr">
        <is>
          <t>Experian</t>
        </is>
      </c>
      <c r="D70" t="inlineStr">
        <is>
          <t>linkedin</t>
        </is>
      </c>
      <c r="E70">
        <f>HYPERLINK("https://www.linkedin.com/jobs/view/4366619172", "https://www.linkedin.com/jobs/view/4366619172")</f>
        <v/>
      </c>
      <c r="F70" t="inlineStr"/>
      <c r="G70" t="inlineStr"/>
      <c r="H70" t="inlineStr"/>
      <c r="I70" t="inlineStr">
        <is>
          <t>Job Posting \- Salary Range: $133,109 \- $239,596
**Company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work towards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Experian is looking for an experienced Senior AI Data Scientist to join our Analytic Innovations group. This individual contributor role will focus on developing agentic AI solutions and advanced marketing analytics models that move strategic decision\-making across the consumer credit lifecycle. You will have deep technical expertise in coding intelligent agents, experience in marketing analytics for consumer lending products with modeling knowledge plus experience applying AI to real\-world challenges in financial services. This is a fully remote position. You will report to the VP of Analytics Consulting.
**You'll Have Opportunity To**
* Design, code and test AI agents that support autonomous decision\-making in marketing campaigns, customer acquisition, and portfolio optimization.
* Apply hands\-on coding knowledge to create agentic AI techniques to solve complex business problems in consumer lending.
* Conduct exploratory data analysis and develop predictive models using credit bureau data and other consumer datasets.
* Prototype and improve on intelligent agent behaviors using Python, Spark and modern agentic frameworks.
* Support the deployment and monitoring of AI models in production environments, ensuring performance, reliability and compliance.
* Collaborate with company partners to translate our requirements into scalable AI solutions.
* Contribute to the development of new analytical products and services that enhance marketing effectiveness and customer engagement.
**Qualifications**
* Expertise in advanced Python programming, including experience with data manipulation, modeling and deployment in cloud environments.
* Proficient in using big data platforms for scalable analytics and deployment
* Hands\-on experience building agentic AI frameworks or tools, including autonomous agents
* Experience with cloud\-based data platforms and production\-grade ML deployment.
* 5\+ years of experience in consumer lending marketing analytics; including an understanding of consumer credit data and marketing analytics methodologies
**Benefits/Perks**
**Additional Information**
* Competitive compensation package and bonus plan
* Core benefits including medical, dental, vision, and matching 401K
* Flexible work environment, ability to work remote, hybrid or in\-office
* Flexible time off including volunteer time off, vacation, sick and 12\-paid holidays
* Explore all our exciting benefits here: https://yourexperianbenefits.com/cand\-index.html
 At Experian, our people and culture set us apart. We're deeply committed to creating an environment where everyone feels they belong and can excel. From inclusion and authenticity to work/life balance, development, wellness, collaboration, and recognition, we focus on what truly matters. Our people\-first approach has earned us global recognition: World's Best Workplaces™ 2024 (Fortune Top 25\), Great Place To Work™ 2025 in 26 countries, and Glassdoor Best Places to Work 2024, among others.
 Want to see what life at Experian is really like? Explore Experian Life on social or visit our Careers Site.
 Our compensation reflects the cost of labor across several U.S. geographic markets. The base pay range for this position is listed above. Within this range, individual pay is determined by work location and additional factors such as job\-related skills, experience, and education. This position is also eligible for a variable pay opportunity and a comprehensive benefits package.
 Experian is proud to be an Equal Opportunity Employer for all groups protected under applicable federal, state and local law, including protected veterans and individuals with disabilities. If you have a disability or special need that requires accommodation, please let us know at the earliest opportunity.</t>
        </is>
      </c>
    </row>
    <row r="71">
      <c r="A71" t="inlineStr">
        <is>
          <t>li-4366050758</t>
        </is>
      </c>
      <c r="B71" t="inlineStr">
        <is>
          <t>Data Scientist Associate - Payments Data &amp; Analytics</t>
        </is>
      </c>
      <c r="C71" t="inlineStr">
        <is>
          <t>hackajob</t>
        </is>
      </c>
      <c r="D71" t="inlineStr">
        <is>
          <t>linkedin</t>
        </is>
      </c>
      <c r="E71">
        <f>HYPERLINK("https://www.linkedin.com/jobs/view/4366050758", "https://www.linkedin.com/jobs/view/4366050758")</f>
        <v/>
      </c>
      <c r="F71" t="inlineStr"/>
      <c r="G71" t="inlineStr">
        <is>
          <t>New York, NY</t>
        </is>
      </c>
      <c r="H71" t="inlineStr"/>
      <c r="I71" t="inlineStr">
        <is>
          <t>***hackajob** 
 is collaborating with
 **J.P. Morgan** 
 to connect them with exceptional tech professionals for this role.*
**Job Description**
 Join the JPM Payments Data \&amp; Analytics' Treasure Service team at JPMorgan Chase, where we leverage data science, research, and business acumen to promote client\-focused innovation. Apply your technical skills to projects involving payments analytics and cutting\-edge Gen\-AI applications, creating impactful solutions for Chase Treasury Services clients.
 As a Data Scientist Associate in our Treasury Services team, you will work on projects that integrate agentic workflows, business intelligence, data engineering, and data visualization to grow our payments business. You will play a pivotal role in developing our generative AI use cases and approach.
 Your work will involve leveraging your technical skills and business acumen to collaboratively design and implement end\-to\-end solutions with tangible commercial impact for our clients and customers. Our team supports both internal and external payments intelligence applications, as well as custom client analytics requests on an ad hoc basis.
 Utilizing tools such as Databricks, Python, Tableau and Sigma, you will develop data pipelines and dashboards, prototype new generative AI capabilities and features, and ensure the quality and integrity of our intelligent solutions. Your contributions will help streamline operations, enhance decision\-making, and foster growth through innovative AI applications.
**Job Responsibilities**
* Learn our business and how JPMorgan delivers value for our clients globally
* Leverage your technical skillset and curiosity to identify opportunities to help grow our TS business
* Build and rigorously test new data and AI driven insights
* Develop scalable frameworks for seamless AI model integration across business applications. Ensure solutions can adapt and expand as needed.
* Build and test AI agents. Iterate designs to enhance functionality and user experience. Conduct rigorous testing for reliability and effectiveness.
* Use tools like Databricks, Python, Tableau and Sigma to create data pipelines and dashboards. Support AI\-driven insights and decision\-making.
* Monitor AI model performance. Identify areas for enhancement. Implement updates to maintain quality and relevance.
* Work on agile teams to support data\-driven decision\-making and client relationship management.
**Required Qualifications, Capabilities, And Skills**
* Bachelor's degree in Science, Technology, Engineering, Mathematics (STEM) or related field.
* Proficiency in Python and SQL for data processing and analysis.
* Strong problem\-solving and critical thinking skills.
* Experience in leveraging Large Language Models (LLMs) and agentic AI techniques.
* Ability to automate repeatable tasks to enhance business process efficiency.
**Preferred Qualifications, Capabilities, And Skills**
* Experience in data analysis, data science, or related fields.
* Familiarity with AWS, Databricks for data management and analysis.
* Understanding of quality assurance practices and the importance of data integrity.
* Knowledge of machine learning/data science theory, techniques, and tools.
* Awareness of big data technologies (e.g., Spark) and distributed computing concepts like MapReduce.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72">
      <c r="A72" t="inlineStr">
        <is>
          <t>li-4366607753</t>
        </is>
      </c>
      <c r="B72" t="inlineStr">
        <is>
          <t>Senior Data Scientist</t>
        </is>
      </c>
      <c r="C72" t="inlineStr">
        <is>
          <t>Russell Tobin</t>
        </is>
      </c>
      <c r="D72" t="inlineStr">
        <is>
          <t>linkedin</t>
        </is>
      </c>
      <c r="E72">
        <f>HYPERLINK("https://www.linkedin.com/jobs/view/4366607753", "https://www.linkedin.com/jobs/view/4366607753")</f>
        <v/>
      </c>
      <c r="F72" t="inlineStr"/>
      <c r="G72" t="inlineStr">
        <is>
          <t>New York, NY</t>
        </is>
      </c>
      <c r="H72" t="inlineStr"/>
      <c r="I72" t="inlineStr">
        <is>
          <t>***Title: Senior Data Scientist 
 Location: New York (onsite)
 Contract: W2; 12\-month contract (possibility of extension or conversion)
 Client: Fortune 5 Company
 Pay Rate: $80/hr to $90/hr W2***
**Top 3 must\-have HARD skills:** 
 Experience with hardware sensors and real\-world data analysis
 Direct experience working with biosensors or similar hardware, and analyzing the resulting data.
 Signal processing expertise
 Ability to process time domain signals and/or medical imaging systems, which is crucial for biosensor data.
 Advanced programming and data manipulation
 3\+ years of hands\-on experience with Python, R, MATLAB, or SQL for data extraction, manipulation, and visualization, including proficiency with scientific computing and analysis packages (NumPy, SciPy, Pandas, Scikit\-learn, etc.).
**Good to have skills:** 
 Experience presenting findings from statistical and machine learning methods to diverse audiences.
 Proficiency in data structures and algorithms.
 Experience with data visualization libraries (Matplotlib, Pyplot, seaborn, ggplot2\).
 Experience working with large datasets.
 Familiarity with scientific computing and analysis packages (dplyr, caret).
 Advanced degree (Master’s or PhD) in computer science, statistics, neuroscience, biomedical engineering, or related field.
**Story Behind the Need \- Business Group \&amp; Key Projects:** 
 The business group is focused on biosensing R\&amp;D, aiming to develop innovative biosensor products.
 The need arises from ongoing and future projects that require deep data analysis of biosensor outputs to guide research and development.
 The Data Scientist will play a key role in analyzing complex, high\-dimensional biosensor data to inform prototype development and product improvement.
**Compelling Story \&amp; Candidate Value Proposition:** 
 Impactful Work: Candidates will contribute directly to cutting\-edge biosensor technology, influencing future products and R\&amp;D directions.
 Innovation Opportunity: The role offers the chance to work on novel data analysis challenges, prototype development, and translating research into real\-world products.
 Collaborative Environment: Work closely with product engineers and cross\-functional teams, bridging the gap between data science and hardware engineering.
**Typical Day in the Role:** 
 Execute and optimize distributed compute workflows for metric computation and modeling.
 Analyze biosensor data using statistical and machine learning techniques.
 Design and evaluate predictive models and advanced algorithms.
 Generate and test hypotheses, interpret experiment results.
 Collaborate with engineers to translate prototypes into products.
 Visualize data to support team decision\-making for R\&amp;D.
**How will performance be measured:** 
 Quality and impact of data analysis: Ability to produce actionable insights from complex biosensor datasets.
 Effectiveness of predictive models and algorithms: Success in developing models that drive prototype and product improvements.
 Collaboration and communication: Effectiveness in working with engineers and presenting findings to diverse audiences.
 Contribution to R\&amp;D direction: Influence on future biosensor research and product development through data\-driven recommendations.
 Efficiency in workflow execution: Ability to debug, optimize, and scale compute workflows for large datasets
**Benefits Info**
 Pride Global offers eligible employee’s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 with preferred vendors.
 \#RTA</t>
        </is>
      </c>
    </row>
    <row r="73">
      <c r="A73" t="inlineStr">
        <is>
          <t>li-4366083403</t>
        </is>
      </c>
      <c r="B73" t="inlineStr">
        <is>
          <t>Data Scientist</t>
        </is>
      </c>
      <c r="C73" t="inlineStr">
        <is>
          <t>ChatGPT Jobs</t>
        </is>
      </c>
      <c r="D73" t="inlineStr">
        <is>
          <t>linkedin</t>
        </is>
      </c>
      <c r="E73">
        <f>HYPERLINK("https://www.linkedin.com/jobs/view/4366083403", "https://www.linkedin.com/jobs/view/4366083403")</f>
        <v/>
      </c>
      <c r="F73">
        <f>HYPERLINK("https://chatgpt-jobs.com/job/data-scientist-alenotech-solutions-llc-3096&amp;urlHash=J1CW", "https://chatgpt-jobs.com/job/data-scientist-alenotech-solutions-llc-3096&amp;urlHash=J1CW")</f>
        <v/>
      </c>
      <c r="G73" t="inlineStr">
        <is>
          <t>San Diego, CA</t>
        </is>
      </c>
      <c r="H73" t="inlineStr"/>
      <c r="I73" t="inlineStr">
        <is>
          <t>**Job Description**
 Data Scientist
**Company:** 
 ALENOTECH SOLUTIONS LLC
**Location:** 
 San Diego, CA (Remote)
**Type:** 
 Full\-time
**Benefits:** 
 Medical, Dental, PTO
**Posted:** 
 22 hours ago
**Job Description**
**Key Responsibilities:**
* Analyze large, structured and unstructured datasets using Python, SQL, and statistical techniques
* Design and develop machine learning models for prediction, classification, and optimization
* Perform exploratory data analysis (EDA) and feature engineering to identify trends and patterns
* Build and maintain ETL/ELT data pipelines to support analytics workflows
* Develop dashboards and reports using Tableau, Power BI, or similar BI tools
* Validate model performance using appropriate metrics and optimize accuracy
* Collaborate with product, engineering, and business teams to define data requirements
* Document models, workflows, and analytics methodologies
* Support deployment and monitoring of models in production environments
****Required Skills \&amp; Qualifications:****
* Master’s or Bachelor’s degree in Data Science, Computer Science, Business Analytics, Statistics, or related STEM field
* Strong proficiency in Python (pandas, NumPy, scikit\-learn)
* Solid experience with SQL and relational databases
* Hands\-on experience with machine learning algorithms (Regression, Classification, Clustering)
* Knowledge of statistical analysis and data modeling
* Experience with data visualization tools (Tableau, Power BI, Matplotlib, Seaborn)
* Understanding of cloud platforms (AWS / Azure / GCP – preferred)
* Strong analytical, problem\-solving, and communication skills
**Company Description**
 At Alenotech Solutions LLC, we specialize in connecting top\-tier technology talent with leading organizations across the U.S. Our mission is to empower professionals through advanced training, project placement, and long\-term career development in cutting\-edge technologies like Data Science, AI, and Cloud Computing.
 Join our growing team and become part of a company that values innovation, learning, and collaboration.</t>
        </is>
      </c>
    </row>
    <row r="74">
      <c r="A74" t="inlineStr">
        <is>
          <t>li-4329781218</t>
        </is>
      </c>
      <c r="B74" t="inlineStr">
        <is>
          <t>Senior Data Scientist</t>
        </is>
      </c>
      <c r="C74" t="inlineStr">
        <is>
          <t>GNOMI</t>
        </is>
      </c>
      <c r="D74" t="inlineStr">
        <is>
          <t>linkedin</t>
        </is>
      </c>
      <c r="E74">
        <f>HYPERLINK("https://www.linkedin.com/jobs/view/4329781218", "https://www.linkedin.com/jobs/view/4329781218")</f>
        <v/>
      </c>
      <c r="F74" t="inlineStr"/>
      <c r="G74" t="inlineStr"/>
      <c r="H74" t="inlineStr"/>
      <c r="I74" t="inlineStr">
        <is>
          <t>**Senior Data Scientist** 
**Location:** 
 New York, NY \| Onsite
**About GNOMI:** 
 GNOMI is redefining how the world understands news and information. Our AI\-powered platform delivers real\-time, multilingual, and context\-rich intelligence, helping professionals, institutions, and enterprises cut through noise and act with clarity.
 At GNOMI, data science is not an academic exercise; it’s a core product and enterprise capability. Our models power not only consumer experiences, but also enterprise\-grade intelligence solutions used by institutions, publishers, and partners.
 We’re looking for a Senior Data Scientist who can turn complex data into insight, intelligence, and scalable enterprise solutions. This role sits at the intersection of AI, product, and decision\-making, requiring strong statistical rigor, applied judgment, and the ability to translate models into real\-world impact.
**What You’ll Do:** 
* Develop and deploy statistical and machine learning models powering GNOMI’s AI News Agent, Finance Mode, and enterprise solutions
* Analyze large\-scale user, content, and behavioral datasets to uncover patterns, trends, and signals
* Design and evaluate models for classification, ranking, sentiment, relevance, anomaly detection, and enterprise intelligence use cases
* Partner with Product and Engineering to integrate data science into consumer and enterprise\-facing features
* Support the development of enterprise analytics, insights, and reporting products tailored to institutional clients
* Define success metrics and evaluate model performance using rigorous statistical methods
* Lead experimentation efforts (A/B testing, causal analysis) across both consumer and enterprise deployments
* Translate complex findings into clear, actionable insights for internal teams and enterprise stakeholders
* Stay current on emerging techniques and apply what meaningfully improves GNOMI’s intelligence platform
**What We’re Looking For:** 
* 7\+ years of experience in Data Science, Applied Machine Learning, or similar roles
* Strong foundation in statistics, probability, and quantitative modeling
* Experience building and evaluating models used in production and enterprise environments
* Ability to move from ambiguous business or client needs to structured analysis and solutions
* Comfort working with real\-time, high\-volume, or multi\-tenant data
* Strong communication skills with both technical teams and enterprise\-facing partners
**Must\-Haves:** 
* Advanced proficiency in Python and data science libraries (pandas, NumPy, scikit\-learn, PyTorch, TensorFlow)
* Strong SQL skills and experience working with large datasets
* Experience with experimentation frameworks, model evaluation, and monitoring
* Familiarity with ML pipelines, deployment, and lifecycle management
* Ability to balance rigor, scalability, and speed in a fast\-moving environment
**Nice to Have:** 
* Experience building enterprise analytics or data products
* Exposure to NLP, information retrieval, time\-series analysis, or LLM\-based systems
* Familiarity with privacy, compliance, and responsible data usage in enterprise contexts
* Experience working with multilingual or global datasets
**Why GNOMI:** 
 GNOMI is building a new class of real\-time intelligence platforms for individuals and for enterprises. As a Senior Data Scientist, you’ll help define how information is interpreted, contextualized, and delivered at scale, across consumer and institutional use cases.
 This role offers deep ownership, real\-world impact, and the opportunity to shape enterprise\-grade intelligence solutions built on trust, transparency, and rigor.
**Compensation \&amp; Benefits:** 
* Salary Range: $160,000 – $250,000 (final offer based on experience and expertise)
* Bonus: Discretionary performance\-based bonus
* Equity: Eligibility for Equity as part of the total compensation package
* Benefits: Comprehensive medical, dental, and vision coverage</t>
        </is>
      </c>
    </row>
    <row r="75">
      <c r="A75" t="inlineStr">
        <is>
          <t>li-4366037629</t>
        </is>
      </c>
      <c r="B75" t="inlineStr">
        <is>
          <t>Data Scientist</t>
        </is>
      </c>
      <c r="C75" t="inlineStr">
        <is>
          <t>Haystack</t>
        </is>
      </c>
      <c r="D75" t="inlineStr">
        <is>
          <t>linkedin</t>
        </is>
      </c>
      <c r="E75">
        <f>HYPERLINK("https://www.linkedin.com/jobs/view/4366037629", "https://www.linkedin.com/jobs/view/4366037629")</f>
        <v/>
      </c>
      <c r="F75" t="inlineStr"/>
      <c r="G75" t="inlineStr"/>
      <c r="H75" t="inlineStr"/>
      <c r="I75" t="inlineStr">
        <is>
          <t>**Staff, Data Scientist – Conversational AI \| San Francisco \| $110,000 \- $286,000** 
 We're working with Walmart on this exciting opportunity.
 Join Walmart's Cortex Team and revolutionize customer experience through cutting\-edge Conversational AI! As a Staff Data Scientist, you'll leverage your expertise in NLP and Machine Learning to build the next generation of voice and text shopping assistants, impacting millions of users daily.
**The Role** 
 • Design and implement advanced Natural Language Understanding (NLU) services for multi\-modal experiences.
 • Develop and enhance conversational AI models using Deep Learning techniques (Transformers, BERT, Llama, Gpts, Gemini).
 • Drive the full model lifecycle, from data pipelines and extraction to training, serving, and ML\-ops.
 • Collaborate on building demos, proof of concepts, and contribute to white papers and blogs as part of an emerging tech group.
 • Analyze data to identify patterns, conduct error analysis, and optimize model performance using statistical measures.
**What You'll Need** 
 • 4\+ years of experience in an analytics\-related field with a Bachelor's degree, or 2\+ years with a Master's degree.
 • Expertise in Python and SQL for data manipulation and model development.
 • Hands\-on experience with classical ML models, including test/train/evaluation metrics and key parameters.
 • Familiarity with NLU/NLP, deep ML models (Transformers, BERT, Llama, Gpts, Gemini), and safe fine\-tuning.
 • Proven ability to take projects from scoping requirements through to successful launch.
**What's On Offer** 
 • Competitive pay, performance\-based bonuses, and a comprehensive benefits package.
 • Generous health benefits including medical, vision, and dental coverage.
 • Financial benefits like 401(k), stock purchase options, and company\-paid life insurance.
 • Access to Live Better U, a Walmart\-paid education benefit program for continuous learning and development.
**Apply via Haystack today!**</t>
        </is>
      </c>
    </row>
    <row r="76">
      <c r="A76" t="inlineStr">
        <is>
          <t>li-4365869854</t>
        </is>
      </c>
      <c r="B76" t="inlineStr">
        <is>
          <t>Data Scientist</t>
        </is>
      </c>
      <c r="C76" t="inlineStr">
        <is>
          <t>Sysco</t>
        </is>
      </c>
      <c r="D76" t="inlineStr">
        <is>
          <t>linkedin</t>
        </is>
      </c>
      <c r="E76">
        <f>HYPERLINK("https://www.linkedin.com/jobs/view/4365869854", "https://www.linkedin.com/jobs/view/4365869854")</f>
        <v/>
      </c>
      <c r="F76">
        <f>HYPERLINK("https://wd5.myworkdaysite.com/recruiting/sysco/syscocareers/job/Sysco-Corporate/Data-Scientist_R228256&amp;urlHash=0292", "https://wd5.myworkdaysite.com/recruiting/sysco/syscocareers/job/Sysco-Corporate/Data-Scientist_R228256&amp;urlHash=0292")</f>
        <v/>
      </c>
      <c r="G76" t="inlineStr">
        <is>
          <t>Houston, TX</t>
        </is>
      </c>
      <c r="H76" t="inlineStr"/>
      <c r="I76" t="inlineStr">
        <is>
          <t>**JOB SUMMARY**
 This role will apply advanced analytics to support the evaluation and development of new demand generation, assortment, costing, pricing and supply chain models. This will require expert ability in data acquisition (internal and external to Sysco), cleansing and manipulation; mathematical modeling; analytical and heuristic solution methods; and the ability to synthesize, visualize and communicate the result. This role will require close collaboration with other functions within the Enterprise Analytics and insights Team in addition to other functions within Sysco.
**RESPONSIBILITIE**
* SIdentify necessary data elements and their sources, leverage appropriate tools to acquire and consolidate large volumes of data from different internal and external sources, and identify and resolve any irrelevant, corrupt, missing, or incongruent dat
* aIdentify and use appropriate advanced analytic tools, technologies and platforms to execute analysis against business requirements, including the ability to scale, deploy and distribute models across the enterprise as needed
* .Develop performance scorecards and dashboards to monitor the adoption, implementation, and impact of models and strategies
* .Work cross\-functionally with other roles within the Enterprise Analytics Team and the Sysco broadly to tune models and ensure value created from models
* .Work with Business Technology resources on API, front end, and down stream integration
* .Collaborate with business process owners to validate model outputs and construct an appropriate trainin
**g
 QUALIFICATIO**
 NS
 Education and / or Experien
* ce:Master’s degree or PhD or Bachelor’s degree \+ 3 years of industry experience in management consulting, strategy, analytics, at a specialized analytics company or in an analytics organization in a corporate setti
* ng.Degree should be in mathematics, statistics or computer science or related field; preferred from a top tier Universi
* ty.1\-4 years of overall analytics experience, can be inclusive of post\-graduate w
* ork2\+ years of experience accessing and manipulating data in SQL or NoSQL database environme
* nts1\+ years of experience with scientific scripting languages (e.g., Python) and/or object\-oriented programming (e.g., C\+\+, Ja
* va)2\+ years of experience with Bayesian statistics, regression analysis (beyond linear regression), supervised learning, unsupervised learning or time\-series analysis requi
**red
 Professional Sk** 
* illsExperience accessing and manipulating data in SQL or NoSQL database environm
* entsExperience with scientific scripting languages (e.g., Python) and/or object\-oriented programming (e.g., C\+\+, J
* ava)Experience with regression analysis (beyond linear regression), supervised learning, unsupervised learning or time\-series analysis requ
 ired</t>
        </is>
      </c>
    </row>
    <row r="77">
      <c r="A77" t="inlineStr">
        <is>
          <t>li-4366035783</t>
        </is>
      </c>
      <c r="B77" t="inlineStr">
        <is>
          <t>AIML - Data Scientist, Evaluation</t>
        </is>
      </c>
      <c r="C77" t="inlineStr">
        <is>
          <t>Apple</t>
        </is>
      </c>
      <c r="D77" t="inlineStr">
        <is>
          <t>linkedin</t>
        </is>
      </c>
      <c r="E77">
        <f>HYPERLINK("https://www.linkedin.com/jobs/view/4366035783", "https://www.linkedin.com/jobs/view/4366035783")</f>
        <v/>
      </c>
      <c r="F77" t="inlineStr"/>
      <c r="G77" t="inlineStr">
        <is>
          <t>Cupertino, CA</t>
        </is>
      </c>
      <c r="H77" t="inlineStr"/>
      <c r="I77" t="inlineStr">
        <is>
          <t>**Summary**
 Do you get excited by driving product impact via measurement and evaluation, for products and services used by hundreds of millions of people globally? The vision for the AIML Evaluation organization is to improve products by using data as the voice of our customers. Within this organization the mission of the Data Science and Insight team is to inform product evolution through measurement, evaluation, and analysis of the user experience. You will partner with Apple Intelligence engineering teams to improve product quality and guide feature development with data, to deliver amazing experiences across iPhone, iPad, HomePod, Mac, Apple Watch, Apple tv, across dozens of languages.
**Description**
 Research and develop evaluation methods to improve the quality of Apple Intelligence user facing products. Work with evaluation/experimentation engineering teams to get your methodological developments translated into technologies that Apple Intelligence engineering will use every day.
 Work with large, complex data sets. Solve difficult, non\-routine analysis problems, applying advanced analytical methods as needed. Conduct analysis that includes data gathering and requirements specification, processing, analysis, ongoing work, and presentations.
 Build and prototype analysis pipelines iteratively to provide insights at scale. Develop comprehensive knowledge of Siri Search data structures and metrics, advocating for changes where needed for product development.
 Partner closely with Apple Intelligence search engineering teams on core machine learning algorithms and systems that are part of product’s ability to understand and respond to requests.
 You should be passionate about building outstanding products. This position involves a wide variety of skills and innovation.
**Responsibilities**
* Design and Own End\-to\-End Evaluation Frameworks: Develop rigorous evaluation methodologies for AI/ML systems, including metric definition, sampling strategy, experiment design, and statistical validity checks. Build scalable pipelines that ensure trustworthy, reproducible, and interpretable results across product surfaces and model iterations.
* Build High\-Quality Evaluation Datasets \&amp; Human\-in\-the\-Loop Systems: Create and maintain gold\-standard datasets for offline and online model assessment. Lead data generation and annotation workflows (e.g., human ratings, Red Teaming, preference data, domain\-specific evals), ensuring coverage, data quality, bias mitigation, and alignment with product and safety goals.
* Partner Cross\-Functionally to Drive Model \&amp; Product Decision\-Making: Translate evaluation insights into actionable recommendations for model training, ranking, and product launches. Collaborate closely with Research, Engineering, Product, and Safety teams to define quality bars, monitor regressions, optimize user experience, and guide roadmap prioritization.
**Minimum Qualifications**
* Experience in data science, machine learning, and analytics, including statistical data analysis and A/B testing.
* Experience articulating and translating business questions and using statistical techniques to arrive at an answer using available data.
* Strong programming skills, including data\-querying skills (SQL and/or Spark, etc.) and experience with a scripting language for data processing and development (e.g., Python, R, or Scala).
* Excellent collaboration skills to achieve impactful results by working effectively with diverse cross\-functional teams, including PMs, engineers, data scientists, and others.
* B.S. in Machine Learning, Computer Science, Statistics, Operations Research or other quantitative fields.
**Preferred Qualifications**
* Applicants have a good understanding of large language model (LLMs), including their architecture, training methods, prompt engineering and fine\-tuning for specific tasks.
* Hands\-on experience in applying LLMs to solve technical problems, such as data analysis, data automation, synthetic data generation, with proven ability to optimize model performance for accuracy and efficiency.
* Ph.D. in machine learning, computer science, statistics, operations research or other quantitative fields.
* 5 years of relevant work experience.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8">
      <c r="A78" t="inlineStr">
        <is>
          <t>li-4366030989</t>
        </is>
      </c>
      <c r="B78" t="inlineStr">
        <is>
          <t>Senior Data Scientist - Experimentation</t>
        </is>
      </c>
      <c r="C78" t="inlineStr">
        <is>
          <t>Apple</t>
        </is>
      </c>
      <c r="D78" t="inlineStr">
        <is>
          <t>linkedin</t>
        </is>
      </c>
      <c r="E78">
        <f>HYPERLINK("https://www.linkedin.com/jobs/view/4366030989", "https://www.linkedin.com/jobs/view/4366030989")</f>
        <v/>
      </c>
      <c r="F78">
        <f>HYPERLINK("https://jobs.apple.com/en-us/details/200618200?board_id=17682&amp;urlHash=Otv-", "https://jobs.apple.com/en-us/details/200618200?board_id=17682&amp;urlHash=Otv-")</f>
        <v/>
      </c>
      <c r="G78" t="inlineStr"/>
      <c r="H78" t="inlineStr"/>
      <c r="I78" t="inlineStr">
        <is>
          <t>**Summary**
 At Apple, we work every day to create products that enrich people’s lives. Our Advertising Platforms group makes it possible for people around the world to easily access informative and imaginative content on their devices while helping publishers and developers promote and monetize their work. Today, our technology and services power advertising in Search Ads in App Store and Apple News. Our platforms are highly\-performant, deployed at scale, and setting new standards for enabling effective advertising while protecting user privacy. Ads Experimentation team is seeking a Machine Learning Engineer and Statistician who will help drive innovation. This is a hands\-on role for developing \&amp; supporting a state of the art ads experimentation platform. This role requires partnering with cross\-functional teams to effectively coordinate the complex interdependencies inherent in application development. A successful candidate has strong technical skills and is eager to create intuitive user experiences; they have a keen eye for the details that surprise and delight our customers. While understanding our product features, you will perform rigorous analyses, measure performance and make data\-driven decisions and develop scalable tools that facilitate quick and accurate decision making.
**Description**
 Design and build a new generation of experimentation platform for the Ads Platform organization. Apply leading\-edge technologies to enable safe and data driven launch of features that help connect Apple users and advertisers while delivering on Apple's privacy commitment through experimentation. Collaborate with stakeholders and data scientists to design experiments and statistical methods that account for the marketplace dynamics and yield reliable treatment effects. Provide expert technical guidance to engineers and scientists on statistical techniques, experiment design and data engineering. You will join and contribute to a culture that emphasizes observability and understandability, reliability, resiliency, simplicity, reusability, extensibility, scalability, velocity and productivity. We are one team, nurturing each other’s growth and supporting each other in delivering for our customers and Apple.
**Responsibilities**
**Minimum Qualifications**
* 8\+ years of experience in software and data science or statistics with an in\-depth understanding of SQL and causal inference. Industry experience in SDLC is preferred.
* Analysis: Conduct rigorous, end\-to\-end analyses using SQL, Python, and statistical methods to uncover insights and improve treatment effect estimates.
* Experience with A/B testing infrastructure and methodologies and deep understanding of the assumptions of randomized control trials. Experience in marketplace experimentation is a bonus.
* Familiarity with causal machine learning tools and technologies. Well versed in observational causal techniques like regression, propensity score matching, Diff in Diff, regression discontinuity and instrumental variables.
* Design and analyze controlled experiments or counterfactual causal inference studies to estimate the incremental and long term impact of interventions. Experience in measuring advertiser value from campaigns or algorithmic changes is a huge plus.
* Proficiency in SQL and Pyspark or Scala to conduct analyses and build data products (pipelines and dashboards) to automate experiment reporting at scale.
* Lead the design, development, and maintenance of scalable and reliable data pipelines. Implement robust data quality checks, monitoring systems, and data lineage tracking. Advocate best practices for data engineering.
* Strategic Partnership: Work directly with stakeholders, including senior leaders, to identify, scope, and prioritise high\-impact questions.
**Preferred Qualifications**
* Advanced Degree in Computer Science, Statistics, Applied Math or related field.
* Skilled at operating in a cross\-functional organization.
* Ability to understand ambiguous and complex problems and design and execute analytical approaches and turn analysis into clear and concise takeaways that drive action.
* Curious business attitude with a proven ability to seek projects with a sense of ownership.
* Excellent communication, social and presentation skills.
* Desire to work in a fast\-paced and challenging work environment.
* Mentor junior engineers and scientists on the team.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9">
      <c r="A79" t="inlineStr">
        <is>
          <t>li-4366625029</t>
        </is>
      </c>
      <c r="B79" t="inlineStr">
        <is>
          <t>Applied Scientist</t>
        </is>
      </c>
      <c r="C79" t="inlineStr">
        <is>
          <t>Planet</t>
        </is>
      </c>
      <c r="D79" t="inlineStr">
        <is>
          <t>linkedin</t>
        </is>
      </c>
      <c r="E79">
        <f>HYPERLINK("https://www.linkedin.com/jobs/view/4366625029", "https://www.linkedin.com/jobs/view/4366625029")</f>
        <v/>
      </c>
      <c r="F79" t="inlineStr"/>
      <c r="G79" t="inlineStr"/>
      <c r="H79" t="inlineStr"/>
      <c r="I79" t="inlineStr">
        <is>
          <t>**Welcome to Planet. We believe in using space to help life on Earth.**
 Planet designs, builds, and operates the largest constellation of imaging satellites in history. This constellation delivers an unprecedented dataset of empirical information via a revolutionary cloud\-based platform to authoritative figures in commercial, environmental, and humanitarian sectors. We are both a space company and data company all rolled into one.
 Customers and users across the globe use Planet's data to develop new technologies, drive revenue, power research, and solve our world’s toughest obstacles.
 As we control every component of hardware design, manufacturing, data processing, and software engineering, our office is a truly inspiring mix of experts from a variety of domains.
 We have a people\-centric approach toward culture and community and we strive to iterate in a way that puts our team members first and prepares our company for growth. Join Planet and be a part of our mission to change the way people see the world.
 Planet is a global company with employees working remotely world wide and joining us from offices in San Francisco, Washington DC, Germany, Austria, Slovenia, and The Netherlands.
**About The Role**
 We are seeking an Applied Scientist to lead the mission concept design for our next\-generation satellite constellations. In this role, you will be working with the R\&amp;D team on the "future\-evolution" of Planet satellites. You will work at the intersection of deep physics and rapid engineering, developing novel ideas required to solve the industry’s most challenging optical, thermal, and communications problems.
 Join us in revolutionizing how complex space systems are conceptualized and deployed, moving from standard industry designs to high\-performance, novel architectures.
 This is a part\-time, remote position based in the United States. If located near an office, you are expected to work from that office 3 days per week.
**Impact You'll Own**
* Lead the "Phase 0" and "Phase A" architecture of new satellite missions, defining orbital parameters, constellation density, and system\-level performance requirements.
* Invent and patent novel solutions for optical payloads, active/passive thermal management, and advanced communication links (RF and Lasercom) to ensure competitive advantage.
* Build high\-fidelity, first\-principles simulations to perform rapid trade studies on mission feasibility and hardware\-software trade\-offs.
* Publish internal whitepapers and external patent applications to secure the company’s technological moat.
* Lead the technical contribution for external proposals for Planet’s Space Business.
**What You Bring**
* Master’s or Ph.D. in Aerospace Engineering, Applied Physics, Optical Sciences, or a related field.
* 12\+ years of experience in satellite system design, with a specific focus on constellation\-level engineering.
* Exceptional understanding of first\-principles physics, including thermodynamics, orbital mechanics, and optics.
* Proficiency in Python and C\+\+ for building custom multiphysics simulation tools.
* Solving hard engineering problems where thermal constraints directly conflict with optical or communication requirements.
* Hands\-on experience with industry\-standard analysis tools.
* Excellent communication skills to bridge the gap between theoretical research and flight\-hardware production.
**What Makes You Stand Out**
* Experience moving from a "blank sheet" concept to a breadboard or flight\-ready prototype in a high\-cadence environment.
**Application Deadline**
 April 11, 2026 at 11:59p PT
**EAR/ITAR Requirements**
*This position requires access to export\-controlled information, and as such, employment (or hiring of a contractor) is contingent upon the candidate’s ability to access all applicable export\-controlled information without additional export licensing being required by the Bureau of Industry and Security and/or the Directorate of Defense Trade Controls.*
**Benefits While Working At Planet**
*These offerings are dependent on employment type and geographical location, based upon applicable law or company policy.*
* Comprehensive Medical, Dental, and Vision plans
* Health Savings Account (HSA) with a company contribution
* Generous Paid Time Off in addition to holidays and company\-wide days off
* 16 Weeks of Paid Parental Leave
* Wellness Program and Employee Assistance Program (EAP)
* Home Office Reimbursement
* Monthly Phone and Internet Reimbursement
* Tuition Reimbursement and access to LinkedIn Learning
* Equity
* Commuter Benefits (if local to an office)
* Volunteering Paid Time Off
**Compensation**
 The US base salary range for this full\-time position at the commencement of employment is listed below. Additionally, this role might be eligible for discretionary short\-term and long\-term incentives (bonus and equity). The final salary range is determined by job related experience, skills and location. The range displays our typical hiring range for new hire salaries in US locations only. Your recruiter can share more about the specific salary range for your preferred location during the hiring process.
 New York City \+ California Salary Range
 $217,900—$272,400 USD
 San Francisco Salary Range
 $231,500—$289,400 USD
 US National Salary Range
 $203,300—$254,100 USD
**Why We Care So Much About Belonging.**
 We’re dedicated to helping the whole Planet, and to do that we must strive to represent all of it within each of our offices and on all of our teams. That’s why Planet is guided by an ultimate north star of Belonging—dreaming big as we approach our ongoing work. If this job intrigues you, but you’re thinking you might not have all the qualifications, please... do apply! At Planet, we are looking for well\-rounded people from around the world who can contribute to more ways than just what is listed in this job description. We don’t just fill positions, we aspire to fulfill people’s careers, most excited about folks who are motivated by our underlying humanitarian efforts. We are a few orbits around the sun before we get to where we want to be, so we hope you’re excited to come along for the ride.
**EEO Statement**
 Planet is committed to building a community where everyone belongs and we invite people from all backgrounds to apply. Planet is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Know Your Rights.
**Accommodations**
 Planet is an inclusive community and we know that everyone has their own needs. If you have a disability or special need that requires accommodation during the hiring process, please reach out to accommodations@planet.com or contact your recruiter with your request. Your message will be confidential and we will be happy to assist you.
**Privacy Policy** 
 : By clicking "Apply Now" at the top of this job posting, I acknowledge that I have read the Planet Data Privacy Notice for California Staff Members and Applicants, and hereby consent to the collection, processing, use, and storage of my personal information as described therein.
**Privacy Policy (European Applicants):** 
 By clicking "Apply Now" at the top of this job posting, I acknowledge that I have read the Candidate Privacy Notice GDPR Planet Labs Europe, and hereby consent to the collection, processing, use, and storage of my personal information as described therein.
**AI in Our Interviewing Process** 
 : Planet is committed to providing an exceptional interview experience for all candidates. We are currently exploring AI interviewing technologies to better focus on candidates and less on trying to capture notes. As such, with the candidate's consent, select interviews may be recorded and include a Planet AI Notetaker for transcription and summarization purposes. Should an interview involve use of AI interview technologies, the candidate will receive notification and have the ability to opt out both in advance and/or real\-time. Opting out will not affect one's candidacy.
**Candidate AI Policy** 
 : Planet embraces Artificial Intelligence (AI) tools, and we encourage its responsible use. We understand that candidates may use various resources, including AI tools, to
 *prepare* 
 for interviews and assessments. However,
 *during any live interview stage or when actively completing assessments for this position, the use of AI tools—e.g. Large Language Models (LLMs), deep fake technology, etc.—is strictly prohibited unless explicitly prompted by an interviewer or assessment instructions* 
 . If you are unsure about acceptable use, please contact your recruiter for clarification. If an AI tool or similar technology is desired as an accommodation, please contact accommodations@planet.com with your request for assistance. Your message will be confidential, and we will be happy to assist you. Violation of this policy may result in disqualification of your application.</t>
        </is>
      </c>
    </row>
    <row r="80">
      <c r="A80" t="inlineStr">
        <is>
          <t>li-4366023934</t>
        </is>
      </c>
      <c r="B80" t="inlineStr">
        <is>
          <t>Senior Data Scientist - Experimentation</t>
        </is>
      </c>
      <c r="C80" t="inlineStr">
        <is>
          <t>Apple</t>
        </is>
      </c>
      <c r="D80" t="inlineStr">
        <is>
          <t>linkedin</t>
        </is>
      </c>
      <c r="E80">
        <f>HYPERLINK("https://www.linkedin.com/jobs/view/4366023934", "https://www.linkedin.com/jobs/view/4366023934")</f>
        <v/>
      </c>
      <c r="F80">
        <f>HYPERLINK("https://jobs.apple.com/en-us/details/200618200?board_id=17682&amp;urlHash=Otv-", "https://jobs.apple.com/en-us/details/200618200?board_id=17682&amp;urlHash=Otv-")</f>
        <v/>
      </c>
      <c r="G80" t="inlineStr">
        <is>
          <t>San Francisco, CA</t>
        </is>
      </c>
      <c r="H80" t="inlineStr"/>
      <c r="I80" t="inlineStr">
        <is>
          <t>**Summary**
 At Apple, we work every day to create products that enrich people’s lives. Our Advertising Platforms group makes it possible for people around the world to easily access informative and imaginative content on their devices while helping publishers and developers promote and monetize their work. Today, our technology and services power advertising in Search Ads in App Store and Apple News. Our platforms are highly\-performant, deployed at scale, and setting new standards for enabling effective advertising while protecting user privacy. Ads Experimentation team is seeking a Machine Learning Engineer and Statistician who will help drive innovation. This is a hands\-on role for developing \&amp; supporting a state of the art ads experimentation platform. This role requires partnering with cross\-functional teams to effectively coordinate the complex interdependencies inherent in application development. A successful candidate has strong technical skills and is eager to create intuitive user experiences; they have a keen eye for the details that surprise and delight our customers. While understanding our product features, you will perform rigorous analyses, measure performance and make data\-driven decisions and develop scalable tools that facilitate quick and accurate decision making.
**Description**
 Design and build a new generation of experimentation platform for the Ads Platform organization. Apply leading\-edge technologies to enable safe and data driven launch of features that help connect Apple users and advertisers while delivering on Apple's privacy commitment through experimentation. Collaborate with stakeholders and data scientists to design experiments and statistical methods that account for the marketplace dynamics and yield reliable treatment effects. Provide expert technical guidance to engineers and scientists on statistical techniques, experiment design and data engineering. You will join and contribute to a culture that emphasizes observability and understandability, reliability, resiliency, simplicity, reusability, extensibility, scalability, velocity and productivity. We are one team, nurturing each other’s growth and supporting each other in delivering for our customers and Apple.
**Responsibilities**
**Minimum Qualifications**
* 8\+ years of experience in software and data science or statistics with an in\-depth understanding of SQL and causal inference. Industry experience in SDLC is preferred.
* Analysis: Conduct rigorous, end\-to\-end analyses using SQL, Python, and statistical methods to uncover insights and improve treatment effect estimates.
* Experience with A/B testing infrastructure and methodologies and deep understanding of the assumptions of randomized control trials. Experience in marketplace experimentation is a bonus.
* Familiarity with causal machine learning tools and technologies. Well versed in observational causal techniques like regression, propensity score matching, Diff in Diff, regression discontinuity and instrumental variables.
* Design and analyze controlled experiments or counterfactual causal inference studies to estimate the incremental and long term impact of interventions. Experience in measuring advertiser value from campaigns or algorithmic changes is a huge plus.
* Proficiency in SQL and Pyspark or Scala to conduct analyses and build data products (pipelines and dashboards) to automate experiment reporting at scale.
* Lead the design, development, and maintenance of scalable and reliable data pipelines. Implement robust data quality checks, monitoring systems, and data lineage tracking. Advocate best practices for data engineering.
* Strategic Partnership: Work directly with stakeholders, including senior leaders, to identify, scope, and prioritise high\-impact questions.
**Preferred Qualifications**
* Advanced Degree in Computer Science, Statistics, Applied Math or related field.
* Skilled at operating in a cross\-functional organization.
* Ability to understand ambiguous and complex problems and design and execute analytical approaches and turn analysis into clear and concise takeaways that drive action.
* Curious business attitude with a proven ability to seek projects with a sense of ownership.
* Excellent communication, social and presentation skills.
* Desire to work in a fast\-paced and challenging work environment.
* Mentor junior engineers and scientists on the team.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1">
      <c r="A81" t="inlineStr">
        <is>
          <t>li-4366312175</t>
        </is>
      </c>
      <c r="B81" t="inlineStr">
        <is>
          <t>Data Scientist II</t>
        </is>
      </c>
      <c r="C81" t="inlineStr">
        <is>
          <t>Truist</t>
        </is>
      </c>
      <c r="D81" t="inlineStr">
        <is>
          <t>linkedin</t>
        </is>
      </c>
      <c r="E81">
        <f>HYPERLINK("https://www.linkedin.com/jobs/view/4366312175", "https://www.linkedin.com/jobs/view/4366312175")</f>
        <v/>
      </c>
      <c r="F81" t="inlineStr"/>
      <c r="G81" t="inlineStr">
        <is>
          <t>Charlotte, NC</t>
        </is>
      </c>
      <c r="H81" t="inlineStr"/>
      <c r="I81"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Perform sophisticated analytics (statistical and predictive analytics, machine learning modeling, etc.) to provide actionable insights that improve business outcomes and minimize risk and also provide consultation to business leaders and other stakeholders on how to leverage analytics insights and build strategies around analytics.
**Essential Duties And Responsibilities**
 Following is a summary of the essential functions for this job. Other duties may be performed, both major and minor, which are not mentioned below. Specific activities may change from time to time.
* Independently perform sophisticated data analytics (ranging from classical econometrics to machine learning, neural networks, and natural language processing) in a variety of environments using structured and unstructured data.
* Produce compelling data visualizations to communicate insights and influence outcomes among a wide array of stakeholders.
* Take accountability and ownership of end\-to\-end data science solution design, technical delivery, and measurable business outcome.
* Engage in stakeholder meetings to identify business objectives and scope solution requirements.
* Independently write, document, and deploy custom code in a variety of environments (Python, SAS, R, etc.) to create predictive analytics applications.
* Use, maintain, share and collaborate through Truist internal code repositories to foster continual learning and cross\-pollination of skillsets.
* Actively research and advocate adoption of emerging methods and technologies in the data science field, with the eye of continually advancing Truist’s capabilities.
* Exercise sound judgment and foster risk management culture throughout design, development, and deployment practices; partner with cross\-functional teams to coordinate rules on data usage, data governance and analytics capabilities.
**Qualifications**
**Required Qualifications:**
 The requirements listed below are representative of the knowledge, skill and/or ability required. Reasonable accommodations may be made to enable individuals with disabilities to perform the essential functions.
* Bachelor’s degree and four or more years of experience in a quantitative field such as Finance, Mathematics, Analytics, Data Science, Computer Science, or Engineering, or equivalent education and related training
* Exhibit understanding of statistical methods, including a broad understanding of classical statistics, probability theory, econometrics, time\-series, and primary statistical tests
* Familiarity with linear algebra concepts for optimization, complex matrix operations, eigenvalue decompositions, and principal components; working knowledge of calculus/differential equations, with understanding of stochastic processes
* Demonstrate understanding of data cleansing and preparation methodologies, including regex, filtering, indexing, interpolation, and outlier treatment
* Strong familiarity with data extraction in a variety of environments (SQL, JQuery, etc.)
* Working knowledge of Hadoop, Pig, Hive, and/or NoSQL, Spark
* Experience in managing multiple projects with tight deadlines in a collaborative environment
****Preferred Qualifications:****
* Master’s degree or PhD in a quantitative field such as Finance, Mathematics, Analytics, Data Science, Computer Science, or Engineering
* Four years of relevant work experience if candidate lacks graduate degree
* Previous experience in the banking or fin\-tech industry
**Other Job Requirements / Working Conditions**
**Sitting**
 Constantly (More than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82">
      <c r="A82" t="inlineStr">
        <is>
          <t>li-4366058417</t>
        </is>
      </c>
      <c r="B82" t="inlineStr">
        <is>
          <t>Senior Product Data Scientist</t>
        </is>
      </c>
      <c r="C82" t="inlineStr">
        <is>
          <t>Klaviyo</t>
        </is>
      </c>
      <c r="D82" t="inlineStr">
        <is>
          <t>linkedin</t>
        </is>
      </c>
      <c r="E82">
        <f>HYPERLINK("https://www.linkedin.com/jobs/view/4366058417", "https://www.linkedin.com/jobs/view/4366058417")</f>
        <v/>
      </c>
      <c r="F82" t="inlineStr"/>
      <c r="G82" t="inlineStr">
        <is>
          <t>Boston, MA</t>
        </is>
      </c>
      <c r="H82" t="inlineStr"/>
      <c r="I82"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We’re looking for someone who thrives at the intersection of data science and product development, someone who pairs deep statistical rigor with product intuition, and can fluidly move between building complex models in R or Python and advising product leaders and executives on strategic decisions. You should be just as comfortable designing and validating a causal inference framework as you are communicating its implications to stakeholders across the company.
 **Please note that this is a hybrid role that requires 3 days/week in our Boston office. Fully remote candidates will not be considered at this time.**
**What You’ll Do**
* Partner with product and engineering teams to identify and evaluate high\-impact product opportunities through rigorous experimentation, causal inference, and predictive modeling
* Lead the design, implementation, and analysis of experiments — including A/B tests and multivariate tests — ensuring sufficient power, correct statistical methods, and actionable recommendations
* Conduct statistical research projects to uncover patterns in customer behavior, evaluate product performance, and identify causal relationships — using methods such as Mixed Effects Models, Difference\-in\-Differences, clustering algorithms, and time series analysis to guide product strategy and decision\-making.
* Define the right product and customer metrics to measure success, and build scalable, self\-serve analytics tools and dashboards that enable product managers and cross\-functional stakeholders to make data\-informed decisions independently.
* Collaborate with data engineering to define and implement reliable data pipelines and DBT models that ensure clean, well\-structured, and trustworthy data for downstream analysis and self\-serve use.
* Communicate insights clearly and persuasively to cross\-functional stakeholders, from product teams to executive leadership
**Who You Are**
* You have 7\+ years of experience in data science, product analytics, or applied statistics, preferably in a B2B SaaS or product\-focused environment
* You hold a degree in a quantitative field such as Statistics, Mathematics, Computer Science, Economics, or Engineering
* You are highly proficient in SQL and either Python or R, and comfortable using DBT for analytics engineering
* You have deep expertise in experimentation and statistical analyses.
* You bring strong business intuition and the ability to translate ambiguous questions into clear analytical plans
* You work with speed and focus, balancing analytical rigor with the urgency and iteration cadence of product development
* You are a compelling communicator who can frame complex statistical findings into product\-relevant insights
* You thrive in cross\-functional settings and are energized by using data to drive product decisions that improve customer outcomes
**Why You’ll Love This Role**
* Influence the direction of a high\-impact product area and help define how success is measured
* Work alongside a world\-class data team where experimentation and modeling are first\-class tools
* Join a company where data science is embedded in the product development lifecycle, not siloed as reporting support
* Be part of a culture that values intellectual rigor, collaborative problem\-solving, and continuous learning
 We use Covey as part of our hiring and / or promotional process. For jobs or candidates in NYC, certain features may qualify it as an AEDT. As part of the evaluation process we provide Covey with job requirements and candidate submitted applications. We began using Covey Scout for Inbound on April 3, 2025\.
 Please see the independent bias audit report covering our use of Covey here
**Massachusetts Applicants**
 It is unlawful in Massachusetts to require or administer a lie detector test as a condition of employment or continued employment. An employer who violates this law shall be subject to criminal penalties and civil liability.
 Our salary range reflects the cost of labor across various U.S. geographic markets. The range displayed below reflects the minimum and maximum target salaries for the position across all our US locations. The base salary offered for this position is determined by several factors, including the applicant’s job\-related skills, relevant experience, education or training, and work location.
 In addition to base salary, our total compensation package may include participation in the company’s annual cash bonus plan, variable compensation (OTE) for sales and customer success roles, equity, sign\-on payments, and a comprehensive range of health, welfare, and wellbeing benefits based on eligibility.
 Your recruiter can provide more details about the specific salary/OTE range for your preferred location during the hiring process.
 Base Pay Range For US Locations:
 $142,400—$213,600 USD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 
*You can find our Job Applicant Privacy Notice* 
*here* 
*and here (FR).*</t>
        </is>
      </c>
    </row>
    <row r="83">
      <c r="A83" t="inlineStr">
        <is>
          <t>li-4366035820</t>
        </is>
      </c>
      <c r="B83" t="inlineStr">
        <is>
          <t>Senior Data Scientist, Machine Learning Platform Technologies</t>
        </is>
      </c>
      <c r="C83" t="inlineStr">
        <is>
          <t>Apple</t>
        </is>
      </c>
      <c r="D83" t="inlineStr">
        <is>
          <t>linkedin</t>
        </is>
      </c>
      <c r="E83">
        <f>HYPERLINK("https://www.linkedin.com/jobs/view/4366035820", "https://www.linkedin.com/jobs/view/4366035820")</f>
        <v/>
      </c>
      <c r="F83" t="inlineStr"/>
      <c r="G83" t="inlineStr">
        <is>
          <t>Seattle, WA</t>
        </is>
      </c>
      <c r="H83" t="inlineStr"/>
      <c r="I83" t="inlineStr">
        <is>
          <t>**Summary**
 We are looking for a Senior Data Scientist to define how we measure the success and reliability of Apple Intelligence and Siri software. This role connects feature delivery, on\-device telemetry, and data insights to help teams understand real user experience and make better engineering decisions using trusted metrics.
 You will design product health metrics and ensure measurement is built into every feature from the start. The ideal candidate is a full\-stack data scientist with strong engineering instincts and clear data storytelling skills.
**Description**
 You will be the face of the metrics team for cross\-functional partners, owning KPIs end to end from definitions and instrumentation to reporting. You will build a strong understanding of our on\-device telemetry, engineering workflows, CI/CD practices, and data systems, and use that context to create clear, reliable metrics. You will work closely with engineering, data science, and leadership to drive alignment and decisions.
**Minimum Qualifications**
* BS/MS in Computer Science, Data Engineering, or equivalent experience and 6\+ years experience applying data science techniques to real business problems.
* Strong ability to turn ambiguous product or business questions into clear data solutions.
* Strong programming and data skills, including SQL and Python, and experience with large\-scale data pipelines.
* Experience defining KPIs that reflect real product health.
* Experience with data quality, validation, and large datasets.
* Strong communication skills and comfort working across teams.
**Preferred Qualifications**
* Experience with telemetry, observability, and measuring reliability or performance.
* Ability to partner with engineers to diagnose and root cause data issues through understanding instrumentation and system behavior
* Experience influencing engineering or product decisions using data.
* Familiarity with distributed systems, modern analytics stacks, and privacy\-aware measurement.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4">
      <c r="A84" t="inlineStr">
        <is>
          <t>li-4366627247</t>
        </is>
      </c>
      <c r="B84" t="inlineStr">
        <is>
          <t>AI Data Scientist</t>
        </is>
      </c>
      <c r="C84" t="inlineStr">
        <is>
          <t>Haystack</t>
        </is>
      </c>
      <c r="D84" t="inlineStr">
        <is>
          <t>linkedin</t>
        </is>
      </c>
      <c r="E84">
        <f>HYPERLINK("https://www.linkedin.com/jobs/view/4366627247", "https://www.linkedin.com/jobs/view/4366627247")</f>
        <v/>
      </c>
      <c r="F84" t="inlineStr"/>
      <c r="G84" t="inlineStr"/>
      <c r="H84" t="inlineStr"/>
      <c r="I84" t="inlineStr">
        <is>
          <t>**AI Data Scientist \| Fort Meade, MD \| Hybrid \| $99,000 \- $225,000**
 We're working with Booz Allen Hamilton on this exciting opportunity.
 Unleash your expertise in AI and Machine Learning to shape national security! Join our elite team developing strategic operational designs and cutting\-edge capabilities, turning complex data into actionable intelligence. This is your chance to make a real impact on critical missions.
**The Role**
* Support strategic operational design and capability development for national security.
* Analyze complex national security problems, applying critical and creative thinking.
* Conduct capability assessments on AI and ML technologies, identifying risks and vulnerabilities.
* Design and construct frameworks to visualize the operational environment with tools like Tableau and Power BI.
* Contribute to exercises, wargaming, and crisis operations within cyberspace, space, or cryptologic domains.
**What You'll Need**
* 10\+ years in Data Analysis and Data Science, with proven experience in data integration.
* 10\+ years supporting military or government operations in cyberspace, space, or cryptology.
* Hands\-on experience with AI, ML, and data visualization tools such as Python, Tableau, or Power BI.
* Experience in DoD IT, DoDIN, or cyberspace tactical environments.
* Active TS/SCI clearance is a must.
**What's On Offer**
* Competitive salary range of $99,000 \- $225,000\.
* Comprehensive benefits package including health, life, and retirement plans.
* Opportunities for professional development and tuition assistance.
* Flexible hybrid work model to support work\-life balance.
**Apply via Haystack today!**</t>
        </is>
      </c>
    </row>
    <row r="85">
      <c r="A85" t="inlineStr">
        <is>
          <t>li-4366030766</t>
        </is>
      </c>
      <c r="B85" t="inlineStr">
        <is>
          <t>Data Scientist</t>
        </is>
      </c>
      <c r="C85" t="inlineStr">
        <is>
          <t>Elevait Solutions</t>
        </is>
      </c>
      <c r="D85" t="inlineStr">
        <is>
          <t>linkedin</t>
        </is>
      </c>
      <c r="E85">
        <f>HYPERLINK("https://www.linkedin.com/jobs/view/4366030766", "https://www.linkedin.com/jobs/view/4366030766")</f>
        <v/>
      </c>
      <c r="F85" t="inlineStr"/>
      <c r="G85" t="inlineStr">
        <is>
          <t>Oshkosh, WI</t>
        </is>
      </c>
      <c r="H85" t="inlineStr"/>
      <c r="I85" t="inlineStr">
        <is>
          <t>\*\*USC \&amp; GC only\*\*
 Job Summary
 As a Principal Engineer \- Data Analytics III, you will lead the design and implementation of advanced data analytics and machine learning solutions to solve complex business challenges. This highly visible individual contributor role requires strong technical acumen, business partnership, and exceptional communication skills to drive data\-driven decisions across the organization. Your work will directly impact operational efficiency, innovation, and strategic initiatives in a global manufacturing environment.
 Key Responsibilities
 \- Analyze and interpret structured and unstructured datasets using statistical techniques, machine learning, and programming skills.
 \- Develop and implement predictive models and machine learning algorithms for business problem\-solving.
 \- Deliver concise and impactful data insights through visualizations and presentations tailored to technical/non\-technical stakeholders.
 \- Gather and translate business requirements to data\-driven solutions; communicate recommendations and project impact clearly.
 \- Collaborate with cross\-functional teams (data engineers, architects, analysts, business stakeholders) to address complex business needs.
 \- Lead and resolve data\-related incidents; document solutions and continuous improvements in data quality and processes.
 \- Mentor and coach team members on data science, analytics best practices, and new technologies.
 \- Support advancement of the organization’s data science strategic roadmap.
 \- Apply domain knowledge, particularly in supply chain or relevant industrial sectors.
 Core Skills \&amp; Experience
 \- Data science tools: Azure Databricks, Power BI, Spark, Python, R, C, Excel (pivot tables).
 \- Strong experience in business\-facing roles and cross\-functional collaboration.
 \- Proven storytelling with data and ability to communicate technical insights to diverse audiences.
 \- Demonstrated impact on business outcomes through analytics solutions.
 \- Experience in manufacturing, automotive, industrial, or engineering preferred; other sectors considered (excluding heavy financial).
 \- Minimum: BS with 5 years experience or MS with 3 years experience in relevant field.
 \- Supply chain analytics exposure.</t>
        </is>
      </c>
    </row>
    <row r="86">
      <c r="A86" t="inlineStr">
        <is>
          <t>li-4366608716</t>
        </is>
      </c>
      <c r="B86" t="inlineStr">
        <is>
          <t>Lead Data Scientist, Cat Foresight</t>
        </is>
      </c>
      <c r="C86" t="inlineStr">
        <is>
          <t>Caterpillar Inc.</t>
        </is>
      </c>
      <c r="D86" t="inlineStr">
        <is>
          <t>linkedin</t>
        </is>
      </c>
      <c r="E86">
        <f>HYPERLINK("https://www.linkedin.com/jobs/view/4366608716", "https://www.linkedin.com/jobs/view/4366608716")</f>
        <v/>
      </c>
      <c r="F86" t="inlineStr"/>
      <c r="G86" t="inlineStr">
        <is>
          <t>Chicago, IL</t>
        </is>
      </c>
      <c r="H86" t="inlineStr"/>
      <c r="I86"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We are seeking a Lead Data Scientist to act as a player/coach, guiding a high\-performing team in building the next generation of intelligent analytics for Cat Foresight. This role combines hands\-on technical expertise with leadership responsibilities, driving innovation in condition monitoring with predictive and attentional models that enable advanced insights and efficient decision\-making.
**What You Will Do**
* Directing the data gathering, data mining, and data processing processes in huge volume; creating appropriate data models.
* Exploring, promoting, and implementing semantic data capabilities through Natural Language Processing, text analysis and machine learning techniques.
* Leading to define requirements and scope of data analysis; presenting and reporting possible business insights to management using data visualization technologies.
* Conducting research on data model optimization and algorithms to improve effectiveness and accuracy on data analyses.
**What You Will Have**
* Business Statistics: Extensive experience with statistical tools, processes, and practices to describe business results in measurable scales; ability to use statistical tools and processes to assist in making business decisions.
* Accuracy and Attention to Detail: Extensive experience with the necessity and value of accuracy; ability to complete tasks with high levels of precision.
* Analytical Thinking: Extensive knowledge of techniques and tools that promote effective analysis; ability to determine the root cause of organizational problems and create alternative solutions that resolve these problems.
* Machine Learning: Extensive knowledge of principles, technologies and algorithms of machine learning (particularly recommendation/attentional models); ability to develop, implement and deliver related systems, products and services.
* Programming Languages: Extensive knowledge of basic concepts and capabilities of applying Python programming to solve business challenges; ability to use tools, techniques and platforms in order to write and modify programming languages.
* Query and Database Access Tools: Extensive knowledge of data management systems; ability to use, support and access facilities for searching, extracting and formatting data for further use.
* Requirements Analysis: Working knowledge of tools, methods, and techniques of requirement analysis; ability to elicit, analyze and record required business functionality and non\-functionality requirements to ensure the success of a system or software development project.
**Considerations For Top Candidates**
* Typically, a Masters or PhD degree in Applied Statistics, Data Science, Business Analytics, Predictive Analytics, Business Intelligence \&amp; Analytics, Mathematics, Computer Science, Engineering (Aerospace, Electrical, Mechanical, Computer, Industrial, Agricultural, etc.), or equivalent technical degree
* Extensive experience applying Python (NumPy, SciPy, pandas, etc.) programming to solve business challenges.
* Extensive experience in practical applications of Machine Learning techniques such as Clustering, Logistic Regression, Random Forests, SVM or Neural Networks.
* Advanced experience in quantifying the costs, benefits, risks and chances for success before recommending a course of action.
* Working experience with heavy equipment engineering and/or condition monitoring.
* In\-depth technical and problem\-solving skills and evidence of continuous learning in the analytics field
* Must demonstrate strong initiative, interpersonal skills, and the ability to communicate effectively.
**Additional Information**
 This position will have the option to be based out of our Chicago, IL or Peoria, IL offices.
 \#BI (used to post on Built In Chicago)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$126,000\.00 \- $204,720\.00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January 27, 2026 \- February 2,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87">
      <c r="A87" t="inlineStr">
        <is>
          <t>li-4365561340</t>
        </is>
      </c>
      <c r="B87" t="inlineStr">
        <is>
          <t>Senior Astronomical Data Scientist</t>
        </is>
      </c>
      <c r="C87" t="inlineStr">
        <is>
          <t>Space Telescope Science Institute</t>
        </is>
      </c>
      <c r="D87" t="inlineStr">
        <is>
          <t>linkedin</t>
        </is>
      </c>
      <c r="E87">
        <f>HYPERLINK("https://www.linkedin.com/jobs/view/4365561340", "https://www.linkedin.com/jobs/view/4365561340")</f>
        <v/>
      </c>
      <c r="F87" t="inlineStr"/>
      <c r="G87" t="inlineStr">
        <is>
          <t>Baltimore, MD</t>
        </is>
      </c>
      <c r="H87" t="inlineStr"/>
      <c r="I87" t="inlineStr">
        <is>
          <t>Support NASA missions!
 The Space Telescope Science Institute (STScI), operated by the Association of Universities for Research in Astronomy (AURA), is NASA’s science operations center for missions including the Hubble and James Webb Space Telescopes. STScI leads observation planning, data analysis, public engagement, and data archiving for flagship missions. Our staff spans astronomy, engineering, education, IT, communications, and administration—working together to bring space science to the world.
 The Space Telescope Science Institute (STScI) is a multi\-mission science and flight operations center for NASA’s flagship observatories. Click here to learn more about our missions The Data Management Division at the STScI is hiring a
 **Senior Astronomical Data Scientist** 
 , to help advance our data analysis tools for our NASA flagship missions primarily in areas of data visualization. This position can support hybrid work onsite and at home. Candidates must reside in or be willing to relocate to our local market. (MD, DE, VA, PA, DC \&amp; WV).
 **This position requires U.S. Citizenship or Permanent Residence in order to meet ITAR requirements.**
 The salary range is $115,000 \- $130,000\. The posted salary range represents a general guideline; however, STScI considers a number of factors when determining salary offers, such as internal pay equity, the scope and responsibilities of the position, the candidate's experience, education, and skill, and current market conditions.
**The Role**
 As a
 **Senior Astronomical Data Scientist** 
 your duties will be two\-fold. Your primary role will be as a Product Owner of a Scrum team that develops data analysis tools and Jupyter notebooks for the astronomical community. In this role, you will set priorities for the team and work with stakeholders to set product vision, direction and goals. You will actively engage with the astronomy community, gathering feedback to ensure that data analysis tools meet the needs of both the missions and the broader scientific community, while ensuring that development meets goals.
 Secondly, you will contribute to software and algorithm development, user support, training, and software engineering process improvement. STScI has been a major contributor to the open\-source scientific Python software stack, including NumPy, Matplotlib, SciPy, Jdaviz and Astropy. You will develop analysis tools designed to address complex data visualization challenges and the technical aspects of Jupyter notebooks that can be accessed in a cloud environment.
 You will contribute to numerical and scientific programming packages for image processing, spectroscopy, photometry, astrometry, general signal processing, modeling and statistics, or numerical simulations.
**Responsibilities include:**
* Engage directly with software developers to drive product success
* Translate the science needs and mission requirements into specifications for data analysis tools
* Serve as the main point of contact between stakeholders and the product development team
* Prioritize and maintain the product backlog
* Promote the data analysis tools through community outreach, conferences and meetings
* Design, develop, test and deploy software to assist astronomers in analyzing astronomical data, in close collaboration with STScI’s technical and scientific staff
* You will provide technical and scientific development for Python notebooks that focus on scientific use cases
**Qualifications:**
* You have worked with astronomical data and understand user needs from a pipeline and data analysis perspective. Experience with HST and JWST data is a plus
* Advanced Python experience in multiprocessing, multithreading, or optimizing performance of Python code for large datasets is a plus
* You are comfortable with writing unit tests and with test\-driven development
**Education:**
* Bachelor’s degree in Astronomy or Physics or a comparable degree
* An advanced degree in Astronomy, Physics, or a related field is preferred, with 8\+ years of experience in an astronomical research role or as an observatory scientist supporting astronomical research
* Education or professional background in astronomy, or software development in a research environment, is helpful
**Compensation Is Commensurate With Education And Experience.**
 Our excellent benefits include:
* Employer retirement contribution – direct STScI contribution of 10% of your salary from your first day
* 12 days of sick leave, up to 24 days of vacation, and 10 paid holidays
* Flexible work schedule with work/life balance
* Comprehensive medical/dental/vision/prescription plans, and more!
**TO APPLY:** 
 Please complete an online application and upload a resume and cover letter by February 25, 2026\. Applications received after this date will be considered until the position is filled. Reference0015629
*Explore all career opportunities at* 
*www.stsci.edu/opportunities*
 Individuals needing assistance with the employment process can contact us at careers@stsci.edu.</t>
        </is>
      </c>
    </row>
    <row r="88">
      <c r="A88" t="inlineStr">
        <is>
          <t>li-4358134171</t>
        </is>
      </c>
      <c r="B88" t="inlineStr">
        <is>
          <t>Staff Data Scientist</t>
        </is>
      </c>
      <c r="C88" t="inlineStr">
        <is>
          <t>Intuit</t>
        </is>
      </c>
      <c r="D88" t="inlineStr">
        <is>
          <t>linkedin</t>
        </is>
      </c>
      <c r="E88">
        <f>HYPERLINK("https://www.linkedin.com/jobs/view/4358134171", "https://www.linkedin.com/jobs/view/4358134171")</f>
        <v/>
      </c>
      <c r="F88" t="inlineStr"/>
      <c r="G88" t="inlineStr">
        <is>
          <t>Mountain View, CA</t>
        </is>
      </c>
      <c r="H88" t="inlineStr"/>
      <c r="I88" t="inlineStr">
        <is>
          <t>**Overview**
 We are seeking an experienced Staff Data Scientist to drive data\-informed sales strategies for our partner sales organization. In this role, you will partner closely with Sales, Marketing, Finance, and Strategy teams to uncover insights, optimize performance, and shape strategic initiatives that drive revenue growth.
**Responsibilities**
* Develop and manage analytical frameworks, dashboards, and reporting to measure sales performance, pipeline health, and productivity.
* Translate complex data into actionable insights to guide sales strategy, territory design, incentive planning, and forecasting.
* Collaborate cross\-functionally with Sales, Marketing, and Finance to align KPIs and data sources for consistent reporting.
* Drive adoption of analytics tools and methodologies, improving the scalability and accuracy of insights.
* Present insights and recommendations to senior leadership to inform key decisions on go\-to\-market strategies and revenue planning.
**Qualifications**
* Bachelor’s degree in Business, Analytics, Statistics, Economics, or related field
* 7\+ years of experience in sales analytics, business intelligence, or data strategy
* Proven experience managing cross\-functional stakeholders
* Strong SQL and data visualization skills (e.g., Tableau, Power BI, Looker)
* Deep understanding of sales processes, CRM systems (preferably Salesforce), and pipeline analytics
* Excellent communication skills and executive presence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$186,500 \- $252,000\.</t>
        </is>
      </c>
    </row>
    <row r="89">
      <c r="A89" t="inlineStr">
        <is>
          <t>li-4366017953</t>
        </is>
      </c>
      <c r="B89" t="inlineStr">
        <is>
          <t>AIML - Sr Data Scientist, Evaluation</t>
        </is>
      </c>
      <c r="C89" t="inlineStr">
        <is>
          <t>Apple</t>
        </is>
      </c>
      <c r="D89" t="inlineStr">
        <is>
          <t>linkedin</t>
        </is>
      </c>
      <c r="E89">
        <f>HYPERLINK("https://www.linkedin.com/jobs/view/4366017953", "https://www.linkedin.com/jobs/view/4366017953")</f>
        <v/>
      </c>
      <c r="F89" t="inlineStr"/>
      <c r="G89" t="inlineStr">
        <is>
          <t>Cupertino, CA</t>
        </is>
      </c>
      <c r="H89" t="inlineStr"/>
      <c r="I89" t="inlineStr">
        <is>
          <t>**Summary**
 Do you get excited by driving product impact via measurement and evaluation, for products and services used by hundreds of millions of people globally? Within the evaluation organization, the mission of Data Science and Insights team is to guide product development, decisions and directions through principled evaluation and rigorous use of data.
 You will partner with various engineering teams to improve search quality and guide feature development with data, to deliver amazing search experiences across iPhone, iPad, HomePod, Mac, Watch, tv, across dozens of languages.
**Description**
 Research and develop evaluation methods to improve the quality of Apple user facing products, such as Siri and Apple Intelligence. Work with evaluation/experimentation engineering teams to get your methodological developments translated into technologies that product engineering will use every day. Work with large, complex data sets. Solve difficult, non\-routine analysis problems, applying advanced analytical methods as needed, including prompt engineering and building LLMs as judges. Conduct analysis that includes data collection and quality control, requirements specification, processing and presentations. Build and prototype analysis pipelines iteratively to provide insights at scale. Develop comprehensive knowledge of product data structures and metrics, advocating for changes where needed for product development. Partner closely with product engineering teams on core machine learning algorithms and user experience evaluations. You should be passionate about building outstanding products. This position involves a wide variety of skills and innovation.
**Minimum Qualifications**
* 5 years of relevant work experience. Advanced degree in a quantitative field such as Statistics, Operational Research, Bioinformatics, Economics, Psychology, Computer Science, Sociology, Mathematics, Physics, or similar quantitative field.
* Proficiency in data science, machine learning, and analytics, including statistical data analysis. Experience crafting, conducting, analyzing, and interpreting experiments and investigations, especially on data quality, evaluation and risk assessment.
* Strong programming skills, including data\-querying skills (SQL and/or Spark, etc.) and experience with a scripting language for data processing and development (e.g., Python, R, or Scala).
* Experience articulating and translating business questions and using statistical techniques to arrive at an answer using available data. Strong communication skills and the ability to naturally explain difficult technical topics (especially causal topics) to everyone from data scientists to engineers to business partners.
**Preferred Qualifications**
* Proven ability to collaborate effectively across functions and work well within a team.
* Capable of driving projects of varying sizes and scopes \- some will take months and some weeks — and you will need to know when to dive deep.
* Worked with methods that address accuracy and variability in human annotation data.
* Ability to learn new technology and skills to accommodate changing working requirements.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90">
      <c r="A90" t="inlineStr">
        <is>
          <t>li-4366637096</t>
        </is>
      </c>
      <c r="B90" t="inlineStr">
        <is>
          <t>Staff Data Scientist</t>
        </is>
      </c>
      <c r="C90" t="inlineStr">
        <is>
          <t>SoFi</t>
        </is>
      </c>
      <c r="D90" t="inlineStr">
        <is>
          <t>linkedin</t>
        </is>
      </c>
      <c r="E90">
        <f>HYPERLINK("https://www.linkedin.com/jobs/view/4366637096", "https://www.linkedin.com/jobs/view/4366637096")</f>
        <v/>
      </c>
      <c r="F90" t="inlineStr"/>
      <c r="G90" t="inlineStr">
        <is>
          <t>Cottonwood Heights, UT</t>
        </is>
      </c>
      <c r="H90" t="inlineStr"/>
      <c r="I90"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The Staff Data Scientist is a high\-impact leadership role responsible for driving data strategy that powers the Home Lending Sales division, including Mortgage and Home Equity. You will serve as the primary architect of the division’s data\-driven culture, turning massive complex datasets into competitive advantages. As a core member of the Home Lending Sales Strategy \&amp; Analytics team, your work will directly influence business efficiencies and production via lead program development \&amp; optimization, core business strategy dataset development, and overall sales force optimization.
**Key Responsibilities:**
* Drive Advanced Predictive Insights: Develop and oversee predictive models to identify ‘likely to transact’ cohorts within the bank’s existing member base. You will apply those models to existing lead and marketing programs to improve overall sales efficiencies and help develop novel lead programs to drive improvements in customer retention \&amp; member capture.
* Data Governance \&amp; Integrity: Help define the "Single Source of Truth" datasets for Sales Strategy \&amp; Analytics, while partnering with Data Science for synergistic reporting efforts. Design and implement data collection and productionize ongoing strategic business datasets.
* Serve as Team Data Leader: Act as a technical data leader partnering with Sales Strategy \&amp; Analytics to design and action on complex dataset needs for the business. Help mentor and disseminate best data practices with less experienced team members.
* Cross\-Functional Synergy: Partner with teams across Sales, Marketing, Incentive, Finance, Operations, Risk, Engineering \&amp; Product Development, and Compliance to ensure alignment of business objectives and the implementation of data\-driven strategies. Build strong relationships with stakeholders and present insights on a regular cadence communicating findings to both technical and non\-technical stakeholders.
**What you’ll need:**
* Masters’ degree or above in quantitative areas (Statistics, Applied Mathematics, Economics, Computer Science, Engineering, or related field); PhD strongly preferred.
* 8\+ years of relevant experience leveraging data\-driven analysis to influence key decisions and drive business processes, preferably in the financial services industry.
* Proven track record of being able to work independently, and proactively engage with business stakeholders with minimal direction to drive measurable business impact.
* Strong programming skills in SQL and Python with direct experience in dataflow automation; experience with data visualizations like Tableau or other BI tools strongly preferred
* Direct experience in building predictive response models to support and drive efficiencies within customer lead and marketing programs, experience within Home Lending lead programs strongly preferred.
* Knowledge of Machine\-Learning (ML) algorithms, with applicability to different business problems, and experience in deploying ML models at scale in production with monitoring metrics.
* Effective communication and presentation skills and ability to explain complex analyses in simple terms to business leaders;
* Strong relationship building and collaborative skills;
* Exceptional problem\-solving;
* Experience in project management and cross\-functional team leadership.
**Nice to have:**
* Experience building new business process functionalities from the “ground up.”
* Experience developing lead programs and interactive lead monitoring within Salesforce CRM.
* Management and/or training experience of Junior Data Analysts.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91">
      <c r="A91" t="inlineStr">
        <is>
          <t>li-4303336016</t>
        </is>
      </c>
      <c r="B91" t="inlineStr">
        <is>
          <t>Lead Data Scientist</t>
        </is>
      </c>
      <c r="C91" t="inlineStr">
        <is>
          <t>Plymouth Rock Assurance</t>
        </is>
      </c>
      <c r="D91" t="inlineStr">
        <is>
          <t>linkedin</t>
        </is>
      </c>
      <c r="E91">
        <f>HYPERLINK("https://www.linkedin.com/jobs/view/4303336016", "https://www.linkedin.com/jobs/view/4303336016")</f>
        <v/>
      </c>
      <c r="F91">
        <f>HYPERLINK("https://myjobs.adp.com/plymouthrock/cx/job-details?reqId=5001125125706&amp;rb=LINKEDIN&amp;urlHash=YgPc", "https://myjobs.adp.com/plymouthrock/cx/job-details?reqId=5001125125706&amp;rb=LINKEDIN&amp;urlHash=YgPc")</f>
        <v/>
      </c>
      <c r="G91" t="inlineStr">
        <is>
          <t>Boston, MA</t>
        </is>
      </c>
      <c r="H91" t="inlineStr"/>
      <c r="I91" t="inlineStr">
        <is>
          <t>The Plymouth Rock Home team is an Insurtech start\-up within a well\-established insurance company. We tripled our topline revenue over the past 4 years by revolutionizing the way homeowners insurance is marketed, bought, and sold, enabling customers to obtain a home insurance quote in just seconds. Our @home product marries cutting edge data science and predictive modeling with a simplified sales process and a feature\-rich package that our distributors want to sell and consumers want to buy to protect the things they value most.
**About The Role**
 We are seeking a highly motivated and technically skilled
 **Lead Data Scientist** 
 to join our fast\-paced, entrepreneurial team. This role is a unique opportunity for a seasoned data scientist who thrives on independence, wants to be deeply embedded in the business, and is passionate about using data to drive real\-world outcomes.
 In this role, you won’t just build models—you’ll own them. Reporting directly to the VP of Product, you’ll translate business needs into analytical frameworks, lead the design and deployment of full\-stack predictive models, and influence pricing and underwriting strategy in a growing business. You will be embedded on the Product team, collaborate directly with senior leadership, and make regular presentations to the CEO.
 You’ll be the analytics powerhouse behind the team’s pricing and underwriting sophistication—pushing the boundaries of segmentation and innovation in a highly visible and impact\-driven capacity. There is an opportunity to bring your deep expertise in data science and passion for innovation driving results to this role.
**What You’ll Do**
* Own the end\-to\-end predictive modeling process, from business problem definition and data acquisition to deployment and performance monitoring.
* Collaborate directly with business leaders, product owners, and cross\-functional stakeholders to align modeling strategies with business goals.
* Translate complex modeling results into actionable insights for technical and non\-technical audiences alike.
* Work hands\-on with large insurance datasets to uncover pricing and segmentation opportunities.
* Lead the discovery, evaluation, and incorporation of new data sources and methods, including third\-party vendor collaborations.
* Monitor model performance, perform root\-cause analysis, and iterate on solutions to enhance business outcomes.
* Champion best practices in coding, reproducibility, and documentation using modern analytics infrastructure.
* Incorporate Artificial Intelligence into your daily work to drive innovation, insights, and speed\-to\-market.
**What You Bring**
* Proven ability to work independently, owning the entire modeling lifecycle.
* Fluency in Python (preferred) and R, including experience with production\-ready modeling code and analytical pipelines.
* Expert\-level SQL skills for large\-scale data transformation and aggregation.
* Solid experience with cloud computing tools (especially AWS: S3, EC2, SageMaker) and Snowflake.
* Mastery of GLMs and GBMs (e.g., H2O, XGBoost, LightGBM); familiarity with clustering, Bayesian inference, regularization, and optimization a plus.
* Comfort working within Git\-based, version\-controlled environments.
* Strong grasp of relational databases and experience working with large, multi\-source insurance datasets.
* Excellent communication skills, with experience presenting complex findings to senior executives.
* Master’s or PhD in a quantitative field (e.g., STEM, Economics) strongly preferred.
* Prior knowledge of homeowners insurance and/or pricing frameworks is a plus.
**Bonus Points**
* Experience with tiering logic and segmentation beyond core risk pricing.
* Exposure to regulatory concerns regarding insurance pricing models and variable selection.
* Expertise in data visualization using tools like Plotly and Seaborn.
* Experience collaborating with non\-technical stakeholders to drive decision\-making.
* Experience using Artificial Intelligence tools both in super\-charging your work and delivering results for the business.
**Why This Role is Unique**
* High Visibility: Present directly to the CEO and reports directly to the VP of Product who owns the business P\&amp;L.
* Strategic Impact: See the direct business value of your models in premium growth, profitability improvements, pricing decisions, and underwriting strategy.
* Full\-Stack Autonomy: You manage everything—data wrangling, feature engineering, model training, deployment, and monitoring.
* Embedded with Product: You're not a service function—you’re part of the business team, with aligned incentives and shared goals.
* Innovative Environment: Use custom modeling frameworks to test new ideas in an agile, responsive, and entrepreneurial setting.
**Salary Range**
 The pay range for this position is $153,500 to $204,000 annually. Actual compensation will vary based on multiple factors, including employee knowledge and experience, role scope, business needs, geographical location, and internal equity.
**Benefits \&amp; Perks**
* Paid time off
* Free onsite gym at our Boston location
* Tuition reimbursement
* Low cost and excellent health insurance coverage options that start on Day 1 (medical, dental, vision)
* Robust health and wellness programs
* Auto and home insurance discounts
* Matching donation opportunities
* Annual 401(k) employer contribution
* Various Paid Family leave options including Paid Parental Leave
* Resources to promote professional development
* Convenient locations and pre\-tax commuter benefits
**About The Company**
 The Plymouth Rock Company and its affiliated group of companies write and manage over $2\.5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2,000 people and is headquartered in Boston, Massachusetts. Plymouth Rock Assurance Corporation holds an A.M. Best rating of “A\-/Excellent”.</t>
        </is>
      </c>
    </row>
    <row r="92">
      <c r="A92" t="inlineStr">
        <is>
          <t>li-4366075668</t>
        </is>
      </c>
      <c r="B92" t="inlineStr">
        <is>
          <t>Data Scientist</t>
        </is>
      </c>
      <c r="C92" t="inlineStr">
        <is>
          <t>Tata Consultancy Services</t>
        </is>
      </c>
      <c r="D92" t="inlineStr">
        <is>
          <t>linkedin</t>
        </is>
      </c>
      <c r="E92">
        <f>HYPERLINK("https://www.linkedin.com/jobs/view/4366075668", "https://www.linkedin.com/jobs/view/4366075668")</f>
        <v/>
      </c>
      <c r="F92" t="inlineStr"/>
      <c r="G92" t="inlineStr">
        <is>
          <t>Basking Ridge, NJ</t>
        </is>
      </c>
      <c r="H92" t="inlineStr"/>
      <c r="I92" t="inlineStr">
        <is>
          <t>**Job Description**
 Must Have Technical/Functional Skills
**Technical**
* Strong proficiency in Python / R (Pandas, NumPy, Scikit\-learn, PySpark)
* Experience with time\-series data and event/alarm analytics,sliding winsows, inmemory DB
* Knowledge of machine learning algorithms for classification, clustering, and anomaly detection
* Experience with SQL, big data platforms (Spark, Hadoop),Kafka
* Visualization tools: Tableau, Power BI, Grafana, or Python visualization libraries Domain
* Understanding of Wireless Networks (2G/3G/4G/5G, RAN, Core)
* Knowledge of IEN / IP / Ethernet networking concepts
* Familiarity with network alarms, fault management, OSS/NMS systems
 Roles \&amp; Responsibilities
 Data Analysis \&amp; Insight Generation
* Analyze large\-scale wireless (RAN, Core) and IEN network alarm data from OSS/NMS systems
* Identify patterns, trends, and recurring fault signatures across network domains
* Develop KPIs and dashboards to track network health and fault trends
 Machine Learning \&amp; Modeling
* Build models for:
* Alarm correlation and noise reduction
* Root cause analysis (RCA)
* Anomaly detection
* Predictive fault and failure forecasting
* Apply supervised and unsupervised learning techniques (clustering, classification, time\-series analysis)
 Data Engineering \&amp; Automation
* Clean, normalize, and enrich alarm data from multiple sources
* Integrate data from OSS, EMS, NMS, CMDB, and performance systems
* Automate fault insight pipelines and model deployment
 Collaboration \&amp; Operations Support
* Work closely with NOC, Network Engineering, and Reliability teams
* Translate analytical findings into operational recommendations
* Support proactive maintenance and incident prevention initiatives
 Visualization \&amp; Reporting
* Create interactive dashboards and reports for real\-time fault monitoring
* Present insights clearly to technical and non\-technical stakeholders
**Generic Managerial Skills**
* Strong analytical and problem\-solving skills
* Ability to communicate insights effectively
* Experience working in cross\-functional operational teams
 Salary Range: $120,000\-$150,000 a year</t>
        </is>
      </c>
    </row>
    <row r="93">
      <c r="A93" t="inlineStr">
        <is>
          <t>li-4343960572</t>
        </is>
      </c>
      <c r="B93" t="inlineStr">
        <is>
          <t>Applied Scientist - Robotics Controls</t>
        </is>
      </c>
      <c r="C93" t="inlineStr">
        <is>
          <t>Amazon</t>
        </is>
      </c>
      <c r="D93" t="inlineStr">
        <is>
          <t>linkedin</t>
        </is>
      </c>
      <c r="E93">
        <f>HYPERLINK("https://www.linkedin.com/jobs/view/4343960572", "https://www.linkedin.com/jobs/view/4343960572")</f>
        <v/>
      </c>
      <c r="F93" t="inlineStr"/>
      <c r="G93" t="inlineStr">
        <is>
          <t>North Reading, MA</t>
        </is>
      </c>
      <c r="H93" t="inlineStr"/>
      <c r="I93" t="inlineStr">
        <is>
          <t>**Description**
 At Amazon Robotics, we design advanced robotic systems capable of intelligent perception, learning, and action alongside humans, all on a large scale. Our goal is to develop robots that increase productivity and efficiency at the Amazon fulfillment centers while ensuring the safety of workers.
 We are seeking an Applied Scientist to develop innovative, scalable solutions in feedback control and state estimation for robotic systems, with a focus on contact\-rich manipulation tasks. In this role, you will formulate physics\-based models of robotic systems, perform analytical and numerical studies, and design control and estimation algorithms that integrate fundamental principles with data\-driven techniques. You will collaborate with a world\-class team of experts in perception, machine learning, motion planning, and feedback controls to innovate and develop solutions for complex real\-world problems.
 As part of your work, you will investigate applicable academic and industry research to develop, implement, and test solutions that support product features. You will also design and validate production designs. To succeed in this role, you should demonstrate a strong working knowledge of physical systems, a desire to learn from new challenges, and the problem\-solving and communication skills to work within a highly interactive and experienced team. Candidates must show a hands\-on passion for their work and the ability to communicate their ideas and concepts both verbally and visually.
 Key job responsibilities
* Research, design, implement, and evaluate feedback control, estimation, and motion\-planning algorithms, ensuring effective integration with perception, manipulation, and system\-level components.
* Develop experiments, simulations, and hardware prototypes to validate control algorithms, and optimization techniques in contact\-rich manipulation and other challenging scenarios.
* Collaborate with software engineering teams to enable scalable, real\-time, and maintainable implementations of algorithms in production systems.
* Partner with cross\-functional teams across hardware, systems engineering, science, and operations to transition algorithms from early prototyping to robust, production\-ready solutions.
* Engage with stakeholders at all levels to iterate on system design, define requirements, and drive integration of control and estimation capabilities into Amazon Robotics platforms.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 Medical, Dental, and Vision Coverage
* Maternity and Parental Leave Options
* Paid Time Off (PTO)
*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PhD, or Master's degree and 4\+ years of science, technology, engineering or related field experience
* Experience programming in Java, C\+\+, Python or related language
* Experience implementing algorithms using both toolkits and self\-developed code
**Preferred Qualifications**
* Demonstrated ability to innovate and deliver robust, scalable solutions for complex robotics problems in production environments.
* Deep expertise in developing force\-based and impedance/control strategies for contact\-rich manipulation.
* Experience with state\-estimation techniques, including classical observers, Kalman Filters, EKF/UKF, and Particle Filters.
* Experience modeling robotic or physical systems for simulation, as well as characterizing and validating system dynamics on hardware.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A3142811</t>
        </is>
      </c>
    </row>
    <row r="94">
      <c r="A94" t="inlineStr">
        <is>
          <t>li-4358202879</t>
        </is>
      </c>
      <c r="B94" t="inlineStr">
        <is>
          <t>Principal Applied Scientist - Microsoft 365 Copilot</t>
        </is>
      </c>
      <c r="C94" t="inlineStr">
        <is>
          <t>Microsoft</t>
        </is>
      </c>
      <c r="D94" t="inlineStr">
        <is>
          <t>linkedin</t>
        </is>
      </c>
      <c r="E94">
        <f>HYPERLINK("https://www.linkedin.com/jobs/view/4358202879", "https://www.linkedin.com/jobs/view/4358202879")</f>
        <v/>
      </c>
      <c r="F94" t="inlineStr"/>
      <c r="G94" t="inlineStr">
        <is>
          <t>Redmond, WA</t>
        </is>
      </c>
      <c r="H94" t="inlineStr"/>
      <c r="I94" t="inlineStr">
        <is>
          <t>**Overview**
 Come build the core of Microsoft Copilot for enterprise with
 **Microsoft Turing Team** 
 , where you'll join a collaborative group of applied scientists and engineers pushing the frontier of large language models (LLMs) to improve the productivity of hundreds of millions of users around the world.
 Our team is responsible for the core systems that power \[Microsoft 365 Copilot Chat](https://support.microsoft.com/en\-us/copilot\-microsoft365\-chat) delivering intelligence, quality, and transformative new features. We work at the intersection of research and engineering—advancing orchestrator reasoning, training next\-generation models, and shipping impactful, model\-driven experiences in Microsoft 365 Copilot.
 As a
 **Principal Applied Scientist \- Microsoft 365 Copilot** 
 , you will:
* Evolve our orchestrator to reason more effectively, respond faster, and support new capabilities in multi\-modality, agent\-based systems, and beyond
* Advance the state of the art in model training—including post\-training methods such as fine\-tuning and reinforcement learning, high\-quality data curation, and experimentation with frontier model training
* Build and deliver model\-driven features from concept to production—spanning model development, evaluation, metrics, and A/B testing
 Recent launches like \[Analyst Agent in Microsoft 365 Copilot \| Microsoft Community Hub](https://techcommunity.microsoft.com/blog/microsoft365copilotblog/analyst\-agent\-in\-microsoft\-365\-copilot/4397191\) showcase the breadth and depth of impact you’ll help drive across the stack.
 This role requires you to be onsite 3 days a week in Microsoft's offices in Redmond, WA.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Conduct research and development to push the boundaries of model training, evaluation, and quality assessment for AI solutions.
* Post\-train LLMs for enterprise scenarios M365 Copilot and on tenant data to enable task\-specific agents and solutions within the enterprise ecosystem.
* Collaborate with engineers and researchers to advance deep learning, natural language processing (NLP), multimodal models, and model optimization techniques.
* Measure, analyze, and report on model performance, quality, and impact using predictive analytics and statistical methodologies.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4\+ years of experience with end\-to\-end in a challenging technical problem domain (plan, design, execution, continuous release, and service operation).
* 4\+ years experience with shipping internet scale, low latency and high throughput systems AI products.
* 4\+ years experience with customer/End\-result/Metrics driven in design and development.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5\+ years experience creating publications (e.g., patents, libraries, peer\-reviewed academic papers).
* 2\+ years experience presenting at conferences or other events in the outside research/industry community as an invited speaker.
* Publications at top conferences like ACL (Association for Computational Linguistics), EMNLP (Empirical Methods in Natural Language Processing), SIGKDD (Special Interest Group on Knowledge Discovery and Data Mining), AAAI (Association for the Advancement of Artificial Intelligence), WSDM (Web Search and Data Mining), COLING (International Conference on Computational Linguistics), WWW (World Wide Web Conference), NIPS (Neural Information Processing Systems), ICASSP (International Conference on Acoustics, Speech, and Signal Processing), etc.
 \#M365Core \#msturingjobs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2026-01-27T23:37:13Z</dcterms:created>
  <dcterms:modified xsi:type="dcterms:W3CDTF">2026-01-27T23:37:13Z</dcterms:modified>
</cp:coreProperties>
</file>