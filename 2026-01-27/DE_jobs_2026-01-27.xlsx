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in-35db97c5f5969206</t>
        </is>
      </c>
      <c r="B2" t="inlineStr">
        <is>
          <t>Senior BI Engineer, Data</t>
        </is>
      </c>
      <c r="C2" t="inlineStr">
        <is>
          <t>WebstaurantStore</t>
        </is>
      </c>
      <c r="D2" t="inlineStr">
        <is>
          <t>indeed</t>
        </is>
      </c>
      <c r="E2" t="inlineStr"/>
      <c r="F2" t="inlineStr"/>
      <c r="G2" t="inlineStr">
        <is>
          <t>Lititz, PA, US</t>
        </is>
      </c>
      <c r="H2" s="2" t="n">
        <v>46048</v>
      </c>
      <c r="I2" t="inlineStr">
        <is>
          <t>**Job Summary**
---------------
The **Enterprise BI \&amp; Analytics Team** is the central hub of analytics and data engineering at WebstaurantStore. We transform **billions of data points** across marketing, supply chain, operations, and customer experience into trusted data foundations and actionable insights. Leveraging a **modern data stack**, scalable cloud technologies, and innovative DataOps practices, the team empowers smarter decisions, rapid growth, and new opportunities across the business.
As a **Senior BI Engineer**, you will architect and own the next generation of our enterprise data ingestion ecosystem. You will lead the creation of a unified ingestion framework into Snowflake—building scalable, repeatable, and high performance patterns that power analytics and data products across the organization. You will guide our transition from SQL Server to Snowflake, mentor engineers, establish engineering best practices, and collaborate closely with stakeholders to deliver reliable, enterprise grade data solutions.
**Responsibilities**
--------------------
**Senior BI Engineers are technical leaders and trusted partners** to BI developers, analysts, and cross functional teams. You will shape the future of our data platform by driving ingestion architecture, building modern pipelines, and enabling high impact engineering capabilities across the business.
Key areas of ownership include:
**Data Engineering \&amp; Architecture**
* Lead the design, development, and implementation of a standardized data ingestion framework into Snowflake.
* Architect scalable, secure, and reusable ingestion patterns for diverse data sources, including APIs, databases, cloud storage, flat files, and SharePoint.
* Build and maintain Fabric Pipelines to support enterprise grade data movement and orchestration.
* Develop Python based ingestion utilities, automation scripts, and reusable components.
* Establish best practices for ingestion performance, error handling, logging, and monitoring.
* Analyze existing ingestion processes and drive modernization, consolidation, and optimization efforts.
* Support and guide the organization through the transition from SQL Server to Snowflake.
**Leadership \&amp; Team Enablement**
* Serve as the technical lead for data ingestion initiatives, providing direction, mentorship, and oversight to BI developers.
* Delegate work effectively and coach team members on ingestion patterns, frameworks, and best practices.
* Conduct code reviews, provide architectural guidance, and ensure adherence to engineering standards.
* Collaborate with BI Managers to align resources, timelines, and priorities.
* Promote a culture of knowledge sharing, continuous improvement, and engineering excellence.
**Planning, Analysis \&amp; Delivery**
* Partner with analysts and business stakeholders to understand ingestion requirements and translate them into scalable technical solutions.
* Lead the planning, design, and analysis of ingestion workflows and data engineering projects.
* Evaluate new data sources and determine optimal ingestion strategies.
* Contribute to long term architectural roadmaps and data platform strategy.
* Ensure solutions meet enterprise standards for data quality, governance, and security.
**Agile / Scrum Responsibilities**
* Lead or actively participate in Agile ceremonies including standups, grooming, sprint planning, and retrospectives.
* Collaborate with product owners, analysts, and developers to refine and prioritize the backlog.
* Track team progress, identify risks, and remove blockers to maintain delivery momentum.
* Communicate status, challenges, and dependencies to BI Managers and stakeholders.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Bachelor’s degree in Computer Science, Information Systems, Engineering, or a related field; or equivalent professional experience.
* **7–10 years** of professional experience in data engineering.
* **5\+ years** of hands\-on experience with Snowflake, including ingestion, transformation, optimization, and platform performance tuning.
* **4–6 years** of experience building data pipelines using **Microsoft Fabric Pipelines** or equivalent orchestration tools.
* **4–6 years** of professional **Python** experience focused on automation, ingestion utilities, and framework development.
* **5\+ years** of enterprise SQL experience, including advanced SQL Server work and **hands\-on Change Data Capture (CDC)** implementation and support.
* **5\+ years** of experience working in **Agile/Scrum** environments.
* **3\+ years** of experience leading data engineering initiatives or serving as a technical lead on ingestion projects.
* Experience working with **event sourcing** or **data contract–driven ingestion patterns**.
* Experience using **Qlik Replicate** for data movement and replication.
* Experience using **dbt Cloud** for ELT transformation and orchestration.
* Microsoft Azure experience
* Certifications in **dbt Cloud, Snowflake**, or **Microsoft Fabric** preferred but not required.
**Education**
-------------
This role does not require a degree. We value relevant skills and experience and alignment with our core values above all else.
**Desired Traits \&amp; Skills**
----------------------------
* Deep expertise in building and maintaining data ingestion pipelines across diverse platforms.
* Strong proficiency with Snowflake architecture, Snowflake ingestion patterns, and SQL.
* Advanced Python skills for automation, ingestion utilities, and framework development.
* Hands\-on experience with Microsoft Fabric Pipelines or similar orchestration tools.
* Strong understanding of data modeling, data warehousing, and ETL/ELT best practices.
* Ability to lead technical initiatives, mentor team members, and influence engineering direction.
* Strong analytical and problem solving skills with the ability to design scalable solutions.
* Excellent communication skills, capable of translating complex technical concepts for nontechnical audiences.
* Ability to manage multiple priorities in a fast paced environment.
* High degree of adaptability, emotional intelligence, and collaborative mindset.
* Customer focused approach with a commitment to delivering high quality solutions.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3">
      <c r="A3" t="inlineStr">
        <is>
          <t>in-cbd2ba0618979f7b</t>
        </is>
      </c>
      <c r="B3" t="inlineStr">
        <is>
          <t>Lead Data Engineer</t>
        </is>
      </c>
      <c r="C3" t="inlineStr">
        <is>
          <t>Proxet</t>
        </is>
      </c>
      <c r="D3" t="inlineStr">
        <is>
          <t>indeed</t>
        </is>
      </c>
      <c r="E3" t="inlineStr"/>
      <c r="F3" t="inlineStr"/>
      <c r="G3" t="inlineStr">
        <is>
          <t>US</t>
        </is>
      </c>
      <c r="H3" s="2" t="n">
        <v>46048</v>
      </c>
      <c r="I3" t="inlineStr">
        <is>
          <t>**LOCATION:**
Remote: US #### **ABOUT THE ROLE**
We are seeking a Lead Data Engineer to design, build, and maintain data pipelines and workflows. In this role, you will focus on integrating diverse data sources, ensuring data quality, and enabling scalable data products that power analytics and applications. You’ll work as part of a cross\-functional team, collaborating with product managers, analysts, and architects to deliver robust data solutions that drive business value.
Who are we looking for?
#### **SKILLS \&amp; EXPERIENCE**
* Bachelor's degree in Computer Science, Engineering, or related field;
* 7\+ years of experience in data engineering roles and leading data engineering teams;
* Database management and SQL proficiency, Knowledge of modern data warehousing tools like Snowflake, Databricks, Redshift (hands\-on);
* Data modeling and design;
* Strong programing skills (Python, Spark)
* Experience of data governance frameworks and compliance requirements;
* Knowledge of big data technologies, machine learning integration or API development;
* Proficiency with cloud platforms (preferable AWS) for scalable solutions;
* Expertise in streaming pipeline design and complex data transformation;
* Ability to analyze system requirements and translate them into effective technical designs;
* Experience with performance optimization for large\-scale databases;
* Knowledge of CI/CD practices;
* Problem\-solving mindset to address technical challenges in dynamic environments;
* Collaboration skills to work effectively with cross\-functional teams;
* Experience with multiple coding assistant like Claude Code, Codex, Gemini CLI, Cursor; tools like lovable.dev, v0\.app, bolt.new would be a plus
* Asset management experience is a plus
#### **RESPONSIBILITIES**
* Coordinate the data engineering activities across the team and ensure delivery of data projects;
* Work with the Data Architect to implement architectural designs and standards;
* Build, test, maintain data and backend solutions;
* Implement CDC pipelines and maintain them across production systems;
* Develop and optimize data models for efficient storage and querying;
* Monitor pipeline/system health, identify bottlenecks, and tune performance for scalability;
* Maintain compliance with data security and governance policies defined by architecture teams;
* Collaborate with analysts, scientists, and software engineers to deliver reliable data solutions;
* Stay updated on tools and frameworks to improve team productivity.
What we offer
#### **WORK:**
* Flexible working hours;
* Collaborative, friendly team environment;
* Remote/Hybrid work;
#### **LIFE:**
* Company social events;
* Annual corporate parties;
#### **HEALTH:**
* Comprehensive medical insurance;
#### **EDUCATION:**
* Allowances for professional education;
* English language courses with native speakers;
* Internal knowledge\-sharing sessions.
About Proxet
Proxet is a professional software development firm trusted by clients from around the world. With our expertise in AI and machine learning, we help businesses reimagine their possibilities and transform ideas into tangible digital solutions. By providing core services with an emphasis on data practices, we shape the future, one step at a time.</t>
        </is>
      </c>
    </row>
    <row r="4">
      <c r="A4" t="inlineStr">
        <is>
          <t>in-693a4fbb3a710d0a</t>
        </is>
      </c>
      <c r="B4" t="inlineStr">
        <is>
          <t>Sr. Distinguished Data Engineer - Card data</t>
        </is>
      </c>
      <c r="C4" t="inlineStr">
        <is>
          <t>Capital One</t>
        </is>
      </c>
      <c r="D4" t="inlineStr">
        <is>
          <t>indeed</t>
        </is>
      </c>
      <c r="E4" t="inlineStr"/>
      <c r="F4" t="inlineStr"/>
      <c r="G4" t="inlineStr">
        <is>
          <t>San Francisco, CA, US</t>
        </is>
      </c>
      <c r="H4" s="2" t="n">
        <v>46047</v>
      </c>
      <c r="I4" t="inlineStr">
        <is>
          <t>Sr. Distinguished Data Engineer \- Card data
Senior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Senior Distinguished Engineers will significantly impact our trajectory and devise clear roadmaps to deliver next generation technology solutions.
About the Team: Capital One is seeking a Senior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Richmond, VA: $286,200 \- $326,700 for Sr Distinguished Data Engineer  
San Francisco,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in-feed508b65aac397</t>
        </is>
      </c>
      <c r="B5" t="inlineStr">
        <is>
          <t>Data Engineer - Capital One Software (Remote)</t>
        </is>
      </c>
      <c r="C5" t="inlineStr">
        <is>
          <t>Capital One</t>
        </is>
      </c>
      <c r="D5" t="inlineStr">
        <is>
          <t>indeed</t>
        </is>
      </c>
      <c r="E5" t="inlineStr"/>
      <c r="F5" t="inlineStr"/>
      <c r="G5" t="inlineStr">
        <is>
          <t>Richmond, VA, US</t>
        </is>
      </c>
      <c r="H5" s="2" t="n">
        <v>46047</v>
      </c>
      <c r="I5" t="inlineStr">
        <is>
          <t>Data Engineer \- Capital One Software (Remote)
Ever since our first credit card customer in 1994, Capital One has recognized that technology and data can enable even large companies to be innovative and personalized. As one of the first large enterprises to go all\-in on the public cloud, Capital One needed to build cloud and data management tools that didn’t exist in the marketplace to enable us to operate at scale in the cloud. And in 2022, we publicly announced Capital One Software and brought our first B2B software solution, Slingshot, to market.
Building on Capital One’s pioneering adoption of modern cloud and data capabilities, Capital One Software is helping accelerate the data management journey at scale for businesses operating in the cloud. If you think of the kind of challenges that companies face – things like data publishing, data consumption, data governance, and infrastructure management – we’ve built tools to address these various needs along the way. Capital One Software will continue to explore where we can bring our solutions to market to help other businesses address these same needs going forward.
We are seeking top tier talent to join our pioneering team and propel us towards our destination. You will be joining a team of innovative product, tech, and design leaders that tirelessly seek to question the status quo. As a Capital One Data Engineer, you’ll have the opportunity to be on the forefront of building this business and bring these tools to market.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services such as Databricks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1\.5 years of experience in application development (Internship experience does not apply)
* At least 1 year of experience in big data technologies
**Preferred Qualifications:**
* 3\+ years of experience in application development including Python, SQL, Scala, or Java
* 1\+ years of experience with a public cloud (AWS, Microsoft Azure, Google Cloud)
* 2\+ years experience with Distributed data/computing tools (MapReduce, Hadoop, Hive, EMR, Kafka, Spark, or MySQL)
* 1\+ years experience working on real\-time data and streaming applications
* 1\+ years of data warehousing experience (Databricks or Snowflake)
* 2\+ years of experience with UNIX/Linux including basic commands and shell scripting
* 1\+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Remote (Regardless of Location): $123,300 \- $140,700 for Data Engineer  
Richmond, VA: $123,300 \- $140,700 for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in-2ed48e0d1ddf2d43</t>
        </is>
      </c>
      <c r="B6" t="inlineStr">
        <is>
          <t>Analytics Engineer (AWS)</t>
        </is>
      </c>
      <c r="C6" t="inlineStr">
        <is>
          <t>Sadup Softech Pvt Ltd</t>
        </is>
      </c>
      <c r="D6" t="inlineStr">
        <is>
          <t>indeed</t>
        </is>
      </c>
      <c r="E6" t="inlineStr"/>
      <c r="F6" t="inlineStr"/>
      <c r="G6" t="inlineStr">
        <is>
          <t>US</t>
        </is>
      </c>
      <c r="H6" s="2" t="n">
        <v>46048</v>
      </c>
      <c r="I6" t="inlineStr">
        <is>
          <t>USA
Contract  
**Experience:** 8\+ Years  
Focus: Semantic Modelling \| Metrics Governance \| BI Enablement
**Required Skills \&amp; Experience**  
8\+ years in analytics engineering or analytics\-focused data roles.  
Expert SQL, solid Python.  
Strong experience in semantic data modeling, documentation, and ABAC on data products.  
3\+ years hands\-on with dbt (models, macros, tests, exposures).  
Experience with Amazon Redshift (Serverless) and/or Athena.  
5\+ years designing data architectures using medallion architecture.  
Strong experience with GitHub, CI/CD, YAML, Jinja.  
Proven ability in metric governance, change management, and stakeholder enablement.
Interested candidates please send your cv to hr@sadupsoft.com</t>
        </is>
      </c>
    </row>
    <row r="7">
      <c r="A7" t="inlineStr">
        <is>
          <t>in-dc48e583a6dbbfc2</t>
        </is>
      </c>
      <c r="B7" t="inlineStr">
        <is>
          <t>Data engineer with Neo4j</t>
        </is>
      </c>
      <c r="C7" t="inlineStr"/>
      <c r="D7" t="inlineStr">
        <is>
          <t>indeed</t>
        </is>
      </c>
      <c r="E7" t="inlineStr"/>
      <c r="F7" t="inlineStr"/>
      <c r="G7" t="inlineStr">
        <is>
          <t>Chicago, IL, US</t>
        </is>
      </c>
      <c r="H7" s="2" t="n">
        <v>46047</v>
      </c>
      <c r="I7" t="inlineStr">
        <is>
          <t>**Job Summary**  
We are looking for a skilled **Data Engineer specializing in Graph Databases (Neo4j)** to design and maintain robust data pipelines and model complex data structures. The ideal candidate will be responsible for creating efficient Cypher queries, integrating data from various sources into Neo4j, and optimizing performance for high\-traffic production environments.
**Key Responsibilities**
* **Graph Modeling \&amp; Design:** Design, develop, and implement graph data models (LPG/RDF) tailored for complex relationship analysis.
* **ETL Pipeline Development:** Build and maintain high\-performance, stable data pipelines using Python/PySpark to ingest data into Neo4j.
* **Query Optimization:** Write, optimize, and debug advanced Cypher queries, utilizing APOC procedures for maximum efficiency.
* **Data Integration:** Integrate Neo4j with existing data systems, cloud platforms (AWS/GCP), and relational databases (SQL).
* **Graph Data Science (GDS):** Leverage Graph Data Science libraries to derive insights and patterns from connected data.
* **Performance Tuning:** Monitor and improve graph database performance, including indexing and query profiling.</t>
        </is>
      </c>
    </row>
    <row r="8">
      <c r="A8" t="inlineStr">
        <is>
          <t>in-97a9462ec56863f8</t>
        </is>
      </c>
      <c r="B8" t="inlineStr">
        <is>
          <t>Data Engineer (L5) - Research Data Products</t>
        </is>
      </c>
      <c r="C8" t="inlineStr">
        <is>
          <t>Netflix</t>
        </is>
      </c>
      <c r="D8" t="inlineStr">
        <is>
          <t>indeed</t>
        </is>
      </c>
      <c r="E8" t="inlineStr"/>
      <c r="F8" t="inlineStr"/>
      <c r="G8" t="inlineStr">
        <is>
          <t>Remote, US</t>
        </is>
      </c>
      <c r="H8" s="2" t="n">
        <v>46047</v>
      </c>
      <c r="I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team**
Our Research Data Products team is at the forefront of insights innovation. Our team leverages technical expertise in data science, engineering, and solutions development to support a high\-impact team of 90\+ quantitative and qualitative researchers across the globe. We enable cutting\-edge research through frameworks, data products and technologies designed to help answer Netflix’s most complex business challenges through consumer\-driven analytics.
**About the Role**
As a Data Engineer, you will develop and maintain complex data models for Netflix Surveys and our Research Platform that enable this data to be accessed and further processed by teams to feed data products and ensure reliable insights about our consumers are widely available across the company. You’ll help pave the paths for these data products in partnership with an interdisciplinary team of engineers, data scientists, and researchers.
**What You Will Do:**
In this role, you will be an essential bridge between engineering, product, and data science, building robust, data\-driven solutions.
* Architect, strengthen, and expand the core data products that enable Consumer Research at Netflix.
* Develop and maintain scalable data pipelines to manage and transform large amounts of survey, social, and behavioral data that make consumer insights widely available across the company
* Fully own critical portions of Netflix's Research data products. Collaborate with stakeholders to understand needs, model tables using engineering and data warehouse best practices, and develop large scale data processing solutions to ensure the timely delivery of high quality data.
* Partner with Analytics Engineers, Data Scientists, and Software Engineers to create data products that will serve analysis and reporting needs intuitively.
* Develop best practices for governance of data sets with sensitive information
* Build strong and collaborative partnerships with data scientists, analytics engineers, and researchers.
**What we are looking for:**
We are looking for a skilled, independent, and curious Data Engineer who champions data quality.
* Proficiency in at least one major programming language (e.g., Python, Scala), with a passion for writing clean, maintainable, and well\-tested code. Python is strongly preferred.
* Strong SQL expertise.
* Expertise in data modeling and designing data structures that are adaptable and resilient to business or source system changes.
* Can design logging for new products with complex behavior or new domains balancing complex analytical needs with simplified logging effectively weighing tradeoffs.
* Experience with sourcing and modeling data from application APIs
* A strong commitment to data quality, including experience with data audits, unit testing, and comprehensive documentation.
* Excellent communication skills to effectively collaborate with technical and non\-technical partners (Data Scientists, Engineers, and Product Managers).
* Curiosity and an eagerness to learn and master new technologies that can have a significant impact.
* Proven success leading complex technical projects to completion.
* Ability to operate independently while embracing the Netflix Culture of candid feedback and high collaboration.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$380,000\.00 \- $610,000\.00\.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9">
      <c r="A9" t="inlineStr">
        <is>
          <t>in-37e90d626af6db8b</t>
        </is>
      </c>
      <c r="B9" t="inlineStr">
        <is>
          <t>Sr Data Platform Engineer</t>
        </is>
      </c>
      <c r="C9" t="inlineStr">
        <is>
          <t>PENNYMAC</t>
        </is>
      </c>
      <c r="D9" t="inlineStr">
        <is>
          <t>indeed</t>
        </is>
      </c>
      <c r="E9" t="inlineStr"/>
      <c r="F9" t="inlineStr"/>
      <c r="G9" t="inlineStr">
        <is>
          <t>Westlake Village, CA, US</t>
        </is>
      </c>
      <c r="H9" s="2" t="n">
        <v>46047</v>
      </c>
      <c r="I9"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Sr Data Platform Engineer \- Snowflake Specialist leads the design, optimization, and management of our enterprise data warehouse infrastructure, with a primary focus on advanced Snowflake implementations. This role supports critical business functions through sophisticated data platform development, including data operations and ensuring scalable and performant data solutions across the organization.**The Sr Data Platform Engineer \- Snowflake Specialist will:**
===============================================================
* **Advanced Snowflake Expertise** \- Architect, optimize, and manage complex Snowflake environments including warehouses, data sharing, streams, tasks, and performance tuning
* **Expert Snowflake Development** \- Design and implement advanced features including stored procedures, UDFs, dynamic SQL, zero\-copy cloning, and time travel capabilities
* **Data Warehouse Architecture** \- Lead enterprise data modeling, dimensional modeling, and modern data warehouse design patterns in Snowflake
* **Strong proficiency with Python 3**, Object\-Oriented Programming \&amp; Design Patterns for data pipeline development
* Experience with Python data frameworks (e.g., Pandas, SQLAlchemy, Apache Airflow) and APIs (FastAPI, Flask)
* **Solid experience with Amazon Web Services** (AWS) and serverless technologies for data integration
* **Strong experience with advanced SQL**, query optimization, and database performance tuning
* Experience with REST APIs and data integration patterns
* Experience with Git and collaborative development workflows
* Experience with comprehensive testing strategies including unit and integration testing
* Experience with event\-driven architectures and microservices in data contexts
* Experience with Infrastructure as Code (CloudFormation, CDK, Terraform)
* Knowledge of DataOps practices (CI/CD for data pipelines, automated testing)
* Knowledge of Agile, Scrum, Jira methodologies
What You’ll Bring:
* Degree in Computer Science, Data Engineering, Engineering, or similar technical major
* 5\+ years of software development experience with **3\+ years of advanced Snowflake experience**
* **Expert\-level Snowflake skills** including performance optimization, cost management, and enterprise\-scale implementations
* Deep understanding of data warehousing concepts, ETL/ELT patterns, and modern data architecture principles
* Extensive experience with databases at enterprise scale, including both SQL and NoSQL technologies
* Demonstrated ability to master advanced data platform technologies suchs as real\-time streaming, data orchestration, data governance, security, monitoring, or performance optimization
* Proven track record of architecting and implementing business\-critical data solutions that improve stability, security, performance, and scalability
* Demonstrated ability to effectively communicate complex data architecture concepts to engineers, product owners, project managers, and business stakeholders
* Demonstrated experience in multi\-team collaboration and agile development practices, particularly in data\-focused environments
* Ability to collaborate across teams and design data systems that address architectural gaps and scalability challenges
* **Preferred:** Financial Services and mortgage industry experience, particularly with regulatory reporting and risk management data requirements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row>
    <row r="10">
      <c r="A10" t="inlineStr">
        <is>
          <t>in-edcea9219c999e7a</t>
        </is>
      </c>
      <c r="B10" t="inlineStr">
        <is>
          <t>Data Engineer II</t>
        </is>
      </c>
      <c r="C10" t="inlineStr">
        <is>
          <t>Plexus</t>
        </is>
      </c>
      <c r="D10" t="inlineStr">
        <is>
          <t>indeed</t>
        </is>
      </c>
      <c r="E10" t="inlineStr"/>
      <c r="F10" t="inlineStr"/>
      <c r="G10" t="inlineStr">
        <is>
          <t>Neenah, WI, US</t>
        </is>
      </c>
      <c r="H10" s="2" t="n">
        <v>46043</v>
      </c>
      <c r="I10" t="inlineStr">
        <is>
          <t>**About us:** At Plexus, our vision is to help create the products that build a better world. Driven by a passion for excellence, we partner with leading Aerospace/Defense, Healthcare/Life Sciences and Industrial companies to design, manufacture and service some of the world’s most transformative products, including advanced surgical systems, diagnostic instruments, healthcare imaging equipment, mission critical aerospace systems, and electric vehicle (EV) charging solutions. Visit Plexus.com to learn more about our unwavering commitment to our vision.
**When we invest in our people, we invest in building a better world.**
With a vision rooted in the wellbeing and inclusive engagement of our team members, our customers, their end users and our communities, people are the heart of what we do and who we are. It is our values that unite us and guide us in everything that we do, including how we operate, behave and interact to foster a workplace where every team member feels valued and empowered to contribute their best.
Our values include: Growing our People, Building Belonging, Innovating Responsibly, Delivering Excellence and Creating Customer Success.
As a team member, you will engage in impactful work through global collaboration and the use of emerging technologies, join an inclusive culture where every team member is valued and working toward a greater purpose, and be empowered to reach your full potential through various development programs designed to accelerate your growth.
Plexus offers a comprehensive benefits package designed to support team members' wellbeing, including medical, dental, and vision insurance, paid time off, retirement savings, and opportunities for professional development. We also prioritize work\-life balance and offer a variety of perks to enhance the team member experience. For more information, visit our US benefits website at usbenefits.plexus.com. Our commitment to pay range transparency fosters an equitable workplace, where everyone can feel valued. The annual compensation range for this position is stated below. The salary offered within this range will be based upon the geographic location, work experience, education, licensure requirements and/or skill level. Salary Range:
$85,100\.00 \- $127,700\.00**Purpose Statement:** The Data Engineer II designs, builds, and maintains robust and scalable data pipelines and infrastructure to support the organization's data needs, particularly related to cloud\-based technologies. This includes acquiring, transforming, and optimizing large datasets to ensure high\-quality, reliable, and accessible data for analytics, reporting, machine learning and AI initiatives.
**Key Job Accountabilities:**
* Lead Data Pipeline and Infrastructure Development: Design, develop, and optimize end\-to\-end ETL/ELT pipelines(on\-premises and cloud) using Python, SQL, Spark, etc. to ingest data into scalable cloud infrastructure, including Data Lakes and Data Warehouses (AWS, Azure, or GCP).
* Collaborate on data modeling and schema design: Collaborate with stakeholders to design and implement efficient data models and schema structures. Enforce data quality through robust validation, monitoring, and alerting mechanisms to ensure accuracy and reliability.
* Optimize Performance, Cost, and Scalability: Proactively evaluate, tune, and improve the performance, scalability, and cost\-efficiency of all data pipelines and underlying cloud infrastructure.
* Enforce Best Practices and Documentation: Champion and enforce modern data engineering best practices, including version control, automated testing, and CI/CD. Create and maintain comprehensive technical documentation for all data systems and operational procedures.
* Mentorship: Provide technical guidance, mentorship, and perform code reviews for junior team members, actively fostering a culture of continuous learning and high standards within the data engineering team.
* All GT team members are responsible for upholding the organization's cybersecurity posture by adhering to security policies and procedures, actively participating in training, protecting data and systems, actively identifying and mitigating vulnerabilities, and promptly reporting any suspicious activity or potential security incidents.
**Education/Experience Qualifications:**
* Typically requires a minimum of 5 years of related experience with a Bachelor’s degree; or 3 years and a Master’s degree; or equivalent work experience.
**Other Qualifications:**
* Proven experience with cloud data platforms (e.g., AWS S3, Redshift, Glue; Azure Data Lake, Synapse, Data Factory; Google Cloud Storage, BigQuery, Dataflow).
* Strong proficiency in SQL and at least one programming language (e.g., Python, Java, Scala) for data manipulation scripting.
* Experience with big data technologies (e.g., Spark, Hadoop) is a plus.
* Familiarity with data governance, data security, and compliance principles.
* Excellent problem\-solving, analytical, and communications skills.
*This document does not represent a contract of employment and is not intended to capture every possible assignment the incumbent could be asked to perform.*
We are pleased to provide reasonable accommodations to individuals with disabilities or special requirements. If you need an application accommodation, please contact us by email at GHQ.TA@plexus.com. Please include your contact information and clearly describe how we can help you. This email is for accommodation requests only and cannot be used to inquire about the status of applications.
We are an Equal Opportunity Employer (EOE) and do not discriminate based on race, religion, color, national origin, gender, sexual orientation, age, marital status, veteran status, or disability status.
Some offers of employment are contingent upon successfully passing a drug screen and/or background check.</t>
        </is>
      </c>
    </row>
    <row r="11">
      <c r="A11" t="inlineStr">
        <is>
          <t>in-54bca245aaa156c1</t>
        </is>
      </c>
      <c r="B11" t="inlineStr">
        <is>
          <t>Principal Data Platform Engineer, Remote</t>
        </is>
      </c>
      <c r="C11" t="inlineStr">
        <is>
          <t>Experian</t>
        </is>
      </c>
      <c r="D11" t="inlineStr">
        <is>
          <t>indeed</t>
        </is>
      </c>
      <c r="E11">
        <f>HYPERLINK("https://www.indeed.com/viewjob?jk=54bca245aaa156c1", "https://www.indeed.com/viewjob?jk=54bca245aaa156c1")</f>
        <v/>
      </c>
      <c r="F11">
        <f>HYPERLINK("https://jobs.smartrecruiters.com/Experian/744000105939709-principal-data-platform-engineer-remote", "https://jobs.smartrecruiters.com/Experian/744000105939709-principal-data-platform-engineer-remote")</f>
        <v/>
      </c>
      <c r="G11" t="inlineStr">
        <is>
          <t>US</t>
        </is>
      </c>
      <c r="H11" s="3" t="n">
        <v>46049</v>
      </c>
      <c r="I11"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**Overview**
We are looking for an accomplished **Principal Data Platform Engineer** to lead the design, implementation, and governance of complex database and BigData solutions that support large\-scale, mission\-critical business operations. You will have expertise in both on\-premises and cloud\-based Data Platform architectures across **AWS**. You will also use DevOps and automation tools to refine provisioning, deployment, and monitoring. You will collaborate with architecture and business teams to enhance the data ecosystem and recommend solutions for complex challenges. You are a hands\-on technologist, able to guide innovation, performance, and scalability across diverse platforms. You will report to the Director of Data Strategy.
 **Responsibilities**
* Lead global teams in design and architecture discussions with partners, developers, and platform engineers.
* Implement scalable and secure database architectures for enterprise systems across multi\-availability\-zone, multi\-region cloud\-native platforms (AWS, and private cloud).
* Optimize applications and databases to use the full capabilities and cost efficiencies of AWS cloud\-native RDS \&amp; EMR platforms.
* Review, configure, and maintain globally distributed data platforms that are available and scalable. Collaborate with IT, DevOps, and application teams to ensure seamless integration with existing systems
* Manage automated operations, deployments, patching, upgrades, and capacity planning through CI/CD pipelines and Infrastructure as Code (IaC) tools ensuring secure and scalable database operations across multi\-cloud environments.
* Monitor, troubleshoot, and fine\-tune database performance to ensure scalability across multi\-cloud environments.
* Implement data protection strategies, including encryption and access controls. Support audit readiness and security reviews.
* Manage regular maintenance windows to ensure system uptime.
* Develop enterprise data models and enforce data standards, best practices, and governance frameworks to ensure data integrity and consistency.
* Research new technologies to enhance database efficiency
* Create clear, comprehensive documentation for database designs, configurations, and procedures.
**Qualifications**  
* Bachelor's degree in computer science, Information Systems, or a related field, or equivalent experience.
* 10\+ years of overall Enterprise Data Platform Engineering experience, with 6\+ years focused on cloud\-based open platform database architecture, design, and engineering.
* Demonstrated expertise in multi\-cloud database architecture, design, implementation, and cross\-platform migration, grounded in core principles and best practices across major platforms, including:**AWS:** RDS Databases, Aurora, EMR, Serverless, HBase, Hive, Spark, Kafka, Solr technologies**Private Cloud:** Self\-managed Data Platforms by Code.
* Experience with infrastructure\-as\-code (IaC) and DevOps automation tools with expertise in CI/CD pipelines and best practices with Terraform and Python skills.
* Familiarity with data governance and regulatory compliance frameworks (e.g., GDPR, HIPAA), along with security best practices.
* Experience diagnosing and resolving complex database issues
* Experience with containerization and orchestration tools such as Docker and Kubernetes.
* Knowledge of observability and monitoring tools (e.g., Prometheus, Grafana, CloudWatch, Splunk, Dynatrace, and Database Insights).
* Experience with business continuity planning and high\-availability architecture design.
* Demonstrated experience mentoring junior engineers and leading technical teams.
**Additional Information** **Benefits/Perks:**
* Great compensation package and bonus plan
* Core benefits including medical, dental, vision, and matching 401K
* Flexible work environment, ability to work remote, hybrid or in\-office
* Flexible time off including volunteer time off, vacation, sick and 12\-paid holidays
* Explore all our exciting benefits here: https://yourexperianbenefits.com/cand\-index.html
Our people\-first approach has earned us global recognition: World's Best Workplaces™ 2024 (Fortune Top 25\), Great Place To Work™ 2025 in 26 countries, and Glassdoor Best Places to Work 2024, among others.
Want to see what life at Experian is really like? Explore Experian Life on social or visit our Careers Site.
Our compensation reflects the cost of labor across several U.S. geographic markets. The base pay range for this position is listed above. Within this range, individual pay is determined by work location and additional factors such as job\-related skills, experience, and education. You will be also eligible for a variable pay opportunity.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
\#LI\-Remote</t>
        </is>
      </c>
    </row>
    <row r="12">
      <c r="A12" t="inlineStr">
        <is>
          <t>in-841256db6359099f</t>
        </is>
      </c>
      <c r="B12" t="inlineStr">
        <is>
          <t>Databricks Data Engineer</t>
        </is>
      </c>
      <c r="C12" t="inlineStr">
        <is>
          <t>Capgemini Government Solutions</t>
        </is>
      </c>
      <c r="D12" t="inlineStr">
        <is>
          <t>indeed</t>
        </is>
      </c>
      <c r="E12">
        <f>HYPERLINK("https://www.indeed.com/viewjob?jk=841256db6359099f", "https://www.indeed.com/viewjob?jk=841256db6359099f")</f>
        <v/>
      </c>
      <c r="F12">
        <f>HYPERLINK("https://recruiting.ultipro.com/CAP1009CAPGE/JobBoard/5178abe8-537c-41a6-96cc-fce9104c8f2f/OpportunityDetail?opportunityId=4b0b1919-876d-419a-b6dc-cc67b6ab0774&amp;postingId=005fb48c-b8c6-4c84-b61d-7beec401250d", "https://recruiting.ultipro.com/CAP1009CAPGE/JobBoard/5178abe8-537c-41a6-96cc-fce9104c8f2f/OpportunityDetail?opportunityId=4b0b1919-876d-419a-b6dc-cc67b6ab0774&amp;postingId=005fb48c-b8c6-4c84-b61d-7beec401250d")</f>
        <v/>
      </c>
      <c r="G12" t="inlineStr">
        <is>
          <t>McLean, VA, US</t>
        </is>
      </c>
      <c r="H12" s="3" t="n">
        <v>46049</v>
      </c>
      <c r="I12" t="inlineStr">
        <is>
          <t>Capgemini Government Solutions is seeking an experienced Databricks Data Engineer to lead the migration of existing Pentaho (Kettle) ETL workflows to a modern Databricks\-based ETL architecture, with downstream data loads into Salesforce. This role requires strong hands\-on engineering skills, migration experience, and the ability to translate legacy ETL logic into scalable, cloud\-native data pipelines.
The ideal candidate is comfortable working independently, partnering with stakeholders, and delivering production\-ready pipelines in a secure and governed environment.
**Job Responsibilities:**
* Analyze and reverse\-engineer existing Pentaho ETL jobs and transformations
* Design and implement Databricks ETL pipelines using:
* + Apache Spark (PySpark / Spark SQL)
	+ Databricks Workflows / Jobs
	+ Delta Lake
* Re\-platform ETL logic including:
* + Data extraction from relational sources (PostgreSQL, SQL Server, etc.)
	+ File\-based ingestion (CSV, ZIP, SFTP workflows)
	+ Transformations, validations, and enrichment
* Implement data loading strategies into Salesforce, including:
* + Salesforce APIs (Bulk API, REST API)
	+ Handling large volumes, retries, and error handling
	+ Incremental vs full loads
* Optimize pipelines for performance, scalability, and cost
* Implement logging, monitoring, and data quality checks
* Support testing, validation, and parallel runs during migration
* Produce technical documentation for migrated pipelines
* Collaborate with architects, platform teams, and business stakeholders
**Required Qualifications:**
* U.S. Citizenship is required.
* Eligible to obtain and maintain Government Security Clearance.
* 5\+ years of experience in data engineering / ETL development
* Strong hands\-on experience with Databricks
* Proficiency in PySpark and Spark SQL
* Prior experience migrating from legacy ETL tools (Pentaho, Informatica, Talend, SSIS, etc.)
* Experience integrating with Salesforce as a target system
* Solid understanding of:
* + ETL/ELT design patterns
	+ Data modeling and transformation logic
	+ Error handling and restartability
* Experience working with relational databases
* Strong troubleshooting and problem\-solving skills
**Preferred Qualifications:**
* Direct experience migrating Pentaho (Kettle) to Databricks
* Experience with Salesforce data models (objects, relationships, limits)
* Familiarity with:
* + CI/CD for data pipelines
	+ Git\-based source control
	+ Cloud platforms (AWS preferred)
* Experience in regulated or compliance\-driven environments (FedRAMP, HIPAA, etc.)
* Knowledge of data governance, lineage, and auditability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
**Disclaimer**
All qualified applicants will be considered for employment based on their skills, and merit.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150k\-170k.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13">
      <c r="A13" t="inlineStr">
        <is>
          <t>in-4e8a067a06288252</t>
        </is>
      </c>
      <c r="B13" t="inlineStr">
        <is>
          <t>Data Analytics Engineer</t>
        </is>
      </c>
      <c r="C13" t="inlineStr">
        <is>
          <t>LAI</t>
        </is>
      </c>
      <c r="D13" t="inlineStr">
        <is>
          <t>indeed</t>
        </is>
      </c>
      <c r="E13">
        <f>HYPERLINK("https://www.indeed.com/viewjob?jk=4e8a067a06288252", "https://www.indeed.com/viewjob?jk=4e8a067a06288252")</f>
        <v/>
      </c>
      <c r="F13">
        <f>HYPERLINK("http://www.indeed.com/job/data-analytics-engineer-4e8a067a06288252", "http://www.indeed.com/job/data-analytics-engineer-4e8a067a06288252")</f>
        <v/>
      </c>
      <c r="G13" t="inlineStr">
        <is>
          <t>San Diego, CA, US</t>
        </is>
      </c>
      <c r="H13" s="3" t="n">
        <v>46049</v>
      </c>
      <c r="I13" t="inlineStr">
        <is>
          <t>Our direct client is looking for a **Data Analytics Engineer** for a 1\-year contract to work Hybrid 3 days week, onsite in San Diego, CA.
**Data Analytics Engineer** who brings deep expertise in data analysis, data wrangling, and insights generation, complemented by working knowledge of predictive analytics and solid software engineering skills. This role focuses on turning complex, multi\-source data into trusted, decision\-ready insights; building scalable analytics pipelines; and applying predictive techniques where they add measurable business value.
**Data Analytics Engineer**
* 12month Contract
* Monday – Friday, 40 hour work week.
* Location: San Diego, CA ( Carmel Valley/ Del Mar Hights area)
* Hybrid, 3 days week onsite \- (Onsite, Tuesday, Wednesday, Thursday)
* **Contract is open for 1099 or Corp\-2\-Corp contract only.**
**Local candidates, In\-Person Interview is required** 
**Skills \&amp; Qualifications**
* Strong proficiency in **Python and SQL** for data wrangling, analytics, and statistical analysis.
* Experience with **BI and visualization tools** – Power BI and Tableau required
* Ability to work with business SMEs and elicit requirements and document them independently
* Demonstrated experience in **advanced analytics**, KPI development, and insight generation.
* Working knowledge of **predictive analytics and machine learning techniques** using libraries such as Scikit\-learn or XGBoost.
* Solid understanding of **software development principles**, data modeling, and version control (Git).
* Bachelor’s degree in **Computer Science, Data Analytics, Statistics, Engineering, or a related field**.
**Preferred Qualifications**
* Experience operationalizing analytics or predictive models using **MLOps or analytics lifecycle tools** (e.g., MLflow).
* Familiarity with **cloud data platforms** (Azure OneLake, MS Fabric, AWS Redshift, Azure Synapse).
* Exposure to **data governance, data quality, and security best practices** in enterprise environments.
* Work experience in Life Sciences (like: biotechnology, pharmaceuticals, and medical devices)
**Key Responsibilities**
**Advanced Data Analytics \&amp; Predictive Insights**
* Perform **complex data wrangling, cleansing, normalization, and transformation** across diverse structured and semi\-structured data sources.
* Lead **exploratory and diagnostic data analysis** to surface trends, anomalies, drivers, and root causes underlying business performance.
* Develop and maintain **metrics frameworks, KPIs, and analytical models** that support operational, financial, and strategic decision\-making.
* Partner with business stakeholders to translate ambiguous questions into **clear analytical hypotheses, analyses, and insights**.
* Design and deliver **dashboards, reports, and analytical narratives** that clearly communicate insights to technical and non\-technical audiences.
* Apply **predictive and statistical modeling techniques** (e.g., regression, classification, time\-series forecasting) to support forecasting, scenario analysis, and optimization use cases.
* Validate analytical outputs through sanity checks, data quality assessments, and peer review to ensure accuracy and trustworthiness.
**Software Engineering \&amp; Analytics Pipeline Development**
* Design, build, and maintain **ETL/ELT pipelines** that support analytics, reporting, and predictive use cases.
* Implement scalable and reusable **analytics code and data models** using Python, SQL, and cloud\-native services.
* Optimize data pipelines and analytical workflows for **performance, reliability, and maintainability**.
* Apply software engineering best practices, including **version control, testing, CI/CD**, and documentation.
* Automate recurring analytics processes and model refreshes to reduce manual effort and improve consistency.
If you are interested, please send me your updated Word Resume, along with your direct phone number and email.
Job Type: Contract
Pay: $80\.00 \- $105\.00 per hour
Expected hours: No less than 40 per week
Education:
* Bachelor's (Preferred)
Experience:
* Data Analytics Engineer : 6 years (Required)
* Python: 4 years (Required)
* SQL: 5 years (Required)
* Power BI / Tableau : 4 years (Required)
* cloud data platforms : 2 years (Required)
* ETL/ELT pipelines : 4 years (Required)
Ability to Commute:
* San Diego, CA 92130 (Required)
Work Location: Hybrid remote in San Diego, CA 92130</t>
        </is>
      </c>
    </row>
    <row r="14">
      <c r="A14" t="inlineStr">
        <is>
          <t>in-5c7fbc6712421150</t>
        </is>
      </c>
      <c r="B14" t="inlineStr">
        <is>
          <t>Data Engineer</t>
        </is>
      </c>
      <c r="C14" t="inlineStr">
        <is>
          <t>Waste Connections</t>
        </is>
      </c>
      <c r="D14" t="inlineStr">
        <is>
          <t>indeed</t>
        </is>
      </c>
      <c r="E14">
        <f>HYPERLINK("https://www.indeed.com/viewjob?jk=5c7fbc6712421150", "https://www.indeed.com/viewjob?jk=5c7fbc6712421150")</f>
        <v/>
      </c>
      <c r="F14">
        <f>HYPERLINK("https://careers.wasteconnections.com/us/en/job/WCGWCUUSR95681EXTERNALENUS/Data-Engineer?utm_source=indeed&amp;utm_medium=phenom-feeds", "https://careers.wasteconnections.com/us/en/job/WCGWCUUSR95681EXTERNALENUS/Data-Engineer?utm_source=indeed&amp;utm_medium=phenom-feeds")</f>
        <v/>
      </c>
      <c r="G14" t="inlineStr">
        <is>
          <t>The Woodlands, TX, US</t>
        </is>
      </c>
      <c r="H14" s="3" t="n">
        <v>46048</v>
      </c>
      <c r="I14" t="inlineStr">
        <is>
          <t>We are seeking a highly skilled and experienced **Data Engineer** to join our data engineering team. The ideal candidate will have deep expertise in building scalable data pipelines, optimizing big data workflows, and integrating Databricks with AWS services. You will play a key role in designing and implementing cloud\-native data solutions that drive business insights and innovation.**Key Responsibilities:**
* Proficient in **Databricks SQL** for executing complex ad\-hoc queries on large\-scale lake house datasets, enabling rapid data exploration, trend identification, and actionable insights for business decision\-making.
* Skilled in leveraging **Databricks notebooks** to design and implement scalable data transformation workflows, integrating PySpark and SQL to cleanse, enrich, and prepare large datasets for downstream analytics and reporting.
* Design, develop, and maintain scalable data pipelines using **Apache Spark** on **Databricks**.
* Architect and implement **ETL/ELT workflows** leveraging **AWS services** such as S3, Glue, Lambda, Redshift, and EMR.
* Optimize Spark jobs for performance and cost\-efficiency in a cloud environment.
* Collaborate with data scientists, analysts, and business stakeholders to understand data requirements and deliver robust solutions.
* Implement CI/CD pipelines for Databricks notebooks and jobs using tools like **GitHub Actions**, **Azure DevOps**, or **Jenkins**.
* Ensure data quality, security, and governance using tools like **Unity Catalog**, **Delta Lake**, and **AWS Lake Formation**.
* Monitor and troubleshoot production data pipelines and jobs.
* Mentor junior engineers and contribute to best practices and standards.
**Required Qualifications:**
* Bachelor’s or Master’s degree in Computer Science, Engineering, or a related field.
* 5\+ years of experience in software/data engineering with at least 2 years working with **Databricks** and **Apache Spark**.
* Strong proficiency in **Python**, **SQL**, and **PySpark**.
* Deep understanding of **AWS cloud architecture** and services (especially S3, Glue, Lambda, IAM, Redshift, and CloudWatch).
* Experience with **Delta Lake**, **Databricks Workflows**, and **Databricks SQL**.
* Familiarity with **data modeling**, **data warehousing**, and **data lakehouse architectures**.
* Experience with **infrastructure\-as\-code** tools like **Terraform** or **CloudFormation**.
* Strong problem\-solving skills and ability to work in a fast\-paced, agile environment.
**Preferred Qualifications:**
* Databricks Certified Data Engineer or AWS Certified Solutions Architect.
* Experience with **streaming data** using **Kafka**, **Kinesis**, or **Structured Streaming**.
* Knowledge of **MLflow**, **feature stores**, or MLOps practices.
* Familiarity with **data governance** and **compliance frameworks** (e.g., GDPR, HIPAA).
**Soft Skills:**
* Excellent communication and collaboration skills.
* Strong analytical thinking and attention to detail.
* Ability to mentor and lead technical discussions.
**What’s In It for You?**
You will be joining a high profile team and a great company known for its Servant Leadership and “work hard, play harder” culture. Competitive compensation package includes base salary plus annual cash bonus and equity grant (restricted share units) eligibility.
We also offer excellent family benefits including: medical, dental, vision, flexible spending account, long term and short term disability, life insurance, 401(k) retirement and unlimited opportunities to "Connect with Your Future."
***Waste Connections is an equal opportunity employer. All qualified applicants will receive consideration for employment without regard to disability or protected veteran status.***</t>
        </is>
      </c>
    </row>
    <row r="15">
      <c r="A15" t="inlineStr">
        <is>
          <t>in-995928a0269c3589</t>
        </is>
      </c>
      <c r="B15" t="inlineStr">
        <is>
          <t>Staff Analytics Engineer - Enterprise Data AI/ML</t>
        </is>
      </c>
      <c r="C15" t="inlineStr">
        <is>
          <t>Okta</t>
        </is>
      </c>
      <c r="D15" t="inlineStr">
        <is>
          <t>indeed</t>
        </is>
      </c>
      <c r="E15">
        <f>HYPERLINK("https://www.indeed.com/viewjob?jk=995928a0269c3589", "https://www.indeed.com/viewjob?jk=995928a0269c3589")</f>
        <v/>
      </c>
      <c r="F15">
        <f>HYPERLINK("https://www.okta.com/company/careers/business-technology/staff-analytics-engineer-enterprise-data-aiml-7365398/", "https://www.okta.com/company/careers/business-technology/staff-analytics-engineer-enterprise-data-aiml-7365398/")</f>
        <v/>
      </c>
      <c r="G15" t="inlineStr">
        <is>
          <t>Bellevue, WA, US</t>
        </is>
      </c>
      <c r="H15" s="3" t="n">
        <v>46048</v>
      </c>
      <c r="I15" t="inlineStr">
        <is>
          <t>**Get to know Okta**  
Okta is The World’s Identity Company. We free everyone to safely use any technology, anywhere, on any device or app. Our flexible and neutral products, Okta Platform and Auth0 Platform, provide secure access, authentication, and automation, placing identity at the core of business security and growth.  
At Okta, we celebrate a variety of perspectives and experiences. We are not looking for someone who checks every single box \- we’re looking for lifelong learners and people who can make us better with their unique experiences.  
Join our team! We’re building a world where Identity belongs to you.
**The Technology, Data, and Intelligence Team**
Okta is the leading independent identity provider. The Technology, Data, and Intelligence (TDI) organization is the engine that powers Okta's global workforce, providing the technology and systems that enable our employees to do their best work.
**The Staff AI/ML Analytics Engineer Opportunity**
Okta is seeking a Staff AI/ML Analytics Engineer to join our Data \&amp; Insights team. This role is a mission\-critical position responsible for defining and owning the metadata and semantic layer of our data products that power AI/ML use cases, ensuring clean, trusted, and well\-modeled data that powers analytics and AI/ML across the company.
As a Staff Analytics Engineer, you will play at the intersection of data engineering, analytics, and applied AI/ML, defining business logic, join paths, and metric frameworks while also enabling AI/ML systems to understand and respond to user intent. You will partner with product, engineering, data science, and business stakeholders to deliver reliable data products that drive decision\-making and improve prompt outcomes.
This role is ideal for someone who can go deep on data modeling and technical architecture, while also thinking strategically about how data and AI/ML come together to create scalable solutions with impact on business growth.
**What you’ll be doing**
* **Own and Evolve the Semantic Layer**: Design and manage the semantic layer for Okta’s Enterprise data and analytics products, including data models, labeling, and integrations.
* **Define Business Logic and Metrics**: Establish join paths, calculations, and metric definitions that ensure consistent, trusted reporting across the company.
* **Translate User Intent into Data Structures**: Build systems that map natural language queries to model\-friendly structures, enabling AI/ML analytics to deliver accurate results.
* **Iteratively Improve Prompt Outcomes**: Analyze, tune, and refine how our AI/ML systems interpret and respond to user queries, creating feedback loops for continuous improvement.
* **Metric Definition Understanding:** Ensure metrics and semantic layer are understandable and explorable through development documentation and data catalog.
* **Collaborate Cross\-Functionally**: Partner with data engineers, analytics leads, technology teams, and business stakeholders to deliver scalable, AI/ML\-driven data solutions.
* **Champion Best Practices**: Set standards for semantic modeling, metric governance, and AI/ML analytics integration across the organization.
* **Mentor and Influence:** Provide thought leadership to peers and junior engineers, fostering a culture of excellence, curiosity, and data\-driven innovation.
**What you’ll bring to the role**
* **Experience**: 7\+ years of progressive experience in data engineering, analytics engineering, or applied AI/ML, with demonstrated leadership at the staff level.
* **Technical Depth**: Expertise in SQL and semantic layer technologies (e.g., LookML, dbt, Cube, AtScale, or equivalent). Strong background in dimensional modeling, ELT pipelines, and metric frameworks.
* **AI Analytics Acumen**: Experience with AI tools, ML, and predictive analytics to enhance decision making and automate processes.
* **Business Partnership**: Proven ability to partner with non\-technical stakeholders to translate business requirements into robust data solutions.
* **Communication Skills**: Strong ability to simplify and explain complex data/AI concepts to diverse audiences.
* **Education:** Bachelor’s or Master’s degree in Computer Science, Data Science, Engineering, or a related field.
**And extra credit if you have experience in any of the following!**
* Familiarity with vector databases, embeddings, and retrieval\-augmented generation (RAG).
* Experience with metadata\-driven data governance frameworks.
* Background in SaaS, security, or identity industries.
\#LI\-MC1
\#LI\-Hybrid
\#P23809\_3284411
The annual base salary range for this position for candidates located in the San Francisco Bay area is between: $173,000—$259,000 USD
Below is the annual base salary range for candidates located in California (excluding San Francisco Bay Area), Colorado, Illinois, New York and Washington. Your actual base salary will depend on factors such as your skills, qualifications, experience, and work location. In addition, Okta offers equity (where applicable), bonus, and benefits, including health, dental and vision insurance, 401(k), flexible spending account, and paid leave (including PTO and parental leave) in accordance with our applicable plans and policies. To learn more about our Total Rewards program please visit: https://rewards.okta.com/us.  
The annual base salary range for this position for candidates located in California (excluding San Francisco Bay Area), Colorado, Illinois, New York, and Washington is between:$154,000—$232,000 USD**What you can look forward to as a Full\-Time Okta employee!**
* Amazing Benefits
* Making Social Impact
* Developing Talent and Fostering Connection \+ Community at Okta
Okta cultivates a dynamic work environment, providing the best tools, technology and benefits to empower our employees to work productively in a setting that best and uniquely suits their needs. Each organization is unique in the degree of flexibility and mobility in which they work so that all employees are enabled to be their most creative and successful versions of themselves, regardless of where they live. Find your place at Okta today! https://www.okta.com/company/careers/.  
Some roles may require travel to one of our office locations for in\-person onboarding.
Okta is an Equal Opportunity Employer. All qualified applicants will receive consideration for employment without regard to race, color, religion, sex, sexual orientation, gender identity, national origin, ancestry, marital status, age, physical or mental disability, or status as a protected veteran. We also consider for employment qualified applicants with arrest and convictions records, consistent with applicable laws.
If reasonable accommodation is needed to complete any part of the job application, interview process, or onboarding please use this Form to request an accommodation.  
Okta is committed to complying with applicable data privacy and security laws and regulations. For more information, please see our Personnel and Job Candidate Privacy Notice at https://www.okta.com/legal/personnel\-policy/.
Okta
The foundation for secure connections between people and technology
Okta is the leading independent provider of identity for the enterprise. The Okta Identity Cloud enables organizations to securely connect the right people to the right technologies at the right time. With over 7,000 pre\-built integrations to applications and infrastructure providers, Okta customers can easily and securely use the best technologies for their business. More than 19,300 organizations, including JetBlue, Nordstrom, Slack, T\-Mobile, Takeda, Teach for America, and Twilio, trust Okta to help protect the identities of their workforces and customers.</t>
        </is>
      </c>
    </row>
    <row r="16">
      <c r="A16" t="inlineStr">
        <is>
          <t>in-63795029074c1500</t>
        </is>
      </c>
      <c r="B16" t="inlineStr">
        <is>
          <t>Senior AI &amp; Data Engineer</t>
        </is>
      </c>
      <c r="C16" t="inlineStr">
        <is>
          <t>Intapp</t>
        </is>
      </c>
      <c r="D16" t="inlineStr">
        <is>
          <t>indeed</t>
        </is>
      </c>
      <c r="E16">
        <f>HYPERLINK("https://www.indeed.com/viewjob?jk=63795029074c1500", "https://www.indeed.com/viewjob?jk=63795029074c1500")</f>
        <v/>
      </c>
      <c r="F16">
        <f>HYPERLINK("https://intapp.wd1.myworkdayjobs.com/en-US/Intapp/job/Palo-Alto-CA/Senior-Data-Engineer_R2024713-1", "https://intapp.wd1.myworkdayjobs.com/en-US/Intapp/job/Palo-Alto-CA/Senior-Data-Engineer_R2024713-1")</f>
        <v/>
      </c>
      <c r="G16" t="inlineStr">
        <is>
          <t>Palo Alto, CA, US</t>
        </is>
      </c>
      <c r="H16" s="3" t="n">
        <v>46048</v>
      </c>
      <c r="I16" t="inlineStr">
        <is>
          <t>Position Summary
We are seeking a Senior Data Engineer to design, build, and optimize scalable data infrastructure that powers business intelligence, analytics, and AI\-driven applications. The ideal candidate brings great communication skills, deep expertise in Python, containerization, cloud\-native architectures, and modern data warehousing, with a growing interest in AI agents and emerging integration patterns.
What you will do:
Data Infrastructure \&amp; Pipeline Development* Design and implement robust, scalable ETL/ELT pipelines to ingest, transform, and deliver data across the organization
* Build and maintain data models optimized for analytical workloads and downstream consumption
* Develop reusable frameworks and libraries to accelerate data engineering workflows
Cloud \&amp; Platform Engineering* Architect and manage cloud\-native data solutions on AWS, leveraging services such as S3, EC2, ECS, ECR and EventBridge
* Deploy and orchestrate containerized workloads using Docker and Kubernetes in production environments
* Implement infrastructure\-as\-code practices using Terraform, CloudFormation, or similar tools
Data Warehousing* Design and optimize data warehouse architectures using Redshift or Snowflake
* Develop efficient data models, partitioning strategies, and query optimization techniques
* Manage data lifecycle, governance, and cost optimization within warehouse environments
Emerging Technologies* Explore and integrate AI agents and Model Context Protocol (MCP) patterns into data workflows where applicable
* Collaborate with AI/ML teams to ensure data infrastructure supports model training, inference, and feature engineering needs
* Stay current with emerging data and AI technologies, evaluating their potential business impact
Collaboration \&amp; Leadership* Partner with analytics, product, and engineering teams to understand data requirements and deliver solutions
* Mentor junior engineers and contribute to team best practices, code reviews, and technical documentation
* Participate in architectural decisions and contribute to the data platform roadmap
What you will need:
Experience* 7\+ years of professional experience in data engineering or related roles
* Proven track record building and operating production data pipelines at scale
Technical Skills* Python: Advanced proficiency including data libraries (pandas, PySpark, SQLAlchemy), testing frameworks, and packaging
* Containerization \&amp; Orchestration: Strong hands\-on experience with Docker and Kubernetes (EKS, GKE, or self\-managed clusters)
* Data Warehousing: Deep expertise with Redshift or Snowflake, including performance tuning, data modeling, and administration including DBT
* AWS: Extensive experience across the AWS ecosystem, particularly data\-related services (S3, Glue, Lambda, IAM, VPC, CloudWatch)
* SQL: Expert\-level SQL skills for complex analytical queries and data transformations
Foundational Skills* Experience with workflow orchestration tools (Airflow, Dagster, etc.)
* Familiarity with version control (Git), CI/CD pipelines, and agile development practices
* Strong understanding of data governance, security, and compliance principles
Preferred Qualifications:* Experience with or exposure to AI agents, LLM integrations, or Model Context Protocol (MCP) implementations
* Background in real\-time streaming architectures (Kafka, Kinesis, Flink)
* Experience with dbt for transformation layer management
* Familiarity with data observability and quality tools (Monte Carlo, Great Expectations, dbt tests)
* Knowledge of additional programming languages (Scala, Java, Go)
* Experience in professional services, legal tech, or enterprise SaaS environments
Education* Bachelor's degree in Computer Science, Engineering, Mathematics, or related field; or equivalent practical experience
* Relevant certifications a plus (AWS Data Analytics, Snowflake SnowPro, Kubernetes CKA/CKAD)
What you will gain:
At Intapp, you’ll get the opportunity to bring your talents and intellectual curiosity to create better outcomes for our people and our clients. You’ll be part of a growing public company, with a modern work environment that’s connected yet flexible and where your professional growth and well\-being are top priorities. We’ll collaborate and grow together, supporting each other in a positive, open atmosphere that fosters creativity, innovation, and teamwork.
Here, you will have the opportunity to:* Expand Your Skills: Unlock your potential with professional development opportunities supported by a community of experienced professionals. We offer reimbursement for training and continuing education to help you stay ahead in your career.
* Enjoy Where You Work: Thrive in our modern, open offices designed to inspire creativity and collaboration. Our complimentary lunches and fully stocked kitchens ensure you have everything you need to stay energized throughout the day.
* Support What Matters Most: Our comprehensive wellness and flexible time off programs and our benefits are designed to care for you and your family. Our family\-formation benefits and support during your family\-building journey ensure you have the resources you need when it matters most. We believe in giving back and supporting our communities with paid volunteer time off and a donation matching program for the causes you care about.
Join us and be a part of a collaborative and welcoming culture where your contributions are valued, and your professional growth is a priority. Together, we are building a company of long\-term value that we can all be proud of.
\#Li\-MT2 *Intapp provides equal employment opportunities to all qualified applicants and will make hiring decisions without regard to race, color, sex, sexual orientation, gender identity or expression, religion, national origin or ancestry, age, disability, marital status, pregnancy, protected veteran status, protected genetic information, political affiliation, or any other characteristic protected by federal, state or local laws.**Please note: Intapp will not hire through text message, social media, or email alone. We will never extend a job offer unless you have been contacted directly by an Intapp recruiter and have participated in the interview process which will generally consist of 3 or more virtual or in person meetings. Please note that Intapp only uses company email addresses, which contain “@intapp.com” or “@dealcloud.com” to communicate with candidates via email. Intapp will never ask for financial information of any kind or for any payment during the job application process. We post all legitimate job openings on the Intapp Career Site at* *https://www.intapp.com/working\-at\-intapp/**.* *If you believe you were a victim of such a scam, you may contact your local authorities. Intapp is not responsible for any claims, losses, damages, or expenses resulting from scammers.*</t>
        </is>
      </c>
    </row>
    <row r="17">
      <c r="A17" t="inlineStr">
        <is>
          <t>in-a5099b96e0881b51</t>
        </is>
      </c>
      <c r="B17" t="inlineStr">
        <is>
          <t>Senior/Expert Data Engineer</t>
        </is>
      </c>
      <c r="C17" t="inlineStr">
        <is>
          <t>ELEKS</t>
        </is>
      </c>
      <c r="D17" t="inlineStr">
        <is>
          <t>indeed</t>
        </is>
      </c>
      <c r="E17">
        <f>HYPERLINK("https://www.indeed.com/viewjob?jk=a5099b96e0881b51", "https://www.indeed.com/viewjob?jk=a5099b96e0881b51")</f>
        <v/>
      </c>
      <c r="F17">
        <f>HYPERLINK("https://careers.eleks.com/vacancies/senior-expert-data-engineer-2/", "https://careers.eleks.com/vacancies/senior-expert-data-engineer-2/")</f>
        <v/>
      </c>
      <c r="G17" t="inlineStr">
        <is>
          <t>US</t>
        </is>
      </c>
      <c r="H17" s="3" t="n">
        <v>46048</v>
      </c>
      <c r="I17" t="inlineStr">
        <is>
          <t>ELEKS Software Engineering and Development Office is looking for a Senior/Expert Data Engineer to join our client’s team on\-site in Washington, DC, USA.
#### **ABOUT PROJECT**
The project focuses on diagnosing and resolving performance challenges in a large\-scale, on\-premises data platform.
#### **REQUIREMENTS**
* 5\+ years of experience
* Strong background in distributed systems and data platform architecture
* Deep experience with MongoDB at a very large scale
* Hands\-on expertise with Kubernetes, Helm, and containerized workloads
* Experience designing and optimizing high\-throughput ingestion pipelines
* Familiarity with task queues and worker\-based ingestion models (e.g., Celery or similar)
* Ability to troubleshoot complex, custom, on\-prem environments
#### **RESPONSIBILITIES**
* Assess current ingestion pipelines, database design, and overall platform architecture
* Identify root causes of performance bottlenecks and scaling limitations
* Recommend and implement architectural improvements (data modeling, ingestion patterns, queueing, compute/storage separation, etc.)
* Optimize MongoDB usage for large\-scale ingestion and query workloads
* Review and improve Kubernetes, Helm, and worker orchestration patterns
* Work closely with the engineering team to implement fixes and best practices
#### **WHAT YOU WILL GET WITH ELEKS**
* Close cooperation with a customer
* Challenging tasks
* Competence development
* Ability to influence project technologies
* Team of professionals
* Dynamic environment with low level of bureaucracy
#### **ABOUT** **ELEKS**
ELEKS is a custom software development company. We deliver value to our clients, thanks to our expertise and experience gained from working as a software innovation partner since 1991\.
Our 2000\+ professionals located in the Delivery Centers across Eastern Europe and sales offices in Europe and North America, provide our clients with a full range of software engineering services. These include product development, QA, R\&amp;D, design, technology consulting and dedicated teams.</t>
        </is>
      </c>
    </row>
    <row r="18">
      <c r="A18" t="inlineStr">
        <is>
          <t>in-dca27cf756bab0ae</t>
        </is>
      </c>
      <c r="B18" t="inlineStr">
        <is>
          <t>Data Engineer</t>
        </is>
      </c>
      <c r="C18" t="inlineStr">
        <is>
          <t>Coursedog</t>
        </is>
      </c>
      <c r="D18" t="inlineStr">
        <is>
          <t>indeed</t>
        </is>
      </c>
      <c r="E18">
        <f>HYPERLINK("https://www.indeed.com/viewjob?jk=dca27cf756bab0ae", "https://www.indeed.com/viewjob?jk=dca27cf756bab0ae")</f>
        <v/>
      </c>
      <c r="F18">
        <f>HYPERLINK("https://coursedog.pinpointhq.com/en/postings/fd69f33b-f8d2-4531-9b23-7ca60169e8a6", "https://coursedog.pinpointhq.com/en/postings/fd69f33b-f8d2-4531-9b23-7ca60169e8a6")</f>
        <v/>
      </c>
      <c r="G18" t="inlineStr">
        <is>
          <t>Remote, US</t>
        </is>
      </c>
      <c r="H18" s="3" t="n">
        <v>46048</v>
      </c>
      <c r="I18" t="inlineStr">
        <is>
          <t>We’re looking for a curious, detail\-oriented, and customer\-focused **Data Engineer** to join our Data Systems team. This role is critical to how our customers succeed with Coursedog: you’ll own the technical onboarding experience, partnering directly with higher education institutions to integrate their Student Information System (SIS) data into our platform.  
As a Data Engineer at Coursedog, you’ll operate at the intersection of data, systems, and people — designing and executing SIS integrations, troubleshooting complex data challenges, and ensuring our customers go live with confidence. You’ll thrive in a fast\-paced, high\-ownership environment where technical excellence, clear communication, and customer empathy are equally important.
This role offers a competitive base salary ranging from **$70,000–$90,000**, depending on experience. The position includes a performance\-based variable compensation plan, bringing the total on\-target earnings (OTE) to **$75,000–$100,000** when goals are met.  
Key Responsibilities
* Run partner and client\-facing conversations about technical integrations.
* Call external APIs to perform data review, examine data structures for potential issues and manipulate CSV and JSON Data.
* Work directly with clients to improve their experience and turn insights into actionable product feedback.
* Be responsible for user acceptance testing
* Own all aspects of the client's technical onboarding experience from point of sales handoff through to maintenance.
* Define new SIS integration architecture and methodologies
* Work with our Data Engineering Manager to improve our system integrations and own our go\-lives.
* Develop deep product knowledge; provide API integration expertise; understand the ins and outs of Higher Education; strong customer service skills; QA mindset; strong technical and oral communication
* Data quality/product improvements, improve time to integration, drive customer experience, raise NPS scores, improve our internal toolset
Skills Knowledge and Expertise
**Technical Skills:**
* **Data Integration:** Experience with integrating data from various sources and ensuring data consistency and accuracy.
* **Process \&amp; Tools Used on the Job:** Strong experience with API operations, SSO, User Provisioning, Github, Postman Collections.
* **Data Modeling:** Ability to understand data models and practically apply this knowledge to customer projects, team playbooks and best practices for resilient service delivery. Specific knowledge in Student Information System (SIS) data structures such as Ellucian Banner, Ellucian Colleague, Workday, Peoplesoft or others.
* **Programming Languages:** Proficiency in object\-oriented programming and scripting languages, with a preference for Java, Python and SQL.
* **ETL Processes:** Strong understanding of ETL (Extract, Transform, Load) processes and tools.
* **Database Management:** Experience working with relational databases (e.g., Oracle, PostgreSQL, SQL).
**Analytical Skills:**
* **Troubleshooting:** Experience troubleshooting scenarios where data is synchronized across multiple systems, comparing data sets, reviewing logs, identifying and resolving issues.
* **Data Analysis:** Strong analytical skills to interpret data and provide actionable insights.
* **Statistical Analysis:** Knowledge of statistical methods and tools for data analysis.
**Soft Skills:**
* **Problem\-Solving:** Ability to identify problems and develop effective solutions.
* **Communication:** Excellent verbal and written communication skills to collaborate with cross\-functional teams.
* **Attention to Detail:** High level of accuracy and attention to detail in data handling and analysis.
* **Time Management:** Ability to manage multiple projects and meet deadlines efficiently.
* **Project Management:** Understand and actively engage in ensuring the impact data engineers have in on\-time, quality delivery of customer projects from inception to completion.
* **Documentation:** Updating customer implementation documentation, methodology playbooks used for deployment steps and issue resolution steps
* **Customer Centric Knowledge:** Our customers are educational institutions, everyone in our company needs to be able to understand how our customers operate to be able to understand how our work impacts and delivers value.
Working at Coursedog
**Healthcare, Dental \&amp; Vision**
We follow a fixed contribution model to ensure equity and transparency. Each employee receives the same annual dollar amount to allocate toward their medical, dental, and vision coverage. This empowers you to select the plan that best meets your needs — whether it’s a base\-level plan or a more comprehensive option.  
Depending on the selected coverage level, the company covers:* Employee\-only coverage: 99% to 55% of monthly premiums
* Employee \+ dependents: 77% to 43% of monthly premiums
* We proudly partner with Aetna and Guardian, and offer access to best\-in\-class wellness perks including:
* Spring Health (mental health support)
* XP Health (vision benefits)
* Carrot Fertility (family planning)
* One Medical (primary care)
* We also support pre\-tax savings through Health Savings Accounts (HSA) and Flexible Spending Accounts (FSA).
**Retirement Planning**
To support long\-term financial health, we offer a 401(k) plan from day one of employment.
Beginning January 1, 2026, we’ll provide a 4% employer match on your annual salary (subject to federal limits) for employees contributing to a tax\-advantaged retirement account.
**Paid Time Off**
We trust our employees to manage their time responsibly. That’s why we offer an unlimited Paid Time Off policy — because flexibility and balance are critical for sustained excellence and personal well\-being.
**Remote\-First Since Inception**
We were built for distributed work. Our culture emphasizes flexibility over rigidity, outcomes over hours, and transparency over gatekeeping. We are committed to being a remote\-first organization indefinitely, empowering you to work where and how you thrive best.
**Equity**
As a valued contributor to our collective success, you’ll participate in the upside. All employees are granted equity in the company, with vesting aligned to your role and tenure. Equity grants are reviewed and adjusted with promotions to reflect your evolving impact.
**Paid Parental Leave**
We proudly support working parents with industry\-leading benefits.
Primary caregivers are eligible for 12 weeks of paid leave
Secondary caregivers receive 6 weeks of paid leave
This time is fully paid and available to all eligible employees regardless of gender or family structure.
**About Coursedog**
Our mission is to break down barriers to opportunity for students.  
Coursedog provides higher ed with modern technology solutions – empowering institutions, students, and communities across the globe.  
Coursedog's founding story is rooted in the desire to help students achieve their highest goals. In 2018, Coursedog's co\-founders and then college students, Justin Wenig and Nick Diao, were frustrated by how difficult it was to get into the classes they needed to graduate on time. After speaking with higher education provosts and registrars to better understand how academic scheduling works, they came away with a vision that permeates the company today.  
Coursedog has raised $113M total capital as a remote\-first, hyper\-growth startup currently backed by JMI Equity, and with past investments from YC and First Round Capital. We were recently ranked in Forbes top 500 US startup employers and our employee engagement scores rank in the top 5% of tech companies.  
About Coursedog
Our mission is to break down barriers to opportunity for students.  
Coursedog provides higher ed with modern technology solutions – empowering institutions, students, and communities across the globe.  
Coursedog's founding story is rooted in the desire to help students achieve their highest goals. In 2018, Coursedog's co\-founders and then college students, Justin Wenig and Nick Diao, were frustrated by how difficult it was to get into the classes they needed to graduate on time. After speaking with higher education provosts and registrars to better understand how academic scheduling works, they came away with a vision that permeates the company today.  
Coursedog has raised $113M total capital as a remote\-first, hyper\-growth startup currently backed by JMI Equity, and with past investments from YC and First Round Capital. We were recently ranked in Forbes top 500 US startup employers and our employee engagement scores rank in the top 5% of tech companies.</t>
        </is>
      </c>
    </row>
    <row r="19">
      <c r="A19" t="inlineStr">
        <is>
          <t>in-f288cac1d83c46c6</t>
        </is>
      </c>
      <c r="B19" t="inlineStr">
        <is>
          <t>Career Accelerator Program - Data Engineer</t>
        </is>
      </c>
      <c r="C19" t="inlineStr">
        <is>
          <t>Texas Instruments</t>
        </is>
      </c>
      <c r="D19" t="inlineStr">
        <is>
          <t>indeed</t>
        </is>
      </c>
      <c r="E19">
        <f>HYPERLINK("https://www.indeed.com/viewjob?jk=f288cac1d83c46c6", "https://www.indeed.com/viewjob?jk=f288cac1d83c46c6")</f>
        <v/>
      </c>
      <c r="F19">
        <f>HYPERLINK("https://edbz.fa.us2.oraclecloud.com/hcmUI/CandidateExperience/en/sites/CX/job/25007804", "https://edbz.fa.us2.oraclecloud.com/hcmUI/CandidateExperience/en/sites/CX/job/25007804")</f>
        <v/>
      </c>
      <c r="G19" t="inlineStr">
        <is>
          <t>Dallas, TX, US</t>
        </is>
      </c>
      <c r="H19" s="3" t="n">
        <v>46048</v>
      </c>
      <c r="I19" t="inlineStr">
        <is>
          <t>**Change the world. Love your job.**  
In your first year with TI you'll join the Career Accelerator Program (CAP) – a development experience that blends professional skill workshops, technical training and on the job learning. The program is tailored to your educational background and experience level, ensuring you can start delivering real world data engineer impact from day 1, whether you're working on foundational data pipelines or cutting\-edge AI\-driven solutions.  
**About the job:**
As a Data Engineer, you will play a key role in building and maintaining the data infrastructure and systems that power AI/ML, analytics, reporting, and data\-driven decision\-making across the organization. You will be part of a cross\-functional team, gaining hands\-on experience working with modern data tools and cloud technologies while transforming raw data into actionable insights through collaboration with engineers and business stakeholders.
In this role, you will also have the opportunity to architect and lead the deployment of large\-scale data engineering solutions, pioneering AI\-driven data processing frameworks that integrate transformer\-based LLMs, deep learning models, and traditional machine learning algorithms.
**Key Responsibilities:**
* Develop and maintain scalable data pipelines and ETL/ELT workflows for ingesting, processing, and transforming large datasets from multiple sources
* Build and optimize data models, schemas, and databases to ensure efficient data storage, accessibility, and performance
* Perform data cleaning, validation, and quality checks to deliver accurate and reliable data for analytical use
* Work with SQL, Python, and modern data tools such as Spark to automate data flows and support data science initiatives
* Architect and implement large\-scale data engineering solutions across hybrid cloud environments
* Build reusable libraries and automated pipelines while applying software engineering best practices such as CI/CD, testing and monitoring
* Collaborate with analysts, engineers, and business teams to understand data requirements and deliver solutions
* Monitor data infrastructure performance and troubleshoot issues as needed
* Maintain documentation for pipelines, data models, and transformation logic
* Forecast emerging data needs, define design standards and drive strategic upgrades to storage and processing infrastructure
* Stay updated on emerging data technologies and recommend improvements to data architecture
QUALIFICATIONS
**Minimum requirements:**
* Bachelor's degree in Electrical Engineering, Computer Engineering, Computer Science, Data Science, or related technical field of study
* Cumulative 3\.0/4\.0 GPA or higher
**Texas Instruments will not sponsor job applicants for visas or work authorization for this position.**
**Preferred qualifications**
* Master's degree and/or PhD in Electrical Engineering, Computer Engineering, Computer Science, Data Science, or related field
* Proficiency in programming languages such as Python, Java, Scala, C/C\+\+ and strong SQL skills for data manipulation and querying
* Understanding of ETL processes, database concepts, and experience with big data platforms (e.g., Spark), cloud services (AWS, Azure, or GCP)
* Experience with AI/ML frameworks (e.g., PyTorch) and large\-scale data processing, including transformer\-based LLMs and neural networks
* Knowledge of machine learning algorithms ranging from traditional ML to cutting\-edge deep learning models
* Strong analytical and problem\-solving abilities with experience tackling complex, multifaceted challenges
* Exposure to or proven experience in machine learning, deep learning concepts, NLP, computer vision, speech, and time series analysis
* Demonstrated ability to develop end\-to\-end data pipelines, AI\-enabled data tools, or enterprise\-scale data architecture solutions
* Publications or conference presentations in AI/ML or data engineering topics
* Proven teamwork and communication skills in multidisciplinary projects, including ability to present technical concepts to non\-technical stakeholders
* Strong time management and project management skills that enable on\-time delivery of high\-impact projects
* Demonstrated ability to build strong, influential relationships and leadership in cross\-functional team environment
* Ability to work effectively in a fast\-paced and rapidly changing environment with strong initiative and adaptability
* Ability to take initiative, drive for results, and drive innovation
ABOUT US
**Why TI?**
* Engineer your future. We empower our employees to truly own their career and development. Come collaborate with some of the smartest people in the world to shape the future of electronics.
* We're different by design. Diverse backgrounds and perspectives are what push innovation forward and what make TI stronger. We value each and every voice, and look forward to hearing yours. Meet the people of TI
* Benefits that benefit you. We offer competitive pay and benefits designed to help you and your family live your best life. Your well\-being is important to us.
**About Texas Instruments**
Texas Instruments Incorporated (Nasdaq: TXN) is a global semiconductor company that designs, manufactures and sells analog and embedded processing chips for markets such as industrial, automotive, personal electronics, communications equipment and enterprise systems. At our core, we have a passion to create a better world by making electronics more affordable through semiconductors. This passion is alive today as each generation of innovation builds upon the last to make our technology more reliable, more affordable and lower power, making it possible for semiconductors to go into electronics everywhere. Learn more at TI.com.  
Texas Instruments is an equal opportunity employer and supports a diverse, inclusive work environment. All qualified applicants will receive consideration for employment without regard to race, color, religion, creed, disability, genetic information, national origin, gender, gender identity and expression, age, sexual orientation, marital status, veteran status, or any other characteristic protected by federal, state, or local laws.  
If you are interested in this position, please apply to this requisition.
TI does not make recruiting or hiring decisions based on citizenship, immigration status or national origin. However, if TI determines that information access or export control restrictions based upon applicable laws and regulations would prohibit you from working in this position without first obtaining an export license, TI expressly reserves the right not to seek such a license for you and either offer you a different position that does not require an export license or decline to move forward with your employment.
JOB INFO
Job Identification
25007804
Job Category
Information Technology
Posting Date
01/27/2026, 10:42 AM
Degree Level
Bachelor's Degree
Locations
 EXKI 13560 N. Central Expwy, Dallas, TX, 75243, US
ECL/GTC Required
Yes</t>
        </is>
      </c>
    </row>
    <row r="20">
      <c r="A20" t="inlineStr">
        <is>
          <t>in-52bf97550a164ba8</t>
        </is>
      </c>
      <c r="B20" t="inlineStr">
        <is>
          <t>Senior Data Engineer</t>
        </is>
      </c>
      <c r="C20" t="inlineStr">
        <is>
          <t>Insight IT Pty</t>
        </is>
      </c>
      <c r="D20" t="inlineStr">
        <is>
          <t>indeed</t>
        </is>
      </c>
      <c r="E20">
        <f>HYPERLINK("https://www.indeed.com/viewjob?jk=52bf97550a164ba8", "https://www.indeed.com/viewjob?jk=52bf97550a164ba8")</f>
        <v/>
      </c>
      <c r="F20">
        <f>HYPERLINK("https://jobs.quickin.io/insightit/jobs/6978ab89a4c09000144e89c4?src=Indeed", "https://jobs.quickin.io/insightit/jobs/6978ab89a4c09000144e89c4?src=Indeed")</f>
        <v/>
      </c>
      <c r="G20" t="inlineStr">
        <is>
          <t>Spring, TX, US</t>
        </is>
      </c>
      <c r="H20" s="3" t="n">
        <v>46048</v>
      </c>
      <c r="I20" t="inlineStr">
        <is>
          <t>The Senior Data Engineer will lead the design, development, automation, and optimization of scalable cloud and on premises data infrastructure supporting enterprise applications, advanced analytics, and AI/ML workloads. Operating within an agile environment, this role requires close collaboration with software engineering, infrastructure, and data science teams to deliver secure, reliable, and high performance data systems aligned with enterprise standards.
Requisitos: **Responsibilities**  
* Design, build, and optimize scalable ETL/ELT pipelines using Databricks, Delta Lake, Python, SQL, and related data engineering technologies.
* Demonstrate expert\-level proficiency in PySpark and Databricks Lakehouse architectures, including schema evolution, ACID transactions, data quality enforcement, and cost and performance optimized handling of large, complex datasets—aligned with upstream telemetry, SCADA\-scale data, and ExxonMobil’s high throughput processing needs.
* Improve data ecosystem efficiency by implementing Lakehouse based bronze/silver/gold architectures, reducing processing times through optimization techniques, enforcing data quality frameworks such as Great Expectations, and enhancing storage and retrieval patterns.
* Collaborate with cross functional teams—data scientists, engineers, product owners, and business stakeholders—to translate business requirements into robust technical designs supporting AI/ML enablement, feature engineering, real time analytics, and production grade data workflows.
* Strengthen CI/CD and data governance practices through automation, version control, testing frameworks, and scalable deployment patterns for data pipelines and platform components.
 **Qualifications**
Strong background across Azure, Snowflake, Delta Lake, Databricks and CI/CD automation, bringing the cross cloud, governance minded, and automation driven engineering approach required for ExxonMobil’s integrated enterprise scale data architecture.
 **Top 3 Skills:**
Azure  
Data Knowledge on Snowflake, Delta Lake and Databricks  
CI/CD</t>
        </is>
      </c>
    </row>
    <row r="21">
      <c r="A21" t="inlineStr">
        <is>
          <t>in-5434967cc51f38cb</t>
        </is>
      </c>
      <c r="B21" t="inlineStr">
        <is>
          <t>Data Engineer</t>
        </is>
      </c>
      <c r="C21" t="inlineStr">
        <is>
          <t>Hyundai Capital America</t>
        </is>
      </c>
      <c r="D21" t="inlineStr">
        <is>
          <t>indeed</t>
        </is>
      </c>
      <c r="E21">
        <f>HYPERLINK("https://www.indeed.com/viewjob?jk=5434967cc51f38cb", "https://www.indeed.com/viewjob?jk=5434967cc51f38cb")</f>
        <v/>
      </c>
      <c r="F21">
        <f>HYPERLINK("https://careerglobalhc.taleo.net/careersection/ex/jobdetail.ftl?job=2600002I&amp;tz=GMT-06%3A00&amp;tzname=America%2FChicago", "https://careerglobalhc.taleo.net/careersection/ex/jobdetail.ftl?job=2600002I&amp;tz=GMT-06%3A00&amp;tzname=America%2FChicago")</f>
        <v/>
      </c>
      <c r="G21" t="inlineStr">
        <is>
          <t>Irvine, CA, US</t>
        </is>
      </c>
      <c r="H21" s="3" t="n">
        <v>46048</v>
      </c>
      <c r="I21" t="inlineStr">
        <is>
          <t>**Who We Are**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2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the following benefits:
* Medical, Dental and Vision plans that include no\-cost and low\-cost plan options
* Immediate 401(k) matching and vesting
* Vehicle purchase and lease discounts plus monthly vehicle allowances
* Paid Volunteer Time Off with company donation to a charity of your choice
* Tuition reimbursement
 **What to Expect**
The Data Engineer is responsible for designing and developing data pipelines and information assets utilizing modern technology approaches to ensure alignment with reference architecture, data requirements, time frames are iterative delivery of data pipeline artifacts. **What You Will Do**
1\. Solutions Delivery – Analysis, Design, and Development* Create and maintain optimal data pipeline architecture.
* Build the infrastructure required for optimal extraction, transformation, and loading of data from a wide variety of data sources using SQL and AWS big\-data technologies.
* Build data pipelines, ELT optimization, data mappings, and ETL progress design to provide actionable insights into customer acquisition, operational efficiency and other key business performance metrics.
* Responsible for ensuring that the technical output of the Data Engineering team conforms to best practices and standards .
* Draft technical design and specifications, and data lineage.
* Participate on other related assessments such as Data Analysis, Root Cause Analysis, Impact Analysis, As\-Is solution assessment and ToBe solution recommendation, etc.
2\. Test and Maintenance* Implement improvements to application performance for potential bottlenecks.
* Update process documentation to keep system library up to date.
* Validate system developed according to requirement by testing.
3\. Solutions Delivery Management* Follow processes and practices to enable the delivery of data engineering artifacts.
* Execute plans to drive higher solution efficiency and delivery velocity of Data Services solution.
**Qualifications** **What You Will Bring*** Minimum 5\-7 years’ progressive experience in data analytics, computer systems engineering, or software engineering.
* Proven experience with Data Integration tools such as Informatica, AWS Glue, AWS Redshift, AWS S3, and languages such as Stored Procedures, Python, Spark, etc.
* Auto\-finance experience and specifically Cassiopeia product experience required.
* SQL and Oracle knowledge required.
* Bachelor’s degree required.
* Advanced degree preferred.
* Experience in building and optimizing relational and structured data pipelines, architectures and data sets.
* Strong analytic skills to work with unstructured datasets.
* Has in\-depth functional expertise and broad business knowledge of data domains.
* Ability to find solutions on data requirements and issues.
* Ability to conduct code reviews to ensure that the technical output conforms to best practices and standards.
* Ability to communicate and influence Business and IT in terms of understanding the data. requirements, respective data solutions, and technical decisions.
* Strong collaboration and motivation skills.
* Strong communication skills (verbal and written).
 **Work Environment**
Employees in this class are subject to extended periods of sitting, standing, and walking, vision to monitor and moderate noise levels. Work is performed in an at home and office environment. *The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range.**California Privacy Notice**This notice only applies to our applicants who reside in the State of California.* *Privacy Policy provides you with notice, at or before the point of collection, about the categories of personal information to be collected from you, the purposes for which your personal information is collected or used, and whether that information is sold or shared, so that you can exercise meaningful control over our use of your personal information. We are providing this notice to comply with the California Consumer Privacy Act of 2018, as amended as amended by the California Privacy Rights Act of 2020 (“CCPA”).**If you have any questions about CCPA regarding California residents or HCA team members, please contact the Privacy Team at* *Privacy2@hcs.com**.*  
**Primary Location****:** United States\-California\-Irvine**Work Locations****:** Headquarters 1 3161 Michelson Dr. Ste 1900 Irvine 92612**Job****:** Enterprise Data Strategy**Job Type****:** Regular**Overtime Status****:** Exempt**Schedule****:** Full\-time**Minimum Salary: $**100,000\.00**Maximum Salary: $**155,000\.00**Job Posting****:** Jan 27, 2026</t>
        </is>
      </c>
    </row>
    <row r="22">
      <c r="A22" t="inlineStr">
        <is>
          <t>in-01b0737b94302526</t>
        </is>
      </c>
      <c r="B22" t="inlineStr">
        <is>
          <t>SQL Data Engineer and BI Developer II</t>
        </is>
      </c>
      <c r="C22" t="inlineStr">
        <is>
          <t>University of Central Florida</t>
        </is>
      </c>
      <c r="D22" t="inlineStr">
        <is>
          <t>indeed</t>
        </is>
      </c>
      <c r="E22">
        <f>HYPERLINK("https://www.indeed.com/viewjob?jk=01b0737b94302526", "https://www.indeed.com/viewjob?jk=01b0737b94302526")</f>
        <v/>
      </c>
      <c r="F22">
        <f>HYPERLINK("https://jobs.ucf.edu/jobs/sql-data-engineer-and-bi-developer-ii-orlando-florida-united-states-ae5ab8bc-d38f-4e94-884f-6eed1e6fac29?source=Indeed", "https://jobs.ucf.edu/jobs/sql-data-engineer-and-bi-developer-ii-orlando-florida-united-states-ae5ab8bc-d38f-4e94-884f-6eed1e6fac29?source=Indeed")</f>
        <v/>
      </c>
      <c r="G22" t="inlineStr">
        <is>
          <t>Orlando, FL, US</t>
        </is>
      </c>
      <c r="H22" s="3" t="n">
        <v>46048</v>
      </c>
      <c r="I22" t="inlineStr">
        <is>
          <t>**GRIT/College of Graduate Studies:**
The University of Central Florida’s College of Graduate Studies supports more than 200 graduate programs, including master’s, doctoral, specialist, and certificate options. The College provides comprehensive admissions guidance, resources for academic milestones, and strong support for thesis and dissertation completion. Graduate students benefit from a wide range of financial opportunities such as assistantships, fellowships, and tuition support, as well as professional development through teaching and mentorship programs. UCF fosters an active graduate community with events, symposia, and workshops, and many of its programs are nationally ranked among the top in their fields. Located in Orlando, the College of Graduate Studies is committed to advancing academic excellence, research, and innovation.
**The Opportunity**:
Join our team as a Data Engineer/BI Developer II and help transform complex data into actionable insights. You’ll work with enterprise\-scale SQL systems, and leading BI tools like Power BI, SSRS, and Tableau to support critical business decisions. If you thrive at the intersection of SQL development, Reporting, and Analytics, this role offers the opportunity to shape high\-impact solutions in a collaborative environment.
Classification Title: Business Intelligence and Analytics Specialist II
**Responsibilities:**
* Highly Proficient in SQL \&amp; Query writing to design and develop quality efficient actionable database solutions ensuring data quality, security, \&amp; integrity**.**
* Designs, develops, and provides ongoing visualizations/reports using business intelligence and analytic platforms. Including but not limited to SSRS, Power BI, and other available reporting, retrieval, analytics tools**.**
* Builds and implements BI and database solutions to support data ingestion, processing, and visualization of metrics, functional, and applications data**.**
* Assists in creating new or enhanced data warehouse, database, and BI components**.**
* Researches business problems and creates data models that help analyze these business problems**.**
* Assists with maintaining user information access security within the business intelligence solution(s)**.**
* Provides technical support, mentoring, and training for users as well as ensuring proper documentation for all business processes, procedures, and practices that require the use of GRIT data. GRIT data includes Graduate Student data from PeopleSoft, Workday, Slate, and custom web applications operated by GRIT**.**
* Other duties as assigned.
**Minimum Qualifications**:
Bachelor’s degree and 2 years of relevant experience; or High School Diploma (or equivalent) and 6 years of relevant work experience in lieu of degree, or an equivalent combination of education and experience pursuant to Fla. Stat. 112\.219(6\).
**Preferred Qualifications**:
* Demonstrated expertise in SQL, including the ability to code, develop, and update SQL procedures and queries.
* Strong hands\-on experience with Microsoft SQL Server and SQL Server Management Studio (SSMS).
* Design and development experience in Business Intelligence platforms: Microsoft Power BI, Tableau, and/or SSRS.
* Experience working with large\-scale data sets and enterprise data warehouses.
* Ability to collect, analyze, and interpret complex data into clear insights.
* Strong knowledge of data structures, relational databases, and data logic.
* Excellent problem\-solving and communication skills, with the ability to serve as a subject matter expert (SME) for business\-related data.
**Special Instructions to the Applicants:**
Applicants invited to interview will be expected to pass a basic SQL competency test administered by our team.
Applicant must be authorized to work for any U.S. employer, as sponsorship is not available for this position now or in the future.
Classification Title: Business Intelligence and Analytics Specialist II
**Are you ready to unleash YOUR potential?**
As a next\-generation public research university and Forbes\-ranked top employer in Florida, we are a community of thinkers, doers, creators, innovators, healers, and leaders striving to create broader prosperity and help shape a better future. No matter what your role is, when you join Knight Nation, you’ll play an integral role at one of the most impactful universities in the country. You’ll be met with opportunities to connect and collaborate with talented faculty, staff, and students across 13 colleges and multiple campuses, engaging in impactful work that makes a positive difference. Your time at UCF will provide you with many meaningful opportunities to grow, you’ll work alongside talented colleagues on complex projects that will challenge you and help you gain new skills and you’ll have countless rewarding experiences that go well beyond a paycheck.
**Working at UCF has its perks! UCF offers:**
* Benefit packages, including Medical, Dental, Vision, Life Insurance, Flexible Spending, and Employee Assistance Program
* Paid time off, including annual and sick time off and paid holidays
* Retirement savings options
* Employee discounts, including tickets to many Orlando attractions
* Education assistance
* And more…For more benefits information, view the UCF Employee Benefits Guide.
Dive into our Total Rewards Calculator to discover the diverse selection available to you, giving you a glimpse into the benefits that together shape your comprehensive rewards package at UCF.
**Unless explicitly stated on the job posting, it is UCF’s expectation that an employee of UCF will reside in Florida as of the date the employment begins.**
**Department**
Graduate Studies\***Work Schedule**
Monday \- Friday 8:00AM \- 5:00PM**Type of Appointment**
Regular**Expected Salary**
$56,030\.00 to Negotiable**Job Posting End Date**
02\-03\-2026\-12\-00\-AM
As a Florida public university, the University of Central Florida makes all application materials and selection procedures available to the public upon request.
UCF is proud to be a smoke\-free campus and an E\-Verify employer.
If an accommodation due to a disability is needed to apply for this position, please call 407\-823\-1336 or email onac@ucf.edu.
For general application or posting questions, please email talent@ucf.edu.</t>
        </is>
      </c>
    </row>
    <row r="23">
      <c r="A23" t="inlineStr">
        <is>
          <t>in-a3b14df8e606d219</t>
        </is>
      </c>
      <c r="B23" t="inlineStr">
        <is>
          <t>Associate Data Engineer</t>
        </is>
      </c>
      <c r="C23" t="inlineStr">
        <is>
          <t>Qode</t>
        </is>
      </c>
      <c r="D23" t="inlineStr">
        <is>
          <t>indeed</t>
        </is>
      </c>
      <c r="E23">
        <f>HYPERLINK("https://www.indeed.com/viewjob?jk=a3b14df8e606d219", "https://www.indeed.com/viewjob?jk=a3b14df8e606d219")</f>
        <v/>
      </c>
      <c r="F23">
        <f>HYPERLINK("https://apply.workable.com/j/F4327BDB52", "https://apply.workable.com/j/F4327BDB52")</f>
        <v/>
      </c>
      <c r="G23" t="inlineStr">
        <is>
          <t>Cleveland, OH, US</t>
        </is>
      </c>
      <c r="H23" s="3" t="n">
        <v>46048</v>
      </c>
      <c r="I23"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24">
      <c r="A24" t="inlineStr">
        <is>
          <t>in-e47385894011a65a</t>
        </is>
      </c>
      <c r="B24" t="inlineStr">
        <is>
          <t>Associate Data Engineer</t>
        </is>
      </c>
      <c r="C24" t="inlineStr">
        <is>
          <t>Qode</t>
        </is>
      </c>
      <c r="D24" t="inlineStr">
        <is>
          <t>indeed</t>
        </is>
      </c>
      <c r="E24">
        <f>HYPERLINK("https://www.indeed.com/viewjob?jk=e47385894011a65a", "https://www.indeed.com/viewjob?jk=e47385894011a65a")</f>
        <v/>
      </c>
      <c r="F24">
        <f>HYPERLINK("https://apply.workable.com/j/A0EC059ED1", "https://apply.workable.com/j/A0EC059ED1")</f>
        <v/>
      </c>
      <c r="G24" t="inlineStr">
        <is>
          <t>Pittsburgh, PA, US</t>
        </is>
      </c>
      <c r="H24" s="3" t="n">
        <v>46048</v>
      </c>
      <c r="I24"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25">
      <c r="A25" t="inlineStr">
        <is>
          <t>in-1005007e8e0aef21</t>
        </is>
      </c>
      <c r="B25" t="inlineStr">
        <is>
          <t>Data Engineer</t>
        </is>
      </c>
      <c r="C25" t="inlineStr">
        <is>
          <t>Outdoorsy</t>
        </is>
      </c>
      <c r="D25" t="inlineStr">
        <is>
          <t>indeed</t>
        </is>
      </c>
      <c r="E25">
        <f>HYPERLINK("https://www.indeed.com/viewjob?jk=1005007e8e0aef21", "https://www.indeed.com/viewjob?jk=1005007e8e0aef21")</f>
        <v/>
      </c>
      <c r="F25">
        <f>HYPERLINK("https://apply.workable.com/j/D5FD789B84", "https://apply.workable.com/j/D5FD789B84")</f>
        <v/>
      </c>
      <c r="G25" t="inlineStr">
        <is>
          <t>Austin, TX, US</t>
        </is>
      </c>
      <c r="H25" s="3" t="n">
        <v>46048</v>
      </c>
      <c r="I25" t="inlineStr">
        <is>
          <t>**About the Outdoorsy Group**
Founded in 2015, Outdoorsy Group pioneered access to the outdoors by building the world’s leading outdoor travel ecosystem. Millions of guests trust Outdoorsy to create lifelong family memories, while hosts rely on its products and innovations to grow their businesses and unlock life\-changing sources of income. Outdoorsy Group’s portfolio includes Outdoorsy.com, the largest outdoor travel and hospitality marketplace; the **Destination Network**, a growing collection of campgrounds and glamping retreats set in some of the country’s most iconic landscapes; and **Roamly,** its proprietary insurtech platform powering Outdoorsy.com and enabling insurance infrastructure for global marketplaces. Together, Outdoorsy Group’s businesses are united by a long\-term mission: to restore our relationship with the outdoors—and with one another.
**About Outdoorsy**
Outdoorsy is the world's largest RV rental and outdoor travel marketplace. Our platform has facilitated over **9 million nights spent outdoors** across almost **2 million trips**, establishing us as the leader in experiential travel through RV rentals that are available in 4,800 cities across North America. Outdoorsy's marketplace, insurance, and retreats provide life\-changing financial benefits for RV hosts and retreat communities and offer guests the trust and guidance they need to enjoy memorable rustic travel experiences. Outdoorsy's team is inspired by a mission to restore our relationship with the outdoors and each other by inviting guests to Live Outdoorsy.
**About Roamly**
Roamly is a leading provider of innovative, specialty insurance solutions purpose\-built for the modern mobility and marketplace travel economy. As a Lloyd's Coverholder and AI\-first insurance innovator, Roamly delivers a robust platform, deep carrier partnerships, and an expanding ecosystem that empowers consumers, professional fleet owners, and marketplaces to unlock new revenue streams while reducing risk. Our technology harnesses AI, advanced automation, and embedded distribution to power tailored coverages for recreational vehicles, carsharing, and other emerging mobility models—covering everything from underwriting and claims to compliance, data analytics, and real\-time risk management. Learn more at www.roamly.com.
### **About the Role:**
The Outdoorsy Group is seeking an experienced Data Engineer to drive two business critical functions: the synthesis of data sources to develop a Customer 360 view across our suite of products, and achieving AI readiness by creating real\-time data flows that connect to AI agents. To date, our data has been siloed across different products and tools, each with their own identifiers and structures. The ideal candidate will be able to show a track record of success building scalable data pipelines that solve Identity Resolution challenges, as well as experience building infrastructure for LLM\-based applications. If you’re self\-driven and looking to make an impact in a fast\-paced environment, then we’d love to have you!
**Requirements**
### **Key Responsibilities \&amp; Deliverables**
* Enhance **Identity Resolution** such that there is a source\-of\-truth Customer 360 view that links users across our RV marketplace, internal insurance products, and 3rd\-party insurance partners.
* Develop **fuzzy matching algorithms** to triangulate single users across data that lacks common IDs.
* **Build and maintain scalable ELT/ETL pipelines** (using tools like dbt, Airflow, FiveTran) that sync siloed SQL databases, external CRM data, and 3rd\-party insurance and claims data into a unified warehouse (Redshift/BigQuery).
* Architect real\-time data flows to feed an AI agent, achieving **AI Readiness**. Through Knowledge Graphs, Vector Databases, and Retrieval\-Automated Generation, ensure agents can access e.g. latest policy status, upsell propensity scores, and customer history in near real\-time.
* Own all aspects of **data governance** between our operational systems and the AI agent to ensure privacy, security and high\-fidelity responses.
### **Who You Are (Candidate Profile)**
* **Industry Expert**: 3\+ years data engineering experience building production\-grade data warehouses and pipelines. Travel, marketplace, or insurance experience is a bonus, but not essential.
* **Technically Proficient:** Advanced expertise in SQL and Python, with the ability to write complex transformations and fuzzy matching algorithms, and handle messy 3rd\-party data formats.
* **Identity Resolution Experience:** Direct experience with ‘Customer 360’ or ‘Golden Rule’ projects that establish source\-of\-truth customer profiles across disparate products and data sources.
* **Real\-Time LLM Context:** Experience with streaming technologies (Kafka, Pub/Sub) or building infrastructure for LLM\-based applications (Knowledge Graphs, Vector Databases, RAG).
* **Collaborative Team Player:** You work effectively across departments, e.g. Product, Engineering, and Finance, and understand that great products come from diverse perspectives.
* **Velocity\-Focused:** You thrive in fast\-paced environments where priorities shift quickly, and you're energized by solving real customer problems.
* **Academic Background:** Degree in a technical quantitative field like computer science, data science, and engineering, or equivalent practical experience.
* **Candidates in Austin, Texas will be prioritized**
**Benefits**
### **Why You’ll Love Working Here**
* Competitive Compensation: Base salary of $140k–$200k DOE.
* Growth Opportunity: Join a company in its early stages and help build its foundation for success.
* Equity: Opportunity to earn equity compensation.
* Comprehensive Benefits: 100% company\-paid medical premiums for employees, 401(k) \[Match], and Flexible PTO.
* Vibrant Culture: Lively Austin HQ with catered lunches, Happy Hours, and team\-building events.
* Work\-Life Balance: Enjoy RV rental discounts and a company culture that values a healthy balance between work and adventure.</t>
        </is>
      </c>
    </row>
    <row r="26">
      <c r="A26" t="inlineStr">
        <is>
          <t>in-25f17786ff0ea36c</t>
        </is>
      </c>
      <c r="B26" t="inlineStr">
        <is>
          <t>Senior Data Engineer</t>
        </is>
      </c>
      <c r="C26" t="inlineStr">
        <is>
          <t>Possible Finance</t>
        </is>
      </c>
      <c r="D26" t="inlineStr">
        <is>
          <t>indeed</t>
        </is>
      </c>
      <c r="E26">
        <f>HYPERLINK("https://www.indeed.com/viewjob?jk=25f17786ff0ea36c", "https://www.indeed.com/viewjob?jk=25f17786ff0ea36c")</f>
        <v/>
      </c>
      <c r="F26">
        <f>HYPERLINK("https://grnh.se/5qb8qgfq7us", "https://grnh.se/5qb8qgfq7us")</f>
        <v/>
      </c>
      <c r="G26" t="inlineStr">
        <is>
          <t>Seattle, WA, US</t>
        </is>
      </c>
      <c r="H26" s="3" t="n">
        <v>46048</v>
      </c>
      <c r="I26" t="inlineStr">
        <is>
          <t>Since our founding, we have redefined how people approach small\-dollar loans—delivering over $1 billion in funding to more than 1 million customers, issuing over 4 million loans, and saving our customers more than $500 million.
At Possible, we're building a new type of consumer finance company; one that helps our customers stay out of debt rather than profit from their staying in it. We are a Public Benefit Corporation with the mission to help communities unlock economic mobility through affordable credit products crafted to improve financial health for generations. **Join the team that's making our goal a reality.**
**About Us**
------------
We are seeking an experienced Lead Data Engineer to join our data team. Serving as an experienced Data Engineering professional, you will architect, build, and maintain sophisticated data models and pipelines. You will also mentor team members and lead the technical direction across the organization.
Are you interested in leading data infrastructure initiatives while doing meaningful work? Have you always wanted your work to contribute positively to underserved communities?
As a Senior Data Engineer at Possible, you will own and drive high\-impact, large\-scale data engineering projects from conception to production. Key responsibilities include: architect and deliver automated data pipelines at scale, build robust data ingestion and transformation frameworks from diverse internal and external sources to our cloud data lake, establish data security guidelines, and lead integration efforts with other systems at Possible. Our stack is mainly based on AWS, Databricks, dbt, Airflow, and Terraform. We are looking for a confirmed technical leader who can deliver sophisticated projects on time, mentor engineers, and leverage data to solve critical business problems.
Possible is at an inflection point, transitioning into a multi\-product, high\-growth company. This senior role requires outstanding teamwork skills and engineering excellence. You will collaborate across teams to answer key strategic questions. You will guide architecture decisions and set data engineering standards that support Possible's growth.
**Responsibilities**
--------------------
* Architect and implement highly scalable, reliable data pipelines and ETL processes
* Build and optimize advanced data frameworks for analytics, reporting, and machine learning applications
* Lead technical initiatives and mentor junior data engineers on guidelines
* Partner with collaborators across finance, marketing, product, and engineering to define and support their data needs
* Build and maintain cloud\-based data infrastructure (AWS \+ Databricks) with a focus on scalability and cost optimization
* Establish and implement data quality standards, monitoring systems, and SLAs
* Evaluate, recommend, and implement new data technologies and architectural patterns
* Drive data strategy and roadmap aligned with business objectives
* Establish data engineering guidelines and documentation standards
**Requirements**
----------------
* demonstrated ability in data engineering or a similar role with demonstrated progression in technical complexity
* Expert\-level knowledge of SQL, Python, and Spark with validated ability to optimize performance at scale
* Deep understanding of data modeling, architecture principles, and design patterns
* Strong proficiency in cloud platforms (AWS, GCP, or Azure) and IaC tools like Terraform or AWS CloudFormation
* Extensive experience with modern data warehousing solutions and data lake architectures
* Advanced knowledge of orchestration tools (Airflow, Dagster, Prefect, AWS Step Functions)
* Confirmed experience with dbt or similar transformation tools at enterprise scale
* Strong background in implementing and carrying out data governance, security, and compliance practices
* Experience mentoring engineers and leading technical initiatives
* Excellent social skills with the ability to translate technical concepts to non\-technical collaborators
**Preferred Qualifications**
----------------------------
* Knowledge of machine learning operations (MLOps) and ML platform development
* Experience with monitoring and observability tools such as DataDog, Grafana, Phenomenal Expectations, and Elementary
* Track record of driving technical strategy and architecture decisions
* Experience with data mesh or similar distributed data architectures
This is a Hybrid position. We work in our centrally located office in downtown Seattle three days a week (M, T, and Th).
The compensation range for this role is $165,000 to $185,000\. We also offer significant stock options, comprehensive benefits, a bonus plan, commuter benefits, and an excellent office space with complimentary drinks and food options.
With the backing of our venture investors— Union Square Ventures, Canvas Ventures, Euclidean Capital, and Unlock Venture Partners — a dedicated following of hundreds of thousands of customers, and an extraordinary team, we are unwavering in our fight for financial fairness. As one of only a few FinTech Public Benefit Corporations, we've baked our dual dedication to building a profitable and socially impactful company into our charter; **we only succeed when our customers do too**. Give us a shout if you'd like to help us ship financial products that protect consumers from predatory lending practices and promote economic health.
**Possible Finance** is dedicated to financial fairness and community empowerment. We welcome diverse perspectives and experiences to help us achieve our mission of unlocking economic mobility for generations to come.
Learn more about us as a Public Benefit Company.</t>
        </is>
      </c>
    </row>
    <row r="27">
      <c r="A27" t="inlineStr">
        <is>
          <t>in-23bf0ea891681ce5</t>
        </is>
      </c>
      <c r="B27" t="inlineStr">
        <is>
          <t>Sr Analytics Engineer</t>
        </is>
      </c>
      <c r="C27" t="inlineStr">
        <is>
          <t>SharkNinja</t>
        </is>
      </c>
      <c r="D27" t="inlineStr">
        <is>
          <t>indeed</t>
        </is>
      </c>
      <c r="E27">
        <f>HYPERLINK("https://www.indeed.com/viewjob?jk=23bf0ea891681ce5", "https://www.indeed.com/viewjob?jk=23bf0ea891681ce5")</f>
        <v/>
      </c>
      <c r="F27">
        <f>HYPERLINK("https://grnh.se/tds3tdzm6us", "https://grnh.se/tds3tdzm6us")</f>
        <v/>
      </c>
      <c r="G27" t="inlineStr">
        <is>
          <t>Needham, MA, US</t>
        </is>
      </c>
      <c r="H27" s="3" t="n">
        <v>46048</v>
      </c>
      <c r="I27" t="inlineStr">
        <is>
          <t>**About Us**
SharkNinja is a global product design and technology company, with a diversified portfolio of 5\-star rated lifestyle solutions that positively impact people's lives in homes around the world. **Powered by two trusted, global brands, Shark and Ninja**,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**Position Overview**
We're seeking a **Senior Analytics Engineer – Marketing** to design, build, and own the analytics data foundation that powers marketing insights across the organization. This is a highly hands\-on role focused on transforming raw marketing data into trusted, analytics\-ready datasets that enable faster, better decision\-making.
This role sits within the Marketing Analytics organization and works at the intersection of data engineering and analytics. The ideal candidate is an expert in **dbt, Snowflake, and Power BI**, thrives in a fast\-paced environment, and is passionate about building scalable, well\-modeled data products that analysts and marketers love to use.
You'll play a critical role in shaping our modern marketing data stack—balancing speed and rigor, supporting immediate business needs while building for long\-term scale.
**Key Responsibilities**
* **Analytics Engineering Leadership:** Own the design, build, and maintenance of global marketing data across channels, ensuring availability, quality, scalability, and usability.
* **Hands\-On Execution:** Be both architect and builder — directly coding, modeling, and wrangling data to accelerate progress.
* **Collaboration:** Partner with Marketing Analytics colleagues, IT, and Commercial Data teams to align on priorities and ensure a complementary global data strategy.
* **Enable Insights:** Deliver centralized, well\-structured datasets and semantic layers that empower analysts and business partners to act quickly.
* **Governance \&amp; Reliability:** Implement robust monitoring, alerting, and anomaly detection to ensure data integrity and proactive issue resolution.
* **Scalable Solutions:** Balance short\-term fixes with long\-term architecture that scales with global needs.
* **Team Multiplier:** Serve as a multiplier for existing talent, coaching and collaborating to double our speed of onboarding and transforming data.
**Attributes \&amp; Skills**
* Bachelor's degree in Computer Science, Data Engineering, Analytics Engineering, or a related field (Master's preferred).
* 8\+ years of experience in analytics engineering, ideally within CPG, retail, or consumer technology.
* Expertise in modern data stack tools (e.g., Snowflake, DBT, FiveTran) and visualization platforms (e.g., Power BI).
* Strong knowledge of ETL/ELT processes, API integrations, and data modeling best practices.
* Experience designing scalable data infrastructure that balances speed, reliability, and usability.
* Passion for detail, data quality, and resolving discrepancies at the root cause.
* Excellent communication skills and ability to influence stakeholders across technical and non\-technical teams.
**Work Environment**  
This is an on\-site role based in **Needham, MA (HQ)**, with flexibility to work from home 1–2 days per week.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 For candidates based in **all regions**, please refer to this Candidate Privacy Notice.
* For candidates based in **China**, please refer to this Candidate Privacy Notice.
*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28">
      <c r="A28" t="inlineStr">
        <is>
          <t>in-1526d169348586e2</t>
        </is>
      </c>
      <c r="B28" t="inlineStr">
        <is>
          <t>Automation Data Engineer</t>
        </is>
      </c>
      <c r="C28" t="inlineStr">
        <is>
          <t>HARTING Technology Group</t>
        </is>
      </c>
      <c r="D28" t="inlineStr">
        <is>
          <t>indeed</t>
        </is>
      </c>
      <c r="E28">
        <f>HYPERLINK("https://www.indeed.com/viewjob?jk=1526d169348586e2", "https://www.indeed.com/viewjob?jk=1526d169348586e2")</f>
        <v/>
      </c>
      <c r="F28">
        <f>HYPERLINK("https://career55.sapsf.eu/career?company=hartingsti&amp;career_ns=job_listing&amp;career_job_req_id=1719&amp;source=Indeed", "https://career55.sapsf.eu/career?company=hartingsti&amp;career_ns=job_listing&amp;career_job_req_id=1719&amp;source=Indeed")</f>
        <v/>
      </c>
      <c r="G28" t="inlineStr">
        <is>
          <t>Elgin, IL, US</t>
        </is>
      </c>
      <c r="H28" s="3" t="n">
        <v>46048</v>
      </c>
      <c r="I28" t="inlineStr">
        <is>
          <t>HARTING stands for strong connections – across the globe. As one of the leading international suppliers of industrial connectivity, we are connecting customers to their digital future. And as an employer? We connect around 6,000 people at our headquarter in Espelkamp and at locations worldwide. Here you’ll find great colleagues, as well as ever new opportunities and innovations revolving around IoT and artificial intelligence. In everything we do, we remain true to our roots: as a regionally connected family business that always stays firmly grounded in spite of our stellar high\-tech. Here’s to your unique future with us: Yours!
 **Join HARTING! A leader in connectivity products and custom solutions…..**
We are seeking an **Automation Data Engineer** to help us with the continuous improvement and assurance of technological development , that can ensure communication in field, production and control level using edge computing and interfaces to ERP and MES systems while complying with co\-developed standards for preparation and digitalization of production data. **To succeed in this role, you will be highly driven to:**
* Rollout of shopfloor connectivity:  
	+ SC integration on new machines
	+ SC retrofits on old machines and WCs
	+ Deploying global rollouts of tools and new standards
* Leading Automation \&amp; Digitalization Projects
	+ Initiate, design, optimize and create new solutions in the field of IIoT/SC/OT with communication to global responsible.
* Use of software solutions, configuration \&amp; use of edge devices
* Establishing connectivity with remote services
	+ Automation / digitization of systems on machines using PLCs and  
	microcontroller programming
	+ Connecting and evaluating intelligent sensors, microcontrollers, edge devices and monitors on new and existing machines (retrofit) to implement IIoT/SC/OT solutions
	+ Initiating, conceptualizing and designing new solutions in the area of digitalization / Industry 4\.0 for complex plants and systems in production.
* Use of software solutions and, if necessary, development of microservices for end devices such as industrial computers / edge devices in the various production areas
* Software development / programming of applications for end devices such as industrial computers / edge devices / possibly robots in the production area
	+ Establishing connectivity between / with various remote applications
* Setting up and maintaining databases (data management) in preparation for data analytics
* Identifying and evaluating new trends and developments in the field of hardware development and digitization for industrial applications
* Automation / digitalization of existing systems on machines with the help of PLC and microcontroller programming
* Connection and evaluation of additional intelligent sensors, microcontrollers, industrial computers and monitors on new and existing machines (retrofit) for the realization of Industry 4\.0 applications and monitoring systems
* Market evaluation of new trends as well as testing of new hardware components e.g. sensors for production plants
* If necessary, design and development of hardware\-related backend applications for the processing of production data
 **Skills and experience to thrive in this role:**
* Completed studies in (technical) computer science, electrical engineering or comparable qualification.
* Programming experience e.g. in the area of Python, C / C\+\+, Java, JavaScript
* Knowledge in the field of electronics
* Experience in industrial communication protocols such as fieldbuses, OPC\-UA and MQTT
* Professional experience in the area of Industrial Internet.
* PC knowledge (e.g. MS Office, SAP)
* Willingness to travel desirable
 *HARTING Americas is a subsidiary of HARTING Technology Group, a German\-based global leader in industrial connectivity solutions. We develop, manufacture, and sell the world's most durable and reliable products and solutions for use in Machinery \&amp; Robotics, Automation Devices, Rail \&amp; Transportation, Intralogistics \&amp; Conveyor Systems, Energy, and Datacenter market segments.*  
*As a third generation, family\-owned company, with over 75 years of history, we continue to create value and shape the future with technologies for people. You will discover that we work hard* *–* *to fulfill our personal, company, and customer goals, and in our commitment to our community with our holiday drives and our paid VTO (Voluntary Time Off). You will also discover that we like to have fun* *–* *like when we celebrate the holidays, host theme days and sweater parties, prost to Oktoberfest, and much more!* *Visit us on LinkedIn!* **HARTING USA offers an attractive total compensation package and employee benefits, including:**  
**Compensation**  
* HARTING's Total Compensation Structure includes a Base Salary and Bonus Percentage.
* Competitive base salary: $60,000 \- $70,000 (commensurate with experience, subject to change dependent on physical location).
* This role is eligible for a 5% discretionary annual bonus.
 **Benefits**  
* 21 days PTO (Paid Time Off) to start – quickly earn more PTO as you stick with us (36 days max).
* Medical, dental, and vision Insurance – several Blue Cross Blue Shield plan options to choose from.
* Company\-sponsored life, AD\&amp;D, and short\- and long\-term disability – at no cost to employee.
* Paid parental leave, tuition and fitness reimbursement, and a hybrid working policy.
* 401(k) with a 4% dollar\-for\-dollar match – fully vested upon eligibility!</t>
        </is>
      </c>
    </row>
    <row r="29">
      <c r="A29" t="inlineStr">
        <is>
          <t>in-c460ca72b3f340ba</t>
        </is>
      </c>
      <c r="B29" t="inlineStr">
        <is>
          <t>HR Data Engineer/Data Scientist</t>
        </is>
      </c>
      <c r="C29" t="inlineStr">
        <is>
          <t>ICF</t>
        </is>
      </c>
      <c r="D29" t="inlineStr">
        <is>
          <t>indeed</t>
        </is>
      </c>
      <c r="E29">
        <f>HYPERLINK("https://www.indeed.com/viewjob?jk=c460ca72b3f340ba", "https://www.indeed.com/viewjob?jk=c460ca72b3f340ba")</f>
        <v/>
      </c>
      <c r="F29">
        <f>HYPERLINK("https://careers.icf.com/us/en/job/IIIIIIUSR2600257EXTERNALENUS/HR-Data-Engineer-Data-Scientist?utm_source=indeed&amp;utm_medium=phenom-feeds", "https://careers.icf.com/us/en/job/IIIIIIUSR2600257EXTERNALENUS/HR-Data-Engineer-Data-Scientist?utm_source=indeed&amp;utm_medium=phenom-feeds")</f>
        <v/>
      </c>
      <c r="G29" t="inlineStr">
        <is>
          <t>Reston, VA, US</t>
        </is>
      </c>
      <c r="H29" s="3" t="n">
        <v>46048</v>
      </c>
      <c r="I29" t="inlineStr">
        <is>
          <t>Description
ICF is seeking a highly capable **HR Data Engineer / Data Scientist** to support a large federal client in modernizing its enterprise learning and workforce data ecosystem. This role centers on designing and sustaining a scalable data integration capability that unifies multiple workforce\-related data sources into a consistent, validated structure suitable for downstream HR and training systems. This position requires expertise in enterprise data engineering, workflow automation, data quality frameworks, metadata governance, and the translation of complex business rules into reliable technical logic. The ideal candidate brings experience working with HR, identity, or workforce\-related datasets in large organizations and can partner directly with senior stakeholders across technical and business domains.
Prior experience working in federally\-regulated environments and proximity to the DC\-Maryland\-Virginia (DMV) area with the ability to go onsite as needed is strongly preferred.
 **Key Responsibilities**
* Design, build, and maintain automated pipelines that unify multiple HR and workforce‑related datasets into standardized, validated outputs.
* Develop and document transformation rules, business logic, mapping structures, and data quality checks to ensure accuracy and consistency.
* Create scalable workflows for ingesting structured and semi‑structured data from diverse systems with varying formats and update cycles.
* Implement validation routines, anomaly detection, and error‑handling mechanisms to maintain reliable, high‑quality data products.
* Produce well‑structured, standardized outputs compatible with enterprise learning or workforce management platforms.
* Collaborate with technical and non‑technical stakeholders to refine requirements, resolve data ambiguities, and support decision‑making.
* Maintain alignment with enterprise‑wide data standards, schemas, and governance guidance as they evolve.
* Participate in cross‑team or cross‑agency coordination forums to represent program needs and communicate the impact of data‑related decisions.
* Develop and execute test plans, including business‑rule validation, regression checks, and iterative QA cycles.
* Identify process improvements, integration gaps, and opportunities to enhance automation, scalability, and sustainability.
* Ensure solutions continue functioning amid changes to enterprise systems, dependencies, or data availability.
* Prepare and deliver technical documentation, operational procedures, and knowledge‑transfer materials for long‑term maintainability.
* Communicate risks, dependencies, and technical impacts clearly and proactively to project managers, leadership, and governance groups.
 **Basic Qualifications**
* Bachelor’s degree in a related field (e.g., Data Science, Computer Science, Engineering, Mathematics, Information Systems, HR Analytics, or similar).
* 8\+ years of professional experience in data engineering, data science, analytics, or a closely related field.
**Additional Qualifications**
* Extensive experience sourcing, integrating, transforming, and validating structured and unstructured data from diverse systems (e.g., developing Spark jobs, performing data manipulation with PySpark/pandas, and authoring robust, production‑grade SQL transformations).
* Proven ability to design and implement automated data workflows, integration pipelines, and large‑scale transformation logic (e.g., orchestrating pipelines using Apache Airflow, Azure Data Factory (ADF), or AWS Glue).
* Hands\-on experience developing predictive models, statistical analyses, or machine learning solutions (e.g., building and validating models in Python using PySpark ML, pandas, or related libraries).
* Strong understanding of data quality management, validation frameworks, error‑handling approaches, data governance, master data management, and enterprise metadata practices (e.g., MDM survivorship rules, identity resolution logic, validation utilizing Great Expectations).
* Demonstrated ability to facilitate requirements gathering, define business rules, and translate stakeholder needs into clear technical specifications (e.g., documenting required import fields and formats, converting business logic into ETL/ELT transformations).
* Excellent communication skills with the ability to clearly convey complex technical concepts to non‑technical or cross‑functional audiences (e.g., explaining data lineage, logging, and metrics practices used to ensure pipeline traceability).
* Exceptional documentation abilities and attention to detail (e.g., version\-controlled artifacts in Git, CI/CD deployment documentation, and test suites using pytest and Great Expectations).
 **Preferred Qualifications**
* Master’s degree preferred.
* 5\+ years of experience supporting large‑scale or complex data ecosystems, preferably in government, healthcare, or highly regulated domains.
* Experience supporting HR import processes for enterprise systems (e.g., HRIS, LMS, identity systems).
* Background working with federal clients or within environments that require strict attention to data standards, compliance, and documentation.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$131,256\.00 \- $223,134\.00
Nationwide Remote Office (US99\)</t>
        </is>
      </c>
    </row>
    <row r="30">
      <c r="A30" t="inlineStr">
        <is>
          <t>in-e2fde6233db92ffc</t>
        </is>
      </c>
      <c r="B30" t="inlineStr">
        <is>
          <t>Data Engineer - Enterprise Products</t>
        </is>
      </c>
      <c r="C30" t="inlineStr">
        <is>
          <t>Lincoln Center</t>
        </is>
      </c>
      <c r="D30" t="inlineStr">
        <is>
          <t>indeed</t>
        </is>
      </c>
      <c r="E30">
        <f>HYPERLINK("https://www.indeed.com/viewjob?jk=e2fde6233db92ffc", "https://www.indeed.com/viewjob?jk=e2fde6233db92ffc")</f>
        <v/>
      </c>
      <c r="F30">
        <f>HYPERLINK("https://workforcenow.adp.com/mascsr/default/mdf/recruitment/recruitment.html?cid=7421b050-ddd7-4ade-98d4-ab789c0e7a2f&amp;ccId=19000101_000001&amp;jobId=582250&amp;source=IN&amp;lang=en_US", "https://workforcenow.adp.com/mascsr/default/mdf/recruitment/recruitment.html?cid=7421b050-ddd7-4ade-98d4-ab789c0e7a2f&amp;ccId=19000101_000001&amp;jobId=582250&amp;source=IN&amp;lang=en_US")</f>
        <v/>
      </c>
      <c r="G30" t="inlineStr">
        <is>
          <t>New York, NY, US</t>
        </is>
      </c>
      <c r="H30" s="3" t="n">
        <v>46048</v>
      </c>
      <c r="I30" t="inlineStr">
        <is>
          <t>**Position:** Data Engineer \- Enterprise Products
**Location:** New York, NY (Hybrid)  
**Department:** Digital Experience  
**Reports To:** Technology Lead, Enterprise Products
**About Lincoln Center:** Lincoln Center for the Performing Arts is a global home for music, dance, theater, film, and culture. We steward a 16\-acre campus in New York City, collaborate with world\-renowned Resident Arts Organizations, and bring the arts to millions each year.
We are building a modern digital ecosystem that expands access to culture, strengthens audience relationships, and supports long\-term sustainability. A unified, trusted data platform is foundational to this work enabling Lincoln Center to operate as a connected campus while respecting the autonomy, privacy, and unique missions of our partner organizations.
**Role Overview:** Lincoln Center is seeking a **Data Engineer** to help design, build, and operate an enterprise data platform that powers analytics, reporting, personalization, and future AI initiatives across the campus.
Sitting within the Enterprise Products area, this role focuses on shared platforms and systems that serve the entire organization. You will be responsible for building secure, scalable, and cost\-efficient data pipelines and datasets on AWS that unify information from ticketing, CRM, fundraising, marketing, finance, and digital engagement systems.
You’ll collaborate closely with product, business development, marketing, finance, and external partners to ensure the data platform is reliable, governed, observable, and trusted across the institution.
**What You’ll Do:**
* Design, build, and operate scalable ETL/ELT pipelines on AWS supporting batch and near\-real\-time data use cases.
* Ingest and process data using AWS\-native services such as S3, Glue, Lambda, Step Functions, and CloudWatch, alongside modern data tooling.
* Integrate data from enterprise systems including ticketing, CRM, fundraising, finance, marketing platforms, and web/app analytics.
* Develop dimensional and semantic data models in the warehouse that serve as trusted sources of truth across departments.
* Optimize data workflows for performance, reliability, and cost, including partitioning strategies, orchestration schedules, and compute usage.
* Implement data governance standards using AWS IAM and warehouse controls, including role\-based access, masking, tagging, and metadata management.
* Partner with teams across Marketing, Business Development, Finance, and Programming to deliver high\-impact data products such as cohorts, funnels, donor analytics, and event performance insights.
* Improve data quality and reliability through automated testing, monitoring, alerting, and clear data ownership.
* Reduce technical debt by automating manual processes, deprecating legacy pipelines, and standardizing data access patterns.
* Contribute to enterprise\-wide data standards, documentation, and cloud best practices as the platform evolves.
**Who You Are:**
----------------
* A pragmatic, cloud\-oriented data engineer who values reliability, clarity, and long\-term maintainability.
* Comfortable designing and operating data systems in AWS production environments.
* Fluent in SQL and Python, with strong instincts for data modeling, performance tuning, and cost awareness.
* Deeply invested in data quality, security, and governance.
* Comfortable collaborating across teams and explaining technical concepts to non\-technical partners.
* Motivated by building foundational platforms that enable teams to move faster and make better decisions.
* Energized by applying modern data practices in a multi\-stakeholder, mission\-driven environment.
**Qualifications:**
-------------------
* Minimum 5 years of experience in data engineering or closely related roles.
* Strong SQL skills (CTEs, window functions, performance tuning) and solid Python experience for data processing and testing.
* Hands\-on experience with AWS data services, including S3, Glue, Lambda, IAM, and CloudWatch.
* Experience working with modern data warehouses and transformation tools such as Snowflake and dbt.
* Experience designing dimensional and semantic models, incremental pipelines, and slowly changing dimensions.
* Working knowledge of data governance concepts including RBAC/ABAC, masking, tagging, and PII handling (GDPR/CCPA).
* Familiarity with workflow orchestration tools (Airflow or AWS\-native equivalents).
* Experience with CI/CD pipelines, Git\-based version control, and infrastructure\-as\-code (Terraform or similar).
**Success Looks Like:**
-----------------------
* Trusted, well\-documented datasets adopted across Enterprise and departmental teams as sources of truth.
* High data reliability with strong test coverage, monitoring, and improving mean time to resolution.
* Measurable improvements in AWS data pipeline and warehouse cost efficiency.
* Faster time\-to\-insight enabled by standardized, governed data models.
* Clear contribution to audience growth, engagement, and fundraising effectiveness.
 **What is Lincoln Center for the Performing Arts?**
Lincoln Center for the Performing Arts, Inc. (LCPA) is a cultural and civic cornerstone of New York City. We believe the arts play an important role in our lives: they nourish our hearts and minds, teach us valuable lessons and critical skills, and help us create community. We are resolved not to lose sight of what connects us, and we hope you will consider joining our talented, diverse team.
**We are:**
1\. The manager of the 16\-acre Lincoln Center campus
* We are one of eleven amazing resident arts organizations
2\. A leading Arts Presenter.
* We curate numerous programs and performances, showcasing music, dance, and more
3\. An Education Hub.
* We have reached 20 million students, educators, principals, and community members
**Who are our people?**
LCPA is a team of dreamers, collaborators, and entrepreneurs who use unique platforms in the heart of New York City and beyond to advocate for the transformative impact of artistic experiences.
Lincoln Center People imagine and create in concert with this mission by founding President John D. Rockefeller III \- "The arts are not for the privileged few, but for the many. Their place is not on the periphery of daily life, but at its center."
We welcome applicants from all sectors who agilely solve problems, show up as they are, and can't stop innovating.
**What’s the news?**
*Recent and Upcoming Programming*
* **Lincoln Center Reveals 25/26 Season Featuring Jeanine Tesori as Visionary Artist**
* **Kyle Abraham's 20 Years of Urgency at Lincoln Center Rose Theatre**
*Campus Happenings*
* **Lincoln Center Gets $50 Million Gift to Promote Contemporary Dance**
* **The new JFK terminal will show iconic artworks from MoMA, the Met and Lincoln Center**
*Legacies of San Juan Hill*
* **WNYC: Lincoln Center Celebrates 'Legacies of San Juan Hill**
* **Lincoln Center Launches San Juan Hill Project Digital Hub To Remember the Lost Urban Neighborhood**
**Who is our President and CEO?**
Dr. Mariko Silver
**Join us!**
It is the policy of Lincoln Center for the Performing Arts, Inc., to ensure equal employment opportunity without discrimination or harassment on the basis of race, creed, color, national origin, sex, age, religion, disability, marital or civil partnership/union status, familial or caregiver status, alienage or citizenship status, sexual orientation, gender identity or expression, pregnancy, military or veteran status, genetic information, predisposition, or carrier status, unemployment status, domestic violence, sexual violence, or stalking victim status, or any other characteristic protected by federal, state, or local law. LCPA is committed to creating a dynamic work environment that values diversity and inclusion, respect and integrity, customer focus, and innovation.
*If you require reasonable accommodation in locating open positions, completing this application, interviewing, completing any pre\-employment testing, or otherwise participating in the employee selection process, please direct your inquiries to Abigail Worsnip at (212\) 875–5324\.*</t>
        </is>
      </c>
    </row>
    <row r="31">
      <c r="A31" t="inlineStr">
        <is>
          <t>in-567d59bc70d5ed47</t>
        </is>
      </c>
      <c r="B31" t="inlineStr">
        <is>
          <t>Enterprise Analytics Data Engineer II</t>
        </is>
      </c>
      <c r="C31" t="inlineStr">
        <is>
          <t>VCU Health System</t>
        </is>
      </c>
      <c r="D31" t="inlineStr">
        <is>
          <t>indeed</t>
        </is>
      </c>
      <c r="E31">
        <f>HYPERLINK("https://www.indeed.com/viewjob?jk=567d59bc70d5ed47", "https://www.indeed.com/viewjob?jk=567d59bc70d5ed47")</f>
        <v/>
      </c>
      <c r="F31">
        <f>HYPERLINK("https://careers.vcuhealth.org/us/en/job/R40290/Enterprise-Analytics-Data-Engineer-II", "https://careers.vcuhealth.org/us/en/job/R40290/Enterprise-Analytics-Data-Engineer-II")</f>
        <v/>
      </c>
      <c r="G31" t="inlineStr">
        <is>
          <t>Richmond, VA, US</t>
        </is>
      </c>
      <c r="H31" s="3" t="n">
        <v>46048</v>
      </c>
      <c r="I31" t="inlineStr">
        <is>
          <t>At VCU Health, data is more than numbers—it’s a critical asset that drives patient care, research, operations, and innovation. We are seeking a Data Engineer who is passionate about building modern, scalable data solutions that power enterprise analytics and meaningful insights across a large academic health system.  
As a key member of the Enterprise Analytics team, you will engineer reliable data pipelines, optimize cloud‑based data platforms, and uphold strong data quality and governance standards. You’ll collaborate with clinicians, analysts, researchers, and technology partners to turn complex healthcare data into trusted, actionable insights—enabling smarter decisions and better outcomes throughout VCU Health.
Leveraging experience in data engineering, data management, data operations and governance frameworks, this position will collaborate with cross\-functional teams to architect scalable and efficient data pipelines, optimize data storage and retrieval systems, and ensure data quality and integrity throughout the data lifecycle.**Essential Job Statements**
* Designs and implements scalable data pipelines for ingesting, transforming, and loading multi\-format, batch or streaming data from various sources into enterprise Data Lakehouse.
* Ensures data quality and integrity through data cleansing, validation, and transformation techniques.
* Automates data processing workflows using scripting languages and orchestration tools.
* Builds and deploys RESTful API’s and web services for data access and data requests.
* Helps define the data management strategy and roadmap for the organization.
* Collaborates with data architects, data engineers, and product managers to align data solutions with business strategy.
* Stays current with industry trends, vendor product offerings, and evolving data technologies to ensure the organization leverages the best modern data engineering tools.
* Develops and maintains technical design documents, coding best practices and standards to ensure consistent and reliable data management processes are in place.
* Responsible for maintaining legacy technologies and processes as new ones are adopted.
* Mentors junior Data Engineers.
**Patient Population**
Not applicable to this position.
**Employment Qualifications**
Required Education:
Bachelor’s Degree in Business, IT, Math, Data Analytics, Engineering, or related discipline
Combination of education and experience may be considered in lieu of a degree.
Preferred Education:
Master’s degree in Business, IT, Math, Data Analytics, Engineering or related discipline
Licensure/Certification Required:
Licensure/Certification Preferred:
**Minimum Qualifications**
Years and Type of Required Experience
5\+ years of experience in Data Engineering, Data Management or Data Warehouse/Lakehouse design and development.
3\+ years of experience in Python/PySpark for building and maintaining data pipelines.
1\+ years of experience with cloud based modern data platforms and services (e.g., Azure, GCP or AWS).
Other Knowledge, Skills and Abilities Required:
Strong knowledge of database systems, data modeling techniques, and SQL proficiency.
Experience creating and enhancing ETL and ELT processes.
Experience working with JSON/YAML/XML/Parquet and other open\-source data interchange and storage formats.
Experience working with big data technologies like Spark, Kafka, NoSQL DB, Splunk etc.
Experience with agile development processes and concepts.
Knowledge of DevOps practices and CI/CD processes.
Knowledge of Microservices architecture, Data Product and Data Mesh concepts.
Other Knowledge, Skills and Abilities Preferred:
Displays intellectual curiosity and integrity.
Working Conditions
**Physical Requirements**
Physical Demands:
Work Position: Sitting
**Additional Physical Requirements/ Hazards**
Physical Requirements:
Hazards:
**Mental/Sensory – Emotional**
Mental / Sensory: Strong Recall, Reasoning, Problem Solving, Hearing, Speak Clearly, Write Legibly, Reading, Logical Thinking
Emotional: Fast\-paced environment, Able to Handle Multiple Priorities, Frequent and Intense Customer Interactions, Able to Adapt to Frequent Change
EEO Employer/Disabled/Protected Veteran/41 CFR 60\-1\.4\.</t>
        </is>
      </c>
    </row>
    <row r="32">
      <c r="A32" t="inlineStr">
        <is>
          <t>in-b07977b99b0ee990</t>
        </is>
      </c>
      <c r="B32" t="inlineStr">
        <is>
          <t>Data Engineer</t>
        </is>
      </c>
      <c r="C32" t="inlineStr">
        <is>
          <t>AMERICAN COLLEGE OF OBSTETRICIANS AND GYNECOLOGISTS</t>
        </is>
      </c>
      <c r="D32" t="inlineStr">
        <is>
          <t>indeed</t>
        </is>
      </c>
      <c r="E32">
        <f>HYPERLINK("https://www.indeed.com/viewjob?jk=b07977b99b0ee990", "https://www.indeed.com/viewjob?jk=b07977b99b0ee990")</f>
        <v/>
      </c>
      <c r="F32">
        <f>HYPERLINK("https://grnh.se/od41iybe9us", "https://grnh.se/od41iybe9us")</f>
        <v/>
      </c>
      <c r="G32" t="inlineStr">
        <is>
          <t>Washington, DC, US</t>
        </is>
      </c>
      <c r="H32" s="3" t="n">
        <v>46048</v>
      </c>
      <c r="I32" t="inlineStr">
        <is>
          <t>The Data Engineer supports ACOG's mission by building and maintaining reliable data systems that enable staff and members to make informed, data‑informed decisions. This role focuses on developing pipelines, integrations, and cloud‑based solutions that transform raw data into meaningful insights. The Data Engineer works collaboratively across departments to ensure data quality, accessibility, and scalability in support of ACOG's programs and member engagement.
**Note: This position is considered Hybrid and will need to commute to ACOG's office located in Washington, D.C.**
Duties/Responsibilities:  
* Build and maintain scalable data pipelines to process and integrate data from multiple sources.
* Implement ETL/ELT workflows to ensure timely and accurate delivery of data for reporting and analysis.
* Develop and optimize SQL scripts, views, and stored procedures to support operational and programmatic needs.
* Configure and manage data warehousing solutions to support analytics.
* Collaborate with staff and stakeholders to translate business requirements into practical data solutions.
* Ensure data quality and integrity through validation, cleansing, and governance practices.
* Support database structures for relational and non‑relational systems in partnership with DBAs.
* Monitor and troubleshoot data workflows to maintain reliability and performance.
* Document processes and data flows to create clear, repeatable standards for staff and vendors.
* Stay current on emerging tools and practices in data integration and cloud platforms, applying best practices to ACOG's environment.
* Perform other duties as assigned to advance ACOG's digital transformation and member‑focused mission.
Required Skills/Abilities:  
* Technical proficiency in SQL, Python, Java, or Scala for data pipeline development.
* Strong understanding of ETL/ELT workflows and data integration best practices.
* Hands‑on experience with cloud platforms (AWS, Azure, or Google Cloud).
* Knowledge of data warehousing solutions
* Familiarity with data visualization tools (PowerBI).
* Problem‑solving and analytical skills with attention to detail and data quality.
* Effective communication \&amp; collaboration skills to work across technical \&amp; non‑technical teams.
* Ability to document processes and data flows to support organizational knowledge sharing.
* Commitment to data security and governance standards
Education and Experience:  
* Bachelor's degree in Computer Science, Information Systems, or a related field required.
* 5\+ years of experience in data engineering or a similar technical role.
* Demonstrated experience with SQL development and database systems (relational and non‑relational).
* Proven track record in designing and maintaining scalable data pipelines.
* Experience implementing data governance frameworks and security best practices.
* Prior experience in a non‑profit, association, or mission‑driven organization preferred.
**Our Perks**
Paid Parental Leave – Breastfeeding Friendly Workplace – Flexible work schedule – Commuting Allowance – Generous Paid Time Off – Holiday Pay – Life Insurance – Community Volunteering Opportunities – Generous 401(k) Company Contributions – Medical, Dental, and Vision Insurance – Learning Opportunities and Tuition Reimbursement – Company\-Sponsored Team Outings – and more!
*ACOG is an EEO employer committed to providing equal employment opportunities to all applicants and employees. As a federal government contractor and in accordance with applicable laws, regulations, and Executive Orders, the College takes affirmative action to ensure that applicants and employees covered are not discriminated against because of their race, color, religion, national origin, sex (gender), age, disability, pregnancy, marital status, sexual orientation, personal appearance, gender identity or expression, family responsibilities, political affiliation, veteran status, genetic information, or any other characteristic that is protected by applicable law. For more information about your equal employment opportunity rights, please view this poster:* *EEO is the Law**. The College also participates in* *E\-Verify**.*</t>
        </is>
      </c>
    </row>
    <row r="33">
      <c r="A33" t="inlineStr">
        <is>
          <t>in-d07d33d42430d1ad</t>
        </is>
      </c>
      <c r="B33" t="inlineStr">
        <is>
          <t>Senior Data Engineer</t>
        </is>
      </c>
      <c r="C33" t="inlineStr">
        <is>
          <t>Success Academy Charter Schools</t>
        </is>
      </c>
      <c r="D33" t="inlineStr">
        <is>
          <t>indeed</t>
        </is>
      </c>
      <c r="E33">
        <f>HYPERLINK("https://www.indeed.com/viewjob?jk=d07d33d42430d1ad", "https://www.indeed.com/viewjob?jk=d07d33d42430d1ad")</f>
        <v/>
      </c>
      <c r="F33">
        <f>HYPERLINK("https://grnh.se/ox7k3hpy8us", "https://grnh.se/ox7k3hpy8us")</f>
        <v/>
      </c>
      <c r="G33" t="inlineStr">
        <is>
          <t>New York, NY, US</t>
        </is>
      </c>
      <c r="H33" s="3" t="n">
        <v>46048</v>
      </c>
      <c r="I33" t="inlineStr">
        <is>
          <t>Thanks for your interest in Success Academy! Running a large, fast\-growing, and high\-performing network of public charter schools takes a village \- families, children, teachers, staff and faculty, advocates, and supporters alike. We are growing fast in New York and expanding to Florida, and we would love to welcome you to our community! We work tirelessly every day to ensure children have access to a fun, rigorous, whole\-child education regardless of zip code or economic status. When you join SA, you play a part in giving every student who walks through our doors a fair shot at reaching his or her potential.
The Technology Division at Success Academy is the chief provider of technology infrastructure, application services, security, and support. The Division partners with teams across the organization to equip students, teachers, leaders, and staff with the innovative technology tools and know\-how necessary to achieve academic and operational excellence.
The Enterprise Data and Analytics department's purpose is to build a healthy data and technology culture. By focusing on the concrete educational outcomes we are trying to accomplish in our schools, the team develops technical and organizational systems that are user\-friendly, scalable, and flexible. The department is responsible for all reporting, analytics, data infrastructure, training, and evangelization.
This new Senior Data Engineer we are seeking will be instrumental in designing, building, and optimizing our data pipelines and data warehouse solutions on AWS. You will leverage your deep technical expertise to solve complex data challenges, implement best practices, and contribute to the evolution of our data platform. You will collaborate closely with data analysts, data scientists, and other engineering teams to deliver high\-quality data solutions that drive business value.
As a Senior Data Engineer, you will be responsible for building and maintaining the data infrastructure that powers our business intelligence and analytical insights. We work with cutting\-edge cloud technologies to ensure data is accessible, reliable, and performant, enabling data\-driven decision\-making across the organization. We embrace DevOps practices and value innovation and continuous improvement.
**Key Responsibilities**
* Design, develop, and maintain robust and scalable data pipelines using Talend ETL tool.
* Build and optimize our data warehouse on Amazon Redshift, ensuring performance and reliability.
* Develop and implement data transformation models using DBT.
* Write complex and efficient SQL queries to extract, transform, and load data.
* Collaborate with data analysts and business stakeholders to understand data requirements and deliver effective solutions.
* Implement and maintain CI/CD pipelines using GitHub for code management and deployment.
* Participate in agile development processes, utilizing JIRA for task management and tracking.
* Monitor and troubleshoot data pipelines and data warehouse performance, identifying and resolving issues proactively.
* Contribute to the design and implementation of data governance and data quality processes.
* Stay up\-to\-date with the latest trends and technologies in data engineering and cloud computing.
* Mentor and guide junior data engineers on the team.
**Qualifications:**
* Bachelor's degree in Computer Science, Engineering, Mathematics, or a related field.
* 4\+ years of experience in data engineering or a similar role.
* Strong proficiency in building and maintaining ETL processes using Talend.
* Extensive experience with Amazon Web Services (AWS) cloud infrastructure, particularly S3 and Redshift.
* Hands\-on experience with DBT for data transformation and modeling.
* Excellent SQL skills with the ability to write complex and optimized queries.
* Solid understanding of data warehousing concepts and best practices.
* Experience with CI/CD pipelines and version control using Git (preferably GitHub).
* Familiarity with agile development methodologies and project management tools like JIRA.
* Strong problem\-solving and analytical skills with a keen attention to detail.
* Excellent communication and collaboration skills.
* Ability to work independently and as part of a team in a fast\-paced environment.
**Preferred Qualifications:**
* Experience with other AWS services relevant to data engineering (e.g., Glue, EMR, Athena).
* Knowledge of scripting languages such as Python.
* Experience with data visualization tools, particularly Looker.
* Familiarity with data governance frameworks.
* Contributions to open\-source projects.
Success Academy Charter Schools is an equal opportunity employer and actively encourages applications from people of all backgrounds. Compensation is competitive and commensurate with experience. Success Academy offers a full benefits program and opportunities for professional growth.
**Privacy Policy:**
By providing your phone number, you consent to receive text message updates from Success Academy regarding your application. Reply STOP to unsubscribe. View our Privacy Policy.
**Current Success Academies Employees:**
Please apply through the Internal Job Board via Greenhouse.
You will be asked to log in through your Okta Profile.
We are an equal opportunity employer and value diversity at our organization. We do not discriminate on the basis of race, religion, color, national origin, gender, sexual orientation, age, marital status, veteran status, or disability status. We actively seek applications from people of all backgrounds to strengthen our community and the perspectives needed to flourish in a multicultural world. Success Academy offers a full benefits program and opportunities for professional growth.
*Success Academy Charter Schools does not offer employment\-based immigration sponsorship.*</t>
        </is>
      </c>
    </row>
    <row r="34">
      <c r="A34" t="inlineStr">
        <is>
          <t>in-dd2b3666a9b48269</t>
        </is>
      </c>
      <c r="B34" t="inlineStr">
        <is>
          <t>Data Engineer</t>
        </is>
      </c>
      <c r="C34" t="inlineStr">
        <is>
          <t>Amazon.com</t>
        </is>
      </c>
      <c r="D34" t="inlineStr">
        <is>
          <t>indeed</t>
        </is>
      </c>
      <c r="E34">
        <f>HYPERLINK("https://www.indeed.com/viewjob?jk=dd2b3666a9b48269", "https://www.indeed.com/viewjob?jk=dd2b3666a9b48269")</f>
        <v/>
      </c>
      <c r="F34">
        <f>HYPERLINK("https://www.amazon.jobs/jobs/3141339/data-engineer?cmpid=DA_INAD200785B", "https://www.amazon.jobs/jobs/3141339/data-engineer?cmpid=DA_INAD200785B")</f>
        <v/>
      </c>
      <c r="G34" t="inlineStr">
        <is>
          <t>San Francisco, CA, US</t>
        </is>
      </c>
      <c r="H34" s="3" t="n">
        <v>46001</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in-582b7fea792d0aaf</t>
        </is>
      </c>
      <c r="B35" t="inlineStr">
        <is>
          <t>Data Engineer</t>
        </is>
      </c>
      <c r="C35" t="inlineStr">
        <is>
          <t>Amazon.com</t>
        </is>
      </c>
      <c r="D35" t="inlineStr">
        <is>
          <t>indeed</t>
        </is>
      </c>
      <c r="E35">
        <f>HYPERLINK("https://www.indeed.com/viewjob?jk=582b7fea792d0aaf", "https://www.indeed.com/viewjob?jk=582b7fea792d0aaf")</f>
        <v/>
      </c>
      <c r="F35">
        <f>HYPERLINK("https://www.amazon.jobs/jobs/3141339/data-engineer?cmpid=DA_INAD200785B", "https://www.amazon.jobs/jobs/3141339/data-engineer?cmpid=DA_INAD200785B")</f>
        <v/>
      </c>
      <c r="G35" t="inlineStr">
        <is>
          <t>Seattle, WA, US</t>
        </is>
      </c>
      <c r="H35" s="3" t="n">
        <v>46001</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in-17721050df281208</t>
        </is>
      </c>
      <c r="B36" t="inlineStr">
        <is>
          <t>Delivery Consultant - Data Engineer, Data and Machine Learning, WWPS US Federal</t>
        </is>
      </c>
      <c r="C36" t="inlineStr">
        <is>
          <t>Amazon Web Services</t>
        </is>
      </c>
      <c r="D36" t="inlineStr">
        <is>
          <t>indeed</t>
        </is>
      </c>
      <c r="E36">
        <f>HYPERLINK("https://www.indeed.com/viewjob?jk=17721050df281208", "https://www.indeed.com/viewjob?jk=17721050df281208")</f>
        <v/>
      </c>
      <c r="F36">
        <f>HYPERLINK("https://www.amazon.jobs/jobs/3134583/delivery-consultant--data-engineer-data-and-machine-learning-wwps-us-federal?cmpid=DA_INAD200785B", "https://www.amazon.jobs/jobs/3134583/delivery-consultant--data-engineer-data-and-machine-learning-wwps-us-federal?cmpid=DA_INAD200785B")</f>
        <v/>
      </c>
      <c r="G36" t="inlineStr">
        <is>
          <t>Herndon, VA, US</t>
        </is>
      </c>
      <c r="H36" s="3" t="n">
        <v>45991</v>
      </c>
      <c r="I3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in-6a10d2a67ecbb6c2</t>
        </is>
      </c>
      <c r="B37" t="inlineStr">
        <is>
          <t>Delivery Consultant - Data Engineer, Data and Machine Learning, WWPS US Federal</t>
        </is>
      </c>
      <c r="C37" t="inlineStr">
        <is>
          <t>Amazon Web Services</t>
        </is>
      </c>
      <c r="D37" t="inlineStr">
        <is>
          <t>indeed</t>
        </is>
      </c>
      <c r="E37">
        <f>HYPERLINK("https://www.indeed.com/viewjob?jk=6a10d2a67ecbb6c2", "https://www.indeed.com/viewjob?jk=6a10d2a67ecbb6c2")</f>
        <v/>
      </c>
      <c r="F37">
        <f>HYPERLINK("https://www.amazon.jobs/jobs/3134583/delivery-consultant--data-engineer-data-and-machine-learning-wwps-us-federal?cmpid=DA_INAD200785B", "https://www.amazon.jobs/jobs/3134583/delivery-consultant--data-engineer-data-and-machine-learning-wwps-us-federal?cmpid=DA_INAD200785B")</f>
        <v/>
      </c>
      <c r="G37" t="inlineStr">
        <is>
          <t>Arlington, VA, US</t>
        </is>
      </c>
      <c r="H37" s="3" t="n">
        <v>45991</v>
      </c>
      <c r="I3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li-4355975387</t>
        </is>
      </c>
      <c r="B2" t="inlineStr">
        <is>
          <t>Data Engineer (L5) - Research Data Products</t>
        </is>
      </c>
      <c r="C2" t="inlineStr">
        <is>
          <t>Netflix</t>
        </is>
      </c>
      <c r="D2" t="inlineStr">
        <is>
          <t>linkedin</t>
        </is>
      </c>
      <c r="E2" t="inlineStr"/>
      <c r="F2" t="inlineStr"/>
      <c r="G2" t="inlineStr"/>
      <c r="H2" t="inlineStr"/>
      <c r="I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Team**
 Our Research Data Products team is at the forefront of insights innovation. Our team leverages technical expertise in data science, engineering, and solutions development to support a high\-impact team of 90\+ quantitative and qualitative researchers across the globe. We enable cutting\-edge research through frameworks, data products and technologies designed to help answer Netflix’s most complex business challenges through consumer\-driven analytics.
**About The Role**
 As a Data Engineer, you will develop and maintain complex data models for Netflix Surveys and our Research Platform that enable this data to be accessed and further processed by teams to feed data products and ensure reliable insights about our consumers are widely available across the company. You’ll help pave the paths for these data products in partnership with an interdisciplinary team of engineers, data scientists, and researchers.
**What You Will Do**
 In this role, you will be an essential bridge between engineering, product, and data science, building robust, data\-driven solutions.
* Architect, strengthen, and expand the core data products that enable Consumer Research at Netflix.
* Develop and maintain scalable data pipelines to manage and transform large amounts of survey, social, and behavioral data that make consumer insights widely available across the company
* Fully own critical portions of Netflix's Research data products. Collaborate with stakeholders to understand needs, model tables using engineering and data warehouse best practices, and develop large scale data processing solutions to ensure the timely delivery of high quality data.
* Partner with Analytics Engineers, Data Scientists, and Software Engineers to create data products that will serve analysis and reporting needs intuitively.
* Develop best practices for governance of data sets with sensitive information
* Build strong and collaborative partnerships with data scientists, analytics engineers, and researchers.
**What We Are Looking For**
 We are looking for a skilled, independent, and curious Data Engineer who champions data quality.
* Proficiency in at least one major programming language (e.g., Python, Scala), with a passion for writing clean, maintainable, and well\-tested code. Python is strongly preferred.
* Strong SQL expertise.
* Expertise in data modeling and designing data structures that are adaptable and resilient to business or source system changes.
* Can design logging for new products with complex behavior or new domains balancing complex analytical needs with simplified logging effectively weighing tradeoffs.
* Experience with sourcing and modeling data from application APIs
* A strong commitment to data quality, including experience with data audits, unit testing, and comprehensive documentation.
* Excellent communication skills to effectively collaborate with technical and non\-technical partners (Data Scientists, Engineers, and Product Managers).
* Curiosity and an eagerness to learn and master new technologies that can have a significant impact.
* Proven success leading complex technical projects to completion.
* Ability to operate independently while embracing the Netflix Culture of candid feedback and high collaboration.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$380,000\.00 \- $610,000\.00\.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3">
      <c r="A3" t="inlineStr">
        <is>
          <t>li-4358171128</t>
        </is>
      </c>
      <c r="B3" t="inlineStr">
        <is>
          <t>Senior Data Engineer, Ops Data Platform</t>
        </is>
      </c>
      <c r="C3" t="inlineStr">
        <is>
          <t>NVIDIA</t>
        </is>
      </c>
      <c r="D3" t="inlineStr">
        <is>
          <t>linkedin</t>
        </is>
      </c>
      <c r="E3" t="inlineStr"/>
      <c r="F3" t="inlineStr"/>
      <c r="G3" t="inlineStr">
        <is>
          <t>Santa Clara, CA</t>
        </is>
      </c>
      <c r="H3" t="inlineStr"/>
      <c r="I3"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The NVIDIA Operations organization is seeking an expert technology professional for the position of Senior Data Engineering to support initiatives for the Operations Data Platform, Reporting, and Analytics Organization. As a Data Engineering Developer in our team, you will be an integral part of the team in Operations building the Quality Platform which will turn data into information leading to insights and business results.
**What You’ll Be Doing**
* Implement End\-to\-End Quality Data platform solutions for our Datacenter products.
* Build data pipelines that are used to transport data from a data source to the data lake.
* Analyze and organize raw data
* Build data systems and pipelines ensuring that data sources, ingestion components, transformation functions, and destination are well understood for implementation
* Interpret trends and patterns by performing complex data analysis
* Prepare data for prescriptive and predictive modeling by making sure that the data is complete, has been cleansed, and has the necessary rules in place
* Build algorithms and prototypes
* Develop analytical tools and programs
* Collaborate with data scientists and architects on projects
* Evaluate business needs and objectives to ensure the organization can access the raw data
**What We Need To See**
* Bachelor’s or master's degree (or equivalent experience) in computer science or information system, or equivalent experience with programming knowledges (i.e Python, Java, etc)
* 8\+ years of experience in data and database management that includes data pipeline responsibilities in replication and mass ingestion, streaming, API and application and data integration.
* Experience developing and maintaining data warehouses in big data solutions. Experience with several ecosystems like Azure, AWS, and Hadoop environments.
* You have built required infrastructure for optimal extraction, transformation, and loading of data from various sources using AWS, Azure, SQL or other technologies. Knowledgeable in Databricks, Splunk, or Snowflake solutions
* Knowledge of data analytics/mining and segmentation techniques
* Communicate effectively with business users and translate business needs into technology solutions
* Ability to connect with all team members successfully and effectively.
* High energy with positive problem\-solving attitude, and multi\-task and strong organization skills.
* Strong analytical skills with the ability to collect, organize, and disseminate significant amounts of information with attention to detail and accuracy
* Knowledge in operational processes in semi\-chips, boards, systems, and servers with a view of data landscape.
**Ways To Stand Out From The Crowd**
* Strong ability to drive continuous improvement of systems and processes.
* Self\-starter, self\-confident individual with integrity and accountability, highly motivated, driven, high\-reaching, and attracted to a meaningful opportunity.
* A proven ability to work in a fast\-paced environment where strong organizational skills are essential.
 With competitive salaries and a generous benefits package, NVIDIA is widely considered to be one of the technology world’s most desirable employers. We have some of the most experienced and dedicated people in the world working for us and, due to unprecedented growth, our elite engineering teams are rapidly growing. If you're a creative and autonomous engineer with a real passion for technology leadership, we want to hear from you.
 Your base salary will be determined based on your location, experience, and the pay of employees in similar positions. The base salary range is 168,000 USD \- 270,250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JR1999387</t>
        </is>
      </c>
    </row>
    <row r="4">
      <c r="A4" t="inlineStr">
        <is>
          <t>li-4333762331</t>
        </is>
      </c>
      <c r="B4" t="inlineStr">
        <is>
          <t>Analytics Engineer II</t>
        </is>
      </c>
      <c r="C4" t="inlineStr">
        <is>
          <t>StubHub</t>
        </is>
      </c>
      <c r="D4" t="inlineStr">
        <is>
          <t>linkedin</t>
        </is>
      </c>
      <c r="E4" t="inlineStr"/>
      <c r="F4" t="inlineStr"/>
      <c r="G4" t="inlineStr">
        <is>
          <t>Los Angeles, CA</t>
        </is>
      </c>
      <c r="H4" t="inlineStr"/>
      <c r="I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talented
 **Analytics Engineer** 
 from mid to senior levels to join StubHub’s Data Engineering \&amp; Analytics organization. In this role you will be responsible for scaling both analytic products (data assets, dashboards, tools/services) and analytic frameworks (decision frameworks, metrics, analytical models). You will be a “force multiplier” who significantly improves and speeds up StubHub’s ability to make great data\-informed decisions.
****Location: Hybrid (3 days in office/2 days remote) – New York, NY or Santa Monica, CA****
**About The Team**
 The Analytics Engineering team exists to enable robust data\-informed decision making that steers our business growth goals, through the creation of high\-quality data products and scaled insights. Analytics Engineering helps solve the scale problems and common data access patterns encountered by analysts, data scientists, and other business data consumers. All data modules and tools owned by AE are then leveraged not only by members of that business domain, but also data consumers from across the company. We are looking for the right person who can operate and translate across all parts of the business.
**What You'll Do**
* Manage cross\-functional analytical data models, metric frameworks and implementations, and self\-serve dashboards/tools
* Specialize in one or more business domains, building deep expertise and anticipating the needs of that business vertical
* Collaborate cross functionally with business and product teams while simultaneously "speaking the language” of engineering teams, oftentimes acting as proxy for one or the other
**What You've Done**
* 3\-5 years of relevant analytics engineering, data engineering, or business intelligence experience in a fast paced, high growth environment
* Proficiency with transforming and analyzing large scale data with modern cloud computing platforms (e.g. SparkSQL, BigQuery, Snowflake, Databricks)
* High proficiency with SQL and experience with one or more programming languages (e.g. Python, Java) and markup/configuration languages (e.g. YAML)
* Proficiency in building data models and pipelines using orchestration software (e.g. Airflow, dbt)
* Experience building reports/dashboards with business intelligence (BI) tools, such as Tableau and Looker
* Exposure to both batch data processing and real\-time streaming technologies
* Familiarity with data cataloging and metadata management tools
* Passionate about working with non\-technical stakeholders to understand, anticipate, and deliver on their data needs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$150,000—$200,000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5">
      <c r="A5" t="inlineStr">
        <is>
          <t>li-4306624785</t>
        </is>
      </c>
      <c r="B5" t="inlineStr">
        <is>
          <t>Sr. Data Engineer - High-Growth Tech Startup</t>
        </is>
      </c>
      <c r="C5" t="inlineStr">
        <is>
          <t>Andiamo</t>
        </is>
      </c>
      <c r="D5" t="inlineStr">
        <is>
          <t>linkedin</t>
        </is>
      </c>
      <c r="E5" t="inlineStr"/>
      <c r="F5" t="inlineStr"/>
      <c r="G5" t="inlineStr">
        <is>
          <t>San Francisco, CA</t>
        </is>
      </c>
      <c r="H5" t="inlineStr"/>
      <c r="I5"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6">
      <c r="A6" t="inlineStr">
        <is>
          <t>li-4321405829</t>
        </is>
      </c>
      <c r="B6" t="inlineStr">
        <is>
          <t>Data Engineer II</t>
        </is>
      </c>
      <c r="C6" t="inlineStr">
        <is>
          <t>The Walt Disney Company</t>
        </is>
      </c>
      <c r="D6" t="inlineStr">
        <is>
          <t>linkedin</t>
        </is>
      </c>
      <c r="E6" t="inlineStr"/>
      <c r="F6" t="inlineStr"/>
      <c r="G6" t="inlineStr">
        <is>
          <t>Santa Monica, CA</t>
        </is>
      </c>
      <c r="H6" t="inlineStr"/>
      <c r="I6" t="inlineStr">
        <is>
          <t>**Disney Entertainment \&amp; ESPN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Commerce, Data \&amp; Identity provides the core product management functions for areas crucial to Disney’s media businesses. These include initiatives and products that power digital commerce, identity, and growth, as well as those that reach uniquely across The Walt Disney Company enterprise, such as messaging and privacy, among others. Additionally, it is responsible for the data engineering, science, and products for Disney Entertainment \&amp; ESPN, along with their interconnection with other parts of The Walt Disney Company.
**Job Summary**
 Are you looking to have an impact on millions of users every day? On the Vision team within Disney, you’ll be helping collect data across platforms including ESPN, National Geographic, ABC News, Marvel and more. With that data, Disney can drive personalization efforts to ensure users keep coming back to their favorite apps. We can also create heat maps to better understand how people are using our applications. Finally, this data helps drive the creation of new content so that more and more continue to come back to the powerful brands at Disney.
 As a Data Engineer II, you’ll be responsible for ensuring data quality and improve testing efficiency so that everything works smoothly for the Disney brands that use Vision. You will be responsible for defining data quality metrics, understand what data impacts the revenue of the company, and perform root cause analysis so that we can build trust in the quality of the product.
**Responsibilities And Duties Of The Role**
* Partner with development and product leads to capture and understand software specifications and test requirements.
* Evaluate software for intended functional capabilities and properties.
* Design data quality metrics with accompanying queries and reports to be run on a consistent basis.
* Effectively communicate findings with development and product teams to improve the product.
* Run tests and generate reports on a consistent basis.
* Work in an Agile environment that focuses on collaboration and teamwork
**Required Education, Experience/Skills/Training**
 Basic Qualifications
* 3\+ years designing and executing queries and reports to ensure data quality and discover anomalies
* 3\+ years experience with Databricks or similar data lake
* 3\+ years experience with Spark, Python, or SQL
* Advanced knowledge of debugging code and software development languages
* Ability to collate data and compile test reports
* Excellent software troubleshooting skills
* Excellent communication skills with product and development team to ensure highest test coverage possible
**Preferred Qualifications**
* Expert level experience with various data lakes
* Experience leading and mentoring colleagues on best practices and technical concepts of building large scale solutions
* Extensive experience defining data quality metrics
* Experience with real\-time analytics on the level of billions of events per week
* Experience with: Databricks, Spark, Python, JIRA, Charles, Postman
 Required Education
 Bachelor’s degree or higher in Computer Science or a related technical field or equivalent job experience.
 The hiring range for this position in Santa Monica, California is $106,900\.00\-$143,300\.00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7">
      <c r="A7" t="inlineStr">
        <is>
          <t>li-4306618894</t>
        </is>
      </c>
      <c r="B7" t="inlineStr">
        <is>
          <t>Sr. Data Engineer - High-Growth Tech Startup</t>
        </is>
      </c>
      <c r="C7" t="inlineStr">
        <is>
          <t>Andiamo</t>
        </is>
      </c>
      <c r="D7" t="inlineStr">
        <is>
          <t>linkedin</t>
        </is>
      </c>
      <c r="E7" t="inlineStr"/>
      <c r="F7" t="inlineStr"/>
      <c r="G7" t="inlineStr">
        <is>
          <t>Boston, MA</t>
        </is>
      </c>
      <c r="H7" t="inlineStr"/>
      <c r="I7" t="inlineStr">
        <is>
          <t>Senior Data Engineer – High\-Growth Tech Startup
**About The Role**
 We are looking for a
 **Senior Data Engineer** 
 to help build the next generation of data infrastructure at a $100M\+ tech startup in the data management space. You will play a critical role in designing, building, and scaling systems that enable customers to manage, govern, and extract value from their data in real time.
 This role is hands\-on and high\-impact: you will work closely with product managers, platform engineers, and data scientists to architect modern data pipelines and services. You will help shape the company’s data platform strategy, ensuring reliability, scalability, and performance as we grow rapidly and expand into new markets.
 What You’ll Do
* Design \&amp; Build Pipelines: Develop scalable ETL/ELT pipelines and streaming workflows that power data\-driven products and analytics.
* Architect Data Systems: Build and optimize data lakes, warehouses, and real\-time streaming infrastructure.
* Enable Analytics: Partner with data scientists and analysts to ensure high\-quality, well\-structured, and discoverable datasets.
* Ensure Reliability: Implement best practices for testing, monitoring, and observability across all data systems.
* Optimize Performance: Tune data infrastructure for speed, scale, and cost efficiency in cloud environments.
* Collaborate Cross\-Functionally: Work with product and engineering teams to deliver data solutions that meet business and customer needs.
* Mentor \&amp; Elevate: Provide technical guidance to junior engineers and help shape engineering culture in a fast\-growing startup.
 What We’re Looking For
* Professional Experience: 5–8 years of data engineering experience, ideally in a high\-growth or startup environment.
* Programming Skills: Strong proficiency in Python or Scala, with solid knowledge of SQL.
* Data Platforms: Hands\-on experience with modern data warehouses (Snowflake, BigQuery, Redshift) and data lake technologies.
* Streaming \&amp; Orchestration: Familiarity with Kafka, Spark, Flink, Airflow, dbt, or similar frameworks.
* Cloud Expertise: Strong experience with cloud\-native data services on AWS, GCP, or Azure.
* Data Modeling: Understanding of data modeling, governance, and performance optimization for large\-scale systems.
* Startup Mindset: Comfort working in a fast\-paced environment with shifting priorities and a strong sense of ownership.
* Education: Bachelor’s or Master’s in Computer Science, Engineering, or a related field.
 Why Join
 This is a rare chance to be part of a high\-growth startup at a pivotal stage. As a Senior Data Engineer, you will shape the foundation of our data platform, work with cutting\-edge technologies, and have a direct impact on products used by global customers. You’ll join a passionate, fast\-moving team where your ideas are valued, your work is visible, and your growth is unlimited.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
      <c r="A8" t="inlineStr">
        <is>
          <t>li-4358233870</t>
        </is>
      </c>
      <c r="B8" t="inlineStr">
        <is>
          <t>Data Engineer</t>
        </is>
      </c>
      <c r="C8" t="inlineStr">
        <is>
          <t>Ursi Technologies Inc</t>
        </is>
      </c>
      <c r="D8" t="inlineStr">
        <is>
          <t>linkedin</t>
        </is>
      </c>
      <c r="E8" t="inlineStr"/>
      <c r="F8" t="inlineStr"/>
      <c r="G8" t="inlineStr">
        <is>
          <t>Santa Clara County, CA</t>
        </is>
      </c>
      <c r="H8" t="inlineStr"/>
      <c r="I8" t="inlineStr">
        <is>
          <t>Data Engineer
**Location: Santa Clara County** 
 Data Engineer with strong AWS \+ Python/SQL, who builds scalable pipelines for ML training and has experience with large sensor or simulation datasets.
 Visa: USC OR GC H1 15\+ exp</t>
        </is>
      </c>
    </row>
    <row r="9">
      <c r="A9" t="inlineStr">
        <is>
          <t>li-4350074079</t>
        </is>
      </c>
      <c r="B9" t="inlineStr">
        <is>
          <t>Senior Data Engineer</t>
        </is>
      </c>
      <c r="C9" t="inlineStr">
        <is>
          <t>Atomic Machines</t>
        </is>
      </c>
      <c r="D9" t="inlineStr">
        <is>
          <t>linkedin</t>
        </is>
      </c>
      <c r="E9" t="inlineStr"/>
      <c r="F9" t="inlineStr"/>
      <c r="G9" t="inlineStr">
        <is>
          <t>Emeryville, CA</t>
        </is>
      </c>
      <c r="H9" t="inlineStr"/>
      <c r="I9" t="inlineStr">
        <is>
          <t>Atomic Machines is ushering in a new era of micromanufacturing with its Matter Compiler™ technology platform. This platform enables new classes of micromachines to be designed and built by providing manufacturing processes and a materials library that are inaccessible to semiconductor manufacturing methods. It unlocks MEMS manufacturing not only for device classes that could never be produced by semiconductor methods, but also for entirely new categories. Furthermore, this digital platform is fully programmable in the way 3D printing is digital—but whereas 3D printing produces parts of a single material using a single process, the Matter Compiler™ technology platform is a multi\-process, multi\-material system: bits and raw materials go in, and complete, functional micromachines come out. The Atomic Machines team has also created an exciting first device—made possible only through the Matter Compiler™ technology platform—that we will be unveiling to the world soon.
 Our offices are in Emeryville and Santa Clara, California.
 About The Role:
 We are seeking a Senior Data Engineer to join our growing team within the AI and Modeling and Simulation group and support manufacturing processes on our robotic manufacturing platform. The ideal candidate will be responsible for designing, implementing, and maintaining robust data pipelines and infrastructure to ensure the availability, integrity, traceability, and interpretability of manufacturing data. This role involves working closely with Process, Design, and AI engineers to validate manufacturing outcomes and monitor process performance through data\-driven insights.
 Experience in data engineering, data flows, and big\-data processing, as well as proficiency in Python, are essential for this role. Importantly, candidates will be expected to have an industry\-level understanding of manufacturing processes and sensors, and to be able to work with process engineers on metrology needs and hardware requirements. Experience in data science for manufacturing – e.g., building data\-driven predictive pipelines using statistics\- and/or ML\-based methods – is desirable.
 This is an excellent career opportunity for a professional with a proven track record of creating and deploying data pipelines in manufacturing environments. The ideal applicant thrives working in a cross\-functional environment, unifies and integrates efforts of a highly diverse team, actively engages in the development process, and is excellent at documenting and presenting work products.
 What You’ll Do:
* **Data Engineering \&amp; Infrastructure**
+ Design, build, and maintain scalable workflows for data collection, transformation, and storage.
+ Process and analyze structured or semi\-structured manufacturing data.
+ Develop data pipelines to process and prepare data for ML model training and data analysis.
+ Develop, customize, and maintain interactive dashboards, reports, and visualizations for experimentation results and business metrics.
+ Ensure real\-time data handling for ML applications (e.g., digital twins) and process monitoring.
* **Validation \&amp; Quality Control**
+ Work with inspection engineers/technicians to collect datasets and collaborate with process engineers to ensure quality control in manufacturing processes.
+ Experience with real\-time data processing frameworks (Apache Kafka, Spark Streaming, etc.)
+ Experienced with BI toolsets and data\-visualization frameworks (including Apache Superset) for reporting and analytics.
- Build validation tests to compare in\-house inspection algorithms with commercial tools.
* **Process Monitoring \&amp; Optimization**
+ Establish process monitoring frameworks by creating data storage solutions and implementing structured labeling for process input parameters and associated outputs.
+ Develop online statistics and analytics for process control and optimization.
+ Analyze observable time\-series data corresponding to different manufacturing process stages.
* **Documentation \&amp; Collaboration**
+ Work with process engineers on data collection requirements and communicate those requirements to hardware designers.
+ Collaborate with cross\-functional teams, including process engineers, chemical engineers, materials scientists, simulation engineers, software developers, data scientists, and AI engineers, to optimize data workflows and improve operational efficiency.
 What You’ll Need:
* 6\+ years after Bachelor’s / 4\+ years after Master’s of industry experience.
* A first\-principles mindset — you question assumptions, reframe problems from the ground up, and approach challenges with a foundational understanding rather than relying solely on precedent.
* Proven experience in data engineering, data flows, and big\-data processing.
* Proficiency in Python and programming languages such as SQL.
* Proficiency in data storage solutions (Data Lakes, Cloud Storage, SQL, NoSQL).
* Understanding of manufacturing processes, sensors, and process automation.
* Industry\-level experience in guiding and automating data collection and processing in manufacturing environments.
* Knowledge of DevOps practices.
* Strong problem\-solving skills and ability to work in a collaborative, fast\-paced environment.
* Strong analytical mindset, attention to data quality, and ability to translate complex data into clear insights for both technical and non\-technical stakeholders.
* Bachelor’s or Master’s degree in Computer Science, Data Engineering, Data Science, or a related STEM field.
 Bonus Points For:
* Experience with real\-time data processing frameworks (Apache Kafka, Spark Streaming, etc.)
* Experienced with BI toolsets and data\-visualization frameworks (including Apache Superset) for reporting and analytics.
 The compensation for this position also includes equity and benefits.
 Salary Range: $170,000 USD \- $230,000 USD</t>
        </is>
      </c>
    </row>
    <row r="10">
      <c r="A10" t="inlineStr">
        <is>
          <t>li-4343880098</t>
        </is>
      </c>
      <c r="B10" t="inlineStr">
        <is>
          <t>Python Data Engineer - Global EnergyTech Market Leader</t>
        </is>
      </c>
      <c r="C10" t="inlineStr">
        <is>
          <t>Andiamo</t>
        </is>
      </c>
      <c r="D10" t="inlineStr">
        <is>
          <t>linkedin</t>
        </is>
      </c>
      <c r="E10" t="inlineStr"/>
      <c r="F10" t="inlineStr"/>
      <c r="G10" t="inlineStr">
        <is>
          <t>Houston, TX</t>
        </is>
      </c>
      <c r="H10" t="inlineStr"/>
      <c r="I10" t="inlineStr">
        <is>
          <t>Senior Python Data Engineer, Energy and Commodities
 This role supports a global energy and commodities organization that operates at massive scale, combining trading, analytics, and long term infrastructure investment. The technology teams build and maintain data systems that power decision making across markets, assets, and research, working closely with commercial and analytical stakeholders.
 This is a full time, on site position based in Houston, Texas, with in office collaboration required five days per week.
 The Opportunity
 As a Python Data Engineer, you will play a key role in expanding and maintaining high quality data assets that support advanced analytics and trading workflows. You will work directly with traders, analysts, researchers, and data scientists to understand requirements and deliver reliable, well structured data solutions.
 The role offers deep exposure to real world business problems, complex data sources, and a highly collaborative engineering culture that values clean code, shared standards, and practical impact.
 What You Will Be Working On
* Building modular, reusable Python components that connect external data sources with internal tools and databases.
* Partnering with business stakeholders to define requirements for data ingestion, transformation, and access.
* Translating business needs into well designed technical solutions.
* Maintaining a clean, centralized Python codebase while aligning with established design patterns and conventions.
* Contributing to shared developer tooling and internal Python based ETL frameworks.
* Collaborating efficiently with a distributed global engineering team.
* Participating in an internal Python development community and supporting evolving business initiatives.
 What We Are Looking For
* Seven or more years of professional experience developing Python applications in an enterprise environment.
* A degree in computer science, information systems, or a closely related discipline.
* Hands on experience designing and building data pipelines and data engineering solutions.
* Experience extracting data from external sources using web scraping techniques and automation tools.
* Strong experience with relational databases, including Oracle and PL SQL development with stored procedures.
* A solid understanding of object oriented programming, design patterns, and service oriented architectures.
* Previous experience working in Agile or Scrum based development teams.
* Proficiency with version control, peer code reviews, and issue tracking workflows.
* Working knowledge of data analysis libraries such as Pandas and NumPy.
* Strong written and verbal communication skills.
* Background in the energy or commodities sector is preferred.
* Exposure to containerization technologies such as Docker or Kubernetes is a plus.
 Work Environment
 This role is based in a professional office setting designed for close collaboration. The business operates in a fast paced, high energy environment where in person interaction is central to how teams work, solve problems, and deliver results.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1">
      <c r="A11" t="inlineStr">
        <is>
          <t>li-4366341517</t>
        </is>
      </c>
      <c r="B11" t="inlineStr">
        <is>
          <t>Data Engineer</t>
        </is>
      </c>
      <c r="C11" t="inlineStr">
        <is>
          <t>Best Job Tool</t>
        </is>
      </c>
      <c r="D11" t="inlineStr">
        <is>
          <t>linkedin</t>
        </is>
      </c>
      <c r="E11" t="inlineStr"/>
      <c r="F11" t="inlineStr"/>
      <c r="G11" t="inlineStr"/>
      <c r="H11" t="inlineStr"/>
      <c r="I11" t="inlineStr">
        <is>
          <t>**About The Company**
 Capital One is a leading diversified bank known for its innovative approach to financial services. With a strong focus on technology\-driven solutions, Capital One aims to provide exceptional banking experiences through digital innovation, customer\-centric products, and data\-driven decision\-making. The company operates across various segments including credit cards, auto loans, and savings accounts, serving millions of customers nationwide. Capital One prides itself on fostering an inclusive, collaborative, and dynamic work environment that encourages continuous learning and growth. Its commitment to diversity, equity, and inclusion is embedded in its corporate culture, making it an employer of choice for talented professionals seeking impactful careers in the financial technology space.
**About The Role**
 We are seeking a highly skilled Senior Data Engineer with expertise in Python, AWS, and APIs to join our dynamic team. This role offers an exciting opportunity to work on Hydra, a critical data transformation platform that underpins capital and liquidity reporting within our Finance Technology division. As a Senior Data Engineer, you will be instrumental in building and maintaining robust data pipelines that support regulatory compliance and liquidity management. You will collaborate with cross\-functional teams in an agile environment to develop innovative solutions that enhance data accuracy, security, and accessibility. This position is ideal for professionals passionate about leveraging emerging technologies to solve complex business challenges and drive strategic initiatives within a leading financial institution.
**Qualifications**
 The ideal candidate will possess a minimum of a Bachelor's Degree in Computer Science, Information Technology, or a related field. Candidates should have at least three years of experience in application development, with a focus on big data technologies for a minimum of one year. Demonstrated proficiency in Python programming, SQL, and working with cloud\-based data warehousing solutions is essential. Experience with AWS cloud services, distributed data processing tools, and real\-time streaming applications will be highly valued. A strong understanding of NoSQL databases, data modeling, and UNIX/Linux environments is required. Additionally, familiarity with Agile methodologies and a passion for staying current with technological trends are preferred.
**Responsibilities**
* Collaborate with Agile teams to design, develop, test, and implement scalable data solutions using full\-stack development tools and technologies.
* Work closely with a team of experienced developers specializing in machine learning, distributed microservices, and full\-stack systems to deliver high\-quality data products.
* Utilize programming languages such as Python, Java, and open\-source RDBMS and NoSQL databases to build efficient data pipelines.
* Leverage cloud\-based data warehousing services like Snowflake and Redshift to support data storage and analytics needs.
* Participate in code reviews, perform unit testing, and optimize code for performance, reliability, and security.
* Share expertise by mentoring team members, participating in internal and external technology communities, and experimenting with new tools and frameworks.
* Engage with digital product managers to deliver innovative, cloud\-based solutions that enhance user experiences and support financial empowerment initiatives.
* Ensure compliance with data governance and security standards through rigorous testing and documentation.
**Benefits**
 Capital One offers a comprehensive and competitive benefits package designed to support your overall well\-being. This includes health insurance plans, retirement savings options, paid time off, and wellness programs. The company also provides professional development opportunities, tuition reimbursement, and access to a variety of employee resource groups to foster an inclusive workplace culture. Additionally, employees may be eligible for performance\-based incentives, including cash bonuses and long\-term incentives. Capital One is committed to creating a flexible work environment that promotes work\-life balance and personal growth, ensuring that employees feel valued and supported throughout their careers.
 Equal Opportunity
 Capital One is an equal opportunity employer committed to fostering an inclusive environment for all employees and applicants. We do not discriminate based on race, color, religion, sex, national origin, age, disability, veteran status, or any other protected characteristic under applicable law. We promote diversity, equity, and inclusion in our hiring practices and workplace culture. Capital One also ensures compliance with all federal, state, and local laws related to non\-discrimination and equal employment opportunity. We encourage qualified individuals from all backgrounds to apply and join our team in making a meaningful difference in the financial industry.</t>
        </is>
      </c>
    </row>
    <row r="12">
      <c r="A12" t="inlineStr">
        <is>
          <t>li-4366342309</t>
        </is>
      </c>
      <c r="B12" t="inlineStr">
        <is>
          <t>Data Engineer</t>
        </is>
      </c>
      <c r="C12" t="inlineStr">
        <is>
          <t>Hirenza</t>
        </is>
      </c>
      <c r="D12" t="inlineStr">
        <is>
          <t>linkedin</t>
        </is>
      </c>
      <c r="E12" t="inlineStr"/>
      <c r="F12" t="inlineStr"/>
      <c r="G12" t="inlineStr"/>
      <c r="H12" t="inlineStr"/>
      <c r="I12" t="inlineStr">
        <is>
          <t>**About The Company**
 Capital One is a leading diversified financial services company renowned for its innovative approach to banking and technology\-driven solutions. With a commitment to customer\-centricity, Capital One offers a broad range of financial products, including credit cards, auto loans, savings accounts, and more. The company prides itself on fostering a dynamic and inclusive workplace that encourages innovation, collaboration, and continuous learning. Leveraging cutting\-edge technology and data analytics, Capital One aims to deliver exceptional financial experiences to millions of customers across the globe. Its core values emphasize integrity, responsibility, and a relentless pursuit of excellence, positioning it as a trusted partner in financial empowerment.
**About The Role**
 The Senior Data Engineer (Cloud Operations Resilience Engineering) at Capital One is a pivotal role designed for individuals passionate about building resilient, scalable, and innovative data solutions in a cloud environment. This position offers the opportunity to work within the Cloud Operations Resilience Engineering (CORE) Technology division, which is responsible for developing and maintaining Capital One's foundational cloud infrastructure. The role involves collaborating with cross\-functional Agile teams to design, develop, and support advanced technical solutions that enhance the bank’s operational resilience and data capabilities. As a senior member of the team, you will utilize your expertise in big data technologies, cloud platforms, and distributed systems to drive impactful projects that support millions of users and contribute to the bank’s digital transformation initiatives.
**Qualifications**
 To be successful in this role, candidates should possess a minimum of a Bachelor's Degree in Computer Science, Engineering, or a related field. Candidates must have at least 3 years of experience in application development, excluding internship experience, and a minimum of 1 year working with big data technologies. Preferred qualifications include over 5 years of experience in application development using languages such as Python, SQL, Scala, or Java, along with 2 or more years of experience working with public cloud platforms like AWS, Azure, or Google Cloud. Additionally, experience with Databricks, distributed data processing tools (e.g., Hadoop, Spark, Kafka), real\-time streaming applications, NoSQL databases (MongoDB, Cassandra), and data warehousing solutions (Redshift, Snowflake) is highly desirable. Candidates should also demonstrate proficiency in UNIX/Linux environments and Agile engineering practices.
**Responsibilities**
* Collaborate with Agile teams to design, develop, test, and implement comprehensive technical solutions utilizing full\-stack development tools and technologies.
* Work closely with experienced developers specializing in machine learning, distributed microservices, and full\-stack systems to build resilient cloud infrastructure.
* Leverage programming languages such as Java, Scala, Python, and utilize open\-source RDBMS and NoSQL databases to develop scalable data solutions.
* Utilize cloud\-based data warehousing services such as Redshift and Snowflake to optimize data storage, processing, and analytics capabilities.
* Stay current with emerging technology trends, experiment with new tools, participate in internal and external tech communities, and mentor junior team members to foster continuous learning.
* Partner with digital product managers to deliver robust cloud\-based solutions that enhance customer experiences and promote financial empowerment.
* Perform rigorous testing, code reviews, and performance tuning to ensure high\-quality, efficient, and reliable data systems.
**Benefits**
 Capital One offers a comprehensive benefits package designed to support the total well\-being of its employees. This includes competitive health, dental, and vision insurance, retirement plans, paid time off, and wellness programs. Employees also have access to financial wellness resources, tuition reimbursement, and professional development opportunities. The company promotes a flexible work environment and values diversity and inclusion, fostering a culture where all employees can thrive. Additionally, the role provides eligibility for performance\-based incentives, including cash bonuses and long\-term incentives, aligned with individual and company performance.
 Equal Opportunity
 Capital One is an equal opportunity employer committed to fostering an inclusive and diverse workplace. We do not discriminate on the basis of race, color, religion, sex, national origin, age, disability, veteran status, or any other protected class under applicable law. We promote a drug\-free workplace and consider qualified applicants with criminal histories in accordance with applicable laws and regulations. We encourage all qualified candidates to apply and join our team in driving innovation and excellence in financial services. If accommodations are needed during the application process, please contact Capital One Recruiting for assistance.</t>
        </is>
      </c>
    </row>
    <row r="13">
      <c r="A13" t="inlineStr">
        <is>
          <t>li-4366317603</t>
        </is>
      </c>
      <c r="B13" t="inlineStr">
        <is>
          <t>Data Engineer, Sr.</t>
        </is>
      </c>
      <c r="C13" t="inlineStr">
        <is>
          <t>Wiraa</t>
        </is>
      </c>
      <c r="D13" t="inlineStr">
        <is>
          <t>linkedin</t>
        </is>
      </c>
      <c r="E13" t="inlineStr"/>
      <c r="F13" t="inlineStr"/>
      <c r="G13" t="inlineStr"/>
      <c r="H13" t="inlineStr"/>
      <c r="I13" t="inlineStr">
        <is>
          <t>**About The Company** 
 Carrington Mortgage Holdings is a leading holding company specializing in asset management, mortgages, real estate transactions, and real estate logistics. With a comprehensive portfolio that spans nearly all aspects of single\-family residential real estate transactions across the United States, the company is committed to delivering innovative solutions and exceptional service. Guided by a leadership team with extensive industry experience, Carrington maintains a robust infrastructure designed to ensure stability and maximize value across market cycles. The organization’s integrated approach allows it to adapt to changing market dynamics while providing a broad range of real estate services.
**About The Role** 
 We are seeking a highly skilled Data Integration Engineer to join our dynamic team remotely. In this role, you will be responsible for designing, developing, and maintaining robust databases and data integration systems that support our business applications and business intelligence initiatives. You will work under direct supervision to create scalable ETL workflows, optimize data platforms, and contribute to our cloud migration efforts. Your expertise will be pivotal in ensuring data processes are efficient, reliable, and aligned with organizational standards. Collaboration with stakeholders and third\-party vendors will be essential to define business requirements and deliver effective data solutions. Additionally, you will lead troubleshooting efforts, maintain comprehensive documentation, and develop advanced reporting dashboards to enhance operational efficiency and decision\-making processes.
**Qualifications** 
* Advanced knowledge of Microsoft SQL Server environment for designing and optimizing enterprise data solutions
* Strong understanding of ETL concepts and data transformation processes, with practical experience using Microsoft SSIS
* Proficiency in T\-SQL programming, scripting, and query optimization techniques
* Experience with version control tools, particularly Microsoft DevOps
* Demonstrated ability to lead and oversee SDLC processes
* Minimum of four (4\) years of experience in data integration, data warehousing, or related fields
* Experience with database management systems, especially MS SQL
* Knowledge of integrating applications via APIs is preferred
* Experience with Microsoft BI tools such as SSRS, SSAS, and Power BI is a plus
* Familiarity with cloud\-based data services like Azure Data Factory, Snowflake, or Databricks is advantageous
* Proficiency in programming languages such as Python or Java for data engineering tasks
* High school diploma or equivalent required; bachelor’s degree in computer sciences or related field preferred
**Responsibilities** 
* Assist in designing, developing, and maintaining databases and data integration systems to support enterprise applications and business intelligence
* Develop and optimize ETL workflows and data platforms to ensure high performance, scalability, and reliability
* Collaborate with stakeholders and third\-party vendors to gather and evaluate business requirements for data solutions
* Lead the creation of technical designs and functional specifications for data processes
* Maintain ETL jobs, troubleshoot critical production issues, and participate in off\-hours support rotations
* Contribute to cloud migration initiatives by designing cloud\-compatible data solutions
* Develop comprehensive documentation for data processes, reports, and applications
* Design, develop, and deploy scalable reporting dashboards and data visualization tools to support business intelligence
* Ensure data security and compliance with organizational policies and regulatory requirements
* Lead efforts to automate business processes and improve operational efficiency through innovative data solutions
**Benefits** 
* Comprehensive healthcare plans for employees and their families
* Discretionary 401(k) matching of 50% on the first 4% of contributions
* Access to various discounts on fitness, dining, retail, and more through employee portals
* Customized training programs to support career advancement
* Employee referral bonuses to incentivize talent acquisition
* Educational reimbursement programs
* Participation in Carrington Charitable Foundation initiatives supporting community causes
 Equal Opportunity
 Carrington is an equal opportunity employer. We are committed to fostering an inclusive environment where all qualified applicants are considered for employment without regard to race, color, religion, sex, gender identity, national origin, ancestry, age, marital status, sexual orientation, protected veteran status, disability, or any other legally protected category.</t>
        </is>
      </c>
    </row>
    <row r="14">
      <c r="A14" t="inlineStr">
        <is>
          <t>li-4306615997</t>
        </is>
      </c>
      <c r="B14" t="inlineStr">
        <is>
          <t>Sr. Data Engineer - Fintech Leader (Series D)</t>
        </is>
      </c>
      <c r="C14" t="inlineStr">
        <is>
          <t>Andiamo</t>
        </is>
      </c>
      <c r="D14" t="inlineStr">
        <is>
          <t>linkedin</t>
        </is>
      </c>
      <c r="E14" t="inlineStr"/>
      <c r="F14" t="inlineStr"/>
      <c r="G14" t="inlineStr">
        <is>
          <t>Seattle, WA</t>
        </is>
      </c>
      <c r="H14" t="inlineStr"/>
      <c r="I14" t="inlineStr">
        <is>
          <t>Senior Data Engineer \- Fintech (Series D)
**About The Role**
 We are seeking a
 **Senior Data Engineer** 
 to help design and scale the data infrastructure powering a $200M Series D fintech firm. Our mission is to deliver secure, reliable, and intelligent financial technology products that serve customers globally. As a Senior Data Engineer, you’ll play a key role in building data systems that handle sensitive financial data, drive real\-time decisioning, and enable analytics across the organization.
 You’ll work closely with product managers, compliance experts, and engineering teams to ensure our data platforms not only scale with rapid growth but also meet the highest standards of accuracy, governance, and security. This is a hands\-on role with direct impact on how we manage, analyze, and deliver data across high\-value fintech applications.
 What You’ll Do
* Architect Scalable Pipelines: Build and optimize ETL/ELT workflows and real\-time streaming systems that power financial products and compliance reporting.
* Ensure Data Quality: Implement validation, lineage tracking, and governance practices to guarantee trustworthy financial datasets.
* Integrate Across Systems: Design data flows connecting payment processors, banking APIs, risk systems, and analytics platforms.
* Collaborate Cross\-Functionally: Work with risk, compliance, and product teams to deliver data solutions that satisfy regulatory and business requirements.
* Enable Advanced Analytics: Support data science and BI teams with reliable, structured, and high\-performance datasets.
* Drive Observability: Implement monitoring and alerting for data pipelines to ensure transparency and reliability in production.
* Mentor \&amp; Guide: Share best practices in data engineering with peers and contribute to shaping engineering culture in a scaling fintech environment.
 What We’re Looking For
* Professional Experience: 5\-8 years in data engineering, ideally within fintech, banking, or other regulated industries.
* Programming Skills: Expertise in Python or Scala, with strong SQL experience.
* Data Platforms: Hands\-on experience with modern warehouses (Snowflake, BigQuery, or Redshift) and data lakes.
* Streaming \&amp; Orchestration: Knowledge of Kafka, Spark, Flink, Airflow, dbt, or similar frameworks.
* Cloud Expertise: Proficiency with AWS, GCP, or Azure, including security and compliance tooling.
* Financial Data Understanding: Familiarity with transaction data, payments, or risk modeling systems is strongly preferred.
* Governance \&amp; Security: Experience with data privacy, encryption, and regulatory compliance (SOC 2, PCI, GDPR, etc.).
* Education: Bachelor’s or Master’s in Computer Science, Engineering, or related quantitative field.
 Why Join
 This is your opportunity to join a Series D fintech firm at an inflection point—scaling rapidly while redefining how financial services are built and delivered. As Senior Data Engineer, you’ll shape the systems that process sensitive financial data, ensure compliance at scale, and enable products trusted by customers worldwide. You’ll work with cutting\-edge technologies, a high\-performing team, and have the ability to leave a lasting mark on the fintech industry.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5">
      <c r="A15" t="inlineStr">
        <is>
          <t>li-4366324542</t>
        </is>
      </c>
      <c r="B15" t="inlineStr">
        <is>
          <t>Data Engineer</t>
        </is>
      </c>
      <c r="C15" t="inlineStr">
        <is>
          <t>Greater Nevada Credit Union</t>
        </is>
      </c>
      <c r="D15" t="inlineStr">
        <is>
          <t>linkedin</t>
        </is>
      </c>
      <c r="E15" t="inlineStr"/>
      <c r="F15" t="inlineStr"/>
      <c r="G15" t="inlineStr"/>
      <c r="H15" t="inlineStr"/>
      <c r="I15" t="inlineStr">
        <is>
          <t>**About The Company** 
 Greater Nevada is dedicated to helping individuals and communities Live Greater by providing innovative financial solutions, education, and empowerment. With a proud history spanning over 70 years, the organization strives to foster financial inclusion and build lasting relationships based on trust and integrity. Guided by its core values of caring genuinely, building relationships, staying trustworthy, finding custom solutions, inspiring others, and enjoying the experience, Greater Nevada is committed to making a positive impact in the lives of its members and the communities it serves. The organization emphasizes a collaborative environment where employees are valued and encouraged to contribute to the collective success.
**About The Role** 
 The Data Engineer at Greater Nevada plays a crucial role in designing, developing, and managing the organization’s data architecture. This includes overseeing data pipelines, data lakes, data warehouses, and data marts to ensure seamless data flow and integrity. The role acts as a technical resource for all data\-related initiatives, serving as a bridge between technical teams and business units, including the Business Intelligence (BI) team. The Data Engineer is responsible for executing data quality and data integrity initiatives across the enterprise, automating data operations, and maintaining comprehensive documentation such as data dictionaries and knowledge bases. The position requires a proactive individual capable of troubleshooting data issues, maintaining data standards, and ensuring the security and accuracy of data assets. This role may require availability after hours to address emergency situations, emphasizing the importance of reliability and responsiveness.
**Qualifications** 
* 5\+ years of experience with Python and/or T\-SQL
* Preferred experience with SQL, Oracle, and/or Snowflake (5\+ years)
* Proficiency with PowerBI and Crystal Reports
* 3\+ years of Data Engineer experience
* 8\+ years of experience in Information Technology
* Exceptional knowledge of SQL, Snowflake, and Oracle databases
* Strong programming skills and familiarity with data warehousing technologies
* Ability to stay current with emerging data technologies and methodologies
* Excellent documentation and attention to detail
* Strong troubleshooting and problem\-solving skills
**Responsibilities** 
* Architect, manage, and optimize Greater Nevada’s data lake, data warehouse, and data marts to support organizational data needs
* Develop, implement, and maintain ETL processes for data extraction, transformation, and loading
* Create and sustain data pipelines to ensure efficient data collection, processing, and storage
* Automate data operations and scripts to maintain standards across all platforms
* Identify root causes of data issues and implement corrective actions to ensure data integrity
* Maintain comprehensive data documentation, including data dictionaries, Wikis, and Knowledge Bases
* Collaborate with technical teams and business stakeholders to support data initiatives and projects
* Monitor data quality and implement data governance practices
* Participate in after\-hours support for emergency data\-related issues
**Benefits** 
* Competitive salary range of $105,000 to $150,000 annually, based on experience
* Medical, dental, and vision insurance coverage, with 90% of employee costs and approximately 75% of dependent costs covered
* Health Savings Account (HSA) contributions
* Supplemental insurance and life insurance plans
* Paid time off including vacation, sick leave, 12 paid holidays, 2 floating holidays, and a wellness day
* Sabbatical leave available after every seven years of employment
* Paid community volunteer time
* Employee discounts on products and services
 Equal Opportunity
 Greater Nevada is an Equal Opportunity Employer. Employment at Greater Nevada is based solely on merit and qualifications related to professional competence. The organization prohibits discrimination and harassment of any kind based on race, color, religion, age, sex, national origin, disability status, genetics, protected veteran status, sexual orientation, gender identity or expression, or any other characteristic protected by federal, state, or local laws.</t>
        </is>
      </c>
    </row>
    <row r="16">
      <c r="A16" t="inlineStr">
        <is>
          <t>li-4228989525</t>
        </is>
      </c>
      <c r="B16" t="inlineStr">
        <is>
          <t>Senior Analytics Engineer</t>
        </is>
      </c>
      <c r="C16" t="inlineStr">
        <is>
          <t>Coinbase</t>
        </is>
      </c>
      <c r="D16" t="inlineStr">
        <is>
          <t>linkedin</t>
        </is>
      </c>
      <c r="E16" t="inlineStr"/>
      <c r="F16" t="inlineStr"/>
      <c r="G16" t="inlineStr"/>
      <c r="H16" t="inlineStr"/>
      <c r="I1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The Analytics Engineering team bridges the gap between data engineering, data science, and business analytics by building scalable, impactful data solutions. We transform raw data into actionable insights through robust pipelines, well\-designed data models, and tools that empower stakeholders across the organization to make data\-driven decisions.
 Our team combines technical expertise with a deep understanding of the business to unlock the full potential of our data. We prioritize data quality, reliability, and usability, ensuring stakeholders can rely on our data to drive meaningful outcomes.
**What We Do:** 
* **Trusted Data Sources** 
 : Develop and maintain foundational data models that serve as the single source of truth for analytics across the organization.
* **Actionable Insights** 
 : Empower stakeholders by translating business requirements into scalable data models, dashboards, and tools.
* **Cross\-Functional Collaboration** 
 : Partner with engineering, data science, product, and business teams to ensure alignment on priorities and data solutions.
* **Scalable Data Products** 
 : Build frameworks, tools, and workflows that maximize efficiency for data users, while maintaining high standards of data quality and performance.
* **Outcome\-Focused Solutions** 
 : Use modern development and analytics tools to deliver value quickly, while ensuring long\-term maintainability.
**What you’ll be doing:** 
 Analytics engineer is a hybrid Data Engineer/Data Scientist/Business Analyst role that has the expertise to understand data flows end to end, and the engineering toolkit to extract the most value out of it indirectly (building tables) or directly (solving problems, delivering insights).
* **Be the expert:** 
 Quickly build subject matter expertise in a specific business area and data domain. Understand the data flows from creation, ingestion, transformation, and delivery.
	+ *Examples:* 
		- *Step into a new line of business and work with Engineering and Product partners to deliver first data pipelines and insights.*
		- *Communicate with engineering teams to fix data gaps for downstream data users.*
		- *Take initiative and accountability for fixing issues anywhere in the stack.*
* **Generate business value:** 
  Interface with stakeholders on data and product teams to deliver the most commercial value from data (directly or indirectly).
	+ *Examples:* 
		- *Build out a new data model allowing multiple downstream DS teams to more easily unlock business value through experimentation and ad hoc analysis.*
		- *Combine Eng details of the algo engine with stats and data expertise to come up with feasible solutions for Eng to make the algo better.*
		- *Work with PMs to tie together new x\-PG, and x\-Product data into one holistic framework to optimize key financing product business metrics.*
* **Focus on outcomes not tools:** 
  Use a variety of frameworks and paradigms to identify the best\-fit tools to deliver value.
	+ *Examples:* 
		- *Develop new abstractions (e.g. UDFs, Python packages, dashboards) to support scalable data workflows/infra.*
		- *Stand up a framework for building data apps internally, enabling other DS teams to quickly add value.* 
		*U*
		- *se established tools with mastery (e.g. Google Sheets, SQL) to quickly deliver impact when speed is top priority.*
**What We Look For in You:** 
 In addition to out of the box thinking, attention to detail, a sense of urgency and a high degree of autonomy and accountability, we expect you to have the following skills:
* **Data Modeling Expertise** 
 : Strong understanding of best practices for designing modular and reusable data models (e.g., star schemas, snowflake schemas).
* **Prompt Design and Engineering:** 
 Expertise in prompt engineering and design for LLMs (e.g., GPT), including creating, refining, and optimizing prompts to improve response accuracy, relevance, and performance for internal tools and use cases.
* **Advanced SQL** 
 : Proficiency in advanced SQL techniques for data transformation, querying, and optimization.
* **Intermediate to Advanced Python** 
 : Expertise in scripting and automation, with experience in Object\-Oriented Programming (OOP) and building scalable frameworks.
* **Collaboration and Communication** 
 : Strong ability to translate technical concepts into business value for cross\-functional stakeholders. Proven ability to manage projects and communicate effectively across teams.
* **Data Pipeline Development** 
 : Experience building, maintaining, and optimizing ETL/ELT pipelines, using modern tools like dbt, Airflow, or similar.
* **Data Visualization** 
 : Proficiency in building polished dashboards using tools like Looker, Tableau, Superset, or Python visualization libraries (Matplotlib, Plotly).
* **Development Tools** 
 : Familiarity with version control (GitHub), CI/CD, and modern development workflows.
* **Data Architecture** 
 : Knowledge of modern data lake/warehouse architectures (e.g., Snowflake, Databricks) and transformation frameworks.
* **Business Acumen** 
 : Ability to understand and address business challenges through analytics engineering.
* **Data savvy:** 
 Familiarity with statistics and probability.
* **Bonus Skills** 
 :
+ Experience with cloud platforms (e.g., AWS, GCP).
+ Familiarity with Docker or Kubernetes.
*Disclaimer: Applying for a specific role does not guarantee consideration for that exact position. Leveling and team matching are assessed throughout the interview process.* 
 ID: G2754
 Pay Transparency Notice: Depending on your work location, the target annual salary for this position can range as detailed below. Full time offers from Coinbase also include target bonus \+ benefits (including medical, dental, vision and 401(k)).
 Pay Range:: $180,000 USD \- $212,000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17">
      <c r="A17" t="inlineStr">
        <is>
          <t>li-4355937050</t>
        </is>
      </c>
      <c r="B17" t="inlineStr">
        <is>
          <t>Senior Data Engineer</t>
        </is>
      </c>
      <c r="C17" t="inlineStr">
        <is>
          <t>SoTalent</t>
        </is>
      </c>
      <c r="D17" t="inlineStr">
        <is>
          <t>linkedin</t>
        </is>
      </c>
      <c r="E17" t="inlineStr"/>
      <c r="F17" t="inlineStr"/>
      <c r="G17" t="inlineStr">
        <is>
          <t>Frisco, TX</t>
        </is>
      </c>
      <c r="H17" t="inlineStr"/>
      <c r="I17" t="inlineStr">
        <is>
          <t>**Job Title: Principal Data Engineer** 
**Location: Frisco, Texas, United States** 
**Type: Full Time** 
 Our Client is seeking a highly experienced Principal Data Engineer to lead the design and development of modern, scalable data platforms. This role is ideal for a technical leader who thrives on building robust data architectures, optimizing analytics ecosystems, and shaping best‑in‑class engineering practices across data teams.
**What You’ll Do** 
**Data Engineering \&amp; Architecture** 
* Architect and implement scalable data pipelines and transformation workflows using tools such as dbt, SnowSQL, and cloud‑native technologies.
* Design and maintain enterprise‑level data lakes, data warehouses, and curated transformation layers leveraging modern patterns such as the Medallion (Bronze–Silver–Gold) architecture.
* Define and implement best practices for data ingestion, modeling, quality assurance, and lineage to ensure trusted, reliable, and consistent data delivery.
* Build reusable frameworks and automation tools for deployment, monitoring, and lifecycle management of data assets.
* Optimize data platforms for performance, reliability, and cost efficiency to support advanced analytics and machine learning workloads.
**Requirements** 
**Education** 
* Bachelor’s or Master’s degree in Computer Science, Data Science, Information Systems, or a related technical field.
**Experience** 
* 10\+ years of experience in data management, including integration, modeling, architecture, and performance optimization.
* Hands‑on experience with analytics platforms and tools such as Snowflake or Informatica Cloud.
* Expert‑level proficiency in SQL, SnowSQL, ETL development, and enterprise data warehousing concepts.
**Core Skills** 
* Strong background in conceptual architecture, data integration design, and technical wireframing.
* Familiarity with DevOps and Agile environments (preferred).
* Excellent communication, presentation, and change‑management skills.
**Nice to Have** 
* Exposure to SAP ERP and SAP‑based data integration processes.
* Experience with CI/CD pipelines, DevOps practices, and Git‑based workflows.
* Understanding of AI/ML use cases in data operations, such as anomaly detection or intelligent data quality.
* Certifications related to Snowflake, dbt, or major cloud platforms.</t>
        </is>
      </c>
    </row>
    <row r="18">
      <c r="A18" t="inlineStr">
        <is>
          <t>li-4366354332</t>
        </is>
      </c>
      <c r="B18" t="inlineStr">
        <is>
          <t>Data Engineer</t>
        </is>
      </c>
      <c r="C18" t="inlineStr">
        <is>
          <t>Robert Half</t>
        </is>
      </c>
      <c r="D18" t="inlineStr">
        <is>
          <t>linkedin</t>
        </is>
      </c>
      <c r="E18" t="inlineStr"/>
      <c r="F18" t="inlineStr"/>
      <c r="G18" t="inlineStr">
        <is>
          <t>New Braunfels, TX</t>
        </is>
      </c>
      <c r="H18" t="inlineStr"/>
      <c r="I18" t="inlineStr">
        <is>
          <t>Key Responsibilities:
 · Design, develop, and maintain scalable backend systems to support data warehousing and data lake initiatives.
 · Build and optimize ETL/ELT processes to extract, transform, and load data from various sources into centralized data repositories.
 · Develop and implement integration solutions for seamless data exchange between systems, applications, and platforms.
 · Collaborate with data architects, analysts, and other stakeholders to define and implement data models, schemas, and storage solutions.
 · Ensure data quality, consistency, and security by implementing best practices and monitoring frameworks.
 · Monitor and troubleshoot data pipelines and systems to ensure high availability and performance.
 · Stay up\-to\-date with emerging technologies and trends in data engineering and integration to recommend improvements and innovations.
 · Document technical designs, processes, and standards for the team and stakeholders.
 Qualifications:
 · Bachelor’s degree in Computer Science, Engineering, or a related field; equivalent experience considered.
 · Proven experience as a Data Engineer with 5 or more years of experience; or in a similar backend development role.
 · Strong proficiency in programming languages such as Python, Java, or Scala.
 · Hands\-on experience with ETL/ELT tools and frameworks (e.g., Apache Airflow, Talend, Informatica, etc.).
 · Extensive knowledge of relational and non\-relational databases (e.g., SQL, NoSQL, PostgreSQL, MongoDB).
 · Expertise in building and managing enterprise data warehouses (e.g., Snowflake, Amazon Redshift, Google BigQuery) and data lakes (e.g., AWS S3, Azure Data Lake).
 · Familiarity with cloud platforms (AWS, Azure, Google Cloud) and their data services.
 · Experience with API integrations and data exchange protocols (e.g., REST, SOAP, JSON, XML).
 · Solid understanding of data governance, security, and compliance standards.
 · Strong analytical and problem\-solving skills with attention to detail.
 · Excellent communication and collaboration abilities.
 Preferred Qualifications:
 · Certifications in cloud platforms (AWS Certified Data Analytics, Azure Data Engineer, etc.)
 · Experience with big data technologies (e.g., Apache Hadoop, Spark, Kafka).
 · Knowledge of data visualization tools (e.g., Tableau, Power BI) for supporting downstream analytics.
 · Familiarity with DevOps practices and tools (e.g., Docker, Kubernetes, Jenkins).
 Apache Spark, Python, Apache Hadoop, Apache Kafka, ETL \- Extract Transform Load, Azure Data Factory, Azure Data Lake, Azure Databricks, Google Cloud Platform, Amazon Web Services (AWS), DevOps, Big Data, Data Warehousing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19">
      <c r="A19" t="inlineStr">
        <is>
          <t>li-4366338897</t>
        </is>
      </c>
      <c r="B19" t="inlineStr">
        <is>
          <t>Data Engineer</t>
        </is>
      </c>
      <c r="C19" t="inlineStr">
        <is>
          <t>Robert Half</t>
        </is>
      </c>
      <c r="D19" t="inlineStr">
        <is>
          <t>linkedin</t>
        </is>
      </c>
      <c r="E19" t="inlineStr"/>
      <c r="F19" t="inlineStr"/>
      <c r="G19" t="inlineStr">
        <is>
          <t>Oldwick, NJ</t>
        </is>
      </c>
      <c r="H19" t="inlineStr"/>
      <c r="I19" t="inlineStr">
        <is>
          <t>The Data Engineer role focuses on designing, building, and optimizing scalable data solutions that support diverse business needs. This position requires the ability to work independently while collaborating effectively in a fast\-paced, agile environment. The individual in this role partners with cross\-functional teams to gather data requirements, recommend enhancements to existing data pipelines and architectures, and ensure the reliability, performance, and efficiency of data processes.
 Responsibilities
* Support the team’s adoption and continued evolution of the Databricks platform, leveraging features such as Delta Live Tables, workflows, and related tooling
* Design, develop, and maintain data pipelines that extract data from relational sources, load it into a data lake, transform it as needed, and publish it to a Databricks\-based lakehouse environment
* Optimize data pipelines and processing workflows to improve performance, scalability, and overall efficiency
* Implement data quality checks and validation logic to ensure data accuracy, consistency, and completeness
* Create and maintain documentation including data mappings, data definitions, architectural diagrams, and data flow diagrams
* Develop proof\-of\-concepts to evaluate and validate new technologies, tools, or data processes
* Deploy, manage, and support code across non\-production and production environments
* Investigate, troubleshoot, and resolve data\-related issues, including identifying root causes and implementing fixes
* Identify performance bottlenecks and recommend optimization strategies, including database tuning and query performance improvements
 Qualifications
* Bachelor’s degree in Computer Science, Data Science, Software Engineering, Information Systems, or a related quantitative discipline
* 4\+ years of experience in data\-focused roles such as Data Engineer, ETL Engineer, Data Architect, or similar
* Active Databricks Data Engineer or Analyst certification
 Technical Skills \&amp; Experience
* 4\+ years of hands\-on experience developing in Python
* 3\+ years of experience working with Databricks, including production implementations involving data structures, data storage, change data capture, pipeline optimization, and best practices
* 3\+ years of experience with Kimball dimensional modeling, including star schemas, fact tables, Type 1 and Type 2 dimensions, aggregates, and a strong understanding of ELT/ETL methodologies
* 3\+ years of experience writing complex SQL and PL/SQL
* 2\+ years of experience using Airflow for workflow orchestration
* 3\+ years of experience working with relational databases (Oracle or similar platforms)
* 2\+ years of experience with NoSQL databases such as MongoDB, Cosmos DB, DocumentDB, or comparable technologies
* 2\+ years of cloud platform experience (Azure or equivalent)
* Experience implementing CI/CD practices using Git\-based workflows and DevOps tools
* Familiarity with modern data storage formats including Parquet, Arrow, and Avro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20">
      <c r="A20" t="inlineStr">
        <is>
          <t>li-4366360031</t>
        </is>
      </c>
      <c r="B20" t="inlineStr">
        <is>
          <t>Data Engineer</t>
        </is>
      </c>
      <c r="C20" t="inlineStr">
        <is>
          <t>Robert Half</t>
        </is>
      </c>
      <c r="D20" t="inlineStr">
        <is>
          <t>linkedin</t>
        </is>
      </c>
      <c r="E20" t="inlineStr"/>
      <c r="F20" t="inlineStr"/>
      <c r="G20" t="inlineStr">
        <is>
          <t>The Woodlands, TX</t>
        </is>
      </c>
      <c r="H20" t="inlineStr"/>
      <c r="I20" t="inlineStr">
        <is>
          <t>We are looking for a skilled Data Engineer to design and implement robust technical solutions for enterprise applications. This role involves creating scalable and secure cloud\-native systems on Azure, while collaborating closely with stakeholders to meet business requirements. The ideal candidate will possess strong expertise in data architecture and integration strategies, ensuring high engineering standards and seamless orchestration across systems.
 Responsibilities:
 • Design and maintain comprehensive technical architectures for enterprise applications, ensuring scalability and security.
 • Develop integration strategies across multiple systems, including manufacturing, field service, and customer portals.
 • Collaborate with the Principal Architect to define data contracts and establish effective integration patterns.
 • Partner with teams in Product, AI/ML Engineering, and business units to translate requirements into functional solutions.
 • Create reference implementations and frameworks to streamline development processes.
 • Oversee system\-level orchestration and elevate engineering standards across projects.
 • Implement cloud\-native solutions on Azure, leveraging modern tools and technologies.
 • Provide technical guidance and mentorship to engineering teams, fostering best practices.
 • Continuously monitor and improve system performance, addressing issues proactively.
 • Proficiency in Apache Spark for distributed data processing.
 • Strong programming skills in Python for data manipulation and automation.
 • Experience with Apache Hadoop for big data storage and management.
 • Knowledge of Apache Kafka for real\-time data streaming.
 • Expertise in ETL processes for data extraction, transformation, and loading.
 • Familiarity with cloud platforms, particularly Azure.
 • Ability to design scalable and secure solutions.
 • Excellent problem\-solving skills and attention to detail.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21">
      <c r="A21" t="inlineStr">
        <is>
          <t>li-4327757789</t>
        </is>
      </c>
      <c r="B21" t="inlineStr">
        <is>
          <t>Senior Data Engineer</t>
        </is>
      </c>
      <c r="C21" t="inlineStr">
        <is>
          <t>Skydio</t>
        </is>
      </c>
      <c r="D21" t="inlineStr">
        <is>
          <t>linkedin</t>
        </is>
      </c>
      <c r="E21" t="inlineStr"/>
      <c r="F21" t="inlineStr"/>
      <c r="G21" t="inlineStr">
        <is>
          <t>San Mateo, CA</t>
        </is>
      </c>
      <c r="H21" t="inlineStr"/>
      <c r="I21" t="inlineStr">
        <is>
          <t>Skydio is the leading US drone company and the world leader in autonomous flight, the key technology for the future of drones and aerial mobility. The Skydio team combines deep expertise in artificial intelligence, best\-in\-class hardware and software product development, operational excellence, and customer obsession to empower a broader, more diverse audience of drone users, from utility inspectors to first responders, soldiers in battlefield scenarios and beyond.
**About The Role**
 We are looking for a foundational member of the Data Team to enable Skydio to make data\-driven decisions and build data\-centric products.
 You’ll build the systems that collect, transform, and store data from tens of thousands of autonomous drones, powering insights that make our vehicles smarter, safer, and more capable. You’ll have the opportunity to define our data architecture, champion modern tooling in Databricks and Palantir Foundry, and bring AI\-assisted analytics to every corner of the company.
 This is not a back\-office data role — you’ll be working on problems at the intersection of autonomy, AI, and massive\-scale telemetry, helping Skydio turn raw flight data into intelligence that drives real\-world impact!
**Examples Of What You’ll Help Build**
* Predictive models that forecast hardware issues — like propeller or battery failures — before they happen, and automatically trigger the right mitigation steps.
* 3D maps of cellular and radio connectivity across the operational airspace, helping customers understand where their drones can safely and reliably fly.
* The company\-wide data lakehouse that powers analytics, dashboards, and machine learning — built to be secure, scalable, and lightning\-fast.
* AI\-driven data tools that let anyone at Skydio explore data, uncover insights, and build pipelines for their use cases — all in a truly self\-serve way.
**How You'll Make An Impact**
* Design and scale the data infrastructure that ingests live telemetry from tens of thousands of autonomous drones — reliably, efficiently, and with the scale to support the next generation of flight intelligence.
* Build and evolve our Databricks and Palantir Foundry environments to empower every Skydian to query data, define jobs, and build dashboards — turning raw telemetry into accessible, actionable insights.
* Develop data systems that make our products truly data\-driven — from predictive analytics that anticipate hardware failures, to 3D connectivity mapping, to in\-depth flight telemetry analysis that sharpens drone performance.
* Create and integrate AI\-powered tools for data analysis, transformation, and pipeline generation — lowering the technical barrier and democratizing how teams access and build with data.
* Champion a data\-driven culture by defining and enforcing best practices for data quality, lineage, and governance, keeping Skydio’s data lakehouse secure, performant, and cost\-effective at scale.
* Collaborate with autonomy, manufacturing, and operations teams to unify how data flows across the company — enabling faster, smarter decision\-making and unlocking AI\-driven insights end\-to\-end.
* Lead and mentor data engineers, analysts, and stakeholders across Skydio — guiding teams toward better architecture, more reliable data models, and a shared culture of excellence.
* Ensure platform reliability by implementing robust monitoring, observability, and contributing to the on\-call rotation for critical data systems.
**What Would Make You a Good Fit**
* 5\+ years of professional experience, including 2\+ years in software engineering and 2\+ years in data engineering with a bias towards getting your hands dirty.
* Deep experience with Databricks or Palantir Foundry, including building pipelines, managing datasets, and developing dashboards or analytical applications.
* Proven track record of operating scalable data platforms, defining company\-wide patterns that ensure reliability, performance, and cost effectiveness.
* Proficiency in SQL and at least one modern programming language (for example, Python or Java), and comfort working across the full data stack — from ingestion and transformation to orchestration and visualization.
* Strong communication skills, with the ability to collaborate effectively across all levels and functions — from engineers and analysts to senior leadership — and to translate data into clear narratives and decisions.
* Demonstrated ability to lead technical direction, mentor teammates, and promote engineering excellence and best practices across the organization.
* Familiarity with AI\-assisted data workflows, including tools that accelerate data transformations or enable natural\-language interfaces for analytics.
* Bonus: Experience in robotics, IoT, or autonomous systems, or building data systems that integrate with real\-world hardware.
**Why Join Us?**
 At Skydio, you’ll help shape the future of autonomous flight technology. You’ll work alongside world\-class engineers and domain experts, and you’ll be given ownership and autonomy to grow into a leadership role. We offer competitive compensation, excellent benefits, and an opportunity to make a tangible impact in an industry poised for massive growth.
**Compensation:** 
 At Skydio, our compensation packages for regular,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$170,000\-230,000\*. Fundamentally, we believe that equity is the key to long\-term financial growth, and we ensure all regular, full\-time employees have the opportunity to significantly benefit from the company's success. Regular, full\-time employees are eligible to enroll in the Company’s group health insurance plans. Regular, full\-time employees are eligible to receive the following benefits: Paid vacation time, sick leave, holiday pay and 401K savings plan. This position and all associated benefits are subject to applicable federal, state, and local laws, as well as the Company’s policies and eligibility criteria.
* Compensation for certain positions may vary based on the position’s location.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Qualified applicants will receive consideration for employment without regard to race, color, religion, sex, sexual orientation, gender identity, national origin, disability, protected veteran status, or other characteristics protected by federal, state or local anti\-discrimination laws.
 For positions located in the United States of America, Skydio, Inc. uses E\-Verify to confirm employment eligibility. To learn more about E\-Verify, including your rights and responsibilities, please visit https://www.e\-verify.gov/</t>
        </is>
      </c>
    </row>
    <row r="22">
      <c r="A22" t="inlineStr">
        <is>
          <t>li-4365966523</t>
        </is>
      </c>
      <c r="B22" t="inlineStr">
        <is>
          <t>Data Engineer/Architect</t>
        </is>
      </c>
      <c r="C22" t="inlineStr">
        <is>
          <t>Sigmoid</t>
        </is>
      </c>
      <c r="D22" t="inlineStr">
        <is>
          <t>linkedin</t>
        </is>
      </c>
      <c r="E22" t="inlineStr"/>
      <c r="F22" t="inlineStr"/>
      <c r="G22" t="inlineStr">
        <is>
          <t>Dallas, TX</t>
        </is>
      </c>
      <c r="H22" t="inlineStr"/>
      <c r="I22" t="inlineStr">
        <is>
          <t>**About Sigmoid Analytics:** 
 Sigmoid unlocks business value for Fortune 1000 companies through expert data engineering, data science, and AI consulting. We solve complex challenges for leaders in CPG, Retail, BFSI, and Life Sciences. With 10\+ delivery centers in the USA, Canada, UK, Europe, Singapore, and India, we deliver cutting\-edge data modernization and generative AI solutions. Join us to shape the future of data\-driven innovation!
 Why Sigmoid?
* Inc. 500 Fastest\-Growing Companies (4 years running)
* Deloitte Technology Fast 500 (4 years running)
* Top Employer: AIM’s 50 Best Firms for Data Scientists
* Recently named British Data Awards Finalist \&amp; more accolades on the way!
 Accelerate your career with a fast\-growing, innovative company. Apply now and be part of our award\-winning team!
**Job Description:** 
**\*\*5 Days work from Dallas Office** 
 \*\*
 **No HYBRID** 
**Align Sigmoid with key Client initiatives** 
* Interface daily with customers across leading Fortune 500 companies to understand strategic requirements
* Connect with CIO, VP and Director level clients on a regular basis.
* Ability to understand business requirements and tie them to technology solutions
**Build a delivery plan with domain experts and stay on track** 
* Design, develop and evolve highly scalable and fault\-tolerant distributed components using Big data technologies.
* Excellent experience in Application development and support, integration development and data management.
**Build team and manage it day to day basis** 
* Play the key role of hiring manager to build the future of Sigmoid.
* Guiding developers in day to day design and coding tasks, stepping in to code if needed.
* Define your team structure, Hire and train your team as needed
**Stay up\-to\-date on the latest technology to ensure the greatest ROI for customer \&amp; Sigmoid** 
* Hands on coder with good understanding on enterprise level code
* Design and implement APIs, abstractions and integration patterns to solve challenging distributed computing problems
* Experience in defining technical requirements, data extraction, data transformation, automating jobs, productionizing jobs, and exploring new big data technologies within a Parallel Processing environment
**Culture** 
* Must be a strategic thinker with the ability to think unconventional / out:of:box.
* Analytical and data driven orientation.
* Raw intellect, talent and energy are critical.
* Entrepreneurial and Agile : understands the demands of a private, high growth company.
* Ability to be both a leader and hands on “doer. ”
**Facilitate in Technical Aspects** 
* Help Technical architects understand clients business constraints while drawing out architectures
* Build a business case around highly scalable and fault\-tolerant distributed components designed by technical architects
* Lead integration effort onsite with the client technical teams
* Understand client acceptance criteria and emulate that for offshore technical teams
* Receive and monitor technical deliverables from the offshore team and present to client teams
**Qualifications:** 
* **8\-16\+ years** 
 track record of relevant work experience and a Computer Science or related technical discipline is required
* Dynamic leader who has directly managed team of highly competent developers in fast paced work environment
* Experience in Architecture and delivery of Enterprise scale applications.
* Lead and execute
 **data migration projects** 
 , especially migrations to
 **AWS**
* Architect and develop
 **data warehouses** 
 using modern cloud technologies
* Handle
 **data project migrations** 
 from legacy systems (including Hadoop\-based platforms) to cloud environments
* Work extensively with
 **Snowflake** 
 and
 **Databricks** 
 for data processing and analytics
**Preferred Qualification:** 
* Architecting, developing, implementing and maintaining Big Data solutions
* Experience with database modeling and development, data mining and warehousing.
* Experience with Hadoop ecosystem (HDFS, MapReduce, Hive, Impala, Spark, Kerberos, KAFKA, etc)
**\*\*5 Days work from Dallas Office** 
 \*\*
 **No HYBRID**</t>
        </is>
      </c>
    </row>
    <row r="23">
      <c r="A23" t="inlineStr">
        <is>
          <t>li-4358340254</t>
        </is>
      </c>
      <c r="B23" t="inlineStr">
        <is>
          <t>Data Engineer</t>
        </is>
      </c>
      <c r="C23" t="inlineStr">
        <is>
          <t>Amazon</t>
        </is>
      </c>
      <c r="D23" t="inlineStr">
        <is>
          <t>linkedin</t>
        </is>
      </c>
      <c r="E23" t="inlineStr"/>
      <c r="F23" t="inlineStr"/>
      <c r="G23" t="inlineStr">
        <is>
          <t>Bellevue, WA</t>
        </is>
      </c>
      <c r="H23" t="inlineStr"/>
      <c r="I23" t="inlineStr">
        <is>
          <t>**Description**
 Amazon Leo is an initiative to increase global broadband access through a constellation of 3,236 satellites in low Earth orbit (LEO). Its mission is to bring fast, affordable broadband to unserved and underserved communities around the world. Leo will help close the digital divide by delivering fast, affordable broadband to a wide range of customers, including consumers, businesses, government agencies, and other organizations operating in places without reliable connectivity.
 As a Data Engineer in Leo's Global Business Operations (GBO), you will be one of the architects and engineers building up the cloud data infrastructure for use across Leo. You will be working directly on AWS to build internal tools used across the hundreds of Business Intelligence Engineers and Scientists to build business\-critical reports and ML Models. You will design the data models used by these teams to efficiently dive deep into the business and extract insights. Getting in pre\-launch, you have creative influence to drive this engineering direction on a native stack and your outputs will be critical to the success of Leo's ambitious mission.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**BASIC QUALIFICATIONS**
* 3\+ years of data engineering experience
* Experience with data modeling, warehousing and building ETL pipelines
* Bachelor's degree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in data warehouse technical architectures, data modeling, infrastructure components, ETL/ ELT and reporting/analytic tools and environments, data structures and hands\-on SQL coding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\- 132,100\.00 \- 178,800\.00 USD annually
**Company** 
 \- Amazon Kuiper Commercial Services LLC
 Job ID: A3152942</t>
        </is>
      </c>
    </row>
    <row r="24">
      <c r="A24" t="inlineStr">
        <is>
          <t>li-4358211348</t>
        </is>
      </c>
      <c r="B24" t="inlineStr">
        <is>
          <t>Senior Data Engineer</t>
        </is>
      </c>
      <c r="C24" t="inlineStr">
        <is>
          <t>Curinos</t>
        </is>
      </c>
      <c r="D24" t="inlineStr">
        <is>
          <t>linkedin</t>
        </is>
      </c>
      <c r="E24" t="inlineStr"/>
      <c r="F24" t="inlineStr"/>
      <c r="G24" t="inlineStr"/>
      <c r="H24" t="inlineStr"/>
      <c r="I24" t="inlineStr">
        <is>
          <t>**Company Description** 
 Curinos empowers financial institutions to make better, faster and more profitable decisions through industry\-leading proprietary data, technologies and insights. With decades\-long expertise in the financial services industry and a relentless focus on the future, Curinos technology and analytics ecosystem allows clients to anticipate customer needs and optimize their go\-to market decisions in an increasingly competitive market.
 We operate in
 **a hybrid modality in the Greater New York, Chicago, or Boston metropolitan areas.** 
**Job Description** 
 Curinos is hiring a
 **Senior Data Engineer** 
 to join our
 **Acquire Product team** 
 . This team is building a next generation B2B SaaS application that empowers financial institutions to attract customers aligned to their portfolio strategy across products. You’ll work with a diverse team of talented engineers, AI and ML scientists, and product managers to deliver data\-driven and high\-quality software solutions that meet the needs of our clients.
**Responsibilities** 
 You'll work with product and engineering teams to:
* Design, build, and maintain scalable and reliable data pipelines, including ingestion, storage, validation, governance, monitoring, and ELT patterns
* Proactively identify opportunities and implement solutions to optimize pipeline operations and reduce manual work
* Develop and maintain ETL data pipelines for large volumes of data, writing clean, maintainable, and efficient code
* Maintain and evangelize high standards in software and data engineering best practices (SDLC, testing, scaling, performance)
* Work closely with product managers, data scientists, and software engineers to create and prepare datasets from disparate sources to support the development and delivery of cutting\-edge ML models and interactive application
* Proactively identify and implement new technologies and improve our reusable tools
* Conduct code reviews and provide feedback
* Participate in agile ceremonies
* Stay current with emerging technologies and industry best practices
**Salary Range: $110,000 to $140,000 (plus bonus)** 
**Desired Skills \&amp; Expertise:** 
* Advanced proficiency in Python and SQL
* Required experience with Spark, including distributed computing and optimization
* Preferred experience with Databricks (Unity Catalog, Feature Store, Delta Live Tables)
* Extensive experience with data pipeline and workflow management tools (e.g., Airflow, Databricks, Glue)
* Strong understanding of data engineering best practices (ETL/ELT, monitoring, observability, validations)
* Experience with big data, scaling data processing, and distributed computing
* Strong analytical skills—ability to explore, interpret, and transform raw data into structured, high\-quality datasets that support business decisions and advanced analytics
* Production support experience
* Minimum 3\+ years of professional experience
* Self\-discipline and eagerness to learn new skills, tools, and technologies
* Solid verbal and written communication skills
**Why work at Curinos?** 
* Competitive benefits, including a range of Financial, Health and Lifestyle benefits to choose from
* Flexible working options, including home working, flexible hours and part time options, depending on the role requirements – please ask!
* Unlimited PTO policy, floating holidays, volunteering days and a day off for your birthday
* Learning and development tools to assist with your career development
* Work with industry leading Subject Matter Experts and specialist products
* Regular social events and networking opportunities
* Collaborative, supportive culture, including an active DE\&amp;I program
* Employee Assistance Program which provides expert third\-party advice on wellbeing, relationships, legal and financial matters, as well as access to counselling services
**Applying** 
 We know that sometimes the 'perfect candidate' doesn't exist, and that people can be put off applying for a job if they don't meet all the requirements. If you're excited about working for us and have relevant skills or experience, please go ahead and apply. You could be just what we need!
 If you need any adjustments to support your application, such as information in alternative formats, special requirements to access our buildings or adjusted interview formats please contact us at careers@curinos.com and we’ll do everything we can to help.
**Inclusivity At Curinos** 
 We believe strongly in the value of diversity and creating supportive, inclusive environments where our colleagues can succeed. As such, Curinos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protected characteristics</t>
        </is>
      </c>
    </row>
    <row r="25">
      <c r="A25" t="inlineStr">
        <is>
          <t>li-4343685056</t>
        </is>
      </c>
      <c r="B25" t="inlineStr">
        <is>
          <t>Senior Data Engineer (CoreAI)</t>
        </is>
      </c>
      <c r="C25" t="inlineStr">
        <is>
          <t>Microsoft</t>
        </is>
      </c>
      <c r="D25" t="inlineStr">
        <is>
          <t>linkedin</t>
        </is>
      </c>
      <c r="E25" t="inlineStr"/>
      <c r="F25" t="inlineStr"/>
      <c r="G25" t="inlineStr">
        <is>
          <t>Redmond, WA</t>
        </is>
      </c>
      <c r="H25" t="inlineStr"/>
      <c r="I25" t="inlineStr">
        <is>
          <t>**Overview**
 Core AI is at the forefront of Microsoft’s mission to redefine how software is built and experienced. We are responsible for building the foundational platforms, services, programming models, and developer experiences that power the next generation of applications using Generative AI. Our work enables developers and enterprises to harness the full potential of AI to create intelligent, adaptive, and transformative software.
 The EngThrive Insights team is responsible for understanding the developer experience. Our mission is to deliver insights that enable Microsoft to be the best place to work as an engineer, where it is fast and easy to do great work.
 In this role, you will work as a senior engineer supporting the data platform that underpins EngThrive insights. Your responsibilities will include designing and maintaining data pipelines, curating high\-quality datasets, performing in\-depth data analysis, developing dashboards, and building the data and AI infrastructure that supports these capabilities and our missions.
 Success in this position requires versatility across multiple domains, including software engineering and data analytics, as well as a strong passion for, and understanding of, the tools and processes that shape the engineering workflow.
 At Microsoft, our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**Architect for Scale and Sustainability:** 
 Design and evolve durable, scalable system architectures that balance long\-term maintainability with short\-term delivery needs, making thoughtful engineering trade\-offs.
**Direct Impact:** 
 Leads by example and work with others to produce extensible and maintainable code used across the platform. Creates and applies metrics to drive the quality and stability of code, as well as appropriate coding patterns and best practices.
**Foster Engineering Alignment:** 
 Build consensus across engineering teams and partner organizations by driving clarity, alignment, and shared ownership of technical direction.
**Build Foundational Capabilities:** 
 Contribute to and lead the development of core platform components and reusable building blocks that accelerate team velocity and product innovation.
**Champion Customer\-Centric Development:** 
 Engage directly with customers and product teams to capture feedback, understand demand signals, and refine product messaging—ensuring the voice of the customer shapes product evolution.
**Operational Excellence:** 
 Drive operational excellence in managing and operating large\-scale data systems with a high bar for data quality, stability, security and privacy. Set high standards for reliability and performance.
**Qualifications**
**Required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4\+ years experience in business analytics, data science, software development, data modeling, or data engineering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working on data pipelines.
* 2\+ years of experience in leading and driving engineering projects, planning, executing, and overseeing engineering initiatives with a focus on collaboration, efficiency, and achieving key milestones.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
      <c r="A26" t="inlineStr">
        <is>
          <t>li-4365994488</t>
        </is>
      </c>
      <c r="B26" t="inlineStr">
        <is>
          <t>Analytics Engineer</t>
        </is>
      </c>
      <c r="C26" t="inlineStr">
        <is>
          <t>RemoteHunter</t>
        </is>
      </c>
      <c r="D26" t="inlineStr">
        <is>
          <t>linkedin</t>
        </is>
      </c>
      <c r="E26" t="inlineStr"/>
      <c r="F26" t="inlineStr"/>
      <c r="G26" t="inlineStr"/>
      <c r="H26" t="inlineStr"/>
      <c r="I26"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7">
      <c r="A27" t="inlineStr">
        <is>
          <t>li-4366379144</t>
        </is>
      </c>
      <c r="B27" t="inlineStr">
        <is>
          <t>Data Engineer</t>
        </is>
      </c>
      <c r="C27" t="inlineStr">
        <is>
          <t>TalentAlly</t>
        </is>
      </c>
      <c r="D27" t="inlineStr">
        <is>
          <t>linkedin</t>
        </is>
      </c>
      <c r="E27" t="inlineStr"/>
      <c r="F27" t="inlineStr"/>
      <c r="G27" t="inlineStr">
        <is>
          <t>Frisco, TX</t>
        </is>
      </c>
      <c r="H27" t="inlineStr"/>
      <c r="I27" t="inlineStr">
        <is>
          <t>Job Overview:
 Are you passionate about harnessing data to unlock business insights and drive strategic growth? At Keurig Dr Pepper, we're seeking a Principal Data Engineer to lead the development and optimization of our modern data ecosystem. You'll play a pivotal role in designing scalable data solutions, enabling advanced analytics, and mentoring teams across disciplines to maximize the value of data.
 Join our innovative team and help shape the future of enterprise data at one of North America's leading beverage companies.
 As a Principal Data Engineer, you will...
 Data Engineering \&amp; Architecture:
 \* Architect and implement scalable data pipelines and transformation workflows using dbt, SnowSQL, and cloud\-native technologies.
 \* Design, build, and maintain enterprise\-grade data lakes, data warehouses, and transformation layers leveraging modern architectural patterns such as the Medallion (Bronze, Silver, Gold) architecture to support analytics and machine learning.
 \* Implement best practices for data ingestion, modeling, quality assurance, and lineage to ensure trusted and consistent data delivery.
 \* Create reusable frameworks and tools for automated deployment, monitoring, and lifecycle management of data assets.
 \* Optimize data platforms to deliver reliable, performant, and cost\-effective analytics infrastructure.
 AI\-Ready Data Ecosystems
 \* Collaborate with Data Scientists to support AI/ML pipelines\-enabling efficient feature engineering, model training, and real\-time inferencing.
 \* Integrate AI\-driven capabilities such as anomaly detection, intelligent alerting, and natural language enrichment into data workflows.
 Leadership \&amp; Collaboration:
 \* Collaborate with cross\-functional teams\-including Solution Architects, Product Managers, Data Scientists, and Analysts\-to align on data strategy and business outcomes.
 \* Technically lead product teams involving external partners, ensuring timely delivery of high\-quality data solutions.
 \* Provide technical thought leadership, guiding project teams and business units through architectural decisions and best practices.
 \* Facilitate cross\-functional alignment to ensure scalable and sustainable data engineering practices.
 Governance \&amp; Optimization:
 \* Define and enforce engineering standards and best practices across the analytics ecosystem.
 \* Lead architectural design reviews, ensuring technical rigor and adherence to change control processes.
 \* Continuously assess and optimize the performance, reliability, and scalability of the data platform.
 \* Contribute to roadmap development and long\-term strategy for the enterprise analytics platform.
 Who you are:
 You're a strategic, hands\-on engineering leader who combines deep technical expertise with strong business acumen. You're passionate about solving complex data challenges, enabling AI, and mentoring teams to deliver enterprise\-grade data solutions.
 Key Skills \&amp; Expertise:
 Technical Mastery (Deep, hands\-on expertise expected)
 \* Expert\-level knowledge of Snowflake architecture, SnowSQL, and data transformation workflows.
 \* Advanced proficiency with dbt for modeling, testing, versioning, and orchestrating ELT pipelines.
 \* Hands\-on experience with Databricks, including Spark\-based data processing, Delta Lake, and integration with cloud\-native data platforms.
 \* Strong command of SQL, Python, and scalable data pipeline development.
 \* Proven experience designing and managing enterprise data warehouses and cloud\-native data platforms.
 \* Deep understanding of modern data modeling techniques (e.g., dimensional, data vault, star/snowflake schemas).
 \* Experience delivering platforms that support advanced analytics and machine learning solutions.
 \* Solid grasp of data architecture frameworks such as Data Warehouses, Data Lakes, and Data Hubs.
 \* Experience with commercial data science tools like KNIME, Alteryx, or similar platforms.
 Some Experience / Familiarity With (Preferred, but not required at expert level)
 \* AI/ML platforms such as SageMaker, AutoML, or TensorFlow.
 \* Data integration and ELT tools like Informatica Cloud, Fivetran, or Azure Data Factory.
 \* BI tools: Power BI, Tableau, or MicroStrategy.
 \* Working with SAP ERP as a data source.
 \* Cloud platforms such as Azure, AWS, or GCP\-especially storage, compute, and orchestration services.
 \* DevOps practices including Git workflows, CI/CD, and automation.
 \* UNIX/Linux environments and shell scripting.
 Leadership \&amp; Communication:
 \* Ability to lead cross\-functional teams and manage complex data initiatives from design through delivery.
 \* Excellent communicator\-able to convey complex technical concepts to both technical and non\-technical audiences.
 \* Proven track record of influencing architectural direction, mentoring team members, and driving business\-aligned outcomes.
 \* Skilled at deriving insights from data and translating them into clear, actionable recommendations.
 Problem Solving \&amp; Optimization:
 \* Demonstrated success in building and optimizing data pipelines to maximize performance and maintainability.
 \* Strong analytical and troubleshooting skills with a focus on root cause analysis and long\-term solutions.
 Total Rewards:
 Salary Range: $110,000 \- $168,000
 Actual placement within the compensation range may vary depending on experience, skills, and other factors
 Benefits, subject to election and eligibility: Medical, Dental, Vision, Disability, Paid Time Off (including paid parental leave, vacation, and sick time), 401k with company match, Tuition Reimbursement, and Mileage Reimbursement
 Annual bonus based on performance and eligibility
 Requirements:
 Education:
 \* Bachelor's or Master's degree in Computer Science, Data Science, Information Systems, or a related field.
 Experience:
 \* 10\+ years in data management, including integration, modeling, and optimization.
 \* Hands\-on experience with Analytics tools and platforms like Snowflake or Informatica Cloud.
 \* Expert in SQL, SnowSql coding, ETL, and data warehousing.
 Core Skills:
 \* Expertise in conceptual architecture, data integration design, and wireframing.
 \* Familiarity with DevOps and Agile technology environments (preferred).
 \* Strong presentation and change management skills.
 Nice to have / Cross trained In:
 \* Exposure to SAP ERP and SAP\-based data integration.
 \* Experience with DevOps, CI/CD pipelines, and Git\-based workflows.
 \* Familiarity with AI/ML use cases in data operations (e.g., intelligent data quality, anomaly detection).
 \* Snowflake, dbt, or cloud platform certifications.
 Company Overview:
 Keurig Dr Pepper (NASDAQ: KDP) is a leading beverage company in North America, with a portfolio of more than 125 owned, licensed and partner brands and powerful distribution capabilities to provide a beverage for every need, anytime, anywhere.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anemployer of choice, providing a culture and opportunities that empower our team of \~29,000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
 A.I. Disclosure:
 KDP uses artificial intelligence toassistwithinitialresume screening and candidate matching. This technology helps us efficientlyidentifycandidates whose qualifications align with our open roles.If you prefer not to have your application processed using artificial intelligence, you may opt out by emailing your resume and qualifications directly tokdpjobs@kdrp.com.
 PDN\-a0ef1cd8\-02dd\-478a\-b788\-4855f539344a</t>
        </is>
      </c>
    </row>
    <row r="28">
      <c r="A28" t="inlineStr">
        <is>
          <t>li-4349607897</t>
        </is>
      </c>
      <c r="B28" t="inlineStr">
        <is>
          <t>Senior Data Engineer</t>
        </is>
      </c>
      <c r="C28" t="inlineStr">
        <is>
          <t>Ignite Digital Services</t>
        </is>
      </c>
      <c r="D28" t="inlineStr">
        <is>
          <t>linkedin</t>
        </is>
      </c>
      <c r="E28" t="inlineStr"/>
      <c r="F28" t="inlineStr"/>
      <c r="G28" t="inlineStr">
        <is>
          <t>Chesapeake, VA</t>
        </is>
      </c>
      <c r="H28" t="inlineStr"/>
      <c r="I28" t="inlineStr">
        <is>
          <t>Are you searching for an opportunity to take your career to the next level? Ignite Digital Services is a fast\-growing digital transformation company serving the national security sector. Our small business applies data science, program management and technical domain expertise to help clients implement data\-driven approaches that maximize operational efficiencies.
 We’ve redefined what it means to be a leader in our industry by creating and maintaining effective and rewarding working relationships with our clients, partners and internal team members. Our company culture is built upon a team\-based approach, which offers continuous opportunities for personal growth and innovation, while providing unmatched value to our clients.
**Perks Of Working At Ignite Digital Services**
* Competitive pay and benefits, including PTO
* Education stipends and referral bonuses
* Compelling work with the U.S. federal government
* Strong emphasis on volunteer and community engagement
* Opportunity to shape the future of our industry
* Supportive colleagues and management who invest in your growth
 As a Senior Data Engineer, you will be responsible for designing, implementing, and optimizing data systems and pipelines that support advanced AI/ML applications within a Navy IT command. You will collaborate closely with AI/ML engineers, and other technical teams to ensure the efficient and scalable processing of large volumes of data. This role will involve leveraging best practices in data engineering to create robust, high\-performance data architectures, enabling the effective deployment of machine learning models and supporting mission\-critical defense operations. You will also be involved in maintaining data quality, ensuring compliance with security protocols, and streamlining data workflows to meet the needs of the client's IT systems.
**Required Experience**
* 10\+ years of relevant experience or Bachelor's degree and 7\+ years of relevant experience or Master's degree and 5\+ years of relevant experience in data engineering
* Ability to obtain DoD Secret clearance
**Desired Experience**
* Active DoD Secret Clearance
 Schedule: Hybrid 3\-4 days a week onsite in Charleston or Chesapeake/Norfolk
 Salary: 125k\+ to align with education and experience
 Applicants selected will be subject to a government security investigation and must meet eligibility requirements for access to classified information.
 Ignite Digital Services is a Small Business committed to providing exceptional service to government agencies at competitive prices. The capabilities and experience of our staff and our extensive industry relationships distinguish Ignite Digital Services among government contractors.
 Equal Opportunity Employer/Veterans/Disabled
 For individuals who would like to request an accommodation, please visit https://bit.ly/2XqZoLM (CA) or https://bit.ly/3Eo922f (SC) or contact Human Resources. Ignite Digital Services will not make any posting or employment decision that does not comply with applicable laws relating to labor and employment, equal employment opportunity, employment eligibility requirements or related matters. Nor will Ignite Digital Services require, in a posting or otherwise, U.S. citizenship or lawful permanent residency in the U.S. as a condition of employment except as necessary to comply with law, regulation, executive order, or federal, state, or local government contract.
**OFCCP'S Pay Transparency Rule**
**EEO is the Law Poster**</t>
        </is>
      </c>
    </row>
    <row r="29">
      <c r="A29" t="inlineStr">
        <is>
          <t>li-4366322472</t>
        </is>
      </c>
      <c r="B29" t="inlineStr">
        <is>
          <t>Staff Data Engineer - USA</t>
        </is>
      </c>
      <c r="C29" t="inlineStr">
        <is>
          <t>Inworld AI</t>
        </is>
      </c>
      <c r="D29" t="inlineStr">
        <is>
          <t>linkedin</t>
        </is>
      </c>
      <c r="E29" t="inlineStr"/>
      <c r="F29" t="inlineStr"/>
      <c r="G29" t="inlineStr">
        <is>
          <t>Mountain View, CA</t>
        </is>
      </c>
      <c r="H29" t="inlineStr"/>
      <c r="I29" t="inlineStr">
        <is>
          <t>**About Inworld**
 Inworld is a product\-oriented research lab of top AI researchers and engineers, developing best\-in\-class realtime multimodal models and the only realtime orchestration platform optimized for thousands of queries per second.
 We’ve raised more than $125M from Lightspeed, Section 32, Kleiner Perkins, Microsoft’s M12 venture fund, Founders Fund, Meta and Stanford, among others. Our technology has powered experiences from companies such as NVIDIA, Microsoft Xbox, Niantic, Logitech Streamlabs, Wishroll, Little Umbrella and Bible Chat. We’ve also been recognized by CB Insights as one of the 100 most promising AI companies globally and have been named one of LinkedIn's Top 10 Startups in the USA.
**About The Role**
 We’re looking for a Staff Data Engineer to own and evolve our analytics and data infrastructure. This is a high\-impact, individual contributor role at the intersection of product and engineering where you’ll be responsible not just for building pipelines, but for driving business outcomes from the data.
 This is the first time we’re hiring at this level for data engineering, so we need someone who thrives in ambiguity, takes ownership, and can operate independently from day one. You’ll have the opportunity to shape our data architecture and set the technical direction for how we turn data into decisions by identifying what’s working, what’s not, and driving the actions that move the business forward.
**What You’ll Do**
* Own our analytics platform end\-to\-end: assess what we have today, identify gaps, and build what’s missing
* Design and build data pipelines focused on customer intelligence to identify opportunities to grow, improve retention, and drive smarter business decisions
* Turn data into action: analyze results, surface insights, and push the organization to act on them
* Partner closely with product, engineering, and ML teams to define what we measure, why it matters, and how we operationalize insights
* Drive technical direction for our data stack and establish best practices as the function grows
**What You’ll Bring**
* 7\-10\+ years of experience in Data Engineering
* Bachelor’s degree in Computer Science, Engineering, or a related field (or equivalent professional experience)
* Deep hands\-on experience with data platforms and tooling, including BigQuery, Google Cloud Dataflow, Dagster, Looker Studio, or equivalent tools
* Strong communicator who can translate data into business decisions and influence cross\-functional stakeholders
* Experience designing data architecture and providing technical guidance to others
 Candidates must be based in the SF Bay Area or willing to relocate (you will be working on\-site in our South Bay office a few days a week).
 The US base salary range for this full\-time position is $200,000 \- $290,000\. In addition to base pay, total compensation includes equity and benefits. Within the range, individual pay is determined by work location, level, and additional factors, including competencies, experience, and business needs. The base pay range is subject to change and may be modified in the future.</t>
        </is>
      </c>
    </row>
    <row r="30">
      <c r="A30" t="inlineStr">
        <is>
          <t>li-4366000200</t>
        </is>
      </c>
      <c r="B30" t="inlineStr">
        <is>
          <t>Sr. Data Engineer</t>
        </is>
      </c>
      <c r="C30" t="inlineStr">
        <is>
          <t>Insight Global</t>
        </is>
      </c>
      <c r="D30" t="inlineStr">
        <is>
          <t>linkedin</t>
        </is>
      </c>
      <c r="E30" t="inlineStr"/>
      <c r="F30" t="inlineStr"/>
      <c r="G30" t="inlineStr">
        <is>
          <t>Orlando, FL</t>
        </is>
      </c>
      <c r="H30" t="inlineStr"/>
      <c r="I30" t="inlineStr">
        <is>
          <t>**Position: Senior Data Engineer – Snowflake \&amp; AI** 
**Location:** 
 Orlando, FL – Onsite 1x per month
**Hours:** 
 Monday – Friday 9:00 AM – 5:00 PM
**Pay Rate:** 
 $58\-$64/hr
**Must Haves:** 
* Bachelor’s Degree in Comp Sci, IT, Business Analytics, etc.
* 5\-7 years of Data Engineering experience
* 5\+ year exp Snowflake – Leveraging as a Data Warehouse
* SQL Experience – Creating complex queries from scratch in a Snowflake environment
* AI Agentic Experience
* Python Experience
**Plusses:** 
* Healthcare/Hospital experience
* Reporting experience
**Day to Day:** 
 The developer will work within biweekly sprints, completing assigned work packages and tasks that have been pre‑analyzed by the architecture team. Their day\-to\-day includes building and optimizing Snowflake SQL queries, enhancing existing ETL pipelines, and creating new data workflows using Azure Data Factory. They will support scalable data engineering efforts by designing data models, maintaining data quality, and ensuring secure operations across environments. The role also includes contributing to reporting initiatives using Sigma, building area pipelines, and participating in training and improving an AI agent for the research project. Additionally, they will collaborate closely with analytics and business teams to troubleshoot issues and meet project reporting needs.</t>
        </is>
      </c>
    </row>
    <row r="31">
      <c r="A31" t="inlineStr">
        <is>
          <t>li-4362189192</t>
        </is>
      </c>
      <c r="B31" t="inlineStr">
        <is>
          <t>Data Engineer</t>
        </is>
      </c>
      <c r="C31" t="inlineStr">
        <is>
          <t>Randstad Digital Americas</t>
        </is>
      </c>
      <c r="D31" t="inlineStr">
        <is>
          <t>linkedin</t>
        </is>
      </c>
      <c r="E31" t="inlineStr"/>
      <c r="F31" t="inlineStr"/>
      <c r="G31" t="inlineStr">
        <is>
          <t>Roanoke, TX</t>
        </is>
      </c>
      <c r="H31" t="inlineStr"/>
      <c r="I31" t="inlineStr">
        <is>
          <t>**Job Summary**
 Excellent communication skills, both through written and verbal channels
 Proven knowledge of AWS via Associate, Professional, or Specialty Certification(s) a big plus
 location: Roanoke, Texas
 job type: Contract
 salary: $72 \- 73 per hour
 work hours: 8am to 5pm
 education: Bachelors
**Responsibilities**
* Bachelor's or Master's degree in a technology related field (e.g., Computer Engineering, Computer Science, etc.)
* Desire and ability to learn and implement new technologies
* Keen ability to see complex challenges from multiple perspectives, and leaning in to solve independently or with others
* Knowledge of how to effectively use multiple types of databases such Relational databases ( Oracle , PostgreSQL, etc.), NoSQL databases (DynamoDB, Elastic search) and Graph databases (Neptune, Neo4J, etc.)
* Hands\-on experience building scalable, resilient, and cost\-effective data products (preferably on AWS and Snowflake)
* Hands on experience in programming or scripting using Unix, Python , Java, etc.
* Thorough understanding of Data modeling and data integration patterns
* Experience in developing batch jobs (preferably on AWS event bridge, step function, S3, Lambda, EC2, ECS/EKS, etc.)
* Able to schedule or orchestrate batch process and workflow ( Control M , Airflow, Argo, cron, etc)
* Demonstrated experience developing, debugging, and tuning complex SQL statements, PL/SQL packages \&amp; procedures
* Experience in developing ETL / ELT data pipeline
* Knowledge of Messaging Technologies ( Kafka , Kinesis, SNS, SQS)
* Experience with DevOps or CI/CD Pipelines using Maven, Jenkins , AWS CFTs , uDeploy, Stash, Ansible, etc.
* Experience in managing testing, code deployment and release management process
**Qualifications**
 Ability to validate, monitor, and solve issues during development, testing, or in production
 Ability to work effectively in global teams distributed across geographic locations in an Agile way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32">
      <c r="A32" t="inlineStr">
        <is>
          <t>li-4366003287</t>
        </is>
      </c>
      <c r="B32" t="inlineStr">
        <is>
          <t>Data Engineer SQL Server to Snowflake Migration</t>
        </is>
      </c>
      <c r="C32" t="inlineStr">
        <is>
          <t>Jobs via Dice</t>
        </is>
      </c>
      <c r="D32" t="inlineStr">
        <is>
          <t>linkedin</t>
        </is>
      </c>
      <c r="E32" t="inlineStr"/>
      <c r="F32" t="inlineStr"/>
      <c r="G32" t="inlineStr"/>
      <c r="H32" t="inlineStr"/>
      <c r="I32" t="inlineStr">
        <is>
          <t>Dice is the leading career destination for tech experts at every stage of their careers. Our client, Blue.Cloud, is seeking the following. Apply via Dice today!
**Data Engineer SQL Server to Snowflake Migration**
 We are seeking a Data Engineer to support the migration of our data platform from SQL Server to Snowflake. This role will focus on designing, building, and optimizing data pipelines; ensuring data quality and performance throughout the migration; and partnering with analytics and engineering teams to enable a smooth transition.
**Key Responsibilities**
 Migrate data models, ETL/ELT pipelines, and workloads from SQL Server to Snowflake.
*Experience with Fivetran is a plus, as it is the current ETL tool in use.*
 Design and optimize Snowflake schemas, warehouses, and performance.
 Ensure data accuracy, reliability, and security during and after the migration.
 Collaborate with stakeholders to support reporting and analytics requirements.
**Requirements**
 Strong experience with SQL Server and Snowflake.
 Solid SQL skills with hands\-on experience building and maintaining ETL/ELT pipelines.
 Familiarity with cloud data architectures and data warehousing best practices.</t>
        </is>
      </c>
    </row>
    <row r="33">
      <c r="A33" t="inlineStr">
        <is>
          <t>li-4365987285</t>
        </is>
      </c>
      <c r="B33" t="inlineStr">
        <is>
          <t>Sr. Data Engineer</t>
        </is>
      </c>
      <c r="C33" t="inlineStr">
        <is>
          <t>Jobs via Dice</t>
        </is>
      </c>
      <c r="D33" t="inlineStr">
        <is>
          <t>linkedin</t>
        </is>
      </c>
      <c r="E33" t="inlineStr"/>
      <c r="F33" t="inlineStr"/>
      <c r="G33" t="inlineStr">
        <is>
          <t>Herndon, VA</t>
        </is>
      </c>
      <c r="H33" t="inlineStr"/>
      <c r="I33" t="inlineStr">
        <is>
          <t>Dice is the leading career destination for tech experts at every stage of their careers. Our client, Excelque, Inc, is seeking the following. Apply via Dice today!
 Sr. Data Engineer , Herndon, VA, Security clears required. ML Engineer with NLP to design, build, and deploy scalable AI/ML models for use within the DoD's Search Portfolio. This role requires a strong background in natural language processing, generative AI (LLMs, RAG), distributed computing, and cloud\-native architecture. The successful candidate will collaborate with interdisciplinary teams and apply the latest advancements in AI research to deliver secure, mission\-ready solutions that process and analyze massive datasets.
 Responsibilities will include but are not limited to:
 Design, develop, test, and support AI/ML pipelines on Databricks using Python to support a variety of Department of Defense (DoD) technical missions.
 Develop and operationalize NLP solutions for large datasets using modern techniques such as context extraction, topic extraction, and keyword extraction (e.g., RAKE, TF\-IDF, and other statistical or embedding\-based methods).
 Leverage advanced NLP libraries and frameworks including Spark NLP, Hugging Face, and TensorFlow to design and deploy scalable machine\-learning models.
 Build, train, and deploy GPU\-based models optimized for performance and cost\-efficiency across distributed compute environments (Apache Spark/Databricks/Kubernetes).
 Apply MLOps best practices using MLflow for model lifecycle management, experiment tracking, and reproducibility.
 Integrate AI capabilities with Elasticsearch and Neo4j to enhance search, graph analytics, and semantic understanding across enterprise datasets.
 Collaborate with cross\-functional teams of data scientists, software engineers, and mission stakeholders to integrate AI/ML capabilities across the Search Portfolio and other data products.
 Manage the full lifecycle of AI/ML components, from research and model development through deployment, monitoring, and iterative improvement.
 Diagnose and solve complex data challenges using analytical modeling, AI\-driven reasoning, and modern informatics techniques.
 Document and present technical design alternatives, trade\-offs, and implementation strategies to technical and non\-technical stakeholders.
 Build and maintain shared ML tools, libraries, and reusable assets to accelerate innovation and ensure engineering consistency.
 Support strategic AI roadmap development and architectural planning to enable rapid prototyping and experimentation with advanced AI capabilities.
 Ensure compliance, security, and traceability in all AI/ML workflows and infrastructure aligned with DoD and federal standards.
 What You’ll Need:
 Bachelor’s degree with 5 years of relevant experience
 5\+ years of hands\-on experience with Natural Language Processing (NLP), Large Language Models (LLMs), semantic search, text embedding, Retrieval\-Augmented Generation (RAG), and generative AI applications.
 Extensive knowledge of NLP techniques for large datasets, including context, topic, and keyword extraction methods.
 Proficiency in NLP libraries and frameworks such as Spark NLP, Hugging Face, and TensorFlow.
 4\+ years of experience working in Databricks as an ML Engineer, including building and managing distributed ML pipelines.
 Strong Python expertise, including experience developing Flask APIs and reusable ML utilities.
 Experience with MLOps and MLflow for model tracking, deployment automation, and governance.
 Hands\-on experience developing and tuning GPU\-based models in production environments.
 Working knowledge of Elasticsearch and Neo4j preferred for search and graph\-based AI applications.
 Deep understanding of machine\-learning subfields such as computer vision, reinforcement learning, and statistical learning theory.
 Proven experience with data preprocessing, feature engineering, and model evaluation.
 Proficiency with version control systems (e.g., Git) for collaborative ML development.
 Demonstrated experience with Apache Spark or Databricks for distributed data and ML workloads.
 Experience working with petabyte\-scale datasets, data exploration, SQL, and visualization tools.</t>
        </is>
      </c>
    </row>
    <row r="34">
      <c r="A34" t="inlineStr">
        <is>
          <t>li-4366003286</t>
        </is>
      </c>
      <c r="B34" t="inlineStr">
        <is>
          <t>Sr Data Engineer - Onsite - Azure, Data knowledge on Snowflake, Delta Lake, Databricks, CI/CD</t>
        </is>
      </c>
      <c r="C34" t="inlineStr">
        <is>
          <t>Jobs via Dice</t>
        </is>
      </c>
      <c r="D34" t="inlineStr">
        <is>
          <t>linkedin</t>
        </is>
      </c>
      <c r="E34" t="inlineStr"/>
      <c r="F34" t="inlineStr"/>
      <c r="G34" t="inlineStr">
        <is>
          <t>Spring, TX</t>
        </is>
      </c>
      <c r="H34" t="inlineStr"/>
      <c r="I34" t="inlineStr">
        <is>
          <t>Dice is the leading career destination for tech experts at every stage of their careers. Our client, SES, is seeking the following. Apply via Dice today!
**Sr Data Engineer – Onsite – Azure, Data knowledge on Snowflake, Delta Lake, Databricks, CI/CD**
**Location: Spring, TX – onsite**
**Job Description**
**The Senior Data Engineer will lead the design, development, automation, and optimization of scalable cloud and on premises data infrastructure supporting enterprise applications, advanced analytics, and AI/ML workloads. Operating within an agile environment, this role requires close collaboration with software engineering, infrastructure, and data science teams to deliver secure, reliable, and high\-performance data systems aligned with enterprise standards.**
**Responsibilities**
* Design, build, and optimize scalable ETL/ELT pipelines using Databricks, Delta Lake, Python, SQL, and related data engineering technologies.
* Demonstrate expert\-level proficiency in PySpark and Databricks Lakehouse architectures, including schema evolution, ACID transactions, data quality enforcement, and cost and performance optimized handling of large, complex datasets—aligned with upstream telemetry, SCADA\-scale data, and ExxonMobil’s high throughput processing needs.
* Improve data ecosystem efficiency by implementing Lakehouse based bronze/silver/gold architectures, reducing processing times through optimization techniques, enforcing data quality frameworks such as Great Expectations, and enhancing storage and retrieval patterns.
* Collaborate with cross functional team \- data scientists, engineers, product owners, and business stakeholders—to translate business requirements into robust technical designs supporting AI/ML enablement, feature engineering, real time analytics, and production grade data workflows.
* Strengthen CI/CD and data governance practices through automation, version control, testing frameworks, and scalable deployment patterns for data pipelines and platform components.
**Qualifications**
* Strong background across Azure, Snowflake, Delta Lake, Databricks and CI/CD automation, bringing the cross cloud, governance minded, and automation driven engineering approach required for ExxonMobil’s integrated enterprise scale data architecture.
**Top 3 Skills:**
* Azure
* Data Knowledge on Snowflake, Delta Lake and Databricks
* CI/CD
**Benefits:**
**SES hires W2 benefitted and non\-benefitted consultants. Our contract employee benefits include group medical dental vision life LT and ST disability insurance, 21 days of accrued paid time off, 401k, tuition reimbursement, performance bonuses, paid overtime, and more.**
**Please contact me to discuss the details of this position further.**
* Please forward resume directly to for immediate consideration \- rstarinieri at sesc .com
**I look forward to speaking with you soon!**
**Robin Starinieri**
**Director of Recruiting**
**Systems Engineering Services**</t>
        </is>
      </c>
    </row>
    <row r="35">
      <c r="A35" t="inlineStr">
        <is>
          <t>li-4366010235</t>
        </is>
      </c>
      <c r="B35" t="inlineStr">
        <is>
          <t>Qlik Data Engineer/QLIK Developer/QLIK Lead Engineer/QLIK Lead Developer</t>
        </is>
      </c>
      <c r="C35" t="inlineStr">
        <is>
          <t>Jobs via Dice</t>
        </is>
      </c>
      <c r="D35" t="inlineStr">
        <is>
          <t>linkedin</t>
        </is>
      </c>
      <c r="E35" t="inlineStr"/>
      <c r="F35" t="inlineStr"/>
      <c r="G35" t="inlineStr">
        <is>
          <t>Raleigh, NC</t>
        </is>
      </c>
      <c r="H35" t="inlineStr"/>
      <c r="I35" t="inlineStr">
        <is>
          <t>Dice is the leading career destination for tech experts at every stage of their careers. Our client, Genesis NGN Inc., is seeking the following. Apply via Dice today!
* Client is not sponsoring any VISA\*\*\*\*\*\*\*\*\*\*\*\*\*\*
 Qlik Data Engineer/QLIK Developer/QLIK Lead Engineer/QLIK Lead Developer
* Data Architecture and Strategy \- Design and implement scalable, efficient data architectures. Lead the development of data strategy aligned with business objectives. Evaluate and integrate new technologies to enhance data capabilities
* Hands\-on Data Pipeline Development \- Implement complex data pipelines for real\-time and batch processing. Optimize data flows for high\-volume, high\-velocity data environments. Develop advanced ETL processes for diverse data sources.
* Data Governance and Quality Management \- Establish and enforce data governance policies and best practices. Implement data quality frameworks and monitoring systems. Ensure compliance with data regulations and standards
* Performance Optimization and Troubleshooting \- Analyze and optimize system performance for large\-scale data operations. Troubleshoot complex data issues and implement robust solutions
* Mentorship and Knowledge Sharing \- Mentor junior data engineers and provide technical guidance. Contribute to the development of best practices and standards. Collaborate with cross\-functional teams to drive data literacy
* Testing \&amp; Automation Write unit test cases, validate the data integrity \&amp; consistency requirements, build automated data pipelines using GitLab, Github, CICD tools.
* Code Deployment \&amp; Release Management \- Adopt release management processes to promote code deployment to various environments including production, disaster recovery, and support activities.
 Technical/Business Skills:
* Strong hands\-on experience in building robust metadata\-driven, automated data pipeline solutions leveraging modern cloud\-based data technologies, tools for large data platforms.
* Strong experience leveraging data security, governance methodologies meeting data compliance requirements.
* Strong hands\-on experience building medallion architecture automated ELT data pipelines, snowpipe frameworks leveraging Qlik Replicate, DBT Cloud, snowflake with CICD.
* Strong hands\-on experience building data pipelines, data integrity solutions across multiple data sources and targets like SQL Server, Oracle, Mainframe\-DB2, files, Snowflake.
* Experience working with various structured \&amp; semi\-structured data files \- CSV, fixed width, JSON, XML, Excel, and mainframe VSAM.
* Experience using S3, Lambda, SQS, SNS, Glue, RDS AWS services.
* Excellent proficiency in Python, Pyspark, advanced SQL for ingestion frameworks and automation.
* Hands\-on data orchestration experience using DBT cloud, Astronomer Airflow.
* Experience in implementing logging, monitoring, alerting, observability, performance tuning techniques.
* Implement and maintain sensitive data protection strategies tokenization, snowflake data masking policies, dynamic \&amp; conditional masking, and role based masking rules.
* Strong experience designing, implementing RBAC, data access controls, adopting governance standards across Snowflake and supporting systems.
* Strong experience in adopting release management guidelines, code deployment to various environments, implementing disaster recovery strategies, leading production activities.
* Experience implementing schema drift detection and schema evolution patterns.
* Financial banking experience is a plus.
* Must have one or more certifications in the relevant technology fields.</t>
        </is>
      </c>
    </row>
    <row r="36">
      <c r="A36" t="inlineStr">
        <is>
          <t>li-4354180691</t>
        </is>
      </c>
      <c r="B36" t="inlineStr">
        <is>
          <t>Data Engineer / Data Scientist / Data Architect - Full time</t>
        </is>
      </c>
      <c r="C36" t="inlineStr">
        <is>
          <t>Ztek Consulting</t>
        </is>
      </c>
      <c r="D36" t="inlineStr">
        <is>
          <t>linkedin</t>
        </is>
      </c>
      <c r="E36" t="inlineStr"/>
      <c r="F36" t="inlineStr"/>
      <c r="G36" t="inlineStr">
        <is>
          <t>Vienna, VA</t>
        </is>
      </c>
      <c r="H36" t="inlineStr"/>
      <c r="I36" t="inlineStr">
        <is>
          <t>Below are the 3 roles open:
 1\) Data Engineer
 2\) Data Scientist
 3\) Data Architect
**Job Descriptions:** 
**Data Engineer**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37">
      <c r="A37" t="inlineStr">
        <is>
          <t>li-4366048763</t>
        </is>
      </c>
      <c r="B37" t="inlineStr">
        <is>
          <t>Data Engineer</t>
        </is>
      </c>
      <c r="C37" t="inlineStr">
        <is>
          <t>Rio Tinto</t>
        </is>
      </c>
      <c r="D37" t="inlineStr">
        <is>
          <t>linkedin</t>
        </is>
      </c>
      <c r="E37">
        <f>HYPERLINK("https://www.linkedin.com/jobs/view/4366048763", "https://www.linkedin.com/jobs/view/4366048763")</f>
        <v/>
      </c>
      <c r="F37" t="inlineStr"/>
      <c r="G37" t="inlineStr">
        <is>
          <t>Boron, CA</t>
        </is>
      </c>
      <c r="H37" t="inlineStr"/>
      <c r="I37" t="inlineStr">
        <is>
          <t>**Data Engineer Specialist – Boron, CA**
* Propose, engage, and support data analytics and business intelligence projects
* Engineer and design complex and efficient data pipelines using Python and SQL
* Turning business use cases and requirements into technical solutions
* Continuous improvement of the data solutions for the mine technical services team
* For California based roles the expected salary is $90,000 \- $ 123,750
**About The Role**
**All progress begins with pioneers. At Rio Tinto, it begins with you.**
 We have an opportunity for a
 **Data Engineer Specialist** 
 to work with challenging and exciting analytics problems and positively impact the business while engaging with a team of engineers, geologists, and data engineers. This role will involve gaining substantial experience working with our data systems to develop state\-of\-the\-art data solutions for our business’s data problems.
 You will be regularly challenged but given the support to drive your innovations!
 Reporting to the Senior Engineer\-Strategic Mine Planning, you will support the Mine Technical Services team to design and continually improve services that solve business problems and provide insight to making improved decisions for our borates business. You will utilize your hands\-on solid coding skills in Python and SQL to
* Ensure best in class processes and techniques to develop and deploy data analytics solutions to the business
* Collect, aggregate, and analyze structured/unstructured data from multiple internal sources and provide patterns, insights, and trends to the business decision\-maker
* Utilize Palantir Foundry to flexibly manage and scale data pipelines
* Foster an innovative and “disruptive” technology culture to identify and drive value\-creating opportunities
* Help the broader Rio Tinto Borates function by advising technical complexity of identified opportunities
* Provide training and knowledge transfer to support the deployment and continuity of the analytics products developed
**About You**
 Ideally, you will have a qualification in mining engineering or an earth science related field, computer science, data science, or related fields. Experience in the mining industry would be advantageous.
 You should also have experience with some or all of the below
* Proficiency in exploring and manipulating large datasets through applications or programming interfaces.
* Demonstrated experience preparing data for business intelligence
* Ability to write and optimize SQL queries and create efficient data extract/transform/load (ETL) programs and tasks.
* Pipeline development, across different data architectures, (transactional, time series, streaming, unstructured) and storage solutions including use of APIs
* Strong analytical and problem\-solving skills to diagnose and logically resolve technical problems
* Proficiency in SQL and Python, and Power BI is a must
* Software engineering experience desirable
* Knowledge and skills in one or more of the big data frameworks, i.e., Spark, Hive, Hadoop (desirable)
* Exposure in, or willingness to learn, Palantir Foundry analytics platform
* Ability and desire to learn new skills on demand
**Where you will be working**
 This role is based in Boron, California. Flexible work arrangements are possible, but considerable time on site is required.
**About Rio Tinto**
 Rio Tinto is a leading global mining and materials company. We operate in 35 countries where we produce iron ore, copper, aluminium, critical minerals, and other materials needed for the global energy transition and for people, communities, and nations to thrive.
 We have been mining for 150 years and operate with knowledge built up across generations and continents. Our purpose is finding better ways to provide the materials the world needs – striving for innovation and continuous improvement to produce materials with low emissions and to the right environmental, social and governance standards. But we can’t do it on our own, so we’re focused on creating partnerships to solve problems, create win\-win situations and meet opportunities.
**Respect and Inclusion**
 Rio Tinto is committed to equal employment opportunity. All qualified applicants will be considered without regard to race, color, sex, age, religion, national origin, disability, or any other characteristic protected by federal, state, or local law.
 We are committed to an inclusive environment where people feel safe, respected and valued. We want our people to feel that all voices are heard and that a variety of perspectives are not only welcome but are essential to our success. We treat all our people fairly and with dignity.
 Rio Tinto participates in E\- Verify to confirm work authorization. Please visit http //www.ucis.gov/ for more information.</t>
        </is>
      </c>
    </row>
    <row r="38">
      <c r="A38" t="inlineStr">
        <is>
          <t>li-4366046392</t>
        </is>
      </c>
      <c r="B38" t="inlineStr">
        <is>
          <t>Data Engineer</t>
        </is>
      </c>
      <c r="C38" t="inlineStr">
        <is>
          <t>Apple</t>
        </is>
      </c>
      <c r="D38" t="inlineStr">
        <is>
          <t>linkedin</t>
        </is>
      </c>
      <c r="E38">
        <f>HYPERLINK("https://www.linkedin.com/jobs/view/4366046392", "https://www.linkedin.com/jobs/view/4366046392")</f>
        <v/>
      </c>
      <c r="F38" t="inlineStr"/>
      <c r="G38" t="inlineStr">
        <is>
          <t>Sunnyvale, CA</t>
        </is>
      </c>
      <c r="H38" t="inlineStr"/>
      <c r="I38" t="inlineStr">
        <is>
          <t>**Summary**
 Imagine what you could do here. At Apple, new ideas have a way of becoming great products, services, and customer experiences very quickly. Bring passion and dedication to your job and there's no telling what you can accomplish. We are seeking an exceptional engineer with a background in large scale software development and delivery in hyper\-scale distributed computing environments. You will work within cybersecurity software engineering team that drives Apache Spark’s state\-of\-the art features and pushes the boundaries of what is possible in our industry.
**Description**
 Apple is seeking an extraordinary individual to work on a team supporting and developing services which underpin mission critical information security capabilities. Spark expertise is a prerequisite. While previous experience in information security is not required, a sincere drive for security and privacy is required. This role will work closely with our engineering teams and with partner teams to ensure the successful design, development, and delivery of product objectives. The successful candidate will have a passion for technical excellence and team collaboration with a heavy focus on using cutting\-edge technologies to build data intensive systems, designing and optimizing data models, and collaborating with cross\-functional teams to solve complex data challenges.
 This role will work closely with our engineering teams and with partner teams to ensure the successful design, development, and delivery of product objectives. The successful candidate will have a passion for technical excellence and team collaboration with a heavy focus on automation, scalability, and reliability for all layers of the stack. This role will work closely with developers and users of our platforms to ensure the successful design, development, and delivery of product objectives.
**Minimum Qualifications**
* Demonstrated expertise in designing and implementing relational and medallion data architectures
* Demonstrated expertise in the design and implementation of production data pipelines at scale
* Demonstrated proficiency with JVM languages (Scala or Java preferred), Golang, or Swift
**Preferred Qualifications**
* \* 5\+ years experience in data engineering and demonstrated expertise with data modeling
* \* 5\+ years of experience with JVM languages: Java or Scala
* \* 5\+ years experience with big data platforms
* Familiarity with ML/AI workflows and feature engineering to support analytics, reporting, and machine learning use cases
* Knowledge engineering expertise including semantic models and knowledge graphs
* Experience working with cloud compute environments like OpenStack, AWS, and Azure
* Experience mentoring engineers, conducting code reviews, and contributing to technical best practices and documentation
* Knowledge of data quality frameworks and validation techniques
* Knowledge of data governance and compliance frameworks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9">
      <c r="A39" t="inlineStr">
        <is>
          <t>li-4366379627</t>
        </is>
      </c>
      <c r="B39" t="inlineStr">
        <is>
          <t>Associate Data Engineer</t>
        </is>
      </c>
      <c r="C39" t="inlineStr">
        <is>
          <t>The Value Maximizer</t>
        </is>
      </c>
      <c r="D39" t="inlineStr">
        <is>
          <t>linkedin</t>
        </is>
      </c>
      <c r="E39">
        <f>HYPERLINK("https://www.linkedin.com/jobs/view/4366379627", "https://www.linkedin.com/jobs/view/4366379627")</f>
        <v/>
      </c>
      <c r="F39" t="inlineStr"/>
      <c r="G39" t="inlineStr">
        <is>
          <t>New York, NY</t>
        </is>
      </c>
      <c r="H39" t="inlineStr"/>
      <c r="I39"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40">
      <c r="A40" t="inlineStr">
        <is>
          <t>li-4366052384</t>
        </is>
      </c>
      <c r="B40" t="inlineStr">
        <is>
          <t>Data Engineer</t>
        </is>
      </c>
      <c r="C40" t="inlineStr">
        <is>
          <t>Apple</t>
        </is>
      </c>
      <c r="D40" t="inlineStr">
        <is>
          <t>linkedin</t>
        </is>
      </c>
      <c r="E40">
        <f>HYPERLINK("https://www.linkedin.com/jobs/view/4366052384", "https://www.linkedin.com/jobs/view/4366052384")</f>
        <v/>
      </c>
      <c r="F40" t="inlineStr"/>
      <c r="G40" t="inlineStr">
        <is>
          <t>San Francisco, CA</t>
        </is>
      </c>
      <c r="H40" t="inlineStr"/>
      <c r="I40" t="inlineStr">
        <is>
          <t>**Summary**
 Imagine what you could do here. At Apple, new ideas have a way of becoming great products, services, and customer experiences very quickly. Bring passion and dedication to your job and there's no telling what you can accomplish. We are seeking an exceptional engineer with a background in large scale software development and delivery in hyper\-scale distributed computing environments. You will work within cybersecurity software engineering team that drives Apache Spark’s state\-of\-the art features and pushes the boundaries of what is possible in our industry.
**Description**
 Apple is seeking an extraordinary individual to work on a team supporting and developing services which underpin mission critical information security capabilities. Spark expertise is a prerequisite. While previous experience in information security is not required, a sincere drive for security and privacy is required. This role will work closely with our engineering teams and with partner teams to ensure the successful design, development, and delivery of product objectives. The successful candidate will have a passion for technical excellence and team collaboration with a heavy focus on using cutting\-edge technologies to build data intensive systems, designing and optimizing data models, and collaborating with cross\-functional teams to solve complex data challenges.
 This role will work closely with our engineering teams and with partner teams to ensure the successful design, development, and delivery of product objectives. The successful candidate will have a passion for technical excellence and team collaboration with a heavy focus on automation, scalability, and reliability for all layers of the stack. This role will work closely with developers and users of our platforms to ensure the successful design, development, and delivery of product objectives.
**Minimum Qualifications**
* Demonstrated expertise in designing and implementing relational and medallion data architectures
* Demonstrated expertise in the design and implementation of production data pipelines at scale
* Demonstrated proficiency with JVM languages (Scala or Java preferred), Golang, or Swift
**Preferred Qualifications**
* \* 5\+ years experience in data engineering and demonstrated expertise with data modeling
* \* 5\+ years of experience with JVM languages: Java or Scala
* \* 5\+ years experience with big data platforms
* Familiarity with ML/AI workflows and feature engineering to support analytics, reporting, and machine learning use cases
* Knowledge engineering expertise including semantic models and knowledge graphs
* Experience working with cloud compute environments like OpenStack, AWS, and Azure
* Experience mentoring engineers, conducting code reviews, and contributing to technical best practices and documentation
* Knowledge of data quality frameworks and validation techniques
* Knowledge of data governance and compliance frameworks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1">
      <c r="A41" t="inlineStr">
        <is>
          <t>li-4366038442</t>
        </is>
      </c>
      <c r="B41" t="inlineStr">
        <is>
          <t>Data Engineer</t>
        </is>
      </c>
      <c r="C41" t="inlineStr">
        <is>
          <t>Apple</t>
        </is>
      </c>
      <c r="D41" t="inlineStr">
        <is>
          <t>linkedin</t>
        </is>
      </c>
      <c r="E41">
        <f>HYPERLINK("https://www.linkedin.com/jobs/view/4366038442", "https://www.linkedin.com/jobs/view/4366038442")</f>
        <v/>
      </c>
      <c r="F41" t="inlineStr"/>
      <c r="G41" t="inlineStr">
        <is>
          <t>Seattle, WA</t>
        </is>
      </c>
      <c r="H41" t="inlineStr"/>
      <c r="I41" t="inlineStr">
        <is>
          <t>**Summary**
 Imagine what you could do here. At Apple, new ideas have a way of becoming great products, services, and customer experiences very quickly. Bring passion and dedication to your job and there's no telling what you can accomplish. We are seeking an exceptional engineer with a background in large scale software development and delivery in hyper\-scale distributed computing environments. You will work within cybersecurity software engineering team that drives Apache Spark’s state\-of\-the art features and pushes the boundaries of what is possible in our industry.
**Description**
 Apple is seeking an extraordinary individual to work on a team supporting and developing services which underpin mission critical information security capabilities. Spark expertise is a prerequisite. While previous experience in information security is not required, a sincere drive for security and privacy is required. This role will work closely with our engineering teams and with partner teams to ensure the successful design, development, and delivery of product objectives. The successful candidate will have a passion for technical excellence and team collaboration with a heavy focus on using cutting\-edge technologies to build data intensive systems, designing and optimizing data models, and collaborating with cross\-functional teams to solve complex data challenges.
 This role will work closely with our engineering teams and with partner teams to ensure the successful design, development, and delivery of product objectives. The successful candidate will have a passion for technical excellence and team collaboration with a heavy focus on automation, scalability, and reliability for all layers of the stack. This role will work closely with developers and users of our platforms to ensure the successful design, development, and delivery of product objectives.
**Minimum Qualifications**
* Demonstrated expertise in designing and implementing relational and medallion data architectures
* Demonstrated expertise in the design and implementation of production data pipelines at scale
* Demonstrated proficiency with JVM languages (Scala or Java preferred), Golang, or Swift
**Preferred Qualifications**
* \* 5\+ years experience in data engineering and demonstrated expertise with data modeling
* \* 5\+ years of experience with JVM languages: Java or Scala
* \* 5\+ years experience with big data platforms
* Familiarity with ML/AI workflows and feature engineering to support analytics, reporting, and machine learning use cases
* Knowledge engineering expertise including semantic models and knowledge graphs
* Experience working with cloud compute environments like OpenStack, AWS, and Azure
* Experience mentoring engineers, conducting code reviews, and contributing to technical best practices and documentation
* Knowledge of data quality frameworks and validation techniques
* Knowledge of data governance and compliance frameworks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2">
      <c r="A42" t="inlineStr">
        <is>
          <t>li-4366378655</t>
        </is>
      </c>
      <c r="B42" t="inlineStr">
        <is>
          <t>Associate Data Engineer</t>
        </is>
      </c>
      <c r="C42" t="inlineStr">
        <is>
          <t>The Value Maximizer</t>
        </is>
      </c>
      <c r="D42" t="inlineStr">
        <is>
          <t>linkedin</t>
        </is>
      </c>
      <c r="E42">
        <f>HYPERLINK("https://www.linkedin.com/jobs/view/4366378655", "https://www.linkedin.com/jobs/view/4366378655")</f>
        <v/>
      </c>
      <c r="F42" t="inlineStr"/>
      <c r="G42" t="inlineStr">
        <is>
          <t>Pennsylvania, United States</t>
        </is>
      </c>
      <c r="H42" t="inlineStr"/>
      <c r="I42"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43">
      <c r="A43" t="inlineStr">
        <is>
          <t>li-4366034983</t>
        </is>
      </c>
      <c r="B43" t="inlineStr">
        <is>
          <t>AppleCare Data Engineer</t>
        </is>
      </c>
      <c r="C43" t="inlineStr">
        <is>
          <t>Apple</t>
        </is>
      </c>
      <c r="D43" t="inlineStr">
        <is>
          <t>linkedin</t>
        </is>
      </c>
      <c r="E43">
        <f>HYPERLINK("https://www.linkedin.com/jobs/view/4366034983", "https://www.linkedin.com/jobs/view/4366034983")</f>
        <v/>
      </c>
      <c r="F43">
        <f>HYPERLINK("https://jobs.apple.com/en-us/details/200630785?board_id=17682&amp;urlHash=8HNQ", "https://jobs.apple.com/en-us/details/200630785?board_id=17682&amp;urlHash=8HNQ")</f>
        <v/>
      </c>
      <c r="G43" t="inlineStr">
        <is>
          <t>Austin, TX</t>
        </is>
      </c>
      <c r="H43" t="inlineStr"/>
      <c r="I43"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**Minimum Qualifications**
* 7\+ years of applied experience in data science, business analytics, or business intelligence roles.
* Strong proficiency in SQL and R/Python (pandas, NumPy, scikit\-learn).
* Experience with data modeling, transformation, and analytics frameworks such as Snowflake.
* Skilled in building data visualizations using Tableau, and presenting insights to diverse audiences.
* Strong foundation in statistical analysis, including hypothesis testing and confidence intervals.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4">
      <c r="A44" t="inlineStr">
        <is>
          <t>li-4366048027</t>
        </is>
      </c>
      <c r="B44" t="inlineStr">
        <is>
          <t>AppleCare Data Engineer</t>
        </is>
      </c>
      <c r="C44" t="inlineStr">
        <is>
          <t>Apple</t>
        </is>
      </c>
      <c r="D44" t="inlineStr">
        <is>
          <t>linkedin</t>
        </is>
      </c>
      <c r="E44">
        <f>HYPERLINK("https://www.linkedin.com/jobs/view/4366048027", "https://www.linkedin.com/jobs/view/4366048027")</f>
        <v/>
      </c>
      <c r="F44">
        <f>HYPERLINK("https://jobs.apple.com/en-us/details/200630785?board_id=17682&amp;urlHash=8HNQ", "https://jobs.apple.com/en-us/details/200630785?board_id=17682&amp;urlHash=8HNQ")</f>
        <v/>
      </c>
      <c r="G44" t="inlineStr">
        <is>
          <t>Sunnyvale, CA</t>
        </is>
      </c>
      <c r="H44" t="inlineStr"/>
      <c r="I44"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
**Description**
 You will work across the data lifecycle—from modeling and extraction to visualization and storytelling—partnering closely with cross\-functional teams to deliver scalable, high\-impact insights that uphold Apple’s standards of accuracy, usability, and security.
 Design and implement advanced analytical models and pipelines using SQL and R/Python.
 Develop and optimize data extraction and transformation processes to improve accessibility and performance.
 Ensure adherence to data quality, governance, and security protocols.
 Build intuitive visualizations and dashboards to communicate insights effectively to technical and business audiences.
 Document methodologies and share analytical best practices to strengthen data culture across teams.
 Collaborate with data scientists, product managers, and leadership to shape the future of analytics platforms within AppleCare.
 Lead end\-to\-end analytics initiatives, from scoping and exploration to analysis, interpretation, and executive presentations.
**Minimum Qualifications**
* 7\+ years of applied experience in data science, business analytics, or business intelligence roles.
* Strong proficiency in SQL and R/Python (pandas, NumPy, scikit\-learn).
* Experience with data modeling, transformation, and analytics frameworks such as Snowflake.
* Skilled in building data visualizations using Tableau, and presenting insights to diverse audiences.
* Strong foundation in statistical analysis, including hypothesis testing and confidence intervals.
* Experience delivering end\-to\-end analytical projects, from scoping to presentation.
* Excellent communication and collaboration skills, including translating data insights for business stakeholders.
* Bachelor’s degree in a quantitative or technical discipline.
**Preferred Qualifications**
* Hands\-on experience with Snowpark, PySpark, and streaming/interactive visualization tools such as Streamlit or Plotly.
* Background in SMB, product, or service analytics, including service performance, warranty trends, and support operations.
* Applied experience with software engineering workflows, including Git, CI/CD, and producing maintainable, well\-documented code.
* Experience developing custom Tableau extensions or deploying LLM\-powered analytics systems.
* Strong experience in storytelling with data, translating complex analyses into actionable recommendations for leadership.
* Familiarity with large\-scale data platforms and scalable analytical pipelines.
* Master's degree in a quantitative or technical discipline.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5">
      <c r="A45" t="inlineStr">
        <is>
          <t>li-4356213411</t>
        </is>
      </c>
      <c r="B45" t="inlineStr">
        <is>
          <t>Data Engineer</t>
        </is>
      </c>
      <c r="C45" t="inlineStr">
        <is>
          <t>Coursedog</t>
        </is>
      </c>
      <c r="D45" t="inlineStr">
        <is>
          <t>linkedin</t>
        </is>
      </c>
      <c r="E45">
        <f>HYPERLINK("https://www.linkedin.com/jobs/view/4356213411", "https://www.linkedin.com/jobs/view/4356213411")</f>
        <v/>
      </c>
      <c r="F45">
        <f>HYPERLINK("https://coursedog.pinpointhq.com/postings/fd69f33b-f8d2-4531-9b23-7ca60169e8a6/applications/new?utm_medium=job_board&amp;utm_source=linkedIn&amp;urlHash=VN8L", "https://coursedog.pinpointhq.com/postings/fd69f33b-f8d2-4531-9b23-7ca60169e8a6/applications/new?utm_medium=job_board&amp;utm_source=linkedIn&amp;urlHash=VN8L")</f>
        <v/>
      </c>
      <c r="G45" t="inlineStr"/>
      <c r="H45" t="inlineStr"/>
      <c r="I45" t="inlineStr">
        <is>
          <t>**Department:** 
 Engineering
**Location:** 
 Remote
**Compensation:** 
 $75,000 \- $100,000 / year
**Description**
 We’re looking for a curious, detail\-oriented, and customer\-focused
 **Data Engineer** 
 to join our Data Systems team. This role is critical to how our customers succeed with Coursedog: you’ll own the technical onboarding experience, partnering directly with higher education institutions to integrate their Student Information System (SIS) data into our platform.
 As a Data Engineer at Coursedog, you’ll operate at the intersection of data, systems, and people — designing and executing SIS integrations, troubleshooting complex data challenges, and ensuring our customers go live with confidence. You’ll thrive in a fast\-paced, high\-ownership environment where technical excellence, clear communication, and customer empathy are equally important.
 This role offers a competitive base salary ranging from
 **$70,000–$90,000** 
 , depending on experience. The position includes a performance\-based variable compensation plan, bringing the total on\-target earnings (OTE) to
 **$75,000–$100,000** 
 when goals are met.
**Key Responsibilities**
* Run partner and client\-facing conversations about technical integrations.
* Call external APIs to perform data review, examine data structures for potential issues and manipulate CSV and JSON Data.
* Work directly with clients to improve their experience and turn insights into actionable product feedback.
* Be responsible for user acceptance testing
* Own all aspects of the client's technical onboarding experience from point of sales handoff through to maintenance.
* Define new SIS integration architecture and methodologies
* Work with our Data Engineering Manager to improve our system integrations and own our go\-lives.
* Develop deep product knowledge; provide API integration expertise; understand the ins and outs of Higher Education; strong customer service skills; QA mindset; strong technical and oral communication
* Data quality/product improvements, improve time to integration, drive customer experience, raise NPS scores, improve our internal toolset
**Skills Knowledge And Expertise**
**Technical Skills:**
* Data Integration: Experience with integrating data from various sources and ensuring data consistency and accuracy.
* Process \&amp; Tools Used on the Job: Strong experience with API operations, SSO, User Provisioning, Github, Postman Collections.
* Data Modeling: Ability to understand data models and practically apply this knowledge to customer projects, team playbooks and best practices for resilient service delivery. Specific knowledge in Student Information System (SIS) data structures such as Ellucian Banner, Ellucian Colleague, Workday, Peoplesoft or others.
* Programming Languages: Proficiency in object\-oriented programming and scripting languages, with a preference for Java, Python and SQL.
* ETL Processes: Strong understanding of ETL (Extract, Transform, Load) processes and tools.
* Database Management: Experience working with relational databases (e.g., Oracle, PostgreSQL, SQL).
**Analytical Skills:**
* Troubleshooting: Experience troubleshooting scenarios where data is synchronized across multiple systems, comparing data sets, reviewing logs, identifying and resolving issues.
* Data Analysis: Strong analytical skills to interpret data and provide actionable insights.
* Statistical Analysis: Knowledge of statistical methods and tools for data analysis.
**Soft Skills:**
* Problem\-Solving: Ability to identify problems and develop effective solutions.
* Communication: Excellent verbal and written communication skills to collaborate with cross\-functional teams.
* Attention to Detail: High level of accuracy and attention to detail in data handling and analysis.
* Time Management: Ability to manage multiple projects and meet deadlines efficiently.
* Project Management: Understand and actively engage in ensuring the impact data engineers have in on\-time, quality delivery of customer projects from inception to completion.
* Documentation: Updating customer implementation documentation, methodology playbooks used for deployment steps and issue resolution steps
* Customer Centric Knowledge: Our customers are educational institutions, everyone in our company needs to be able to understand how our customers operate to be able to understand how our work impacts and delivers value.
**Working at Coursedog**
**Healthcare, Dental \&amp; Vision**
 We follow a fixed contribution model to ensure equity and transparency. Each employee receives the same annual dollar amount to allocate toward their medical, dental, and vision coverage. This empowers you to select the plan that best meets your needs — whether it’s a base\-level plan or a more comprehensive option.
 Depending on the selected coverage level, the company covers:
* Employee\-only coverage: 99% to 55% of monthly premiums
* Employee \+ dependents: 77% to 43% of monthly premiums
* We proudly partner with Aetna and Guardian, and offer access to best\-in\-class wellness perks including:
* Spring Health (mental health support)
* XP Health (vision benefits)
* Carrot Fertility (family planning)
* One Medical (primary care)
* We also support pre\-tax savings through Health Savings Accounts (HSA) and Flexible Spending Accounts (FSA).
**Retirement Planning** 
 To support long\-term financial health, we offer a 401(k) plan from day one of employment.
 Beginning January 1, 2026, we’ll provide a 4% employer match on your annual salary (subject to federal limits) for employees contributing to a tax\-advantaged retirement account.
**Paid Time Off** 
 We trust our employees to manage their time responsibly. That’s why we offer an unlimited Paid Time Off policy — because flexibility and balance are critical for sustained excellence and personal well\-being.
**Remote\-First Since Inception** 
 We were built for distributed work. Our culture emphasizes flexibility over rigidity, outcomes over hours, and transparency over gatekeeping. We are committed to being a remote\-first organization indefinitely, empowering you to work where and how you thrive best.
**Equity** 
 As a valued contributor to our collective success, you’ll participate in the upside. All employees are granted equity in the company, with vesting aligned to your role and tenure. Equity grants are reviewed and adjusted with promotions to reflect your evolving impact.
**Paid Parental Leave** 
 We proudly support working parents with industry\-leading benefits.
 Primary caregivers are eligible for 12 weeks of paid leave
 Secondary caregivers receive 6 weeks of paid leave
 This time is fully paid and available to all eligible employees regardless of gender or family structure.
**About Coursedog** 
 Our mission is to break down barriers to opportunity for students.
 Coursedog provides higher ed with modern technology solutions – empowering institutions, students, and communities across the globe.
 Coursedog's founding story is rooted in the desire to help students achieve their highest goals. In 2018, Coursedog's co\-founders and then college students, Justin Wenig and Nick Diao, were frustrated by how difficult it was to get into the classes they needed to graduate on time. After speaking with higher education provosts and registrars to better understand how academic scheduling works, they came away with a vision that permeates the company today.
 Coursedog has raised $113M total capital as a remote\-first, hyper\-growth startup currently backed by JMI Equity, and with past investments from YC and First Round Capital. We were recently ranked in Forbes top 500 US startup employers and our employee engagement scores rank in the top 5% of tech companies.</t>
        </is>
      </c>
    </row>
    <row r="46">
      <c r="A46" t="inlineStr">
        <is>
          <t>li-4366057978</t>
        </is>
      </c>
      <c r="B46" t="inlineStr">
        <is>
          <t>Data Engineer</t>
        </is>
      </c>
      <c r="C46" t="inlineStr">
        <is>
          <t>Hyundai Capital America</t>
        </is>
      </c>
      <c r="D46" t="inlineStr">
        <is>
          <t>linkedin</t>
        </is>
      </c>
      <c r="E46">
        <f>HYPERLINK("https://www.linkedin.com/jobs/view/4366057978", "https://www.linkedin.com/jobs/view/4366057978")</f>
        <v/>
      </c>
      <c r="F46" t="inlineStr"/>
      <c r="G46" t="inlineStr">
        <is>
          <t>Irvine, CA</t>
        </is>
      </c>
      <c r="H46" t="inlineStr"/>
      <c r="I46" t="inlineStr">
        <is>
          <t>**Who We Are**
 Through our service brands Hyundai Motor Finance, Genesis Finance, and Kia Finance, Hyundai Capital America offers a wide range of financial products tailored to meet the needs of Hyundai, Genesis, and Kia customers and dealerships. We provide vehicle financing, leasing, subscription, and insurance solutions to over 2 million consumers and businesses. Embodying our commitment to grow, innovate, and diversify, we strive to reimagine the customer and dealer experience and launch innovative new products that broaden our market reach. We believe that success comes from within and are proud to support our team members through skill development and career advancement. Hyundai Capital America is an Equal Opportunity Employer committed to creating a diverse and inclusive culture for our workforce. We are a values\-driven company dedicated to supporting both internal and external communities through volunteering, philanthropy, and the empowerment of our Employee Resource Groups. Together, we strive to be the leader in financing freedom of movement.
**We Take Care of Our People**
 Along with competitive pay, as an employee of HCA, you are eligible for the following benefits:
* Medical, Dental and Vision plans that include no\-cost and low\-cost plan options
* Immediate 401(k) matching and vesting
* Vehicle purchase and lease discounts plus monthly vehicle allowances
* Paid Volunteer Time Off with company donation to a charity of your choice
* Tuition reimbursement
**What To Expect**
 The Data Engineer is responsible for designing and developing data pipelines and information assets utilizing modern technology approaches to ensure alignment with reference architecture, data requirements, time frames are iterative delivery of data pipeline artifacts.
**What You Will Do**
* Solutions Delivery – Analysis, Design, and Development
* Create and maintain optimal data pipeline architecture.
* Build the infrastructure required for optimal extraction, transformation, and loading of data from a wide variety of data sources using SQL and AWS big\-data technologies.
* Build data pipelines, ELT optimization, data mappings, and ETL progress design to provide actionable insights into customer acquisition, operational efficiency and other key business performance metrics.
* Responsible for ensuring that the technical output of the Data Engineering team conforms to best practices and standards .
* Draft technical design and specifications, and data lineage.
* Participate on other related assessments such as Data Analysis, Root Cause Analysis, Impact Analysis, As\-Is solution assessment and ToBe solution recommendation, etc.
* Test and Maintenance
* Implement improvements to application performance for potential bottlenecks.
* Update process documentation to keep system library up to date.
* Validate system developed according to requirement by testing.
* Solutions Delivery Management
* Follow processes and practices to enable the delivery of data engineering artifacts.
* Execute plans to drive higher solution efficiency and delivery velocity of Data Services solution.
**What You Will Bring**
* Minimum 5\-7 years’ progressive experience in data analytics, computer systems engineering, or software engineering.
* Proven experience with Data Integration tools such as Informatica, AWS Glue, AWS Redshift, AWS S3, and languages such as Stored Procedures, Python, Spark, etc.
* Auto\-finance experience and specifically Cassiopeia product experience required.
* SQL and Oracle knowledge required.
* Bachelor’s degree required.
* Advanced degree preferred.
* Experience in building and optimizing relational and structured data pipelines, architectures and data sets.
* Strong analytic skills to work with unstructured datasets.
* Has in\-depth functional expertise and broad business knowledge of data domains.
* Ability to find solutions on data requirements and issues.
* Ability to conduct code reviews to ensure that the technical output conforms to best practices and standards.
* Ability to communicate and influence Business and IT in terms of understanding the data. requirements, respective data solutions, and technical decisions.
* Strong collaboration and motivation skills.
* Strong communication skills (verbal and written).
**Work Environment**
 Employees in this class are subject to extended periods of sitting, standing, and walking, vision to monitor and moderate noise levels. Work is performed in an at home and office environment.
*The posted salary range for this job takes into account the wide range of factors that are considered in making compensation decisions including but not limited to skill sets; experience and training; licensure and certifications; geographic location, and other business and organizational needs. Successful candidates may be hired anywhere in the salary range based on these factors. It is uncommon to hire candidates at or near the top of the range.*
*California Privacy Notice*
*This notice only applies to our applicants who reside in the State of California.*
*The latest version of our Privacy Policy can be found* 
*here* 
*. This Privacy Policy provides you with notice, at or before the point of collection, about the categories of personal information to be collected from you, the purposes for which your personal information is collected or used, and whether that information is sold or shared, so that you can exercise meaningful control over our use of your personal information. We are providing this notice to comply with the California Consumer Privacy Act of 2018, as amended as amended by the California Privacy Rights Act of 2020 (“CCPA”).*
*If you have any questions about CCPA regarding California residents or HCA team members, please contact the Privacy Team at* 
*Privacy2@hcs.com* 
*.*
**Primary Location**
 United States\-California\-Irvine
**Work Locations**
 Headquarters 1
**Job**
 Enterprise Data Strategy
**Job Type**
 Regular
**Overtime Status**
 Exempt
**Schedule**
 Full\-time
**Minimum Salary: $**
 100,000\.00
**Maximum Salary: $**
 155,000\.00
**Job Posting**
 Jan 27, 2026</t>
        </is>
      </c>
    </row>
    <row r="47">
      <c r="A47" t="inlineStr">
        <is>
          <t>li-4366366765</t>
        </is>
      </c>
      <c r="B47" t="inlineStr">
        <is>
          <t>Data Engineer</t>
        </is>
      </c>
      <c r="C47" t="inlineStr">
        <is>
          <t>Fusemachines</t>
        </is>
      </c>
      <c r="D47" t="inlineStr">
        <is>
          <t>linkedin</t>
        </is>
      </c>
      <c r="E47">
        <f>HYPERLINK("https://www.linkedin.com/jobs/view/4366366765", "https://www.linkedin.com/jobs/view/4366366765")</f>
        <v/>
      </c>
      <c r="F47">
        <f>HYPERLINK("https://www.wiraa.com/job-description/us14C78B5164C08BE11A581FC3DD685E61?source=Linkedin&amp;urlHash=ApEd", "https://www.wiraa.com/job-description/us14C78B5164C08BE11A581FC3DD685E61?source=Linkedin&amp;urlHash=ApEd")</f>
        <v/>
      </c>
      <c r="G47" t="inlineStr"/>
      <c r="H47" t="inlineStr"/>
      <c r="I47" t="inlineStr">
        <is>
          <t>**About The Company**
 Fusemachines is a leading provider of AI strategy, talent, and education services dedicated to democratizing artificial intelligence globally. Established by Sameer Maskey Ph.D., an esteemed Adjunct Associate Professor at Columbia University, the company aims to empower organizations and individuals by making AI accessible and impactful. With a presence in four countries—Nepal, the United States, Canada, and the Dominican Republic—and a diverse team of over 450 employees, Fusemachines leverages its global expertise to transform businesses through innovative AI solutions. The company's mission centers on fostering AI literacy, developing cutting\-edge AI talent, and delivering strategic AI consulting to a broad range of industries worldwide.
**About The Role**
 This is a full\-time remote position designed for a talented Senior Data Engineer or Technical Lead. The role involves designing, building, testing, optimizing, and maintaining the infrastructure and code necessary for comprehensive data integration, storage, processing, and analytics. The focus is on creating robust data pipelines and analytics solutions, from data ingestion to consumption, ensuring high data quality, accessibility, and security to support business intelligence and advanced analytics initiatives. The ideal candidate will possess a strong programming background and a deep understanding of managing data across various storage systems and cloud platforms. They will lead technical efforts, contribute to architecture decisions, and mentor junior team members, all within an Agile environment. The role also involves contributing to cloud migration projects, particularly transitioning data solutions from AWS to GCP, leveraging expertise in both cloud platforms to optimize performance, cost, and scalability.
**Qualifications**
* Bachelor’s degree in Computer Science, Information Systems, Engineering, or a related field.
* 5\+ years of professional experience in data engineering, with proven expertise in AWS and GCP cloud environments.
* Relevant certifications in cloud platforms (preferred but not mandatory).
* Proficiency in Python, SQL, and PySpark for large\-scale data processing.
* Experience designing and optimizing data pipelines, data lakes, and data warehouses using tools like Spark, DBT, Kafka, and Airflow.
* Strong programming skills in Python, Scala, and SQL, with knowledge of data modeling and database design.
* Hands\-on experience with relational and NoSQL databases such as MySQL, Postgres, Cassandra, and MongoDB.
* Deep understanding of AWS services including Lambda, Kinesis, Redshift, S3, EMR, EC2, IAM, and CloudWatch.
* Experience with orchestration tools like Airflow or Composer, DevOps practices including GitHub, CI/CD pipelines, and Terraform.
* Excellent problem\-solving, leadership, and project management capabilities.
* Strong communication skills to collaborate effectively across technical and non\-technical teams.
**Responsibilities**
* Design, implement, deploy, test, and maintain scalable and efficient data architectures and pipelines.
* Establish and uphold standards and best practices for data management and integration.
* Ensure the scalability, reliability, performance, and quality of data systems.
* Mentor and guide junior and mid\-level data engineers to foster team growth and skill development.
* Collaborate with Product, Engineering, Data Science, and Analytics teams to understand data requirements and develop tailored data solutions.
* Evaluate, select, and implement new technologies and tools to enhance data processing capabilities.
* Develop architecture, observability, and testing strategies to ensure data pipeline reliability.
* Manage storage layers, including schema design, indexing, and performance tuning for optimal data access.
* Address complex data engineering issues swiftly, resolving bottlenecks in SQL queries and database operations.
* Conduct discovery and assessment of existing data infrastructure and propose scalable architecture improvements.
* Implement data governance frameworks, including data cataloging, lineage, quality, and compliance practices.
* Define and document data engineering workflows, processes, and data flows for transparency and consistency.
* Participate actively in Agile ceremonies, contributing to continuous improvement initiatives.
**Benefits**
* Competitive salary package aligned with industry standards.
* Opportunity to work remotely from anywhere, providing flexibility and work\-life balance.
* Professional development opportunities, including certifications and training.
* Collaborative and innovative work environment with a diverse team.
* Participation in cutting\-edge AI and data projects with global impact.
* Health and wellness benefits (if applicable, based on location).
* Paid time off and holidays to support personal well\-being.
 Equal Opportunity
 Fusemachines is an equal opportunity employer. We celebrate diversity and are committed to creating an inclusive environment for all employees regardless of race, color, religion, sex, sexual orientation, gender identity, national origin, age, genetic information, disability, veteran status, or any other protected class under applicable laws.</t>
        </is>
      </c>
    </row>
    <row r="48">
      <c r="A48" t="inlineStr">
        <is>
          <t>li-4356183252</t>
        </is>
      </c>
      <c r="B48" t="inlineStr">
        <is>
          <t>Data Engineer</t>
        </is>
      </c>
      <c r="C48" t="inlineStr">
        <is>
          <t>Cobalt Recruitment</t>
        </is>
      </c>
      <c r="D48" t="inlineStr">
        <is>
          <t>linkedin</t>
        </is>
      </c>
      <c r="E48">
        <f>HYPERLINK("https://www.linkedin.com/jobs/view/4356183252", "https://www.linkedin.com/jobs/view/4356183252")</f>
        <v/>
      </c>
      <c r="F48" t="inlineStr"/>
      <c r="G48" t="inlineStr"/>
      <c r="H48" t="inlineStr"/>
      <c r="I48" t="inlineStr">
        <is>
          <t>**Data Engineer** 
**Location:** 
 New York City (Hybrid)
**Sector:** 
 Commercial Real Estate
**The Opportunity** 
 Cobalt is working with a well\-respected commercial real estate business in New York City to recruit a
 **Data Engineer** 
 . This role is central to the firm’s data and analytics capability, supporting investment decision\-making, portfolio performance, and the delivery of data\-driven insights across the organisation.
 The successful candidate will join a collaborative technology team and play a key role in building and maintaining scalable, reliable data infrastructure.
**Key Responsibilities** 
* Design, build, and maintain robust ETL/ELT data pipelines
* Develop and manage cloud\-based data platforms and warehouses
* Collaborate with analytics, data science, and product teams to deliver high\-quality data solutions
* Implement and maintain data models to support reporting and advanced analytics
* Ensure data quality, reliability, and performance across systems
* Monitor, troubleshoot, and support production data environments
* Document data architecture, pipelines, and engineering best practices
**Technology Environment** 
* Cloud platforms (primarily AWS; experience with GCP also considered)
* SQL\-based data warehouses (e.g. Redshift, BigQuery)
* Orchestration and transformation tools (Airflow, dbt, or similar)
* Python and SQL
* Version control and CI/CD workflows
**Required Experience** 
* 3\+ years of experience in a Data Engineering or Analytics Engineering role
* Strong SQL skills and experience building production\-grade data pipelines
* Hands\-on experience with cloud data infrastructure
* Solid understanding of data modelling and warehouse design
* Strong communication skills and experience working with cross\-functional teams</t>
        </is>
      </c>
    </row>
    <row r="49">
      <c r="A49" t="inlineStr">
        <is>
          <t>li-4366039705</t>
        </is>
      </c>
      <c r="B49" t="inlineStr">
        <is>
          <t>Data Engineer</t>
        </is>
      </c>
      <c r="C49" t="inlineStr">
        <is>
          <t>Premium Guard Inc. (PGI)</t>
        </is>
      </c>
      <c r="D49" t="inlineStr">
        <is>
          <t>linkedin</t>
        </is>
      </c>
      <c r="E49">
        <f>HYPERLINK("https://www.linkedin.com/jobs/view/4366039705", "https://www.linkedin.com/jobs/view/4366039705")</f>
        <v/>
      </c>
      <c r="F49" t="inlineStr"/>
      <c r="G49" t="inlineStr">
        <is>
          <t>Lockbourne, OH</t>
        </is>
      </c>
      <c r="H49" t="inlineStr"/>
      <c r="I49" t="inlineStr">
        <is>
          <t>Premium Guard Inc. was founded in 1996 as a pioneer in the global manufacture of aftermarket automotive products. From the very beginning, our focus has been to deliver a complete, turnkey solution with industry\-leading application coverage and quality private label programs for all segments of the automotive aftermarket in North America. Premium Guard Inc is excited to announce that we’re hiring a Data Engineer for either our location in
 **Columbus Ohio** 
 or
 **Memphis, TN.** 
 This is a hybrid role with a minimum of 2 days on site per week.
 The Data Engineer will be responsible for building reliable, scalable data pipelines and platforms that support analytics, reporting, and future advanced initiatives. This role focuses primarily on
 **data engineering fundamental \-** 
 data ingestion, transformation, storage, quality, and performance—with
 **limited initial responsibility for AI/ML** 
 , while providing a clear growth path into advanced analytics and intelligent systems.
**Data Engineering \&amp; Platform Development**
* Design, build, and maintain robust data pipelines supporting new products, customers, and data sources
* Develop scalable data models and ETL/ELT processes using Databricks, SQL Server, and Python
* Integrate data from internal systems (ERP, logistics, sales, operations) and external partners
* Optimize data workflows for performance, reliability, scalability, and cost efficiency across AWS and Azure
* Implement best practices for data quality, observability, governance, and documentation
* Support data\-driven decision\-making across operations, supply chain, product, and leadership teams
**Operational Excellence**
* Monitor pipeline health and resolve failures proactively
* Apply change management and release controls
* Maintain system documentation and technical standards
* Collaborate with BI analysts, developers, and business stakeholders
**Foundational Analytics \&amp; AI Exposure (Limited Scope)**
* Prepare and curate datasets for analytics and future ML initiatives
* Assist with feature engineering and data preprocessing efforts
* Participate in pilot projects involving predictive analytics and automation as the organization evolves</t>
        </is>
      </c>
    </row>
    <row r="50">
      <c r="A50" t="inlineStr">
        <is>
          <t>li-4366045019</t>
        </is>
      </c>
      <c r="B50" t="inlineStr">
        <is>
          <t>Health Sensing Data Engineer</t>
        </is>
      </c>
      <c r="C50" t="inlineStr">
        <is>
          <t>Apple</t>
        </is>
      </c>
      <c r="D50" t="inlineStr">
        <is>
          <t>linkedin</t>
        </is>
      </c>
      <c r="E50">
        <f>HYPERLINK("https://www.linkedin.com/jobs/view/4366045019", "https://www.linkedin.com/jobs/view/4366045019")</f>
        <v/>
      </c>
      <c r="F50">
        <f>HYPERLINK("https://jobs.apple.com/en-us/details/200626165?board_id=17682&amp;urlHash=Lox3", "https://jobs.apple.com/en-us/details/200626165?board_id=17682&amp;urlHash=Lox3")</f>
        <v/>
      </c>
      <c r="G50" t="inlineStr">
        <is>
          <t>San Diego, CA</t>
        </is>
      </c>
      <c r="H50" t="inlineStr"/>
      <c r="I50" t="inlineStr">
        <is>
          <t>**Summary**
 The Health Sensing HW team develops groundbreaking health sensors that are central to helping our customers live a healthier lifestyle.
 We are looking for a data engineer with a desire to innovate in the space of optical sensors and health sensing features, with a passion for data pipelines/infrastructure and software development. You will develop system models of one or more health sensors to assess the performance of the sensor and inform design decisions. You will create tools to consume data from cloud\-based databases, run data quality analyses, and root cause outliers. You will also be responsible for building tools to streamline the data analyses with existing DL/ML algorithms. You will work closely with internal and cross\-functional teams to tackle challenges involving sensors, algorithms, and user behavior, and you will play a key role in developing and quantifying the performance of hardware solutions to enable optical sensing features.
**Description**
 The team you will join is responsible for designing and delivering health features for Apple's wearable devices. We are highly collaborative and partner with a variety of teams across Apple.
**Responsibilities**
* Solicit and consolidate requirements from sensor engineers for algorithm evaluation, behavioral modeling, data quality analyses, outlier analyses, and factory data analysis tools. Develop and maintain these tools/codebases/pipelines and consolidate common blocks.
* Manage and analyze data from user studies to identify key behaviors and establish relevant dependencies.
* Produce / present meaningful data visualizations to the team.
* Evaluate the impact of design choices on engineering metrics; propose trade\-offs; and communicate the results and insights to cross\-functional teams.
* Maintain simulation code with best software engineering practices, optimize and refactor codebase when necessary for performance and readability.
* Use developed code to predict system/user performance across a range of operating conditions including HW/FW settings, user physiology, ambient conditions, etc.
**Minimum Qualifications**
* Experience writing, debugging, and maintaining computer simulation code with strong software development skills, with proficiency in Python.
* Experience developing data analytics systems for early\-stage projects to help team learn about unknown dependencies.
* BS and a minimum of 3 years relevant industry experience
**Preferred Qualifications**
* Experience with unit test development.
* Collaborative and willing to work in cross\-functional fast\-paced technology development.
* Excellent written and verbal communications skills.
* MS, or PhD in Computer Science, Electrical Engineering, Physics, or related field with 2\+ years of relevant hands\-on experience.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1">
      <c r="A51" t="inlineStr">
        <is>
          <t>li-4366376801</t>
        </is>
      </c>
      <c r="B51" t="inlineStr">
        <is>
          <t>Associate Data Engineer</t>
        </is>
      </c>
      <c r="C51" t="inlineStr">
        <is>
          <t>The Value Maximizer</t>
        </is>
      </c>
      <c r="D51" t="inlineStr">
        <is>
          <t>linkedin</t>
        </is>
      </c>
      <c r="E51">
        <f>HYPERLINK("https://www.linkedin.com/jobs/view/4366376801", "https://www.linkedin.com/jobs/view/4366376801")</f>
        <v/>
      </c>
      <c r="F51" t="inlineStr"/>
      <c r="G51" t="inlineStr">
        <is>
          <t>Ohio, OH</t>
        </is>
      </c>
      <c r="H51" t="inlineStr"/>
      <c r="I51" t="inlineStr">
        <is>
          <t>**Location:** 
 New York, NY, USA
 **Workplace Type:** 
 Hybrid
**About The Role**
 Incedo is seeking a highly motivated and skilled Associate Data Engineer to join our dynamic team. As a Data Engineer, you will play a crucial role in building and maintaining the data systems that convert raw data into usable information for analytics and business decision\-making, impacting Fortune 20 customers. You will be responsible for collecting, managing, and transforming raw data into formats accessible to data scientists and business analysts, enabling them to evaluate and optimize business performance. This role requires strong analytical and problem\-solving skills, the ability to integrate data from various sources, and a passion for enhancing data quality and reliability. You will collaborate with leaders across the organization to support data\-driven business decisions and contribute to the development of innovative data solutions.
**Key Responsibilities**
* Analyzing and organizing raw data to identify trends and patterns
* Developing and maintaining robust and scalable datasets for various analytical purposes
* Improving data quality and efficiency through data cleansing and validation techniques
* Building and maintaining data systems and pipelines to ensure seamless data flow
* Evaluating business needs and objectives to align data engineering efforts with strategic goals
* Interpreting trends and patterns in data to provide actionable insights
* Conducting complex data analysis and reporting on results to stakeholders
* Preparing data for prescriptive and predictive modeling to support advanced analytics
* Building algorithms and prototypes to explore new data\-driven solutions
* Combining raw information from different sources to create consistent, machine\-readable formats
* Exploring ways to enhance data quality and reliability through innovative techniques
* Identifying opportunities for data acquisition to expand the scope of available data
* Developing analytical tools and programs to empower data users
* Collaborating with data scientists and architects on various projects to deliver comprehensive data solutions
**Required Skills \&amp; Qualifications**
* Technical expertise with data models, data mining, and segmentation techniques
* Strong analytical and problem\-solving skills with the ability to work with complex datasets
* Hands\-on experience with SQL database design and optimization
* Proficiency in programming languages such as R and Python for data manipulation and analysis
* Bachelor's Degree in Computer Science, IT, or a related field
* Highly motivated with a strong sense of ownership and accountability
* Quick learner with a positive attitude and a willingness to embrace new technologies
* Genuine team player with excellent communication and collaboration skills
* Ability to communicate effectively with both technical and non\-technical audiences
* Experience with cloud\-based data platforms (e.g., AWS, Azure, GCP) is a plus. (Inferred)
* Familiarity with data warehousing concepts and ETL processes. (Inferred)
**Additional Information**
 This is an excellent opportunity to join a growing team and contribute to impactful data\-driven initiatives. Incedo offers a competitive salary, comprehensive benefits, and opportunities for professional development. We are committed to creating a diverse and inclusive work environment where everyone can thrive. The ideal candidate will be passionate about data, eager to learn, and dedicated to delivering high\-quality results. This role may require occasional travel to client sites or other Incedo offices.</t>
        </is>
      </c>
    </row>
    <row r="52">
      <c r="A52" t="inlineStr">
        <is>
          <t>li-4365489930</t>
        </is>
      </c>
      <c r="B52" t="inlineStr">
        <is>
          <t>Azure Data Engineer</t>
        </is>
      </c>
      <c r="C52" t="inlineStr">
        <is>
          <t>Ascend Technologies</t>
        </is>
      </c>
      <c r="D52" t="inlineStr">
        <is>
          <t>linkedin</t>
        </is>
      </c>
      <c r="E52">
        <f>HYPERLINK("https://www.linkedin.com/jobs/view/4365489930", "https://www.linkedin.com/jobs/view/4365489930")</f>
        <v/>
      </c>
      <c r="F52" t="inlineStr"/>
      <c r="G52" t="inlineStr"/>
      <c r="H52" t="inlineStr"/>
      <c r="I52" t="inlineStr">
        <is>
          <t>This position is a fully remote position, however, occasional travel within the United States may be required.
**Purpose**
 Seeking an Azure Data Engineer (3–5 years) to join cross\-functional teams of Developers, Azure engineers, and Azure Security professionals. In this role, you will also design, deploy, and maintain Azure Data within various SQL and NoSQL platforms. Operational support and optimizations including performance optimization, replication, backup, restore and disaster recovery. Expert level skills in Azure and Microsoft Database platforms including IaaS, PaaS and SAS solutions.
 CI/CD pipelines; automate operations with Bash, PowerShell, and Python; design and implement Zero Trust and least\-privilege models; and manage Azure DevOps security and permissions. Close collaboration with application developers and infrastructure colleagues in a team setting.
**Responsibilities**
**Databases**
* Microsoft SQL, Mongo, Postgres, Qdrant
* Wide area network data replication
* On\-Premises to Azure migrations
* Secure Identities and groups
**Security \&amp; Permissions**
* Configure Azure Database security, service connections, user/group permissions
* Implement least\-privilege access with Azure RBAC and Management Groups
* Enforce Azure Policy assignments
**Agile Process \&amp; Boards Management**
* Create and maintain work items (Epics, Features, Tasks)
* Team sprint planning, backlog creation, and reporting on velocity and cycle time
**Automation \&amp; Scripting**
* Write and maintain deployment and operational scripts in Bash, PowerShell, and Python
* Other Responsibilities as assigned by management
**Minimum Skills, Education And Experience**
* Expert at designing, deploying, and operating Azure data infrastructure
* Working Azure infrastructure knowledge: compute (VMs, scale sets), storage accounts, load balancers, networking, and identity services, App Service, Web Application Gateway
* Scripting skills in Bash, PowerShell, and Python
* Strong understanding of Zero Trust and least\-privilege security models
* Experience managing Azure DevOps security and permissions
* Experience facilitating Agile ceremonies and reporting metrics
* Self\-starter with strong communication skills
* SSIS, SSRS, PowerBI, T\-SQL, Microsoft Fabric
* Azure Certifications
* Azure Security tools, Key Vault, Entra identity
* Exposure to application development (C\#, Python, etc.)
* Linux and Windows experience
 Starting Compensation: $130,000/year
 At Ascend Technologies we firmly believe that diversity, equity, and inclusion are not only fundamental values but also powerful drivers of innovation, growth, and success. We are committed to fostering an environment where every individual feels valued, respected, and empowered.
**CORE VALUES**
 We are seeking highly motivated individuals who have the willingness and ability to demonstrate Ascend core values:
* Committed to Client Success: Our actions and our words always align with the best interest of the client.
* One Team: We work collaboratively to overcome challenges with humility and respect and do what it takes to find innovative solutions.
* Integrity: We are unquestionably committed to doing the right thing even when it is hard.
* Accountability: We hold ourselves and each other accountable for keeping our commitments to our clients, our communities, and one another.
* Transparency: We create open lines of communication with each other and our clients, fostering relationships founded on candor and trust.
 The salary for this position is commensurate with experience, skills, and qualifications. The range is intended to reflect our commitment to attracting top talent, and the final offer will be based on factors including, but not limited to, the candidate's previous experience, expertise in the field, relevant certifications, and the specific requirements of the role. In addition, internal equity, market trends, and geographic location may also influence the final salary.
 Along with a competitive salary, we offer a comprehensive benefits package, including health, dental, and vision insurance, retirement savings options, flexible time off (FTO), and professional development opportunities. We are open to discussing compensation and benefits further during the interview process to ensure alignment with the candidate’s expectations and experience.</t>
        </is>
      </c>
    </row>
    <row r="53">
      <c r="A53" t="inlineStr">
        <is>
          <t>li-4317203984</t>
        </is>
      </c>
      <c r="B53" t="inlineStr">
        <is>
          <t>Data Engineer</t>
        </is>
      </c>
      <c r="C53" t="inlineStr">
        <is>
          <t>Carrot</t>
        </is>
      </c>
      <c r="D53" t="inlineStr">
        <is>
          <t>linkedin</t>
        </is>
      </c>
      <c r="E53">
        <f>HYPERLINK("https://www.linkedin.com/jobs/view/4317203984", "https://www.linkedin.com/jobs/view/4317203984")</f>
        <v/>
      </c>
      <c r="F53" t="inlineStr"/>
      <c r="G53" t="inlineStr"/>
      <c r="H53" t="inlineStr"/>
      <c r="I53"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54">
      <c r="A54" t="inlineStr">
        <is>
          <t>li-4366044020</t>
        </is>
      </c>
      <c r="B54" t="inlineStr">
        <is>
          <t>Health Sensing Data Engineer</t>
        </is>
      </c>
      <c r="C54" t="inlineStr">
        <is>
          <t>Apple</t>
        </is>
      </c>
      <c r="D54" t="inlineStr">
        <is>
          <t>linkedin</t>
        </is>
      </c>
      <c r="E54">
        <f>HYPERLINK("https://www.linkedin.com/jobs/view/4366044020", "https://www.linkedin.com/jobs/view/4366044020")</f>
        <v/>
      </c>
      <c r="F54" t="inlineStr"/>
      <c r="G54" t="inlineStr">
        <is>
          <t>San Francisco, CA</t>
        </is>
      </c>
      <c r="H54" t="inlineStr"/>
      <c r="I54" t="inlineStr">
        <is>
          <t>**Summary**
 The Health Sensing HW team develops groundbreaking health sensors that are central to helping our customers live a healthier lifestyle.
 We are looking for a data engineer with a desire to innovate in the space of optical sensors and health sensing features, with a passion for data pipelines/infrastructure and software development. You will develop system models of one or more health sensors to assess the performance of the sensor and inform design decisions. You will create tools to consume data from cloud\-based databases, run data quality analyses, and root cause outliers. You will also be responsible for building tools to streamline the data analyses with existing DL/ML algorithms. You will work closely with internal and cross\-functional teams to tackle challenges involving sensors, algorithms, and user behavior, and you will play a key role in developing and quantifying the performance of hardware solutions to enable optical sensing features.
**Description**
 The team you will join is responsible for designing and delivering health features for Apple's wearable devices. We are highly collaborative and partner with a variety of teams across Apple.
**Responsibilities**
* Solicit and consolidate requirements from sensor engineers for algorithm evaluation, behavioral modeling, data quality analyses, outlier analyses, and factory data analysis tools. Develop and maintain these tools/codebases/pipelines and consolidate common blocks.
* Manage and analyze data from user studies to identify key behaviors and establish relevant dependencies.
* Produce / present meaningful data visualizations to the team.
* Evaluate the impact of design choices on engineering metrics; propose trade\-offs; and communicate the results and insights to cross\-functional teams.
* Maintain simulation code with best software engineering practices, optimize and refactor codebase when necessary for performance and readability.
* Use developed code to predict system/user performance across a range of operating conditions including HW/FW settings, user physiology, ambient conditions, etc.
**Minimum Qualifications**
* Experience writing, debugging, and maintaining computer simulation code with strong software development skills, with proficiency in Python.
* Experience developing data analytics systems for early\-stage projects to help team learn about unknown dependencies.
* BS and a minimum of 3 years relevant industry experience
**Preferred Qualifications**
* Experience with unit test development.
* Collaborative and willing to work in cross\-functional fast\-paced technology development.
* Excellent written and verbal communications skills.
* MS, or PhD in Computer Science, Electrical Engineering, Physics, or related field with 2\+ years of relevant hands\-on experience.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5">
      <c r="A55" t="inlineStr">
        <is>
          <t>li-4366620240</t>
        </is>
      </c>
      <c r="B55" t="inlineStr">
        <is>
          <t>Data and BI Engineer</t>
        </is>
      </c>
      <c r="C55" t="inlineStr">
        <is>
          <t>American Dining Creations</t>
        </is>
      </c>
      <c r="D55" t="inlineStr">
        <is>
          <t>linkedin</t>
        </is>
      </c>
      <c r="E55">
        <f>HYPERLINK("https://www.linkedin.com/jobs/view/4366620240", "https://www.linkedin.com/jobs/view/4366620240")</f>
        <v/>
      </c>
      <c r="F55">
        <f>HYPERLINK("https://olivia.paradox.ai/co/AmericanFoodVendingAmericanDiningCreations4/Job?job_id=PDX_AFVADC_3C20B466-5086-4F59-8A8B-B805B12C06B1_22551889&amp;trk=linkedin&amp;urlHash=5kz7", "https://olivia.paradox.ai/co/AmericanFoodVendingAmericanDiningCreations4/Job?job_id=PDX_AFVADC_3C20B466-5086-4F59-8A8B-B805B12C06B1_22551889&amp;trk=linkedin&amp;urlHash=5kz7")</f>
        <v/>
      </c>
      <c r="G55" t="inlineStr">
        <is>
          <t>New York, United States</t>
        </is>
      </c>
      <c r="H55" t="inlineStr"/>
      <c r="I55" t="inlineStr">
        <is>
          <t>**Pay:** 
 $110000 per year \- $120000 per year
* Must be a US Citizen.
**Summary**
 We are seeking a highly skilled and versatile Data \&amp; BI Engineer to join our data\-driven team. This role combines responsibilities across data engineering, ETL development, business intelligence and data analysis. The ideal candidate will have hands\-on experience with ETL pipelines, BI tools, cloud platforms, Python, and Snowflake, and will be responsible for designing, developing, and maintaining scalable data solutions that support analytics and business decision\-making. They will collaborate closely with cross\-functional teams to ensure the availability, reliability, and performance of our data systems and solutions.
**Responsibilities**
* Design, build, and optimize robust ETL pipelines to ingest, transform, and load data from diverse sources (Structured and Unstructured).
* Build and maintain integrations with internal and external data sources and APIs.
* Develop and maintain data models, schemas, and metadata for analytical and operational use.
* Implement data validation, testing, cleansing, and quality checks to ensure data integrity.
* Work with orchestration tools for workflow automation and monitoring data pipeline operation.
* Design and develop user\-friendly and intuitive visualizations/dashboards to communicate insights effectively using Power BI or similar BI tools.
* Collaborate with stakeholders to gather requirements and translate them into BI solutions.
* Monitor and troubleshoot BI and ETL processes to ensure performance and reliability.
* Provide insights through data visualization and performance metrics.
* Work with cloud platforms such as Azure for data storage and processing.
* Utilize Snowflake for data warehousing, Write complex SQL queries and stored procedures for data extraction, transformation, and loading processes.
* Implement CI/CD pipelines and version control using tools like Git or Azure DevOps.
* Document technical designs, workflows, and best practices to facilitate knowledge sharing and maintain system documentation
**Qualifications**
* 3\+ years of relevant experience with detailed knowledge of data warehouse technical architectures, infrastructure components, ETL tools, and BI/analytic tools
* 2\+ years of Experience with BI tools such as Power BI, Tableau, or QlikView.
* Hands\-on experience with Snowflake, including Snowpipe, Streams, Stored Procedures and various AI and ML features.
* Strong analytical skills with the ability to collect, organize, analyze, and disseminate significant amounts of information with attention to detail and accuracy.
* Strong understanding of database technologies, management systems, and data modeling techniques.
* Proficiency in Python.
* Strong SQL skills and experience with relational and cloud databases.
* Familiarity with cloud technology
* Familiarity with Agile/Scrum methodology
* Familiarity with AI/Machine Learning and Advanced analytics is plus
* Strong communication, problem solving and collaboration skills.
* Ability to manage multiple priorities simultaneously.
* Knowledge of data governance, security, and compliance best practices.
**Education**
* Bachelor’s or master’s degree in computer science, Information Systems, Business Analytics or related field.
**About Us**
 American Food \&amp; Vending began vending operations in Ithaca, NY, over eighty years ago and has become one of the largest privately held hospitality service partners in the United States.
 As a family\-owned boutique company, we have evolved into a dining and catering service provider. In 2012, the second and third family generations expanded the company nationally by adding our dining division, American Dining Creations. Today we provide service to guests in 24 states, over 50 cities, and employ more than 2,000 employees.
 American Food \&amp; Vending and American Dining Creations strongly focus on service, technology, partnerships, and hospitality, which is evident in everything we do. Our national ranking as one of the Top 50 Contract Management Companies highlights our commitment to excellence.
 We are a company of culinary enthusiasts. Our award\-winning chefs are always exploring innovative, creative, and on\-trend dining and refreshment solutions. As part of our combined services, we provide café dining, mobile ordering, catering, events, grab\-and\-go programs, vending and refreshment solutions, advanced micro markets, coffee services, pantry services, water filtration and purification.
 We are committed to enhancing the guest experience and partnering with our communities to provide outstanding service, innovation, sustainability, and customization.
**American Food \&amp; Vending Offers**
* Weekly Pay
* 401K with company match
* Employee Referral Bonus Program
* Employee Assistance Program
* Eligible employees offered Medical, Prescription, Dental, and Vision Plans
**American Food \&amp; Vending is an Equal Opportunity Employer.**
**Chat with Scout, our virtual hiring assistant to apply for this position right from your mobile device. Text JOB to 315\-803\-6049 to get started!**</t>
        </is>
      </c>
    </row>
    <row r="56">
      <c r="A56" t="inlineStr">
        <is>
          <t>li-4366047083</t>
        </is>
      </c>
      <c r="B56" t="inlineStr">
        <is>
          <t>Hardware Data Engineer - Camera</t>
        </is>
      </c>
      <c r="C56" t="inlineStr">
        <is>
          <t>Apple</t>
        </is>
      </c>
      <c r="D56" t="inlineStr">
        <is>
          <t>linkedin</t>
        </is>
      </c>
      <c r="E56">
        <f>HYPERLINK("https://www.linkedin.com/jobs/view/4366047083", "https://www.linkedin.com/jobs/view/4366047083")</f>
        <v/>
      </c>
      <c r="F56" t="inlineStr"/>
      <c r="G56" t="inlineStr">
        <is>
          <t>San Diego, CA</t>
        </is>
      </c>
      <c r="H56" t="inlineStr"/>
      <c r="I56" t="inlineStr">
        <is>
          <t>**Summary**
 Apple delivers the most popular cameras in the world. Each product release provides breakthroughs in photography with stunning camera features that customers love. Our cameras deploy imaging complexity at the frontier of traditional camera engineering methods. Data volumes are growing to meet this need across camera simulations, performance calibrations, measurement results, and their correlations. Our team's task is to build a comprehensive aggregate data layer that enables efficient and flexible executive reporting, highly customized data applications, and powerful ML inference and analysis.
**Description**
 In this role, you will work closely with data scientists, hardware engineers, hardware test, and manufacturing operations teams to build scalable data pipelines and solutions. As a hardware data engineer, you must effectively collaborate to bridge the gap between business needs, analytical solutions, and engineering requirements. Additionally, proactive collaboration with other data engineering teams is essential for scaling solutions across teams.
**Responsibilities**
* As part of the Camera Hardware Data Engineering team, you will be responsible for expanding our powerful data engineering platform and custom team tools by designing, developing, and maintaining robust data pipelines to support camera manufacturing analytics initiatives.
* You will work independently to design technical solutions to process massive datasets and engage with internal and external data providers and consumers to create low\-friction data exchange systems.
* You will provide technical leadership for 3rd party development teams and mentor and provide data engineering best practices across the organization.
**Minimum Qualifications**
* BS or higher in Computer Science, Data Engineering, Data Science, Math, or related fields
* Hands\-on Experience using cloud data analytics platforms (i.e. Snowflake, Trino, BigQuery)
* Experience building data transformation pipelines using frameworks such as Data Built Tool (dbt) or Spark
* Experience in data modeling and data governance techniques (i.e. Row Access Policies, role\-based access control (RBAC)
**Preferred Qualifications**
* Experience with pipeline orchestration frameworks such as Airflow
* Experience using BI tools such as Tableau or app frameworks such as Streamlit or Superset to build shareable and easy\-to\-understand data visualizations
* Experience in the use of Python frameworks like FastAPI to build cloud\-native data access tools
* Experience designing and building relational databases (i.e. PostgreSQL) and non\-relational databases (i.e. Redis, MongoDB)
* Working knowledge of Kubernetes for deploying and monitoring cloud\-native applications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7">
      <c r="A57" t="inlineStr">
        <is>
          <t>li-4366376714</t>
        </is>
      </c>
      <c r="B57" t="inlineStr">
        <is>
          <t>Data Engineer II</t>
        </is>
      </c>
      <c r="C57" t="inlineStr">
        <is>
          <t>Wiraa</t>
        </is>
      </c>
      <c r="D57" t="inlineStr">
        <is>
          <t>linkedin</t>
        </is>
      </c>
      <c r="E57">
        <f>HYPERLINK("https://www.linkedin.com/jobs/view/4366376714", "https://www.linkedin.com/jobs/view/4366376714")</f>
        <v/>
      </c>
      <c r="F57">
        <f>HYPERLINK("https://www.wiraa.com/job-description/us778067F8F0BC6D1F91F3C422B0860335?source=Linkedin&amp;urlHash=HEA_", "https://www.wiraa.com/job-description/us778067F8F0BC6D1F91F3C422B0860335?source=Linkedin&amp;urlHash=HEA_")</f>
        <v/>
      </c>
      <c r="G57" t="inlineStr"/>
      <c r="H57" t="inlineStr"/>
      <c r="I57" t="inlineStr">
        <is>
          <t>**About The Company** 
 Becton, Dickinson, and Company (BD) is a global leader in medical technology, dedicated to advancing healthcare worldwide. With a rich history of innovation, BD develops, manufactures, and sells medical devices, instrument systems, and reagents that improve patient outcomes. The company's mission is to improve healthcare through innovative solutions that address clinical needs, enhance operational efficiency, and support healthcare professionals in delivering quality care. BD's commitment to excellence and its focus on cutting\-edge technology make it a trusted partner in the healthcare industry, fostering a culture of continuous improvement and scientific advancement.
**About The Role** 
 We are seeking a highly skilled Data Engineer to join our dynamic team. In this role, you will be responsible for designing, building, and implementing scalable data pipelines, optimizing data delivery processes, and maintaining modern data warehouse architectures. You will leverage script\-based tools such as Python and Matlab to develop standardization code, automate data processing workflows, and integrate large datasets from various sources into cloud platforms. Your expertise will be instrumental in supporting data\-driven decision\-making and ensuring the integrity, efficiency, and security of our data infrastructure. This position offers an exciting opportunity to work with cutting\-edge cloud technologies and contribute to innovative healthcare solutions that make a real difference in patient care.
**Qualifications** 
* 4\+ years of experience in building data processing processes supporting data transformations, data structures, dependencies, and workload management
* Advanced proficiency in MATLAB
* Advanced proficiency in Python
* Experience in signal processing
* Strong SQL skills and experience working with relational databases
* Working knowledge of at least one of the following databases: Redshift, Synapse, Snowflake, Postgres
* Excellent analytical skills for working with both structured and unstructured datasets
**Responsibilities** 
* Develop standardization code using Python and Matlab for integrating large datasets from various sources into cloud platforms
* Automate and optimize data standardization and processing workflows
* Design, implement, and maintain audit processes for data ingestion and quality assurance
* Build and maintain modern data pipelines and data streams utilizing scripting tools such as Python and Matlab
* Design and implement data warehouse solutions leveraging cloud services like AWS, Azure, or GCP
* Collaborate with cross\-functional teams to ensure data solutions meet business requirements
* Monitor and troubleshoot data pipelines to ensure optimal performance and reliability
* Stay updated with emerging technologies and incorporate best practices into data engineering processes
**Benefits** 
* Competitive salary package aligned with experience and qualifications
* Comprehensive health, dental, and vision insurance plans
* Retirement savings plans with company contributions
* Opportunities for professional development and continuous learning
* Flexible work arrangements with a minimum of 4 days in\-office presence per week
* Inclusive and collaborative work environment that values diversity and innovation
 Equal Opportunity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veteran status, or other legally protected characteristics.</t>
        </is>
      </c>
    </row>
    <row r="58">
      <c r="A58" t="inlineStr">
        <is>
          <t>li-4366059690</t>
        </is>
      </c>
      <c r="B58" t="inlineStr">
        <is>
          <t>Data Engineer</t>
        </is>
      </c>
      <c r="C58" t="inlineStr">
        <is>
          <t>Contentful</t>
        </is>
      </c>
      <c r="D58" t="inlineStr">
        <is>
          <t>linkedin</t>
        </is>
      </c>
      <c r="E58">
        <f>HYPERLINK("https://www.linkedin.com/jobs/view/4366059690", "https://www.linkedin.com/jobs/view/4366059690")</f>
        <v/>
      </c>
      <c r="F58" t="inlineStr"/>
      <c r="G58" t="inlineStr">
        <is>
          <t>Denver, CO</t>
        </is>
      </c>
      <c r="H58" t="inlineStr"/>
      <c r="I58" t="inlineStr">
        <is>
          <t>**About The Opportunity**
 We are seeking a
 **Data Engineer** 
 to help design, build, and scale modern data solutions that power analytics, operational reporting, and business decision\-making across the company. You will work closely with our data, analytics, and business teams to develop high\-quality data pipelines, models, and integrations that deliver clean, reliable, and actionable data.
 You will join a small, cross\-geography engineering team operating with a
 **product mindset** 
 \- delivering iterative value, partnering closely with business and analytics stakeholders, and owning both build and run responsibilities of a mission\-critical platform.
 What to expect?
* Design, build, and maintain scalable data pipelines and transformations across multiple systems and sources.
* Develop high\-quality data models that support analytics, reporting, and operational use cases.
* Partner with analytics, product, and business stakeholders to understand data needs and translate them into technical solutions.
* Implement strong data quality, validation, and monitoring processes to ensure reliability and trust in the data.
* Optimize data storage, processing, and performance within cloud data warehousing environments.
* Contribute to the development and evolution of our modern data platform, including tooling, standards, and best practices.
* Support data platform operations—troubleshooting issues, improving reliability, and ensuring SLAs are met.
* Collaborate with cross\-functional partners on governance, documentation, definitions, and data stewardship.
* Implement CI/CD practices and Infrastructure\-as\-Code (IaC) to automate deployment, testing, and environment management.
* Participate in code reviews, design discussions, and operational on\-call rotations as needed.
 What do you need to be successful?
**Required**
* 3–6\+ years of experience in Data Engineering or a similar technical role.
* Strong SQL skills and experience working with cloud data warehouses (e.g., Snowflake, Redshift, BigQuery).
* Experience building and maintaining ETL/ELT pipelines using tools such as dbt, Airflow, or similar frameworks.
* Proficiency in Python or another scripting language.
* Strong understanding of data modeling, data structures, and modern data architecture patterns.
* Experience with CI/CD workflows, version control (Git), and Infrastructure\-as\-Code tools (Terraform a plus).
* Familiarity with data governance, quality, lineage, and cataloging concepts and tools.
* Demonstrated ability to collaborate with analysts, engineers, and business partners in a cross\-functional environment.
* Excellent communication skills and a product\-focused mindset.
**Preferred**
* Experience with monitoring/observability tools (e.g., Monte Carlo, Datadog).
* Experience with BI tools such as Tableau or Looker.
* Background in distributed systems, APIs, or event\-based architectures.
* Exposure to data security, compliance, or privacy frameworks.
* Experience utilizing AI for development.
**What We're Looking For**
* A builder who enjoys solving complex data challenges with clean, reliable, scalable solutions.
* A collaborator who thrives in cross\-functional environments and communicates clearly.
* A problem\-solver who cares about quality, consistency, and long\-term maintainability.
* Someone who wants to make a measurable impact by empowering data\-driven decision\-making across the company.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Range: $119,000\-$161,000
*\[This position is eligible for equity awards in accordance with the terms of Contentful’s equity plans.]*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“Contentful’s Candidate Privacy Notice” and hereby consent to the collection, processing, use, and storage of my personal information as described therein.</t>
        </is>
      </c>
    </row>
    <row r="59">
      <c r="A59" t="inlineStr">
        <is>
          <t>li-4366023948</t>
        </is>
      </c>
      <c r="B59" t="inlineStr">
        <is>
          <t>Senior Analytics Engineer</t>
        </is>
      </c>
      <c r="C59" t="inlineStr">
        <is>
          <t>Charlie Health</t>
        </is>
      </c>
      <c r="D59" t="inlineStr">
        <is>
          <t>linkedin</t>
        </is>
      </c>
      <c r="E59">
        <f>HYPERLINK("https://www.linkedin.com/jobs/view/4366023948", "https://www.linkedin.com/jobs/view/4366023948")</f>
        <v/>
      </c>
      <c r="F59" t="inlineStr"/>
      <c r="G59" t="inlineStr">
        <is>
          <t>New York, NY</t>
        </is>
      </c>
      <c r="H59" t="inlineStr"/>
      <c r="I59" t="inlineStr">
        <is>
          <t>**Why Charlie Health?**
 Millions of people across the country are navigating mental health conditions, substance use disorders, and eating disorders, but too often, they’re met with barriers to care. From limited local options and long wait times to treatment that lacks personalization, behavioral healthcare can leave people feeling unseen and unsupported.
 Charlie Health exists to change that. Our mission is to connect the world to life\-saving behavioral health treatment. We deliver personalized, virtual care rooted in connection—between clients and clinicians, care teams, loved ones, and the communities that support them. By focusing on people with complex needs, we’re expanding access to meaningful care and driving better outcomes from the comfort of home.
 As a rapidly growing organization, we're reaching more communities every day and building a team that’s redefining what behavioral health treatment can look like. If you're ready to use your skills to drive lasting change and help more people access the care they deserve, we’d love to meet you.
**About The Role**
 We are looking for an Analytics Engineer to build and scale the data infrastructure that powers decision\-making at Charlie Health. This person will play a key role in transforming raw data into actionable insights, ensuring that our therapists, clinical teams, and business stakeholders have access to high\-quality, reliable data. They will work closely with product, engineering, and analytics teams to design scalable data models, optimize data workflows, and drive a culture of experimentation and data\-driven decision\-making. This role is foundational to making Charlie Health’s data more accessible, accurate, and impactful—helping us improve outcomes for the teens and young adults we serve. We’re a team of passionate, forward\-thinking professionals eager to take on the challenge of the mental health crisis and play a formative role in providing life\-saving solutions. If you’re inspired by our mission and energized by the opportunity to increase access to mental healthcare and impact millions of lives in a profound way, apply today.
**Responsibilities**
* Full\-stack analytics engineering: Build, maintain, and optimize data models that transform raw data into structured, actionable insights in Snowflake using dbt.
* Develop scalable data workflows: Partner with data engineers to ensure data pipelines are efficient, reliable, and well\-documented.
* Enable data\-driven decision\-making: Build and maintain dashboards, reports, and self\-serve analytics tools in Hex and Tableau, ensuring teams can easily access the right data.
* Drive a culture of experimentation: Implement best practices for A/B testing, cohort analysis, and impact measurement, ensuring insights drive real\-world improvements in patient care and clinician experience.
* Optimize performance \&amp; cost: Continuously refine queries and data transformations to reduce latency, improve efficiency, and manage Snowflake costs effectively.
* Foster data enablement \&amp; collaboration: Work cross\-functionally with clinical, product, and operations teams to ensure they can trust and leverage data to improve business and patient outcomes.
**Requirements**
* Advanced SQL expertise (Snowflake, Redshift, or BigQuery), with the ability to write and optimize complex queries.
* Proficiency with dbt (or equivalent transformation tools) for building scalable data models.
* Experience with BI \&amp; reporting tools (Hex, Tableau) to develop dashboards and reports.
* Understanding of data warehouse architecture, governance, and best practices to ensure data is structured, reliable, and easy to access.
* Ability to thrive in a fast\-paced, high\-impact environment, balancing technical rigor with business needs.
* Strong problem\-solving skills and a collaborative mindset to work across teams and functions.
**Benefits**
 Charlie Health is pleased to offer comprehensive benefits to all full\-time, exempt employees. Read more about our benefits here.
 The total target base compensation for this role will be between $160k\- 200k per year at the commencement of employment. In addition to base compensation, this role also offers a performance bonus. The expected total cash compensation range, including potential bonus, will be between $176,000 and $220,000 per year. Please note, pay will be determined on an individualized basis and will be impacted by location, experience, expertise, internal pay equity, and other relevant business considerations. Further, cash compensation is only part of the total compensation package, which, depending on the position, may include stock options and other Charlie Health\-sponsored benefits.
 Our Values
* Connection: Care deeply \&amp; inspire hope.
* Congruence: Stay curious \&amp; heed the evidence.
* Commitment: Act with urgency \&amp; don’t give up.
*Please do not call our public clinical admissions line in regard to this or any other job posting.*
*Please be cautious of potential recruitment fraud. If you are interested in exploring opportunities at Charlie Health, please go directly to our Careers Page: https://www.charliehealth.com/careers/current\-openings. Charlie Health will never ask you to pay a fee or download software as part of the interview process with our company. In addition, Charlie Health will not ask for your personal banking information until you have signed an offer of employment and completed onboarding paperwork that is provided by our People Operations team. All communications with Charlie Health Talent and People Operations professionals will only be sent from @charliehealth.com email addresses. Legitimate emails will never originate from gmail.com, yahoo.com, or other commercial email services.*
*Recruiting agencies, please do not submit unsolicited referrals for this or any open role. We have a roster of agencies with whom we partner, and we will not pay any fee associated with unsolicited referrals.*
*At Charlie Health, we value being an Equal Opportunity Employer. We strive to cultivate an environment where individuals can be their authentic selves. Being an Equal Opportunity Employer means every member of our team feels as though they are supported and belong. We value diverse perspectives to help us provide essential mental health and substance use disorder treatments to all young people.*
*Charlie Health applicants are assessed solely on their qualifications for the role, without regard to disability or need for accommodation.*
*By clicking "Submit application" below, you agree to Charlie Health's Privacy Policy and Terms of Service.*
*By submitting your application, you agree to receive SMS messages from Charlie Health regarding your application. Message and data rates may apply. Message frequency varies. You can reply STOP to opt out at any time. For help, reply HELP.*</t>
        </is>
      </c>
    </row>
    <row r="60">
      <c r="A60" t="inlineStr">
        <is>
          <t>li-4358204353</t>
        </is>
      </c>
      <c r="B60" t="inlineStr">
        <is>
          <t>Staff Analytics Engineer</t>
        </is>
      </c>
      <c r="C60" t="inlineStr">
        <is>
          <t>The Nuclear Company</t>
        </is>
      </c>
      <c r="D60" t="inlineStr">
        <is>
          <t>linkedin</t>
        </is>
      </c>
      <c r="E60">
        <f>HYPERLINK("https://www.linkedin.com/jobs/view/4358204353", "https://www.linkedin.com/jobs/view/4358204353")</f>
        <v/>
      </c>
      <c r="F60" t="inlineStr"/>
      <c r="G60" t="inlineStr">
        <is>
          <t>Seattle, WA</t>
        </is>
      </c>
      <c r="H60" t="inlineStr"/>
      <c r="I60" t="inlineStr">
        <is>
          <t>The Nuclear Company is the fastest growing startup in the nuclear and energy space creating a never before seen fleet\-scale approach to building nuclear reactors. Through its design\-once, build\-many approach and coalition building across communities, regulators, and financial stakeholders, The Nuclear Company is committed to delivering safe and reliable electricity at the lowest cost, while catalyzing the nuclear industry toward rapid development in America and globally.
**About The Role**
 The Staff Analytics Engineer is a senior technical role responsible for designing, building, and maintaining the data infrastructure, analytics pipelines, and business intelligence systems that power Nuclear OS. This position combines expertise in data engineering, analytics, and business intelligence to transform raw data into actionable insights that drive decision\-making across nuclear construction projects. You'll work at the intersection of data engineering and analytics, building sophisticated data models, ETL/ELT pipelines, and visualization tools that enable predictive analytics, real\-time monitoring, and AI\-driven optimization for nuclear project delivery.
**Key Responsibilities**
 Data Architecture \&amp; Modeling
* Lead the design and implementation of sophisticated data models in data warehouses/lakes, optimizing for performance, scalability, and ease of consumption by analytics tools and data scientists
* Design data storage and analytics systems that support predictive maintenance and business intelligence goals
* Build unified data ontology that creates a "digital twin" of nuclear projects integrating diverse data sources
* Create centralized data lake for all project data including construction performance metrics, quality incidents, schedule deviations, and cost data
* Develop data governance frameworks and quality assurance protocols for enterprise data
 Data Pipeline Development
* Develop ingestion pipelines for diverse datasets using ETL/ELT tools (Apache NiFi, Apache Airflow)
* Build automated data pipelines integrating Primavera schedules, BIM models, IoT sensor telemetry, and other sources
* Perform complex data transformations, aggregations, and feature engineering to prepare data for advanced analytics, machine learning, and reporting
* Integrate real\-time data from IoT sensors, AR devices, and field operations into analytics systems
* Ensure data quality through validation, cleansing, and monitoring processes
 Analytics \&amp; Business Intelligence
* Create dashboards and analyses that demonstrate Nuclear OS's value using BI tools (Tableau, PowerBI, Superset)
* Build business intelligence systems for data analysis and decision\-making
* Develop analytics tools tailored to project and operational needs
* Drive innovation in complex data visualization and project management interfaces that make nuclear construction data accessible and actionable
* Create standardized performance metrics and reporting frameworks
* Build real\-time dashboards with data connectivity for monitoring construction progress and operational performance
 AI/ML Support \&amp; Predictive Analytics
* Support predictive analytics and machine learning models that learn from historical and real\-time data
* Build data pipelines for training and running ML models at scale
* Enable AI\-driven predictive analytics for schedule optimization, risk detection, and anomaly identification
* Support AI models for predictive scheduling, ITAAC automation, and risk assessment
* Prepare feature\-engineered datasets for data scientists and ML engineers
* Monitor model performance and data drift for production ML systems
 Cross\-Functional Collaboration
* Work closely with data scientists, principal/senior data engineers, software developers, and business leaders to understand complex data needs and deliver impactful solutions
* Collaborate with engineering, construction, and operations teams to translate business problems into analytics solutions
* Partner with product teams to define analytics requirements and success metrics
* Support regulatory and compliance teams with data\-driven insights
* Enable business leaders to make data\-driven decisions through accessible analytics
 Platform Development \&amp; Optimization
* Build analytics infrastructure on Palantir Foundry and associated platforms 17
* Optimize data pipelines for performance, cost, and reliability
* Implement data observability and monitoring systems
* Ensure scalability of analytics systems for fleet\-wide deployment
* Develop APIs for analytics services and data access
* Create reusable analytics components and templates
 Technical Leadership \&amp; Mentorship
* Provide technical guidance and mentorship to junior analytics engineers, fostering their growth and ensuring adherence to best practices
* Establish analytics engineering standards and best practices
* Lead code reviews and technical design discussions
* Drive continuous improvement in analytics processes and tools
* Share knowledge through documentation and training
**Required Qualifications**
 Education \&amp; Experience
* Bachelor’s degree in computer science, Data Science, Statistics, Engineering, or related field (Master's preferred)
* 7\+ years of experience in analytics engineering, data engineering, or business intelligence
* 3\+ years working with enterprise data platforms and analytics systems
* Experience in construction, industrial, or complex project environments preferred
 Technical Skills \- Data Engineering
* Expert proficiency in SQL and database technologies (PostgreSQL, Snowflake, BigQuery, or similar)
* Strong experience with ETL/ELT tools (Apache Airflow, Apache NiFi, dbt, or similar)
* Proficiency in data modeling techniques (dimensional modeling, data vault, etc.)
* Experience with data warehousing and data lake architectures
* Knowledge of data pipeline orchestration and workflow management
* Understanding of data governance, quality, and lineage
 Technical Skills \- Analytics \&amp; BI
* Strong skills in data analysis, statistical modeling, and data visualization tools
* Expert proficiency in BI tools (Tableau, PowerBI, Looker, or similar)
* Experience with business analytics and KPI development
* Knowledge of statistical analysis and A/B testing
* Understanding of data storytelling and visualization best practices
 Technical Skills \- Programming \&amp; Platforms
* Strong programming skills in Python and/or Scala
* Experience with Palantir Foundry or similar enterprise data platforms
* Proficiency in version control (Git) and CI/CD practices
* Knowledge of cloud platforms (AWS, Azure, GCP)
* Familiarity with containerization (Docker, Kubernetes)
* Understanding of API development and microservices
 Domain Knowledge
* Understanding of construction project management and workflows
* Knowledge of engineering data, BIM models, and project controls
* Familiarity with IoT data, sensor networks, and real\-time analytics
* Awareness of nuclear industry requirements (preferred)
* Understanding of supply chain, procurement, and compliance data
 Soft Skills
 Strong analytical and problem\-solving skills with ability to translate business problems into analytics solutions
* Excellent communication skills to explain complex data concepts to technical and non\-technical stakeholders
* Ability to work independently and lead analytics initiatives
* Collaborative mindset to work across teams and functions
* Attention to detail with focus on data quality and accuracy
* Strategic thinking to align analytics with business objectives
**Preferred Qualifications**
* Master's degree or Ph.D. in Data Science, Statistics, or related field
* Experience with Palantir Foundry platform
* Background in machine learning and AI systems
* Knowledge of real\-time streaming analytics (Kafka, Flink, Spark Streaming)
* Experience with graph databases and network analysis
* Familiarity with blockchain and distributed ledger data
* Certifications in data engineering or analytics (AWS, GCP, Databricks)
* Experience in nuclear, energy, or highly regulated industries
**Benefits**
* Competitive compensation packages
* 401k with company match
* Medical, dental, vision plans
* Generous vacation policy, plus holidays
**Estimated Starting Salary Range**
 The estimated starting salary range for this role is $150,000 \- $173,000 annually less applicable withholdings and deductions, paid on a bi\-weekly basis. The actual salary offered may vary based on relevant factors as determined in the Company’s discretion, which may include experience, qualifications, tenure, skill set, availability of qualified candidates, geographic location, certifications held, and other criteria deemed pertinent to the particular role.
**EEO Statement**
 The Nuclear Company is an equal opportunity employer committed to fostering an environment of inclusion in the workplace. We provide equal employment opportunities to all qualified applicants and employees without regard to race, color, religion, sex, sexual orientation, gender identity, national origin, age, disability, veteran status, or any other protected characteristic. We prohibit discrimination in all aspects of employment, including hiring, promotion, demotion, transfer, compensation, and termination.
**Export Control**
 Certain positions at The Nuclear Company may involve access to information and technology subject to export controls under U.S. law. Compliance with these export controls may result in The Nuclear Company limiting its consideration of certain applicants.
**Recruiting Fraud Alert**
 Your safety is our priority. We want to ensure your job search stays secure. Please note that the team at The Nuclear Company only communicates through official
 **@thenuclearcompany.com** 
 email addresses. We will never ask for payments or sensitive financial information at any stage of our recruitment process. For your peace of mind, please verify all openings and submit your applications directly through our official careers page: Careers</t>
        </is>
      </c>
    </row>
    <row r="61">
      <c r="A61" t="inlineStr">
        <is>
          <t>li-4366370985</t>
        </is>
      </c>
      <c r="B61" t="inlineStr">
        <is>
          <t>Senior Data Engineer</t>
        </is>
      </c>
      <c r="C61" t="inlineStr">
        <is>
          <t>PeopleFinders</t>
        </is>
      </c>
      <c r="D61" t="inlineStr">
        <is>
          <t>linkedin</t>
        </is>
      </c>
      <c r="E61">
        <f>HYPERLINK("https://www.linkedin.com/jobs/view/4366370985", "https://www.linkedin.com/jobs/view/4366370985")</f>
        <v/>
      </c>
      <c r="F61">
        <f>HYPERLINK("https://grnh.se/tfrz65ep7us&amp;urlHash=9hkB", "https://grnh.se/tfrz65ep7us&amp;urlHash=9hkB")</f>
        <v/>
      </c>
      <c r="G61" t="inlineStr">
        <is>
          <t>Sacramento, CA</t>
        </is>
      </c>
      <c r="H61" t="inlineStr"/>
      <c r="I61" t="inlineStr">
        <is>
          <t>PeopleFinders.com, the premier online service for consumers to locate, contact and verify people and businesses. Over the past couple of decades the Company has quietly become one of the largest owners of public records data in the country, distributing its products over a vast network of websites.
 Role Overview
 The Senior Data Engineer is responsible for leading the design, development, and optimization of scalable, reliable data pipelines and data models that support analytics, reporting, and data\-driven decision\-making across the organization. This role works closely with Product, Engineering, Marketing, Finance, and Analytics teams to transform complex, multi\-source data into high\-quality, trusted datasets.
 As a senior individual contributor, this role provides technical leadership, sets data engineering standards, and helps shape the evolution of the organization's data platform while ensuring performance, reliability, and scalability.
 Salary \- $110K \- $125K
**Essential Duties \&amp; Responsibilities**
* Design, build, and own scalable ETL/ELT pipelines ingesting data from third\-party platforms such as HubSpot, Chargebee, Google Analytics, and other SaaS sources
* Lead data modeling and transformation efforts within Snowflake to support analytics, BI, and downstream consumers
* Architect and optimize data workflows for performance, scalability, and cost efficiency
* Integrate and manage data from operational databases including MongoDB and SQL Server
* Partner with analytics and business teams to enable high\-quality dashboards and reporting in Tableau, Domo, and Power BI
* Establish and enforce best practices for data quality, validation, testing, and observability
* Monitor, troubleshoot, and resolve complex data pipeline and production issues
* Provide technical guidance and mentorship to Data Engineers and Analytics Engineers
* Collaborate with Engineering, Product, Data, and Operations teams to align data solutions with business priorities
* Contribute to data platform roadmap planning, tooling selection, and architectural decisions
**Qualifications**
* Bachelor's degree in Computer Science, Engineering, Data Science, or equivalent practical experience
* 6\+ years of experience in Data Engineering, Analytics Engineering, or related roles
* Advanced SQL skills and extensive experience working with large datasets in cloud data warehouses
* Deep hands\-on experience with Snowflake, MongoDB, SQL Server and other database technologies
* Proven experience designing, building, and maintaining complex ETL/ELT pipelines
* Experience supporting BI and analytics platforms such as Tableau, Domo, and Power BI
* Strong understanding of data modeling, dimensional modeling, and analytics engineering best practices
* Ability to lead technical initiatives and communicate complex concepts to technical and non\-technical stakeholders
**Preferred Experience**
* Experience with modern data stack tools such as dbt, Airflow, Fivetran, or Stitch
* Experience designing semantic models or enterprise datasets optimized for Power BI
* Experience supporting marketing, subscription, revenue, or product analytics use cases
* Familiarity with APIs, event\-driven data, and semi\-structured data formats
* Experience optimizing cloud data warehouse performance and cost at scale
* Exposure to data governance, security, privacy, or compliance\-aware environments
* Experience acting as a technical lead or senior individual contributor within a data team
**Benefits**
* Flexible PTO
* 6% 401K match
* 100% of the cost paid for the employee for medical, dental and vision
* 60% of the cost paid for dependents for medical, dental and vision</t>
        </is>
      </c>
    </row>
    <row r="62">
      <c r="A62" t="inlineStr">
        <is>
          <t>li-4296226968</t>
        </is>
      </c>
      <c r="B62" t="inlineStr">
        <is>
          <t>Data Engineer</t>
        </is>
      </c>
      <c r="C62" t="inlineStr">
        <is>
          <t>ECLARO</t>
        </is>
      </c>
      <c r="D62" t="inlineStr">
        <is>
          <t>linkedin</t>
        </is>
      </c>
      <c r="E62">
        <f>HYPERLINK("https://www.linkedin.com/jobs/view/4296226968", "https://www.linkedin.com/jobs/view/4296226968")</f>
        <v/>
      </c>
      <c r="F62" t="inlineStr"/>
      <c r="G62" t="inlineStr">
        <is>
          <t>Rutherford, NJ</t>
        </is>
      </c>
      <c r="H62" t="inlineStr"/>
      <c r="I62" t="inlineStr">
        <is>
          <t>**Job Number: 25\-04899**
 ECLARO is hiring for a
 **Data Engineer** 
 for our client in
 **Rutherford, NJ.** 
 An excellent opportunity to grow within the P\&amp;C insurance industry."
 ECLARO's client is a leading insurance company providing risk management services and products to the energy industry. Their vast experience throughout North America spans all sides of energy infrastructure. If you're up to the challenge, then take a chance at this rewarding opportunity!
**Position Overview:**
* Will be responsible for Development and Testing of Data Integration Workflows (ETL Packages, Stored Procedures, UDF, Ad Hoc\-Queries), Test Plans and Test Cases using Microsoft Technologies such as SSIS, SSAS and SQL Server Database, as well as company\-wide Document Management.
* On a day to day the individual is expected to work closely with development team and the analyst team.
* This is an opportunity to join an IT team which maintains a broad portfolio of business\-critical vendor and custom applications.
**Salary:** 
 $125000\-$150000/Year.
**Responsibilities:**
* Responsible for ETL and Data PL/SQL coding and unit testing based on the design provided by the Enterprise Data Lead.
* May have responsibility for development of a part of a larger project or to develop a project more independently.
* Hand off back and forth with offshore developers in a collaborative fashion.
* Collaborate with business analysts, testers and business users to effectively prioritize development activities within resource constraints.
* Provide in\-depth technical support for the assigned applications.
* Create relevant and up to date technical documentation of assigned applications.
* Able to learn new technology practices, platforms, and tools and keeps up to date with the latest technology trends.
* Provide appropriate training to users on the use of assigned applications.
**Required Qualifications:**
* Undergraduate degree in Computer Science, Engineering, Software Engineering or Mathematics, or equivalent work experience.
* Minimum 5\-8 years of experience with:
+ Microsoft SSIS, SSAS and Relational Database technologies.
+ Exposure to web services (SOAP, XML, etc.)
+ SQL Server including T\-SQL or PL/SQL.
+ Data warehousing\- Data Modeling, Data Profiling.
* Experience implementing coding best practices via code reviews and code inspection tools.
* Experience in implementing Code Version Control like GitHub, SourceAnywhere.
* Experience working with Property and Casualty Insurance Data or a company.
* Experience with dimensional modeling and data marts.
* Achievement\-Oriented: Demonstrates persistence and perseverance in achieving concrete and tangible outcomes by taking action to get optimum results when encountering obstacles or resistance.
* Collaborative: Develops and maintains effective working relationships across functional and divisional lines by readily sharing information, knowledge, and resources.
* Detail\-Oriented: Displays thoroughness and accuracy in quality communications and deliverables through the application of technical skills and industry/product knowledge.
* Service\-Oriented: Conveys a genuine desire and ability to anticipate and meet customer needs and creates and nurtures mutually beneficial relationships within AEGIS and with AEGIS Members and brokers.
* Work Ethic: Takes ownership for one's responsibilities by acting with integrity and holding oneself accountable to continuous improvement.
* Leadership (if applicable): Motivates employees to exercise their talents to the fullest and holds them accountable for their best efforts; provides support to develop potential skills for improved individual growth and trains and empowers subordinates effectively.
**Equal Opportunity Employer:** 
 ECLARO values diversity and does not discriminate based on Race, Color, Religion, Sex, Sexual Orientation, National Origin, Age, Genetic Information, Disability, Protected Veteran Status, or any other legally protected group status, in compliance with all applicable laws.</t>
        </is>
      </c>
    </row>
    <row r="63">
      <c r="A63" t="inlineStr">
        <is>
          <t>li-4366061542</t>
        </is>
      </c>
      <c r="B63" t="inlineStr">
        <is>
          <t>Data Engineer</t>
        </is>
      </c>
      <c r="C63" t="inlineStr">
        <is>
          <t>CVS Health</t>
        </is>
      </c>
      <c r="D63" t="inlineStr">
        <is>
          <t>linkedin</t>
        </is>
      </c>
      <c r="E63">
        <f>HYPERLINK("https://www.linkedin.com/jobs/view/4366061542", "https://www.linkedin.com/jobs/view/4366061542")</f>
        <v/>
      </c>
      <c r="F63" t="inlineStr"/>
      <c r="G63" t="inlineStr">
        <is>
          <t>Hartford, CT</t>
        </is>
      </c>
      <c r="H63" t="inlineStr"/>
      <c r="I6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Aetna, a CVS Health Company is looking for a highly motivated Data Engineer to play a role in supporting our roadmap of delivering high quality analytic data to our business.
 This role will be part of a release train, working in close partnership with Agile development teams to deliver new capabilities on existing applications on Cloud and DB2 as well as support design and develop of new applications. The role will include supporting the planning, design, management, and maintenance of applications and warehouse tools that capture, explore, transform, and utilize data to support achieving business outcomes. The primary objective is providing business partners quality analytical data that supports financial reporting, development of new products, and compliance reporting to enable our customer experience and speed to market while providing flexible and scalable solutions to execute on the broader Enterprise Strategic Roadmap.
**Essential Job Functions**
* Awareness of full software development life cycle practices and the ability to follow source code management, code quality and testing practices.
* Technical knowledge of GCP application development and Data Integrations.
* Strong analytical ability and strategic thinking.
* Ability to understand data components and how they are used in integration.
* Create and maintain source to target mapping documents supporting data integration and ETL processes.
* Ensure data accuracy, consistency and structural alignment to support reliable reporting.
* Collaborate within the team to support delivery.
* Ability to write moderately complex to complex SQL scripts.
* Work with other Data Engineers to manage priorities in a fast\-paced environment.
* Ability to work in an Agile Team and understanding of Agile principals.
* Ability to learn Agile Reporting Tools in support of monitoring daily progress towards delivery.
* Demonstrate self\-motivation, good judgment, and active listening skills.
* Strong communication (oral, technical, and written) skills.
* Detail oriented and organized.
* Strong commitment and dedication to the position and a team player.
* Perform other duties as assigned.
**Required Qualifications**
* 3\-5 years work experience
* Strong programming experience in programming languages such as Java, Python, JavaScript, SQL. BQL (Biq Query Language) is a plus.
* Build STTMs, composes moderate to complex SQL scripts for data analysis, and use of automation tools to streamline workflow and delivery .
* Contributes ideas, feedback, and contribution to overall goals and objectives of team meetings, brainstorming sessions, and collaboration projects.
* Assists team members with tasks, timelines, and deliverables by sharing information, collaborating, and ensuring effective communication.
**Preferred Qualifications**
* Knowledge in Medicaid business.
* Knowledge of data governance best practices with healthcare data.
* Experience with data design in BigQuery.
* Experience working with healthcare data (Member/Plan/Products)
**Education**
* Bachelor of Science degree in computer science, engineering or other related field that provides similar skills.
**Anticipated Weekly Hours**
 40
**Time Type**
 Full time
**Pay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02/03/2026
 Qualified applicants with arrest or conviction records will be considered for employment in accordance with all federal, state and local laws.</t>
        </is>
      </c>
    </row>
    <row r="64">
      <c r="A64" t="inlineStr">
        <is>
          <t>li-4366387784</t>
        </is>
      </c>
      <c r="B64" t="inlineStr">
        <is>
          <t>Sr. Data Engineer</t>
        </is>
      </c>
      <c r="C64" t="inlineStr">
        <is>
          <t>GE Aerospace</t>
        </is>
      </c>
      <c r="D64" t="inlineStr">
        <is>
          <t>linkedin</t>
        </is>
      </c>
      <c r="E64">
        <f>HYPERLINK("https://www.linkedin.com/jobs/view/4366387784", "https://www.linkedin.com/jobs/view/4366387784")</f>
        <v/>
      </c>
      <c r="F64" t="inlineStr"/>
      <c r="G64" t="inlineStr">
        <is>
          <t>Ohio, United States</t>
        </is>
      </c>
      <c r="H64" t="inlineStr"/>
      <c r="I64" t="inlineStr">
        <is>
          <t>**Job Description Summary**
 As the Sr. Data Engineer, you will play a critical role in building and architecting automation and observability for the EDAS platform, with a particular
 focus on the data consumption side in the near term. You will be responsible for emphasizing automating workflows, ensuring platform reliability by developing
 data\-driven observability tools and collaborating with teams to enhance efficiency and performance. The platform to automate \&amp; observe
 includes Redshift, Spotfire and triggers, Dataiku project flows, and Talend.
 The role focuses on designing and implementing automation solutions to streamline workflows, enhance efficiency, and ensure platform reliability. It involves building observability frameworks for real\-time monitoring, logging, and alerting, optimizing data pipelines for scalability, and ensuring compliance with data governance and security standards.
**Job Description**
**In this role you will:**
* Build and maintain observability frameworks to monitor the health, performance, and reliability of data and analytic platforms.
* Implement tools for real\-time monitoring, logging, and alerting to ensure proactive issue detection and resolution.
* Analyze system metrics and logs to identify trends, anomalies, and areas for improvement.
* Design and implement intelligent automation solutions to streamline data and analytic processing workflows and platform operations.
* Develop scripts, tools, and frameworks to automate repetitive tasks and improve system efficiency.
* Collaborate with cross\-functional teams to identify automation opportunities and implement solutions.
* Ensure high availability and fault tolerance of the platform through robust monitoring and automation strategies.
**Minimum Qualifications**
* Bachelor’s degree from accredited university or college with minimum of 2 years of professional experience OR associate's degree with minimum of 5 years of professional experience OR High School Diploma with minimum of 7 years of professional experience
* Programming: Python, Bash scripting.
* Containerization: Docker.
* Cloud Services: AWS (Lambda, CloudTrail, X\-Ray, CloudWatch, S3, IAM).
* Observability Tools: Prometheus, Grafana, Datadog, FluentBit, ELK stack, OpenSearch.
* Data Pipelines: Airflow, Glue, Step Functions.
* Standards: OpenTelemetry, E2E lineage strategy, CDC tooling (AWS DMS, Debezium).
* Databases: SQL, Elasticsearch/OpenSearch stacks.
* Infrastructure: AMI creation, deployment, CI/CD pipelines, Infrastructure as Code (Terraform/CloudFormation).
* Note: Military experience is equivalent to professional experience
**Eligibility Requirement**
* Legal authorization to work in the U.S. is required. We will not sponsor individuals for employment visas, now or in the future, for this job.
 The base pay range for this position is $93,000 \- $155,000\.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August 31, 2025\.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
 *i.e* 
 .,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**Desired Characteristics**
* Web application stacks (Node.js, Vue, React).
* Security/compliance observability integration.
* Custom connectors/APIs for observability tools.
* OpenMetadata experience.
* Machine learning or AI\-driven automation techniques.
* Kubernetes for container orchestration.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high\-level guide to the role. However, it is not intended to amend or otherwise restrict/expand the duties required from each individual employee as set out in their respective employment contract and/or as otherwise agreed between an employee and their manager.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
* This is a remote position</t>
        </is>
      </c>
    </row>
    <row r="65">
      <c r="A65" t="inlineStr">
        <is>
          <t>li-4366393425</t>
        </is>
      </c>
      <c r="B65" t="inlineStr">
        <is>
          <t>Data Engineer</t>
        </is>
      </c>
      <c r="C65" t="inlineStr">
        <is>
          <t>Capco</t>
        </is>
      </c>
      <c r="D65" t="inlineStr">
        <is>
          <t>linkedin</t>
        </is>
      </c>
      <c r="E65">
        <f>HYPERLINK("https://www.linkedin.com/jobs/view/4366393425", "https://www.linkedin.com/jobs/view/4366393425")</f>
        <v/>
      </c>
      <c r="F65" t="inlineStr"/>
      <c r="G65" t="inlineStr">
        <is>
          <t>New York, NY</t>
        </is>
      </c>
      <c r="H65" t="inlineStr"/>
      <c r="I65" t="inlineStr">
        <is>
          <t>**About The Team**
 Capco is a fully independent, global management and technology consultancy. For nearly 20 years we have combined innovative thinking with deep industry knowledge to deliver business consulting, digital transformation and technology services to Finance and Energy markets. Our collaborative and efficient approach helps clients reduce costs and manage risk and regulatory change while increasing revenues. We are thinkers, innovators, and disruptors. We are small enough to care but large enough to matter
**About The Job**
 As a member of our Data Team, you will work across Capco’s different domains and solution offerings to help break down large problems, develop approaches and solutions using the Microsoft data ecosystem. As a Data Engineer, you will create analytics reporting and provide data\-driven strategic insights, trends, and perspective to help drive transformation for our clients.
**What You’ll Get To Do**
* Translate business objectives into scalable data architectures leveraging Microsoft Fabric (OneLake, Lakehouses, Data Warehouses, Pipelines, Spark, Shortcuts)
* Define data models (star/snowflake, data vault) and patterns for batch and streaming ingestion.
* Establish governance, security, and cost\-optimized design on Azure and Fabric
* Build robust ingestion and transformation pipelines using Fabric Data Pipelines, Dataflows Gen2, PySpark/SQL in Fabric Notebooks, and Azure Data Factory / Azure Synapse where applicable
* Develop reusable frameworks for data quality, schema management, and metadata\-driven processing
* Implement CDC, SCD, and incremental processing in Lakehouse layers
* Curate conformed and semantic layers to power Power BI and downstream analytics
* Collaborate with analytics teams to optimize DAX, semantic models, and performance
* Support data science workloads with feature stores and performant query layers
* Set up CI/CD, orchestration, observability, and cost monitoring for Fabric assets and Azure components (e.g., Git integration, deployment pipelines)
* Enforce data governance with Microsoft Purview, security roles, and PII protection patterns.
* Lead workshops, assess current\-state maturity, and propose target\-state roadmaps
* Estimate effort, manage deliverables, and communicate progress to client executives
**What You’ll Bring With You**
* 3–7\+ years in data engineering with the Microsoft stack
* Hands\-on experience with Microsoft Fabric components such as OneLake, Lakehouse, Warehouse, Data Pipelines, Dataflows Gen2, Spark Notebooks, Shortcuts, KQL (nice to have), and Power BI integration
* Strong proficiency in SQL (T\-SQL), PySpark/Python, and data modeling for analytics.
* Ingestion \&amp; transformation patterns (CDC, SCD, incremental ETL/ELT)
* Performance tuning, partitioning strategies, and file formats
* Experience with Azure Data Lake Storage, Azure Synapse (or legacy SQL DW), Azure Data Factory, Azure Key Vault, Event Hub/IoT Hub (plus)
* CI/CD and DevOps practices: Git, deployment pipelines, environment strategies
* Excellent communication skills with client\-facing experience in consulting or similar environments
* Prior management consulting experience preferred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get started?**
 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
 US Pay Range
 $125,000—$143,000 USD</t>
        </is>
      </c>
    </row>
    <row r="66">
      <c r="A66" t="inlineStr">
        <is>
          <t>li-4366067412</t>
        </is>
      </c>
      <c r="B66" t="inlineStr">
        <is>
          <t>Senior Data Engineer</t>
        </is>
      </c>
      <c r="C66" t="inlineStr">
        <is>
          <t>CVS Health</t>
        </is>
      </c>
      <c r="D66" t="inlineStr">
        <is>
          <t>linkedin</t>
        </is>
      </c>
      <c r="E66">
        <f>HYPERLINK("https://www.linkedin.com/jobs/view/4366067412", "https://www.linkedin.com/jobs/view/4366067412")</f>
        <v/>
      </c>
      <c r="F66">
        <f>HYPERLINK("https://jobs.cvshealth.com/us/en/job/CVSCHLUSR0807871EXTERNALENUS/Senior-Data-Engineer?utm_source=Linkedin&amp;utm_medium=phenom-feeds&amp;urlHash=oPPa", "https://jobs.cvshealth.com/us/en/job/CVSCHLUSR0807871EXTERNALENUS/Senior-Data-Engineer?utm_source=Linkedin&amp;utm_medium=phenom-feeds&amp;urlHash=oPPa")</f>
        <v/>
      </c>
      <c r="G66" t="inlineStr"/>
      <c r="H66" t="inlineStr"/>
      <c r="I66"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CVS Health is seeking a highly skilled and driven individual contributor to join our Enterprise Observability and Security Engineering team. This role focuses on building, scaling, and operationalizing the enterprise observability lakehouse that powers threat detection, incident response, and platform visibility across hybrid cloud environments.
 The ideal candidate will demonstrate deep expertise in Databricks, large\-scale telemetry processing, and OTEL\-aligned observability architectures. This position requires strong engineering rigor, the ability to design high\-volume log, metric, and trace pipelines, and a passion for improving security and reliability through data. A critical aspect of the role includes partnering with Security Engineering, SRE, and Cloud teams to ensure telemetry is complete, trustworthy, and actionable.
***What we expect of you***
* Build, scale, and maintain enterprise\-grade log, metric, and trace pipelines using Databricks, cloud data lakes, and distributed data processing engines.
* Implement ingestion and transformation workflows using Cribl, Vector, GitHub Actions, Jenkins, or similar technologies.
* Design and expand an Observability Lakehouse aligned to OpenTelemetry (OTEL) data models and standards.
* Normalize and model high\-volume security and observability data for detection, forensics, and operational intelligence use cases.
* Develop automated ETL/ELT frameworks, Delta Lake architectures, and data quality checks for unstructured and semi\-structured telemetry.
* Collaborate closely with Security Engineering, SRE, Cloud, and SOC teams to enhance enterprise visibility and improve detection fidelity.
* Build CI/CD workflows and reusable IaC\-driven patterns for pipeline deployment and automation.
* Troubleshoot performance bottlenecks and drive continuous improvements in reliability, latency, and cost efficiency.
* Contribute to team knowledge sharing and engineering standards focused on observability, security, and reliability.
**Required Qualifications**
* 5\+ years of experience building or supporting log, metric, or trace pipelines aligned to OTEL or similar telemetry standards in a Data, Security Data, or Observability Engineering level role.
* 5\+ years of hands\-on experience with Databricks, Spark, or large\-scale distributed data processing systems.
* 5\+ years of experience working with cloud services across AWS, Azure, or GCP (storage, eventing, compute, or equivalent).
* 5\+ years of experience with SQL and Python in production data environments.
**Preferred Qualifications**
* Experience with Cribl, Vector, Kafka, or similar high\-volume ingestion technologies.
* Background supporting SIEM/SOAR, detection engineering, or threat analytics platforms.
* Familiarity with Delta Lake, Unity Catalog, metadata management, and lineage tooling.
* Understanding of enterprise observability platforms (Splunk, Datadog, Elastic, etc.).
* Knowledge of security governance, auditing, access controls, and sensitive\-data handling.
* Experience with IaC tooling (Terraform, ARM/Bicep, CloudFormation).
* Familiarity with cloud orchestration technologies (Azure Functions, AWS Lambda, GCP Cloud Functions, Logic Apps, Kubernetes\-based platforms).
* Strong communication skills for both deeply technical and executive audiences.
* Passion for observability, security, continuous learning, and platform\-level engineering.
**EDUCATION**
 Bachelor's degree from an accredited university or equivalent work experience (HS diploma \+ 4 years relevant experience).
**Business Overview**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
**Anticipated Weekly Hours**
 40
**Time Type**
 Full time
**Pay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03/31/2026
 Qualified applicants with arrest or conviction records will be considered for employment in accordance with all federal, state and local laws.</t>
        </is>
      </c>
    </row>
    <row r="67">
      <c r="A67" t="inlineStr">
        <is>
          <t>li-4366017960</t>
        </is>
      </c>
      <c r="B67" t="inlineStr">
        <is>
          <t>Data Engineer – Celonis</t>
        </is>
      </c>
      <c r="C67" t="inlineStr">
        <is>
          <t>Lara Tech Consulting</t>
        </is>
      </c>
      <c r="D67" t="inlineStr">
        <is>
          <t>linkedin</t>
        </is>
      </c>
      <c r="E67">
        <f>HYPERLINK("https://www.linkedin.com/jobs/view/4366017960", "https://www.linkedin.com/jobs/view/4366017960")</f>
        <v/>
      </c>
      <c r="F67" t="inlineStr"/>
      <c r="G67" t="inlineStr"/>
      <c r="H67" t="inlineStr"/>
      <c r="I67" t="inlineStr">
        <is>
          <t>**About the opportunity:** 
 We are hiring
 **Celonis Data Engineers** 
 across experience levels to support enterprise\-scale process intelligence initiatives in the United States. You will work with global organizations embedding
 **Celonis** 
 and
 **Object\-Centric Process Mining (OCPM)** 
 to drive measurable operational improvement across critical business functions.
 The role focuses on transforming complex operational data into actionable insights across domains such as
 **Procure\-to\-Pay (P2P), Order\-to\-Cash (O2C), Inventory Management (IM), Accounts Payable (AP), and Accounts Receivable (AR)** 
 .
**What You'll Do:** 
* Execute end\-to\-end process mining initiatives using Celonis, including
 **event log preparation, OCPM modeling, process discovery, conformance analysis, and root cause analysis**
* Design, build, and optimize
 **Celonis Studio components** 
 , including
 **Object Models, Data Models, Knowledge Models, Views, Action Flows** 
 , and advanced
 **PQL** 
 logic
* Develop dashboards and KPIs that translate process data into
 **clear, outcome\-driven business insights**
* Convert business and operational challenges into structured, object\-centric process improvements
* Collaborate closely with
 **business operations, IT, analytics, and transformation teams** 
 to deploy and scale Celonis solutions
* Support or lead the delivery of process mining engagements based on experience level
* Conduct stakeholder workshops, document solutions, and present findings to business and leadership audiences
**Required Skills \&amp; Qualifications:** 
* **1–12 years** 
 of experience in
 **Celonis Data Engineering, Process Mining, or related analytics roles**
* **Strong hands\-on expertise with Celonis Studio** 
 , including
 **OCPM, PQL, Action Flows, Views, and Data Models**
* **Proven experience with object\-centric data modeling and relationship design**
* **Working knowledge of SAP data structures and tables** 
 (Infor experience is a strong plus)
* Domain understanding across
 **P2P, O2C, IM, AP, and AR**
* **Proficiency in SQL** 
 and experience with data transformation or ETL pipelines preferred
* Strong analytical and problem\-solving skills with a process\-first mindset
* Clear communication skills and experience working with business and technical stakeholders
* Experience owning delivery timelines or guiding teams (for senior candidates)
* **Celonis Technical Expert certification** 
 is a plus</t>
        </is>
      </c>
    </row>
    <row r="68">
      <c r="A68" t="inlineStr">
        <is>
          <t>li-4366604782</t>
        </is>
      </c>
      <c r="B68" t="inlineStr">
        <is>
          <t>Snowflake Data Engineer</t>
        </is>
      </c>
      <c r="C68" t="inlineStr">
        <is>
          <t>Galactic Minds INC</t>
        </is>
      </c>
      <c r="D68" t="inlineStr">
        <is>
          <t>linkedin</t>
        </is>
      </c>
      <c r="E68">
        <f>HYPERLINK("https://www.linkedin.com/jobs/view/4366604782", "https://www.linkedin.com/jobs/view/4366604782")</f>
        <v/>
      </c>
      <c r="F68" t="inlineStr"/>
      <c r="G68" t="inlineStr">
        <is>
          <t>Dallas, TX</t>
        </is>
      </c>
      <c r="H68" t="inlineStr"/>
      <c r="I68" t="inlineStr">
        <is>
          <t>**Job Title: Snowflake Data Engineer** 
**Location: Dallas, TX (Hybrid)** 
**Fulltime role** 
**Job Description:** 
* 10\+ years of data engineering experience, with 5\+ years in Snowflake Data Cloud.
* Expertise in SQL optimization and Snowflake performance tuning.
* Hands\-on with Snowpipe, Streams \&amp; Tasks, Snowpark, Zero\-Copy Cloning, and Secure Data Sharing.
* Proficiency in Python, Scala, or Java for Snowpark development.
* Experience integrating with cloud platforms like AWS.
* Exposure to ETL/ELT tools (Informatica, Matillion, Fivetran).
* Familiarity with CI/CD, Git, DevOps practices for data operations.
* Preferred Certifications: SnowPro Core Certification</t>
        </is>
      </c>
    </row>
    <row r="69">
      <c r="A69" t="inlineStr">
        <is>
          <t>li-4366072370</t>
        </is>
      </c>
      <c r="B69" t="inlineStr">
        <is>
          <t>Data Engineer</t>
        </is>
      </c>
      <c r="C69" t="inlineStr">
        <is>
          <t>Insight Global</t>
        </is>
      </c>
      <c r="D69" t="inlineStr">
        <is>
          <t>linkedin</t>
        </is>
      </c>
      <c r="E69">
        <f>HYPERLINK("https://www.linkedin.com/jobs/view/4366072370", "https://www.linkedin.com/jobs/view/4366072370")</f>
        <v/>
      </c>
      <c r="F69" t="inlineStr"/>
      <c r="G69" t="inlineStr"/>
      <c r="H69" t="inlineStr"/>
      <c r="I69" t="inlineStr">
        <is>
          <t>**Day to Day:**
 Insight Global is seeking a fully remote Data Engineer III for a large healthcare provider located in Charleston, South Carolina. This position will perform advanced data engineering, analytics, and reporting functions for the physicians practice operations space across the health system. You will collaborate with leadership to transform raw data into meaningful insights and will be responsible for understanding where data lives, the native capabilities of source systems (such as Epic), and how to leverage external tools to build scalable solutions. This role requires high adaptability, as you will pivot between foundational data engineering, ad\-hoc financial analysis, and sophisticated modeling projects depending on business needs. This a full time and fully remote opportunity.
**Key Responsibilities:** 
**Data Architecture \&amp; Management** 
 : Oversee the design, maintenance, and security of the organization's data estate, including SQL databases and Microsoft Fabric capacities. Ensure data models are scalable, efficient, and accurate.
**Statistical Analysis \&amp; Predictive Modeling** 
 : Go beyond historical reporting by designing predictive models and statistical forecasts. You will identify correlations in clinical and financial data to anticipate operational bottlenecks, validate strategic initiatives, and support complex proformas.
**Advanced Analytics \&amp; Reporting** 
 : Develop and manage a comprehensive suite of automated reports and dashboards. Utilize advanced DAX and visualization best practices to render complex datasets into clear, actionable metrics for diverse stakeholders.
**Operational \&amp; Financial Strategy** 
 : Partner with the finance and operations teams to validate data integrity and identify opportunities for performance improvement.
**Strategic Growth Support** 
 : Collaborate with business development and leadership to analyze data regarding new opportunities, partnerships, and network expansion.
**Process Innovation** 
 : Identify manual or inefficient processes within the reporting infrastructure and implement automated solutions using tools like Azure Data Factory and Power Automate.</t>
        </is>
      </c>
    </row>
    <row r="70">
      <c r="A70" t="inlineStr">
        <is>
          <t>li-4366048432</t>
        </is>
      </c>
      <c r="B70" t="inlineStr">
        <is>
          <t>Data Engineer</t>
        </is>
      </c>
      <c r="C70" t="inlineStr">
        <is>
          <t>Haystack</t>
        </is>
      </c>
      <c r="D70" t="inlineStr">
        <is>
          <t>linkedin</t>
        </is>
      </c>
      <c r="E70">
        <f>HYPERLINK("https://www.linkedin.com/jobs/view/4366048432", "https://www.linkedin.com/jobs/view/4366048432")</f>
        <v/>
      </c>
      <c r="F70">
        <f>HYPERLINK("https://us.haystackapp.io/roles/6962a408e19f313b2e3889b6?src=linkedin&amp;urlHash=9ft3", "https://us.haystackapp.io/roles/6962a408e19f313b2e3889b6?src=linkedin&amp;urlHash=9ft3")</f>
        <v/>
      </c>
      <c r="G70" t="inlineStr"/>
      <c r="H70" t="inlineStr"/>
      <c r="I70" t="inlineStr">
        <is>
          <t>**Data Engineer \| Honolulu, HI \| Remote\-Friendly \| $77,600 \- 176,000** 
 We're working with Booz Allen Hamilton on this exciting opportunity.
 Join Booz Allen Hamilton as a Data Engineer to revolutionize mission\-critical projects using Palantir Foundry. Develop scalable data pipelines, build robust applications with TypeScript and Python, and integrate diverse data sources to drive impactful decisions. Be a part of a team that's shaping the future of data engineering.
**The Role** 
 • Develop and maintain Palantir Foundry pipelines using Pipeline Builder for data ingestion, transformation, and integration.
 • Build modular applications and workflows utilizing TypeScript, Python, and Foundry AIP.
 • Collaborate with data engineers, analysts, and stakeholders to refine data models and ontology mapping.
 • Manage development efforts and version control using Git\-based code repositories.
 • Support testing, debugging, and performance tuning of Foundry applications in an Agile environment.
**What You'll Need** 
 • 2\+ years of hands\-on experience with Palantir Foundry.
 • Proficiency in Python or TypeScript for application development.
 • Experience with Pipeline Builder, AIP, and Foundry's application development ecosystem.
 • Strong understanding of Git\-based code repositories and CI/CD workflows.
 • Ability to thrive in fast\-paced, Agile development environments.
 • Active Secret clearance is required.
**What's On Offer** 
 • Contribute to mission\-critical projects with real\-world impact.
 • Opportunities for continuous learning and professional development.
 • Comprehensive benefits package, including health, life, and disability.
 • Work\-life programs and paid leave to support your well\-being.
**Apply via Haystack today!**</t>
        </is>
      </c>
    </row>
    <row r="71">
      <c r="A71" t="inlineStr">
        <is>
          <t>li-4366073520</t>
        </is>
      </c>
      <c r="B71" t="inlineStr">
        <is>
          <t>Data Engineer</t>
        </is>
      </c>
      <c r="C71" t="inlineStr">
        <is>
          <t>Insight Global</t>
        </is>
      </c>
      <c r="D71" t="inlineStr">
        <is>
          <t>linkedin</t>
        </is>
      </c>
      <c r="E71">
        <f>HYPERLINK("https://www.linkedin.com/jobs/view/4366073520", "https://www.linkedin.com/jobs/view/4366073520")</f>
        <v/>
      </c>
      <c r="F71" t="inlineStr"/>
      <c r="G71" t="inlineStr"/>
      <c r="H71" t="inlineStr"/>
      <c r="I71" t="inlineStr">
        <is>
          <t>Insight Global is seeking a fully remote Data Engineer III for a large healthcare provider located in Charleston, South Carolina. This position will perform advanced data engineering, analytics, and reporting functions for the physicians practice operations space across the health system. You will collaborate with leadership to transform raw data into meaningful insights and will be responsible for understanding where data lives, the native capabilities of source systems (such as Epic), and how to leverage external tools to build scalable solutions. This role requires high adaptability, as you will pivot between foundational data engineering, ad\-hoc financial analysis, and sophisticated modeling projects depending on business needs. This a full time and fully remote opportunity.
**Day\-to\-Day** 
* Data Architecture \&amp; Management: Oversee the design, maintenance, and security of the organization's data estate, including SQL databases and Microsoft Fabric capacities. Ensure data models are scalable, efficient, and accurate.
* Statistical Analysis \&amp; Predictive Modeling: Go beyond historical reporting by designing predictive models and statistical forecasts. You will identify correlations in clinical and financial data to anticipate operational bottlenecks, validate strategic initiatives, and support complex proformas.
* Advanced Analytics \&amp; Reporting: Develop and manage a comprehensive suite of automated reports and dashboards. Utilize advanced DAX and visualization best practices to render complex datasets into clear, actionable metrics for diverse stakeholders.
* Operational \&amp; Financial Strategy: Partner with the finance and operations teams to validate data integrity and identify opportunities for performance improvement.
* Strategic Growth Support: Collaborate with business development and leadership to analyze data regarding new opportunities, partnerships, and network expansion.
* Process Innovation: Identify manual or inefficient processes within the reporting infrastructure and implement automated solutions using tools like Azure Data Factory and Power Automate.
**Required Skills and Experience** 
* 8\+ total years of Data Analytics \&amp; Data Engineering experience
* 5\+ years of Analytics experience within the healthcare industry
* Expertise in Microsoft Fabric environment, including SQL
* Expertise in DAX (Data Analysis Expressions) and Power BI for data visualization
* Epic experience
* Bachelor's Degree
* Strong communication skills and ability to multitask in a pro forma/ad hoc based environment</t>
        </is>
      </c>
    </row>
    <row r="72">
      <c r="A72" t="inlineStr">
        <is>
          <t>li-4366607581</t>
        </is>
      </c>
      <c r="B72" t="inlineStr">
        <is>
          <t>Data Engineer - Snowflake (Hybrid)</t>
        </is>
      </c>
      <c r="C72" t="inlineStr">
        <is>
          <t>Collins Aerospace</t>
        </is>
      </c>
      <c r="D72" t="inlineStr">
        <is>
          <t>linkedin</t>
        </is>
      </c>
      <c r="E72">
        <f>HYPERLINK("https://www.linkedin.com/jobs/view/4366607581", "https://www.linkedin.com/jobs/view/4366607581")</f>
        <v/>
      </c>
      <c r="F72" t="inlineStr"/>
      <c r="G72" t="inlineStr">
        <is>
          <t>Charlotte, NC</t>
        </is>
      </c>
      <c r="H72" t="inlineStr"/>
      <c r="I72" t="inlineStr">
        <is>
          <t>**Date Posted:**
 2026\-01\-27
**Country:**
 United States of America
**Location:**
 US\-NC\-CHARLOTTE\-2730 \~ 2730 W Tyvola Rd \~ TYVOLA
**Position Role Type:**
 Hybrid
**U.S. Citizen, U.S. Person, or Immigration Status Requirements:**
 U.S. citizenship is required, as only U.S. citizens are authorized to access information under this program/contract.
**Security Clearance Type:**
 None/Not Required
**Security Clearance Status:**
 Not Required
 We are seeking a skilled and highly motivated Data Engineer to join our Data \&amp; Analytics team in Collins Aerospace. In this role, you will be responsible for designing, developing, and maintaining robust data pipelines and infrastructure using latest technologies. You will work closely with cross\-functional teams to support and contribute to the evolution of our data platform and capabilities.
* This is a hybrid position at one of Collins’ major facilities\*\*
**What YOU will do:**
* Data Engineering: Design, develop, and maintain data pipelines and ETL processes to support data analytics and reporting needs.
* Snowflake: Utilize Snowflake to manage data warehousing, including data modeling, schema design, and optimization.
* Matillion: Implement ETL processes using Matillion to integrate, transform, and load data from various sources into Snowflake.
* SQL: Write complex SQL queries for data retrieval, analysis, and reporting. Optimize queries for performance and efficiency.
* Data Quality: Ensure data quality and integrity by developing and implementing data validation and cleansing procedures.
* Collaboration: Work closely with data engineers, analysts, and business teams to understand data requirements and deliver solutions.
* Troubleshooting and Debugging: Investigate and resolve data issues, performance bottlenecks, and other technical challenges.
* Documentation: Create and maintain documentation for data processes, workflows, and architecture.
**Qualifications YOU Must Have:**
* Typically requires a University Degree and minimum 5 years prior relevant experience or an Advanced Degree in a related field and minimum 3 years of experience.
* Must be authorized to work in the U.S. without sponsorship now or in the future. RTX will not offer sponsorship for this position (U.S. Citizen or Green Card Holder)
* About 3\+ years of experience in data engineering role, with proficiency in designing, implementing, and optimizing data pipelines and ETL processes.
* Experience: Proven experience as a Data Engineer with a background in Snowflake, Matillion, Alteryx, and Tableau or relevant ETL and RDBMS technologies.
* SQL Proficiency: Strong SQL skills, including experience with complex queries, joins, and aggregations.
* Data Visualization: Experience developing dashboards and visualizations using Tableau.
* ETL Expertise: Strong understanding of ETL processes and best practices, with hands\-on experience using Matillion or relevant tools.
* Problem\-Solving: Strong analytical and problem\-solving skills, with the ability to troubleshoot and resolve data\-related issues.
* Communication: Excellent written and verbal communication skills, with the ability to work effectively with cross\-functional teams.
* Time Management: Strong organizational and time\-management skills, with the ability to prioritize tasks and meet deadlines.
* Adaptability: Comfortable working in a fast\-paced, dynamic environment with changing priorities.
* Experience in agile methodologies and experience as a Data Engineer in a cross\-functional agile team.
**What We Offer:**
 Some of our competitive benefits packages include: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**WE ARE REDEFINING AEROSPACE.**
* Please consider the following role type definitions as you apply for this role.
 Hybrid: Employees who are working in Hybrid roles will work regularly both onsite and offsite. Ratio of time working onsite will be determined in partnership with your leader.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73">
      <c r="A73" t="inlineStr">
        <is>
          <t>li-4366035605</t>
        </is>
      </c>
      <c r="B73" t="inlineStr">
        <is>
          <t>Senior Data Engineer</t>
        </is>
      </c>
      <c r="C73" t="inlineStr">
        <is>
          <t>Intapp</t>
        </is>
      </c>
      <c r="D73" t="inlineStr">
        <is>
          <t>linkedin</t>
        </is>
      </c>
      <c r="E73">
        <f>HYPERLINK("https://www.linkedin.com/jobs/view/4366035605", "https://www.linkedin.com/jobs/view/4366035605")</f>
        <v/>
      </c>
      <c r="F73" t="inlineStr"/>
      <c r="G73" t="inlineStr">
        <is>
          <t>Charlotte, NC</t>
        </is>
      </c>
      <c r="H73" t="inlineStr"/>
      <c r="I73" t="inlineStr">
        <is>
          <t>**Position Summary**
 We are seeking a Senior Data Engineer to design, build, and optimize scalable data infrastructure that powers business intelligence, analytics, and AI\-driven applications. The ideal candidate brings great communication skills, deep expertise in Python, containerization, cloud\-native architectures, and modern data warehousing, with a growing interest in AI agents and emerging integration patterns.
**What you will do:**
**Data Infrastructure \&amp; Pipeline Development**
* Design and implement robust, scalable ETL/ELT pipelines to ingest, transform, and deliver data across the organization
* Build and maintain data models optimized for analytical workloads and downstream consumption
* Develop reusable frameworks and libraries to accelerate data engineering workflows
**Cloud \&amp; Platform Engineering**
* Architect and manage cloud\-native data solutions on AWS, leveraging services such as S3, EC2, ECS, ECR and EventBridge
* Deploy and orchestrate containerized workloads using Docker and Kubernetes in production environments
* Implement infrastructure\-as\-code practices using Terraform, CloudFormation, or similar tools
**Data Warehousing**
* Design and optimize data warehouse architectures using Redshift or Snowflake
* Develop efficient data models, partitioning strategies, and query optimization techniques
* Manage data lifecycle, governance, and cost optimization within warehouse environments
**Emerging Technologies**
* Explore and integrate AI agents and Model Context Protocol (MCP) patterns into data workflows where applicable
* Collaborate with AI/ML teams to ensure data infrastructure supports model training, inference, and feature engineering needs
* Stay current with emerging data and AI technologies, evaluating their potential business impact
**Collaboration \&amp; Leadership**
* Partner with analytics, product, and engineering teams to understand data requirements and deliver solutions
* Mentor junior engineers and contribute to team best practices, code reviews, and technical documentation
* Participate in architectural decisions and contribute to the data platform roadmap
**What you will need:**
**Experience**
* 7\+ years of professional experience in data engineering or related roles
* Proven track record building and operating production data pipelines at scale
**Technical Skills**
* Python: Advanced proficiency including data libraries (pandas, PySpark, SQLAlchemy), testing frameworks, and packaging
* Containerization \&amp; Orchestration: Strong hands\-on experience with Docker and Kubernetes (EKS, GKE, or self\-managed clusters)
* Data Warehousing: Deep expertise with Redshift or Snowflake, including performance tuning, data modeling, and administration including DBT
* AWS: Extensive experience across the AWS ecosystem, particularly data\-related services (S3, Glue, Lambda, IAM, VPC, CloudWatch)
* SQL: Expert\-level SQL skills for complex analytical queries and data transformations
**Foundational Skills**
* Experience with workflow orchestration tools (Airflow, Dagster, etc.)
* Familiarity with version control (Git), CI/CD pipelines, and agile development practices
* Strong understanding of data governance, security, and compliance principles
**Preferred Qualifications:**
* Experience with or exposure to AI agents, LLM integrations, or Model Context Protocol (MCP) implementations
* Background in real\-time streaming architectures (Kafka, Kinesis, Flink)
* Experience with dbt for transformation layer management
* Familiarity with data observability and quality tools (Monte Carlo, Great Expectations, dbt tests)
* Knowledge of additional programming languages (Scala, Java, Go)
* Experience in professional services, legal tech, or enterprise SaaS environments
**Education**
* Bachelor's degree in Computer Science, Engineering, Mathematics, or related field; or equivalent practical experience
* Relevant certifications a plus (AWS Data Analytics, Snowflake SnowPro, Kubernetes CKA/CKAD)
**What you will gain:**
 At Intapp, you’ll get the opportunity to bring your talents and intellectual curiosity to create better outcomes for our people and our clients. You’ll be part of a growing public company, with a modern work environment that’s connected yet flexible and where your professional growth and well\-being are top priorities. We’ll collaborate and grow together, supporting each other in a positive, open atmosphere that fosters creativity, innovation, and teamwork.
 Here, you will have the opportunity to:
* Expand Your Skills: Unlock your potential with professional development opportunities supported by a community of experienced professionals. We offer reimbursement for training and continuing education to help you stay ahead in your career.
* Enjoy Where You Work: Thrive in our modern, open offices designed to inspire creativity and collaboration. Our complimentary lunches and fully stocked kitchens ensure you have everything you need to stay energized throughout the day.
* Support What Matters Most: Our comprehensive wellness and flexible time off programs and our benefits are designed to care for you and your family. Our family\-formation benefits and support during your family\-building journey ensure you have the resources you need when it matters most. We believe in giving back and supporting our communities with paid volunteer time off and a donation matching program for the causes you care about.
 Join us and be a part of a collaborative and welcoming culture where your contributions are valued, and your professional growth is a priority. Together, we are building a company of long\-term value that we can all be proud of.
*Intapp provides equal employment opportunities to all qualified applicants and will make hiring decisions without regard to race, color, sex, sexual orientation, gender identity or expression, religion, national origin or ancestry, age, disability, marital status, pregnancy, protected veteran status, protected genetic information, political affiliation, or any other characteristic protected by federal, state or local laws.*
*Please note: Intapp will not hire through text message, social media, or email alone. We will never extend a job offer unless you have been contacted directly by an Intapp recruiter and have participated in the interview process which will generally consist of 3 or more virtual or in person meetings. Please note that Intapp only uses company email addresses, which contain “@intapp.com” or “@dealcloud.com” to communicate with candidates via email. Intapp will never ask for financial information of any kind or for any payment during the job application process. We post all legitimate job openings on the Intapp Career Site at https://www.intapp.com/working\-at\-intapp/. If you believe you were a victim of such a scam, you may contact your local authorities. Intapp is not responsible for any claims, losses, damages, or expenses resulting from scammers.*</t>
        </is>
      </c>
    </row>
    <row r="74">
      <c r="A74" t="inlineStr">
        <is>
          <t>li-4366027989</t>
        </is>
      </c>
      <c r="B74" t="inlineStr">
        <is>
          <t>AIML - Senior Data Engineer, Machine Learning Platform Technologies</t>
        </is>
      </c>
      <c r="C74" t="inlineStr">
        <is>
          <t>Apple</t>
        </is>
      </c>
      <c r="D74" t="inlineStr">
        <is>
          <t>linkedin</t>
        </is>
      </c>
      <c r="E74">
        <f>HYPERLINK("https://www.linkedin.com/jobs/view/4366027989", "https://www.linkedin.com/jobs/view/4366027989")</f>
        <v/>
      </c>
      <c r="F74">
        <f>HYPERLINK("https://jobs.apple.com/en-us/details/200627055?board_id=17682&amp;urlHash=5jQx", "https://jobs.apple.com/en-us/details/200627055?board_id=17682&amp;urlHash=5jQx")</f>
        <v/>
      </c>
      <c r="G74" t="inlineStr">
        <is>
          <t>Cupertino, CA</t>
        </is>
      </c>
      <c r="H74" t="inlineStr"/>
      <c r="I74" t="inlineStr">
        <is>
          <t>**Summary**
 Join us in building the machine learning platform that enables teams at Apple to build Apple Intelligence and many other intelligent experiences across hardware, software and service products.
 As a Machine Learning Data Platform Engineer, you'll design and build the scalable dataset management platform that enables teams across Apple to discover, curate, version, share, process, and consume ML datasets with enterprise\-grade compliance and governance.
 We're looking for an engineer with deep expertise in big data infrastructure and a passion for building platforms that make ML practitioners more productive. You'll work at the intersection of large\-scale data systems, ML workflows, and data governance.
**Description**
 In this role, you'll be architecting and building Apple's next\-generation ML dataset management platform. This platform enables ML teams across the company to efficiently manage the full lifecycle of datasets, from initial curation and annotation through versioning, model training and evaluation, sharing, and compliance.
 You'll design scalable infrastructure that supports dataset operations at massive scale while maintaining strong governance guarantees. Your work will include building data lineage tracking systems, implementing automated compliance workflows, creating intuitive APIs and SDKs for dataset access, and ensuring seamless integration with ML training and evaluation pipelines,
 You'll collaborate with teams building customer\-facing ML features across iOS, macOS, and other Apple platforms, as well as compute infrastructure teams and ML framework owners. Your platform work directly enables the ML innovations that millions of customers experience daily. This role offers the opportunity to have broad impact across Apple's ML initiatives and to shape how thousands of ML practitioners build the intelligent experiences our customers love.
**Minimum Qualifications**
* Bachelor's degree in Computer Science, related field, or equivalent practical experience.
* 10\+ years building and scaling data infrastructure for petabyte\-scale ML workloads with high reliability
* Deep expertise in modern data technologies (Apache Iceberg, Spark, S3, distributed systems), data modeling, schema evolution, and efficient storage formats (Parquet, Arrow, ORC)
* Experience building data pipelines that handle diverse ML data types: structured/tabular data, unstructured media (images, video, audio), embeddings, and multimodal datasets
* Proven track record building dataset management systems including versioning, metadata management, discovery, and integration with production ML training pipelines
* Experience designing data governance frameworks including lineage tracking, access control, retention policies, and compliance workflows
* Experience with cloud platforms (AWS, GCP, Azure) and container orchestration (Kubernetes)
* Strong cross\-functional collaboration skills to understand diverse stakeholder needs and articulate technical decisions across ML engineering, data science, legal, and product teams
**Preferred Qualifications**
* Hands\-on experience curating or managing datasets for production ML models
* Experience with data cataloging systems, metadata platforms, MLOps tools, or ML training frameworks
* Knowledge of privacy\-preserving technologies and data quality/validation frameworks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5">
      <c r="A75" t="inlineStr">
        <is>
          <t>li-4366045752</t>
        </is>
      </c>
      <c r="B75" t="inlineStr">
        <is>
          <t>Analytics Engineer</t>
        </is>
      </c>
      <c r="C75" t="inlineStr">
        <is>
          <t>RemoteHunter</t>
        </is>
      </c>
      <c r="D75" t="inlineStr">
        <is>
          <t>linkedin</t>
        </is>
      </c>
      <c r="E75">
        <f>HYPERLINK("https://www.linkedin.com/jobs/view/4366045752", "https://www.linkedin.com/jobs/view/4366045752")</f>
        <v/>
      </c>
      <c r="F75" t="inlineStr"/>
      <c r="G75" t="inlineStr"/>
      <c r="H75" t="inlineStr"/>
      <c r="I75" t="inlineStr">
        <is>
          <t>About the Opportunity:
 A United States based Analytics Engineer is needed to support reporting, ad\-hoc analysis, and analytics development across the organization while helping evolve the data platform over time. This role bridges data engineering and business functions, managing day\-to\-day analytics needs such as Power BI dashboards, ad\-hoc reporting, and SQL development, with growth into data modeling and advanced analytics including machine learning. The role collaborates closely with a Senior Solutions Engineer focused on data ingestion and integrations.
 Responsibilities:
 • Own ad\-hoc reporting and analysis for operations, finance, and leadership
 • Build and maintain Power BI dashboards and reports
 • Translate ambiguous business questions into clear analytical outputs
 • Partner with stakeholders to define and refine KPIs and metrics
 • Ensure reporting is accurate, performant, and trusted
 • Write high\-quality SQL to support reporting and analytics
 • Build and improve analytics\-ready (gold\-layer) datasets
 • Contribute to dimensional and fact\-based data models
 • Improve consistency, usability, and documentation of core datasets
 • Gradually take on more responsibility in data modeling and analytics engineering
 • Collaborate on improving analytics architecture and best practices
 • Explore advanced analytics or machine learning use cases over time
 Requirements:
 • Strong expertise in SQL development with modular design skills
 • Proven ability working with large and complex datasets
 • Hands\-on experience building reports or dashboards (Power BI preferred)
 • Experience handling ad\-hoc analysis and evolving business questions
 • Understanding of dimensional modeling
 • Ability to communicate clearly with non\-technical stakeholders
 • Curiosity and motivation to grow technically
 • Nice to have: 2\+ years of SQL development experience
 • Experience with Databricks, Snowflake, or other cloud data platforms
 • Familiarity with analytics engineering concepts
 • Familiarity with version control and CI/CD tools (GitHub, Gitlab, etc.)
 • Exposure to healthcare, EMR, or regulated data environments
 • Interest in machine learning or advanced analytics (not required)
 Benefits \&amp; Perks:
 • Bonus eligible
 • Health care plan including medical, dental, and vision
 • Retirement plan (401k)
 • Life insurance
 • Paid time off
 • Short term and long term disability
 • Training and development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6">
      <c r="A76" t="inlineStr">
        <is>
          <t>li-4366017233</t>
        </is>
      </c>
      <c r="B76" t="inlineStr">
        <is>
          <t>HR Data Engineer/Data Scientist</t>
        </is>
      </c>
      <c r="C76" t="inlineStr">
        <is>
          <t>ICF</t>
        </is>
      </c>
      <c r="D76" t="inlineStr">
        <is>
          <t>linkedin</t>
        </is>
      </c>
      <c r="E76">
        <f>HYPERLINK("https://www.linkedin.com/jobs/view/4366017233", "https://www.linkedin.com/jobs/view/4366017233")</f>
        <v/>
      </c>
      <c r="F76">
        <f>HYPERLINK("https://careers.icf.com/us/en/job/IIIIIIUSR2600257EXTERNALENUS/HR-Data-Engineer-Data-Scientist?utm_source=linkedin&amp;utm_medium=phenom-feeds&amp;urlHash=KEx4", "https://careers.icf.com/us/en/job/IIIIIIUSR2600257EXTERNALENUS/HR-Data-Engineer-Data-Scientist?utm_source=linkedin&amp;utm_medium=phenom-feeds&amp;urlHash=KEx4")</f>
        <v/>
      </c>
      <c r="G76" t="inlineStr">
        <is>
          <t>Reston, VA</t>
        </is>
      </c>
      <c r="H76" t="inlineStr"/>
      <c r="I76" t="inlineStr">
        <is>
          <t>**Description**
 ICF is seeking a highly capable
 **HR Data Engineer / Data Scientist** 
 to support a large federal client in modernizing its enterprise learning and workforce data ecosystem. This role centers on designing and sustaining a scalable data integration capability that unifies multiple workforce\-related data sources into a consistent, validated structure suitable for downstream HR and training systems. This position requires expertise in enterprise data engineering, workflow automation, data quality frameworks, metadata governance, and the translation of complex business rules into reliable technical logic. The ideal candidate brings experience working with HR, identity, or workforce\-related datasets in large organizations and can partner directly with senior stakeholders across technical and business domains.
 Prior experience working in federally\-regulated environments and proximity to the DC\-Maryland\-Virginia (DMV) area with the ability to go onsite as needed is strongly preferred.
**Key Responsibilities**
* Design, build, and maintain automated pipelines that unify multiple HR and workforce‑related datasets into standardized, validated outputs.
* Develop and document transformation rules, business logic, mapping structures, and data quality checks to ensure accuracy and consistency.
* Create scalable workflows for ingesting structured and semi‑structured data from diverse systems with varying formats and update cycles.
* Implement validation routines, anomaly detection, and error‑handling mechanisms to maintain reliable, high‑quality data products.
* Produce well‑structured, standardized outputs compatible with enterprise learning or workforce management platforms.
* Collaborate with technical and non‑technical stakeholders to refine requirements, resolve data ambiguities, and support decision‑making.
* Maintain alignment with enterprise‑wide data standards, schemas, and governance guidance as they evolve.
* Participate in cross‑team or cross‑agency coordination forums to represent program needs and communicate the impact of data‑related decisions.
* Develop and execute test plans, including business‑rule validation, regression checks, and iterative QA cycles.
* Identify process improvements, integration gaps, and opportunities to enhance automation, scalability, and sustainability.
* Ensure solutions continue functioning amid changes to enterprise systems, dependencies, or data availability.
* Prepare and deliver technical documentation, operational procedures, and knowledge‑transfer materials for long‑term maintainability.
* Communicate risks, dependencies, and technical impacts clearly and proactively to project managers, leadership, and governance groups.
**Basic Qualifications**
* Bachelor’s degree in a related field (e.g., Data Science, Computer Science, Engineering, Mathematics, Information Systems, HR Analytics, or similar).
* 8\+ years of professional experience in data engineering, data science, analytics, or a closely related field.
**Additional Qualifications**
* Extensive experience sourcing, integrating, transforming, and validating structured and unstructured data from diverse systems (e.g., developing Spark jobs, performing data manipulation with PySpark/pandas, and authoring robust, production‑grade SQL transformations).
* Proven ability to design and implement automated data workflows, integration pipelines, and large‑scale transformation logic (e.g., orchestrating pipelines using Apache Airflow, Azure Data Factory (ADF), or AWS Glue).
* Hands\-on experience developing predictive models, statistical analyses, or machine learning solutions (e.g., building and validating models in Python using PySpark ML, pandas, or related libraries).
* Strong understanding of data quality management, validation frameworks, error‑handling approaches, data governance, master data management, and enterprise metadata practices (e.g., MDM survivorship rules, identity resolution logic, validation utilizing Great Expectations).
* Demonstrated ability to facilitate requirements gathering, define business rules, and translate stakeholder needs into clear technical specifications (e.g., documenting required import fields and formats, converting business logic into ETL/ELT transformations).
* Excellent communication skills with the ability to clearly convey complex technical concepts to non‑technical or cross‑functional audiences (e.g., explaining data lineage, logging, and metrics practices used to ensure pipeline traceability).
* Exceptional documentation abilities and attention to detail (e.g., version\-controlled artifacts in Git, CI/CD deployment documentation, and test suites using pytest and Great Expectations).
**Preferred Qualifications**
* Master’s degree preferred.
* 5\+ years of experience supporting large‑scale or complex data ecosystems, preferably in government, healthcare, or highly regulated domains.
* Experience supporting HR import processes for enterprise systems (e.g., HRIS, LMS, identity systems).
* Background working with federal clients or within environments that require strict attention to data standards, compliance, and documentation.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$131,256\.00 \- $223,134\.00
 Nationwide Remote Office (US99\)</t>
        </is>
      </c>
    </row>
    <row r="77">
      <c r="A77" t="inlineStr">
        <is>
          <t>li-4366020767</t>
        </is>
      </c>
      <c r="B77" t="inlineStr">
        <is>
          <t>Senior Data Engineer with Azure (15+ Years Experience)</t>
        </is>
      </c>
      <c r="C77" t="inlineStr">
        <is>
          <t>Precision Technologies</t>
        </is>
      </c>
      <c r="D77" t="inlineStr">
        <is>
          <t>linkedin</t>
        </is>
      </c>
      <c r="E77">
        <f>HYPERLINK("https://www.linkedin.com/jobs/view/4366020767", "https://www.linkedin.com/jobs/view/4366020767")</f>
        <v/>
      </c>
      <c r="F77" t="inlineStr"/>
      <c r="G77" t="inlineStr">
        <is>
          <t>Texas, United States</t>
        </is>
      </c>
      <c r="H77" t="inlineStr"/>
      <c r="I77" t="inlineStr">
        <is>
          <t>**Senior Data Engineer with Azure (15\+ Years Experience)** 
**Location:** 
 New Jersey / New York (Onsite \| Local or open to relocate preferred)
**Employment Type:** 
 Full\-Time (W2 Only)
**Work Authorization:** 
 H4 EAD, L2S, GC EAD, Green Card, US Citizen
**Job Description** 
 We are seeking an experienced
 **Senior Data Engineer** 
 with strong expertise in the
 **Azure data ecosystem** 
 to design, build, and maintain scalable cloud\-based data platforms. The ideal candidate will have deep hands\-on experience with data ingestion, transformation, analytics pipelines, and modern data architectures supporting enterprise reporting, BI, and AI/ML initiatives.
**Key Responsibilities** 
* Design and implement scalable
 **data pipelines** 
 using Azure\-native services.
* Develop and manage ETL/ELT workflows using
 **Azure Data Factory (ADF)** 
 .
* Build large\-scale data processing solutions using
 **Azure Databricks (PySpark / Spark SQL)** 
 .
* Design and maintain
 **Azure Data Lake Storage (ADLS Gen2\)** 
 and data warehouse solutions.
* Implement data models optimized for analytics and reporting.
* Collaborate with BI, analytics, and business teams to deliver data\-driven insights.
* Implement CI/CD pipelines for data workloads using
 **Azure DevOps** 
 .
* Ensure data quality, governance, security, and performance optimization.
* Monitor, troubleshoot, and support production data pipelines.
**Required Technical Skills** 
**Azure Data Platform:** 
* Azure Data Factory (ADF)
* Azure Databricks (PySpark, Spark SQL)
* Azure Synapse Analytics
* Azure Data Lake Storage (ADLS Gen2\)
**Programming \&amp; Databases:** 
* Python, PySpark, SQL
* Strong knowledge of
 **Data Warehousing concepts**
* Experience with
 **Snowflake** 
 or other cloud data warehouses
**DevOps \&amp; Tools:** 
* Azure DevOps (Repos, Pipelines)
* Git, CI/CD for data engineering workloads
* Performance tuning and monitoring
**Methodologies:** 
* Strong understanding of
 **ETL frameworks, data modeling, and Agile/Scrum practices**
**Preferred Qualifications** 
* Experience with
 **Microsoft Fabric** 
 and lakehouse architecture
* Streaming platforms such as
 **Kafka or Azure Event Hubs**
* Exposure to
 **AI/ML data pipelines**
* Strong communication and stakeholder management skills
* Domain experience in BFSI, Healthcare, Retail, or Telecom
**Note (Strictly Enforced)** 
 No C2C submissions, consultancy resumes, or marketing profiles.
 Any violation will result in immediate and permanent disqualification from all supported clients.
**How to Apply** 
 Qualified candidates are encouraged to share their latest resumes at:
 📧
 **ramakrishna.p@precisiontechcorp.com**</t>
        </is>
      </c>
    </row>
    <row r="78">
      <c r="A78" t="inlineStr">
        <is>
          <t>li-4358174260</t>
        </is>
      </c>
      <c r="B78" t="inlineStr">
        <is>
          <t>Machine Learning Data Engineer</t>
        </is>
      </c>
      <c r="C78" t="inlineStr">
        <is>
          <t>Oak Ridge National Laboratory</t>
        </is>
      </c>
      <c r="D78" t="inlineStr">
        <is>
          <t>linkedin</t>
        </is>
      </c>
      <c r="E78">
        <f>HYPERLINK("https://www.linkedin.com/jobs/view/4358174260", "https://www.linkedin.com/jobs/view/4358174260")</f>
        <v/>
      </c>
      <c r="F78">
        <f>HYPERLINK("https://jobs.ornl.gov/job/Oak-Ridge-Machine-Learning-Data-Engineer-TN-37830/1353610200/?utm_source=LINKEDIN&amp;utm_medium=referrer&amp;urlHash=R8fL", "https://jobs.ornl.gov/job/Oak-Ridge-Machine-Learning-Data-Engineer-TN-37830/1353610200/?utm_source=LINKEDIN&amp;utm_medium=referrer&amp;urlHash=R8fL")</f>
        <v/>
      </c>
      <c r="G78" t="inlineStr">
        <is>
          <t>Oak Ridge, TN</t>
        </is>
      </c>
      <c r="H78" t="inlineStr"/>
      <c r="I78" t="inlineStr">
        <is>
          <t>Requisition Id 15751
**Overview:**
 The Advanced Computing in Health Sciences (ACH) section at the Oak Ridge National Laboratory is seeking qualified applicants for a Machine Learning Engineer position for health research projects. The research activities include HIPAA compliant research data that has been entrusted to ORNL. As such, you will have the opportunity to work on some of the most challenging and impactful research and development programs in healthcare informatics, bioinformatics, high performance computing and deep learning.
 You will work in a collaborative research and development environment focusing on designing and implementing robust and high performance applications for biomedical research. We are looking for someone who has innovative thinking to design and implement machine learning, statistical, probabilistic, or algorithmic solutions to real world problems in the healthcare and biomedical research.
 As a U.S. Department of Energy (DOE) Office of Science national laboratory, ORNL has an impressive 80\-year legacy of addressing the nation’s most pressing challenges. Our team is made up of over 7,000 dedicated and innovative individuals! Our goal is to create an environment where a variety of perspectives and backgrounds are valued, ensuring ORNL is known as a top choice for employment. These principles are essential for supporting our broader mission to drive scientific breakthroughs and translate them into solutions for energy, environmental, and security challenges facing the nation.
**Major Duties/Responsibilities:**
 As a Machine Learning Data Engineer, you will be responsible for:
* Independently solving a variety of sophisticated technical problems for scientific and technical projects.
* Developing high\-quality code following best practices in the community for documentation, provenance, version control, etc.
* Managing, maintaining, and refactoring ML codebases, pipelines, and workflows.
* Collaborating closely with research staff to design and implement novel ML approaches.
* Implementing scalable ML methods and workflows for high\-performance computing (HPC) resources, in close collaboration with research staff and computing technical staff.
* Mobilizing and leading data analysis activities on projects with a focus on common deliverables, goals, and timelines.
* Troubleshooting data analysis issues, including implementation issues, hyper\-parameter choices, and modeling decisions.
* Assisting in preparation of manuscripts and dissemination of research results in publications and conferences.
* Working on a variety of data analysis assignments in collaboration with scientists and engineers.
* Working in secure enclaves and open computing environments on a wide variety of applied areas.
* Conducting tasks independently and communicate optimally to team members and stakeholders.
* Deliver ORNL’s mission by aligning behaviors, priorities, and interactions with our core values of Impact, Integrity, Teamwork, Safety, and Service. Promote equal opportunity by fostering a respectful workplace – in how we treat one another, work together, and measure success.
**Basic Qualifications:**
* B.S. and 5\+ years of relevant experience, or an M.S. and 4\+ years of relevant experience.
* Degree area should be in Computer Science, Statistics, Information Systems, Engineering, or closely related field.
* Significant expertise with the Python ecosystem for data science.
* Significant expertise with PyTorch or Tensorflow.
**Preferred Qualifications:**
* Foundational understanding of supervised and unsupervised learning, reinforcement learning, and deep learning.
* Experience with large, multimodal datasets.
* Experience developing scalable ML algorithms and workflows for HPC resources.
* Experience working on Linux/Unix platforms.
* Self\-disciplined work ethic and eagerness to tackle ambitious research problems.
* Experience with heath care informatics and clinical data is highly desired.
* Excellent written and oral communication skills.
* Ability to function well in a fast\-paced research environment, set priorities to accomplish multiple tasks within deadlines, and adapt to constantly evolving needs.
**Security, Credentialing, and Eligibility Requirements:**
 For employment at Oak Ridge National Laboratory (ORNL), a Real ID compliant form of identification will be required. Additionally, ORNL is subject to Department of Energy (DOE) access restrictions. All employees must also be able to obtain and maintain a federal Personal Identity Verification (PIV) card as mandated by Homeland Security Presidential Directive 12 (HSPD\-12\) and Department of Energy (DOE) Order 473\.1A, which requires a favorable post\-employment background investigation.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risk determination to maintain employment. Once you meet the three\-year residency requirement, you will be required to obtain a PIV credential to maintain employment.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In addition, we offer a flexible work environment that supports both the organization and the employee. A hybrid/onsite working arrangement may be available with this position.
 Other benefits include the following: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If you have difficulty using the online application system or need an accommodation to apply due to a disability, please email: ORNLRecruiting@ornl.gov.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ORNL is an equal opportunity employer. All qualified applicants, including individuals with disabilities and protected veterans, are encouraged to apply. UT\-Battelle is an E\-Verify employer.</t>
        </is>
      </c>
    </row>
    <row r="79">
      <c r="A79" t="inlineStr">
        <is>
          <t>li-4327969029</t>
        </is>
      </c>
      <c r="B79" t="inlineStr">
        <is>
          <t>Staff Data Engineer</t>
        </is>
      </c>
      <c r="C79" t="inlineStr">
        <is>
          <t>Visa</t>
        </is>
      </c>
      <c r="D79" t="inlineStr">
        <is>
          <t>linkedin</t>
        </is>
      </c>
      <c r="E79">
        <f>HYPERLINK("https://www.linkedin.com/jobs/view/4327969029", "https://www.linkedin.com/jobs/view/4327969029")</f>
        <v/>
      </c>
      <c r="F79" t="inlineStr"/>
      <c r="G79" t="inlineStr">
        <is>
          <t>Austin, TX</t>
        </is>
      </c>
      <c r="H79" t="inlineStr"/>
      <c r="I79"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Technology \&amp; Operations LLC, a Visa Inc. company, needs a Staff Data Engineer (multiple openings) in Austin, TX to:
* Design, enhance, and build next generation fraud detection solutions in an agile development environment.
* Formulate business problems as technical data problems while ensuring key business drivers are captured in collaboration with product stakeholders.
* Drive development effort end\-to\-end for on\-time delivery of high\-quality solutions that conform to requirements, conform to the architectural vision, and comply with all applicable standards. Responsibilities span all phases of solution development.
* Collaborate with project team members (Product Managers, Architects, Analysts, Developers, Project Managers, etc.) to ensure development and implementation of new data driven business solutions.
* Deliver all code commitments and ensure a complete end\-to\-end solution that meets and exceeds business expectations.
* Assist in scoping and designing analytic data assets, implementing modelled attributes, and contributing to brainstorming sessions.
* Build and maintain a robust data engineering process to develop and implement self\-serve data and tools for Visa’s data scientists.
* Perform other tasks on data governance, system infrastructure, analytics tool evaluation, and other cross\-team functions, as needed.
* Execute data engineering projects ranging from small to large either individually or as part of a project team.
* Ensure project delivery within timelines and budget requirements.
* Effectively communicate status, issues, and risks in a precise and timely manner.
* Position reports to the Austin, Texas office and may allow for partial telecommuting.
**Qualifications**
 Basic Qualifications:
* Bachelor’s degree in Computer Science, Engineering, Data Analytics or related field, followed by 5 years of progressive, post\-baccalaureate experience in the job offered or in a data engineer\-related occupation.
* Alternatively, a Master’s degree in Computer Science, Engineering, Data Analytics or related field and 2 years of experience in the job offered or in a data engineer\-related occupation.
* Experience must include:
	+ Creating data driven business solutions and solving data problems using the following technologies: Hadoop, Spark, NoSQL and SQL.
	+ Building ETL/ELT data pipelines, data quality checks and data anomaly detection systems.
	+ Building large scale data processing systems of high availability, low latency, \&amp; strong data consistency.
	+ Programming using SQL or Python.
	+ Agile development incorporating continuous integration and continuous delivery.
**Additional Information**
**Worksite:**
 Austin, TX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**U.S. APPLICANTS ONLY: The estimated salary range for a new hire into this position is $163,550\.00 USD to $210,300\.00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80">
      <c r="A80" t="inlineStr">
        <is>
          <t>li-4366073345</t>
        </is>
      </c>
      <c r="B80" t="inlineStr">
        <is>
          <t>Associate Data Engineer - Enterprise Identity Services</t>
        </is>
      </c>
      <c r="C80" t="inlineStr">
        <is>
          <t>CVS Health</t>
        </is>
      </c>
      <c r="D80" t="inlineStr">
        <is>
          <t>linkedin</t>
        </is>
      </c>
      <c r="E80">
        <f>HYPERLINK("https://www.linkedin.com/jobs/view/4366073345", "https://www.linkedin.com/jobs/view/4366073345")</f>
        <v/>
      </c>
      <c r="F80">
        <f>HYPERLINK("https://jobs.cvshealth.com/us/en/job/CVSCHLUSR0817070EXTERNALENUS/Associate-Data-Engineer-Enterprise-Identity-Services?utm_source=Linkedin&amp;utm_medium=phenom-feeds&amp;urlHash=QMJP", "https://jobs.cvshealth.com/us/en/job/CVSCHLUSR0817070EXTERNALENUS/Associate-Data-Engineer-Enterprise-Identity-Services?utm_source=Linkedin&amp;utm_medium=phenom-feeds&amp;urlHash=QMJP")</f>
        <v/>
      </c>
      <c r="G80" t="inlineStr">
        <is>
          <t>Harrisburg, PA</t>
        </is>
      </c>
      <c r="H80" t="inlineStr"/>
      <c r="I80"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This role would be joining our Enterprise Identity Services team. Our team owns and manages a data platform which serves to identify our customers regardless of which channel they engage. The identity demographic information is used to power programs and services that help drive customer safety and access to services. The goal is to provide a trusted and definitive identity data asset that can be consumed across all lines of business. Our customers are our most important asset and identity information is a strategic enabler for CVS Health.
 This role will join a Data Operations team directly responsible for improving the accuracy and understanding of our data products. The data operations team will be responsible for data engineer and analysis, quality measures and improvement, data flows and forecasting, and managing our relationship with our customers.
 The ideal candidate should have familiarity and/or expertise with basic data engineering topics (e.g. data quality and critical data elements, data analysis, preparing and providing data extracts to solve problems.)
 Job Responsibilities may include
* Identifying, analyzing, and drawing conclusions from raw data
* Using software to automate data collection and modification
* Sourcing missing data
* Predicting trends or patterns in complex data sets
* Developing, updating, and automating reports and dashboards using visualization tools
* Assessing the quality of data, removing or cleaning data
**Required Qualifications**
* 1\+ years of coding experience in languages such as SAS, R, Stata, or Python
* 1\+ years of programming experience with frameworks such as Javascript, ETL, etc.
* 1\+ years of experience of advanced use of SQL functions
* 1\+ years of experience with data\-visualization tools
**Preferred Qualifications**
* Experience \&amp; certification on GCP.
* Experience working with MDM technology and concepts.
* Excellent analytical and problem solving skills
* Excellent written and verbal communication skills
 Education
* Bachelor's Degree in Computer Science, Information systems or similar
* 1 year of experience required for every year of college degree not obtained in addition to required years of experience
**Anticipated Weekly Hours**
 40
**Time Type**
 Full time
**Pay Range**
**The Typical Pay Range For This Role Is**
 $61,800\.00 \- $123,600\.00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02/03/2026
 Qualified applicants with arrest or conviction records will be considered for employment in accordance with all federal, state and local laws.</t>
        </is>
      </c>
    </row>
    <row r="81">
      <c r="A81" t="inlineStr">
        <is>
          <t>li-4366384627</t>
        </is>
      </c>
      <c r="B81" t="inlineStr">
        <is>
          <t>Software Engineer III- Data Engineer</t>
        </is>
      </c>
      <c r="C81" t="inlineStr">
        <is>
          <t>Truist</t>
        </is>
      </c>
      <c r="D81" t="inlineStr">
        <is>
          <t>linkedin</t>
        </is>
      </c>
      <c r="E81">
        <f>HYPERLINK("https://www.linkedin.com/jobs/view/4366384627", "https://www.linkedin.com/jobs/view/4366384627")</f>
        <v/>
      </c>
      <c r="F81" t="inlineStr"/>
      <c r="G81" t="inlineStr">
        <is>
          <t>Atlanta, GA</t>
        </is>
      </c>
      <c r="H81" t="inlineStr"/>
      <c r="I81"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Software Engineer III, specializing in Data Engineering, plays a pivotal role in designing, developing, and maintaining scalable data pipelines, ETL (Extract, Transform, Load) processes, and analytics solutions to support enterprise\-wide, data\-driven decision\-making. This position requires advanced expertise in data integration, analytics, and software development, and involves close collaboration with cross\-functional teams—including data scientists, business analysts, and stakeholders—to deliver impactful insights.
 The role emphasizes innovation using platforms such as Informatica BDM, AbInitio, Snowflake and big data ecosystems like Hadoop, while maintaining high standards for data quality, security, and compliance. The engineer advocates for agile methodologies, CI/CD pipelines, and automated testing to accelerate delivery and minimize risk. Responsibilities include leading and participating in the development, testing, implementation, maintenance, and support of complex solutions, ensuring robust unit testing and support for release cycles. The engineer also builds monitoring capabilities, provides escalated production support, and maintains security controls in line with company standards. Typically, this role leads moderately complex projects and contributes to larger initiatives, solving complex technical and operational challenges and serving as a resource for less experienced teammates.
**Essential Duties And Responsibilities**
 Following is a summary of the essential functions for this job. Other duties may be performed, both major and minor, which are not mentioned below. Specific activities may change from time to time.
* Architect and implement robust ETL workflows using tools like Informatica PowerCenter, AbInitio. Data mapping, transformation logic, error handling, and performance optimization for high\-volume data processing.
* Design and develop data pipelines in Snowflake for efficient data warehousing, querying, and analytics, leveraging features such as Snowpark for custom processing and zero\-copy cloning for cost\-effective data sharing.
* Build and maintain distributed data processing systems on Hadoop ecosystems (e.g., Hive, Spark, HDFS), ensuring scalability, fault tolerance, and seamless integration with upstream and downstream systems.
* Develop advanced SQL queries, stored procedures, and optimizations for both relational and NoSQL databases to support complex data extraction, aggregation, and reporting needs.
* Create interactive dashboards, visualizations, and reports in Power BI, integrating multiple data sources to enable self\-service analytics and real\-time business intelligence.
* Perform data analytics tasks, including exploratory data analysis, statistical modeling, and trend identification to derive actionable insights and support predictive analytics initiatives.
* Collaborate on full\-stack development using the .NET framework (C\#) for backend services and JavaScript (including frameworks like React or Node.js) for frontend data visualization tools and user interfaces.
* Lead code reviews, mentor junior engineers, and contribute to technical design documents, ensuring adherence to coding standards, design patterns, and security best practices (e.g., OWASP for web applications).
* Troubleshoot and resolve production issues in data pipelines and applications, implementing monitoring, alerting, and logging using tools such as Splunk or Azure Monitor.
* Drive continuous improvement by adopting industry best practices, including DevOps automation, containerization (Docker/Kubernetes), and machine learning operations (MLOps) for data workflows.
* Participate in agile ceremonies, sprint planning, and stakeholder meetings to align technical solutions with business objectives and deliver value iteratively.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Bachelor’s degree in Computer Science, Information Systems, Engineering, or a related field.
* 5\+ years of progressive experience in software engineering, with at least 3 years focused on data engineering, ETL development, and data analytics.
* Proven track record of delivering production\-ready data solutions in fast\-paced environments, preferably in financial services, healthcare, or other regulated industries.
* Strong problem\-solving skills, with the ability to handle ambiguous requirements and scale solutions for terabyte\-scale datasets.
**Core Data Engineering \&amp; ETL Skills:**
* Advanced proficiency in Informatica PowerCenter for ETL design, scheduling, and workflow management.
* Expertise in Snowflake for cloud data warehousing, including SQL scripting, data sharing, and performance tuning.
* Hands\-on experience with Hadoop ecosystem (HDFS, MapReduce, Hive, Spark) for big data processing and distributed computing.
* Expert\-level SQL skills across multiple databases (e.g., Oracle, SQL Server, PostgreSQL), including query optimization, indexing, and data modeling.
**Analytics \&amp; Visualization:**
* Strong experience with Power BI for dashboard development, DAX scripting, data modeling, and integration with APIs/ODBC sources.
* Proficiency in data analytics techniques using Python, R, or SQL for data cleaning, statistical analysis, and visualization.
**Software Development:**
* Solid experience with .NET (C\#, ASP.NET) for building scalable backend services and APIs.
* Proficiency in JavaScript/TypeScript, including modern frameworks (e.g., React, Angular, Vue.js) for interactive web applications and data\-driven UIs.
**Additional Technical Skills:**
* Familiarity with cloud platforms (AWS, Azure, GCP) for data services such as S3, Azure Data Factory, or BigQuery.
* Knowledge of version control (Git), CI/CD tools (Jenkins, GitHub Actions), and container orchestration.
* Understanding of data governance, lineage tracking (e.g., Collibra), and security protocols (encryption, access controls).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2">
      <c r="A82" t="inlineStr">
        <is>
          <t>li-4366044023</t>
        </is>
      </c>
      <c r="B82" t="inlineStr">
        <is>
          <t>AIML - Senior Data Engineer, Machine Learning Platform Technologies</t>
        </is>
      </c>
      <c r="C82" t="inlineStr">
        <is>
          <t>Apple</t>
        </is>
      </c>
      <c r="D82" t="inlineStr">
        <is>
          <t>linkedin</t>
        </is>
      </c>
      <c r="E82">
        <f>HYPERLINK("https://www.linkedin.com/jobs/view/4366044023", "https://www.linkedin.com/jobs/view/4366044023")</f>
        <v/>
      </c>
      <c r="F82">
        <f>HYPERLINK("https://jobs.apple.com/en-us/details/200627055?board_id=17682&amp;urlHash=5jQx", "https://jobs.apple.com/en-us/details/200627055?board_id=17682&amp;urlHash=5jQx")</f>
        <v/>
      </c>
      <c r="G82" t="inlineStr">
        <is>
          <t>Seattle, WA</t>
        </is>
      </c>
      <c r="H82" t="inlineStr"/>
      <c r="I82" t="inlineStr">
        <is>
          <t>**Summary**
 Join us in building the machine learning platform that enables teams at Apple to build Apple Intelligence and many other intelligent experiences across hardware, software and service products.
 As a Machine Learning Data Platform Engineer, you'll design and build the scalable dataset management platform that enables teams across Apple to discover, curate, version, share, process, and consume ML datasets with enterprise\-grade compliance and governance.
 We're looking for an engineer with deep expertise in big data infrastructure and a passion for building platforms that make ML practitioners more productive. You'll work at the intersection of large\-scale data systems, ML workflows, and data governance.
**Description**
 In this role, you'll be architecting and building Apple's next\-generation ML dataset management platform. This platform enables ML teams across the company to efficiently manage the full lifecycle of datasets, from initial curation and annotation through versioning, model training and evaluation, sharing, and compliance.
 You'll design scalable infrastructure that supports dataset operations at massive scale while maintaining strong governance guarantees. Your work will include building data lineage tracking systems, implementing automated compliance workflows, creating intuitive APIs and SDKs for dataset access, and ensuring seamless integration with ML training and evaluation pipelines,
 You'll collaborate with teams building customer\-facing ML features across iOS, macOS, and other Apple platforms, as well as compute infrastructure teams and ML framework owners. Your platform work directly enables the ML innovations that millions of customers experience daily. This role offers the opportunity to have broad impact across Apple's ML initiatives and to shape how thousands of ML practitioners build the intelligent experiences our customers love.
**Minimum Qualifications**
* Bachelor's degree in Computer Science, related field, or equivalent practical experience.
* 10\+ years building and scaling data infrastructure for petabyte\-scale ML workloads with high reliability
* Deep expertise in modern data technologies (Apache Iceberg, Spark, S3, distributed systems), data modeling, schema evolution, and efficient storage formats (Parquet, Arrow, ORC)
* Experience building data pipelines that handle diverse ML data types: structured/tabular data, unstructured media (images, video, audio), embeddings, and multimodal datasets
* Proven track record building dataset management systems including versioning, metadata management, discovery, and integration with production ML training pipelines
* Experience designing data governance frameworks including lineage tracking, access control, retention policies, and compliance workflows
* Experience with cloud platforms (AWS, GCP, Azure) and container orchestration (Kubernetes)
* Strong cross\-functional collaboration skills to understand diverse stakeholder needs and articulate technical decisions across ML engineering, data science, legal, and product teams
**Preferred Qualifications**
* Hands\-on experience curating or managing datasets for production ML models
* Experience with data cataloging systems, metadata platforms, MLOps tools, or ML training frameworks
* Knowledge of privacy\-preserving technologies and data quality/validation frameworks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3">
      <c r="A83" t="inlineStr">
        <is>
          <t>li-4366041271</t>
        </is>
      </c>
      <c r="B83" t="inlineStr">
        <is>
          <t>Data Engineer</t>
        </is>
      </c>
      <c r="C83" t="inlineStr">
        <is>
          <t>Jobs via Dice</t>
        </is>
      </c>
      <c r="D83" t="inlineStr">
        <is>
          <t>linkedin</t>
        </is>
      </c>
      <c r="E83">
        <f>HYPERLINK("https://www.linkedin.com/jobs/view/4366041271", "https://www.linkedin.com/jobs/view/4366041271")</f>
        <v/>
      </c>
      <c r="F83" t="inlineStr"/>
      <c r="G83" t="inlineStr"/>
      <c r="H83" t="inlineStr"/>
      <c r="I83" t="inlineStr">
        <is>
          <t>Dice is the leading career destination for tech experts at every stage of their careers. Our client, Rivago infotech inc, is seeking the following. Apply via Dice today!
**Job Title: AWS Data Engineer**
**Location: Remote(EST time)**
**Duration: Long term Project**
**Must have Skills:**
 Bigdata distributed systems such as Iceberg, Hadoop, redshift, Hudi, Strong in Spark
**Hands on with Shell script, python and pyspark**
 AWS Services \- Glue, lambda, airflow, lake formation, EKS, EC2, SQS, SNS
**Preferred Skills:**
**Exp with Bigquery and Google Cloud Platform**
**DBT**</t>
        </is>
      </c>
    </row>
    <row r="84">
      <c r="A84" t="inlineStr">
        <is>
          <t>li-4366058724</t>
        </is>
      </c>
      <c r="B84" t="inlineStr">
        <is>
          <t>Senior Data Engineer, Commerce Platform</t>
        </is>
      </c>
      <c r="C84" t="inlineStr">
        <is>
          <t>hackajob</t>
        </is>
      </c>
      <c r="D84" t="inlineStr">
        <is>
          <t>linkedin</t>
        </is>
      </c>
      <c r="E84">
        <f>HYPERLINK("https://www.linkedin.com/jobs/view/4366058724", "https://www.linkedin.com/jobs/view/4366058724")</f>
        <v/>
      </c>
      <c r="F84" t="inlineStr"/>
      <c r="G84" t="inlineStr">
        <is>
          <t>Philadelphia, PA</t>
        </is>
      </c>
      <c r="H84" t="inlineStr"/>
      <c r="I84"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Summary The Senior Data Engineer designs, builds, and manages enterprise\-scale data solutions that power commerce operations across order management, provisioning, sales, and fulfillment. This role combines technical depth with strategic leadership, driving best practices in data architecture, engineering, governance, and AI\-driven development. The engineer also mentors peers, contributes to business strategy, and ensures data integrity across the commerce ecosystem.
**Job Description**
**Commerce – Efficacy \&amp; Assurance (CE\&amp;A)**
 The IT Sales \&amp; Ordering – Efficacy and Assurance (SOEA) team is part of Comcast’s Commerce Xperience Platform, working alongside SalesTech and OrderTech. The team ensures the reliability and effectiveness of sales and ordering systems supporting Xfinity Mobile, Internet, TV, NOW products, and OTT services.
**Core Responsibilities**
* Architect, build, and optimize scalable data pipelines and ETL/ELT processes using Python, Scala, Java, PySpark, Presto, and Athena.
* Engineer data solutions across hybrid environments (Kubernetes, Teradata, minIO, AWS S3, Databricks).
* Develop data models, schemas, and storage strategies based on privacy, performance, and access needs.
* Implement data ingestion, transformation, archival, and frameworks aligned with enterprise standards.
* Ensure high data quality from ingestion to consumption; build automated data validation and profiling.
* Maintain data dictionaries, lineage, flow diagrams, and transformation logic for troubleshooting
* Enforce privacy rules, sensitivity classifications, and governance standards across all datasets.
* Support cross\-system reconciliation accuracy targets (95%\+ within 24 hours).
* Build pipelines powering operational reporting for sales, orders, fulfillment, churn, and business KPIs.
* Implement anomaly detection to surface fraud risks, order fallout, and system irregularities.
* Provide data validation during integration and release testing across the customer journey.
* Create data assets that measure feature efficacy, product impact, and revenue/ARPU drivers.
* Apply AI/ML techniques for automated data transformation, cleansing, and predictive insights.
* Use Copilot and prompt engineering for solution design, code generation, debugging, and documentation.
* Use AI Workbench utilities for solution architecture and data development.
* Practice testdriven development in an Agile/Scrum environment.
**Technical Leadership \&amp; Collaboration**
* Collaborate with product, architecture, engineering, and executive teams to define data needs and solutions.
* Translate complex business requirements into detailed technical designs.
* Lead design reviews, code reviews, and enforce architectural best practices.
* Mentor engineers on data engineering practices, tooling, and modern development standards.
* Contribute across SOEA sub\-teams including Sales, Orders, Risk, Billing, Fulfillment, and Provisioning.
* Review business and product requirements; propose enhancements to data systems and architecture.
* Develop user stories, requirements, and documentation for enterprise initiatives.
* Monitor emerging technologies and incorporate modern trends into longterm platform strategy.
* Support development of tactical and strategic solution architectures.
* Participate in business strategy and decision\-making impacting technology direction.
* Apply deep experience in Order Management, Sales, Provisioning, and Fulfillment domains.
* Ensure data solutions support Xfinity and NOW products (Mobile, Internet, TV, OTT).
* Deliver architectures that balance short\-term needs with long\-term scalability and modernization.
**Required Qualifications**
**Technical Skills \-** 
**Must Have:**
* Expert\-level proficiency in Python, Scala, and/or Java
* Strong ETL/ELT engineering experience
* Hands\-on experience with big data technologies (PySpark, Presto, Athena)
* Cloud expertise with AWS (S3, Redshift, EMR)
* Experience with Databricks and modern lakehouse architectures
* Advanced SQL and database design skills
**Technical Skills Nice To Have**
* Experience with Kubernetes, Teradata, minIO
* Data modeling (dimensional modeling, slowly changing dimensions)
* Streaming technologies (Kafka, Kinesis)
* Git and CI/CD tooling
* Experience using AI Workbench for data design (preferred)
**Leadership \&amp; Soft Skills**
* Proven ability to lead technical initiatives and mentor developers
* Strong communication and ability to present to leadership
* Experience in Agile/Scrum environments
* Ability to translate business needs into scalable technical solutions
* Excellent analytical and problemsolving capabilities
**Education**
* Bachelor’s degree in Computer Science, Engineering, or equivalent industry experience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Learn more at jobs.comcast.com/life\-at\-comcast/benefits
*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This information has been designed to indicate the general nature and level of work performed by employees in this role. It is not designed to contain or be interpreted as a comprehensive inventory of all duties, responsibilities and qualifications.
 Comcast is an EOE/Veterans/Disabled/LGBT employer.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Structured Query Language (SQL); Collaboration; Design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85">
      <c r="A85" t="inlineStr">
        <is>
          <t>li-4366057223</t>
        </is>
      </c>
      <c r="B85" t="inlineStr">
        <is>
          <t>Senior Data Engineer</t>
        </is>
      </c>
      <c r="C85" t="inlineStr">
        <is>
          <t>Jobs via Dice</t>
        </is>
      </c>
      <c r="D85" t="inlineStr">
        <is>
          <t>linkedin</t>
        </is>
      </c>
      <c r="E85">
        <f>HYPERLINK("https://www.linkedin.com/jobs/view/4366057223", "https://www.linkedin.com/jobs/view/4366057223")</f>
        <v/>
      </c>
      <c r="F85">
        <f>HYPERLINK("https://click.appcast.io/t/6RlOL_hj43YjJYaeuQZLZSWMcjyL2amDPQ9dbudsVFU=&amp;urlHash=uXrB", "https://click.appcast.io/t/6RlOL_hj43YjJYaeuQZLZSWMcjyL2amDPQ9dbudsVFU=&amp;urlHash=uXrB")</f>
        <v/>
      </c>
      <c r="G85" t="inlineStr">
        <is>
          <t>Minnesota City, MN</t>
        </is>
      </c>
      <c r="H85" t="inlineStr"/>
      <c r="I85" t="inlineStr">
        <is>
          <t>Dice is the leading career destination for tech experts at every stage of their careers. Our client, Fiekon, is seeking the following. Apply via Dice today!
 Role: Sr. Data Engineer
 Location: Minnesota City, MN
 Duration: 6 Months (C2H)
**Key Responsibilities**
* Design, develop, and maintain scalable data pipelines using Apache Spark (PySpark and/or Scala)
* Build and optimize data workflows on Databricks, including Delta Lake, notebooks, and scheduled jobs
* Ingest, transform, and curate large\-scale structured and semi\-structured datasets
* Perform performance tuning and cost optimization of Spark workloads and Databricks clusters
* Implement data quality checks, monitoring, and error handling
* Collaborate with analytics and business stakeholders to deliver well\-modeled, analytics\-ready data
* Support batch processing and, where applicable, streaming data pipelines
* Follow best practices for testing, documentation, security, and version control
**Required Qualifications**
* 6\+ years of experience in Data Engineering or related roles
* Strong hands\-on experience with Apache Spark (PySpark or Scala)
* Proven experience working in Databricks environments
* Strong SQL skills and experience with relational and analytical databases
* Experience building and maintaining ETL/ELT pipelines at scale
* Familiarity with modern data lake architectures (Delta Lake preferred)
* Experience with Git\-based version control</t>
        </is>
      </c>
    </row>
    <row r="86">
      <c r="A86" t="inlineStr">
        <is>
          <t>li-4366056218</t>
        </is>
      </c>
      <c r="B86" t="inlineStr">
        <is>
          <t>Data Engineer AWS &amp; DynamoDB</t>
        </is>
      </c>
      <c r="C86" t="inlineStr">
        <is>
          <t>Jobs via Dice</t>
        </is>
      </c>
      <c r="D86" t="inlineStr">
        <is>
          <t>linkedin</t>
        </is>
      </c>
      <c r="E86">
        <f>HYPERLINK("https://www.linkedin.com/jobs/view/4366056218", "https://www.linkedin.com/jobs/view/4366056218")</f>
        <v/>
      </c>
      <c r="F86" t="inlineStr"/>
      <c r="G86" t="inlineStr">
        <is>
          <t>Tampa, FL</t>
        </is>
      </c>
      <c r="H86" t="inlineStr"/>
      <c r="I86" t="inlineStr">
        <is>
          <t>Dice is the leading career destination for tech experts at every stage of their careers. Our client, Arbor Tek Systems, is seeking the following. Apply via Dice today!
**Job Title: Data Engineer AWS \&amp; DynamoDB** 
**Location: Tampa, FL Onsite Only Local to FL** 
**Experience: 12\+ Years**
**Job Summary**
 We are looking for a highly skilled Data Engineer with strong hands\-on experience in AWS services and Amazon DynamoDB. The ideal candidate will design, build, and optimize scalable data pipelines and data stores, working closely with application, analytics, and cloud teams to support high\-performance, data\-driven systems.
**Key Responsibilities**
 Design, develop, and maintain scalable data pipelines and ETL/ELT workflows on AWS.
 Build and manage data solutions using Amazon DynamoDB, including schema design, indexing, partitioning, and performance tuning.
 Work with AWS services such as S3, Glue, Lambda, EMR, Redshift, Kinesis, and CloudWatch.
 Optimize DynamoDB read/write capacity, GSIs/LSIs, TTL, and cost efficiency.
 Implement data modeling best practices for NoSQL and hybrid architectures.
 Develop data processing solutions using Python, SQL, and/or PySpark.
 Ensure data quality, reliability, security, and scalability across platforms.
 Collaborate with DevOps teams on CI/CD pipelines, automation, and monitoring.
 Troubleshoot and resolve performance, data integrity, and availability issues.
 Document data architectures, pipelines, and operational procedures.
**Required Skills**
 Strong experience as a Data Engineer in AWS environments.
 Deep hands\-on expertise with Amazon DynamoDB.
 Strong knowledge of AWS core services: S3, Lambda, Glue, IAM, VPC.
 Experience with Python and SQL for data processing.
 Solid understanding of NoSQL data modeling and distributed systems.
 Experience with ETL/ELT frameworks and large\-scale data processing.
 Familiarity with monitoring, logging, and performance tuning in AWS.
**Preferred / Nice To Have**
 Experience with streaming data (Kinesis, Kafka).
 Exposure to Redshift, Athena, or Snowflake.
 AWS certifications (e.g., AWS Certified Data Analytics Specialty).
 Experience with Infrastructure as Code (Terraform, CloudFormation).</t>
        </is>
      </c>
    </row>
    <row r="87">
      <c r="A87" t="inlineStr">
        <is>
          <t>li-4366390335</t>
        </is>
      </c>
      <c r="B87" t="inlineStr">
        <is>
          <t>Sr. Distinguished Data Engineer - Card data</t>
        </is>
      </c>
      <c r="C87" t="inlineStr">
        <is>
          <t>Capital One</t>
        </is>
      </c>
      <c r="D87" t="inlineStr">
        <is>
          <t>linkedin</t>
        </is>
      </c>
      <c r="E87">
        <f>HYPERLINK("https://www.linkedin.com/jobs/view/4366390335", "https://www.linkedin.com/jobs/view/4366390335")</f>
        <v/>
      </c>
      <c r="F87" t="inlineStr"/>
      <c r="G87" t="inlineStr">
        <is>
          <t>McLean, VA</t>
        </is>
      </c>
      <c r="H87" t="inlineStr"/>
      <c r="I87" t="inlineStr">
        <is>
          <t>Senior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Senior Distinguished Engineers will significantly impact our trajectory and devise clear roadmaps to deliver next generation technology solutions.
 About the Team: Capital One is seeking a Senior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Richmond, VA: $286,200 \- $326,700 for Sr Distinguished Data Engineer
 San Francisco,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li-4366056225</t>
        </is>
      </c>
      <c r="B88" t="inlineStr">
        <is>
          <t>AWS Data Engineer</t>
        </is>
      </c>
      <c r="C88" t="inlineStr">
        <is>
          <t>Jobs via Dice</t>
        </is>
      </c>
      <c r="D88" t="inlineStr">
        <is>
          <t>linkedin</t>
        </is>
      </c>
      <c r="E88">
        <f>HYPERLINK("https://www.linkedin.com/jobs/view/4366056225", "https://www.linkedin.com/jobs/view/4366056225")</f>
        <v/>
      </c>
      <c r="F88" t="inlineStr"/>
      <c r="G88" t="inlineStr">
        <is>
          <t>Fort Mill, SC</t>
        </is>
      </c>
      <c r="H88" t="inlineStr"/>
      <c r="I88" t="inlineStr">
        <is>
          <t>Dice is the leading career destination for tech experts at every stage of their careers. Our client, Sabio infotech, is seeking the following. Apply via Dice today!
 Please find the below JD and share me resume
 Job Title: AWS Data Engineer
 Location: Fort Mill, SC (Day 1 Onsite)
 Need Locals or Nearby
 Don't share Remote Profiles
 No and OPT
**Required Qualifications**
 15\+ years of experience in Data Engineering, with at least 5\+ years on AWS
 cloud data services.
 Strong expertise in AWS Glue, S3, Redshift, Athena, Lambda, Step
 Functions, CloudWatch.
 Proficiency in PySpark, Python, SQL for ETL and data transformations.
 Experience in data modeling (star, snowflake, dimensional models) and
 performance tuning.
 Hands\-on experience with data lake/data warehouse architecture and
 implementation.
 Strong problem\-solving skills and ability to work in Agile/Scrum environments.
**Preferred Qualifications**
 Experience in BFSI / Wealth Management domain.
 AWS Certified Data Analytics – Specialty or AWS Solutions Architect certification.
 Familiarity with CI/CD pipelines for data engineering (CodePipeline, Jenkins,
 GitHub Actions).
 Knowledge of BI/Visualization tools like Tableau, Power BI, QuickSight.</t>
        </is>
      </c>
    </row>
    <row r="89">
      <c r="A89" t="inlineStr">
        <is>
          <t>li-4366039305</t>
        </is>
      </c>
      <c r="B89" t="inlineStr">
        <is>
          <t>Data Engineer with Snowflake Exp-Full time-Hybrid</t>
        </is>
      </c>
      <c r="C89" t="inlineStr">
        <is>
          <t>Jobs via Dice</t>
        </is>
      </c>
      <c r="D89" t="inlineStr">
        <is>
          <t>linkedin</t>
        </is>
      </c>
      <c r="E89">
        <f>HYPERLINK("https://www.linkedin.com/jobs/view/4366039305", "https://www.linkedin.com/jobs/view/4366039305")</f>
        <v/>
      </c>
      <c r="F89" t="inlineStr"/>
      <c r="G89" t="inlineStr">
        <is>
          <t>Roanoke, TX</t>
        </is>
      </c>
      <c r="H89" t="inlineStr"/>
      <c r="I89" t="inlineStr">
        <is>
          <t>Dice is the leading career destination for tech experts at every stage of their careers. Our client, Visionary Innovative Technology Solutions, is seeking the following. Apply via Dice today!
* Design, develop, and implement enterprise\-scale data warehouse solutions supporting analytics and reporting needs.
* Build and optimize data pipelines using AWS services (S3, Lambda, Glue, EC2, RDS) for scalable and reliable data processing.
* Develop and maintain Snowflake data models, schemas, and performance\-optimized queries for large datasets.
* Create interactive dashboards and reports using Power BI, enabling business users to derive actionable insights.
* Design and develop Java\-based REST APIs to expose data services and integrate with upstream/downstream systems.
* Work with PostgreSQL databases for transactional and analytical workloads, including schema design and query optimization.
* Implement CI/CD pipelines using DevOps best practices to automate build, test, and deployment processes.
* Participate in Agile/SCRUM ceremonies, including sprint planning, daily stand\-ups, reviews, and retrospectives.
* Collaborate with business stakeholders and product owners to translate requirements into technical design solutions.
* Ensure data quality, integrity, security, and governance across data platforms.
* Support mission\-critical financial services applications, ensuring high availability and quick issue resolution.
* Perform technical design reviews, code reviews, and contribute to architectural decisions.
* Monitor and troubleshoot production data workflows to ensure performance and reliability.
* Adapt solutions to evolving business priorities and emerging technology trends.
* Mentor junior engineers and promote best practices in coding, data modeling, and system design.
* Work cross\-functionally with engineering, analytics, DevOps, and business teams to deliver end\-to\-end data solutions.
* Document system architecture, data flows, and operational procedures.
* Apply strong analytical and problem\-solving skills to resolve complex data and integration issues.
* Leverage knowledge of financial services domain to build compliant, scalable, and secure data platforms.</t>
        </is>
      </c>
    </row>
    <row r="90">
      <c r="A90" t="inlineStr">
        <is>
          <t>li-4366036614</t>
        </is>
      </c>
      <c r="B90" t="inlineStr">
        <is>
          <t>Sr Principal Data Engineer</t>
        </is>
      </c>
      <c r="C90" t="inlineStr">
        <is>
          <t>Jobs via Dice</t>
        </is>
      </c>
      <c r="D90" t="inlineStr">
        <is>
          <t>linkedin</t>
        </is>
      </c>
      <c r="E90">
        <f>HYPERLINK("https://www.linkedin.com/jobs/view/4366036614", "https://www.linkedin.com/jobs/view/4366036614")</f>
        <v/>
      </c>
      <c r="F90" t="inlineStr"/>
      <c r="G90" t="inlineStr">
        <is>
          <t>Minneapolis, MN</t>
        </is>
      </c>
      <c r="H90" t="inlineStr"/>
      <c r="I90" t="inlineStr">
        <is>
          <t>Dice is the leading career destination for tech experts at every stage of their careers. Our client, Horizontal Talent, is seeking the following. Apply via Dice today!
 We are seeking a highly motivated and skilled professional for the role of Sr Principal Data Engineer. This position offers the opportunity to work with cutting\-edge technology while contributing to impactful data insights.
**Responsibilities**
* Develop and deliver comprehensive data insights using advanced reporting tools.
* Utilize Power BI and SQL to create efficient reporting solutions that enhance decision\-making processes.
* Drive automation and standardization of data processes to improve efficiency and quality.
* Collaborate with cross\-functional teams to identify and resolve data\-related challenges.
* Provide expertise in Azure Data Factory and other BI tools to support data integration efforts.
 \&lt;\&gt;Skills\&lt;/\&gt;
* Proficiency in Power BI and advanced SQL is essential.
* Strong analytical and problem\-solving abilities to streamline processes.
* Excellent communication skills to convey complex data insights clearly.
* Ability to work independently and as part of a team in a fast\-paced environment.
 \&lt;\&gt;Preferred Skills\&lt;/\&gt;
* Experience with Azure Data Factory is advantageous.
* Familiarity with other BI tools and data visualization techniques is a plus.
* Background in data engineering or a related field is beneficial.
 We are committed to fostering an inclusive environment that values diversity, equity, and inclusion as core principles. We encourage individuals from all backgrounds to apply and contribute to our innovative team.
 Once you apply for this position, you may receive a phone call, SMS or email at the time of application from our Virtual AI Recruiter, Alex, to conduct an initial interview.</t>
        </is>
      </c>
    </row>
    <row r="91">
      <c r="A91" t="inlineStr">
        <is>
          <t>li-4366038299</t>
        </is>
      </c>
      <c r="B91" t="inlineStr">
        <is>
          <t>Senior Data Engineer with Python , Snowflake -Onsite @NYC-Need Locals Pnly</t>
        </is>
      </c>
      <c r="C91" t="inlineStr">
        <is>
          <t>Jobs via Dice</t>
        </is>
      </c>
      <c r="D91" t="inlineStr">
        <is>
          <t>linkedin</t>
        </is>
      </c>
      <c r="E91">
        <f>HYPERLINK("https://www.linkedin.com/jobs/view/4366038299", "https://www.linkedin.com/jobs/view/4366038299")</f>
        <v/>
      </c>
      <c r="F91">
        <f>HYPERLINK("https://click.appcast.io/t/tFIng4ivNeJKAMP0ma77xyExJLH-Gd0OeJDqgTSH194=&amp;urlHash=jagT", "https://click.appcast.io/t/tFIng4ivNeJKAMP0ma77xyExJLH-Gd0OeJDqgTSH194=&amp;urlHash=jagT")</f>
        <v/>
      </c>
      <c r="G91" t="inlineStr">
        <is>
          <t>New York, NY</t>
        </is>
      </c>
      <c r="H91" t="inlineStr"/>
      <c r="I91" t="inlineStr">
        <is>
          <t>Dice is the leading career destination for tech experts at every stage of their careers. Our client, Cyber Sphere LLC, is seeking the following. Apply via Dice today!
**Title \- Senior Data Engineer**
**Location\-Onsite @NYC\-Need Locals**
**Duration Contract**
**Design, build, and deployment of data pipelines and backend services, Snowflake data modeling, and strong data engineering experience.**
**Job Summary**
 We are seeking a
 **Senior Data Engineer** 
 to design, build, and deploy scalable data pipelines and backend data services. The ideal candidate will have strong hands\-on experience in
 **Snowflake data modeling** 
 , modern data engineering practices, and building reliable, high\-performance data platforms that support analytics and business intelligence.
**Key Responsibilities**
* Design, build, and deploy end\-to\-end data pipelines for large\-scale data processing.
* Develop and maintain backend data services and APIs to support data consumption.
* Perform Snowflake data modeling, including schema design, optimization, and performance tuning.
* Implement ELT/ETL processes for structured and semi\-structured data sources.
* Optimize data storage, query performance, and cost efficiency in Snowflake.
* Ensure data quality, reliability, security, and governance across pipelines.
* Collaborate with Data Scientists, Analysts, and Business stakeholders to understand data needs.
* Implement monitoring, logging, and alerting for data pipelines.
* Support CI/CD pipelines for data engineering deployments.
* Document data flows, architectures, and best practices.
**Required Skills \&amp; Qualifications**
* 10\+ years of experience in Data Engineering or related roles.
* Strong hands\-on experience with Snowflake (data modeling, performance tuning, security).
* Expertise in SQL and data transformation techniques.
* Proficiency in Python and/or Java for backend data processing.
* Experience building scalable ETL/ELT pipelines.
* Knowledge of data orchestration tools (Airflow, Azure Data Factory, or similar).
* Experience with cloud platforms (AWS, Azure, or Google Cloud Platform).
* Familiarity with CI/CD, Git, and DevOps practices.
* Strong problem\-solving and communication skills.
**Nice to Have**
* Experience with streaming technologies (Kafka, Kinesis).
* Exposure to dbt or modern transformation frameworks.
* Experience in large\-scale enterprise or regulated environments.
* Knowledge of data governance and metadata management tools.
 Regards,
 Sai Srikar
 Email:</t>
        </is>
      </c>
    </row>
    <row r="92">
      <c r="A92" t="inlineStr">
        <is>
          <t>li-4366397254</t>
        </is>
      </c>
      <c r="B92" t="inlineStr">
        <is>
          <t>Sr. Distinguished Data Engineer - Card data</t>
        </is>
      </c>
      <c r="C92" t="inlineStr">
        <is>
          <t>Capital One</t>
        </is>
      </c>
      <c r="D92" t="inlineStr">
        <is>
          <t>linkedin</t>
        </is>
      </c>
      <c r="E92">
        <f>HYPERLINK("https://www.linkedin.com/jobs/view/4366397254", "https://www.linkedin.com/jobs/view/4366397254")</f>
        <v/>
      </c>
      <c r="F92" t="inlineStr"/>
      <c r="G92" t="inlineStr">
        <is>
          <t>Richmond, VA</t>
        </is>
      </c>
      <c r="H92" t="inlineStr"/>
      <c r="I92" t="inlineStr">
        <is>
          <t>Senior 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Senior Distinguished Engineers will significantly impact our trajectory and devise clear roadmaps to deliver next generation technology solutions.
 About the Team: Capital One is seeking a Senior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building applications in AWS
**Preferred Qualifications:**
* Masters’ Degree
* 10\+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Data Engineer
 New York, NY: $343,400 \- $392,000 for Sr Distinguished Data Engineer
 Richmond, VA: $286,200 \- $326,700 for Sr Distinguished Data Engineer
 San Francisco, CA: $343,400 \- $392,000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li-4366396254</t>
        </is>
      </c>
      <c r="B93" t="inlineStr">
        <is>
          <t>Data Engineer</t>
        </is>
      </c>
      <c r="C93" t="inlineStr">
        <is>
          <t>TalentAlly</t>
        </is>
      </c>
      <c r="D93" t="inlineStr">
        <is>
          <t>linkedin</t>
        </is>
      </c>
      <c r="E93">
        <f>HYPERLINK("https://www.linkedin.com/jobs/view/4366396254", "https://www.linkedin.com/jobs/view/4366396254")</f>
        <v/>
      </c>
      <c r="F93" t="inlineStr"/>
      <c r="G93" t="inlineStr">
        <is>
          <t>Lehi, UT</t>
        </is>
      </c>
      <c r="H93" t="inlineStr"/>
      <c r="I93" t="inlineStr">
        <is>
          <t>Principal Data Engineer (DigiCert, Inc., Lehi, UT)
 Architect and contribute to the design of distributed data processing systems, focusing on modularity, reusability, and fault tolerance. Collaborate on design reviews and provide input into architectural decisions to help evolve the data platform and support new analytics and machine learning (ML) use cases. Develop framework\-level components for data quality, observability, and recovery, enabling self\-service capabilities across teams. Standardize and implement patterns for incremental data processing, ensuring consistency, idempotency, and scalability. Design and implement schema evolution strategies, metadata\-driven processing, and lineage tracking to support auditability and regulatory requirements. Optimize data storage formats, partitioning strategies, and compute resource utilization for cost\-effective performance at scale. Contribute to the technical roadmap by evaluating new technologies and proposing architectural improvements aligned with long\-term platform goals. Collaborate with product, compliance, and platform teams to design reusable data interfaces and contract\-driven ingestion frameworks. Salary: $147,000 \- $185,000 per year.
 MINIMUM REQUIREMENTS: Bachelor's degree or U.S. equivalent in Computer Science, Statistics, Informatics, Information Systems, Mechanical Engineering, Computer Engineering, or a related field, plus 5 years of professional experience as a Data Engineer, Data Platform Engineer, Machine Learning Engineer, or any occupation/position/job title working in in hybrid deployments.
 Must also have the following special skills: 4 years of professional experience designing, building and optimizing large scale data pipelines; 4 years of professional experience utilizing big data tools including Spark, Kafka, PySpark, and Databricks; 4 years of professional experience utilizing pipeline and workflow management tools including Airflow, and working with stream\-processing systems including Spark\-streaming; 4 years of professional experience working with object\-oriented and object function scripting languages including Python and continuous integration and continuous delivery (CI/CD) including Jenkins; 4 years of professional experience building monitoring dashboards including; Grafana; 4 years of professional experience performing change data capture (CDC) streaming for NoSQL databases; 4 years of professional experience performing root cause analysis and processes to answer business questions and identify opportunities for improvement; and 4 years of professional experience with message queuing, stream processing, and high scalable data stores.
 CONTACT: Submit resume online at: https://www.digicert.com/careers; or via email to kayley.king@digicert.com. Must specify job code (ABDA).PDN\-a0d44937\-e324\-451f\-8bef\-d7909818c3fa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2026-01-27T23:37:13Z</dcterms:created>
  <dcterms:modified xsi:type="dcterms:W3CDTF">2026-01-27T23:37:13Z</dcterms:modified>
</cp:coreProperties>
</file>