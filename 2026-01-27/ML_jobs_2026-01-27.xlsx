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in-ae6176cecbe1c6a6</t>
        </is>
      </c>
      <c r="B2" t="inlineStr">
        <is>
          <t>Senior Lead AI Engineer (Remote-Eligible)</t>
        </is>
      </c>
      <c r="C2" t="inlineStr">
        <is>
          <t>Capital One</t>
        </is>
      </c>
      <c r="D2" t="inlineStr">
        <is>
          <t>indeed</t>
        </is>
      </c>
      <c r="E2" t="inlineStr"/>
      <c r="F2" t="inlineStr"/>
      <c r="G2" t="inlineStr">
        <is>
          <t>San Jose, CA, US</t>
        </is>
      </c>
      <c r="H2" s="2" t="n">
        <v>46047</v>
      </c>
      <c r="I2" t="inlineStr">
        <is>
          <t>Senior Lead AI Engineer (Remote\-Eligible)**Overview:**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***Capital One is open to hiring a Remote Employee for this opportunity.***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3">
      <c r="A3" t="inlineStr">
        <is>
          <t>in-d6215c9bfaf79b1a</t>
        </is>
      </c>
      <c r="B3" t="inlineStr">
        <is>
          <t>Senior AI Engineer (FM Hosting, LLM Inference)</t>
        </is>
      </c>
      <c r="C3" t="inlineStr">
        <is>
          <t>Capital One</t>
        </is>
      </c>
      <c r="D3" t="inlineStr">
        <is>
          <t>indeed</t>
        </is>
      </c>
      <c r="E3" t="inlineStr"/>
      <c r="F3" t="inlineStr"/>
      <c r="G3" t="inlineStr">
        <is>
          <t>McLean, VA, US</t>
        </is>
      </c>
      <c r="H3" s="2" t="n">
        <v>46047</v>
      </c>
      <c r="I3" t="inlineStr">
        <is>
          <t>Senior AI Engineer (FM Hosting, LLM Inference)**Overview:**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AI Engineer  
New York, NY: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
      <c r="A4" t="inlineStr">
        <is>
          <t>in-e940fdda4152dd57</t>
        </is>
      </c>
      <c r="B4" t="inlineStr">
        <is>
          <t>Sr. Distinguished AI Engineer (Agentic AI Platform)</t>
        </is>
      </c>
      <c r="C4" t="inlineStr">
        <is>
          <t>Capital One</t>
        </is>
      </c>
      <c r="D4" t="inlineStr">
        <is>
          <t>indeed</t>
        </is>
      </c>
      <c r="E4" t="inlineStr"/>
      <c r="F4" t="inlineStr"/>
      <c r="G4" t="inlineStr">
        <is>
          <t>McLean, VA, US</t>
        </is>
      </c>
      <c r="H4" s="2" t="n">
        <v>46047</v>
      </c>
      <c r="I4" t="inlineStr">
        <is>
          <t>Sr. Distinguished AI Engineer (Agentic AI Platform)**Overview:**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the next generation of AI engineering platform offerings and tools focused on agent orchestration and multi\-agent systems.
* Design, develop, test, deploy, and support AI platform capabilities that integrate foundation model training, LLM inference, context, memory, guardrails, agent evaluations, agent experimentation, governance, and observability into the agent development lifecycle.
* Leverage a broad stack of Open Source and SaaS AI technologies such as AWS Ultraclusters, Huggingface, VectorDBs, LangGraph, PyTorch, and more.
* Invent and introduce state\-of\-the\-art optimization techniques for agents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Engineering, or AI plus at least 10 years of experience developing AI and ML algorithms or technologies, or Master's degree plus at least 8 years of experience developing AI and ML algorithms or technologies
* At least 10 years of experience programming with Python, Go, Scala, or Java
**Preferred Qualifications:**
* 9 years of experience deploying scalable and responsible AI solutions on cloud platforms (e.g. AWS, Google Cloud, Azure, or equivalent private cloud)
* Experience architecting, designing, developing, integrating, delivering, and supporting complex enterprise AI systems and developer frameworks
* Demonstrated ability to lead and mentor an engineering organization and influence cross\-functional stakeholders up to the SVP level
* Experience developing AI and ML algorithms or technologies (e.g. LLM Inference, Similarity Search and VectorDBs, Guardrails, Memory, Agent Orchestration) using Python, C\+\+, C\#, Java, or Golang
* Master's degree or Ph.D. in Computer Science, Computer Engineering, or relevant technical field
* Experience developing and applying state\-of\-the\-art techniques for optimizing end\-to\-end agentic systems to improve hardware utilization, latency, throughput, cost, and response quality
* Passion for staying abreast of the latest AI research and AI systems, and judiciously apply novel techniques in production
* Excellent communication and presentation skills, with the ability to articulate complex AI concepts to peers and leaders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$314,800 \- $359,300 for Sr. Distinguished AI Engineer  
New York, NY: $343,400 \- $392,000 for Sr. Distinguished AI Engineer  
San Francisco, CA: $343,400 \- $392,000 for Sr. Distinguished AI Engineer  
San Jose, CA: $343,400 \- $392,000 for Sr.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
      <c r="A5" t="inlineStr">
        <is>
          <t>in-13faf2d79c5556ff</t>
        </is>
      </c>
      <c r="B5" t="inlineStr">
        <is>
          <t>Senior Lead AI Engineer (FM Hosting, LLM Inference)</t>
        </is>
      </c>
      <c r="C5" t="inlineStr">
        <is>
          <t>Capital One</t>
        </is>
      </c>
      <c r="D5" t="inlineStr">
        <is>
          <t>indeed</t>
        </is>
      </c>
      <c r="E5" t="inlineStr"/>
      <c r="F5" t="inlineStr"/>
      <c r="G5" t="inlineStr">
        <is>
          <t>McLean, VA, US</t>
        </is>
      </c>
      <c r="H5" s="2" t="n">
        <v>46047</v>
      </c>
      <c r="I5" t="inlineStr">
        <is>
          <t>Senior Lead AI Engineer (FM Hosting, LLM Inference)**Overview:**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
      <c r="A6" t="inlineStr">
        <is>
          <t>in-aaec51e2d6ccf037</t>
        </is>
      </c>
      <c r="B6" t="inlineStr">
        <is>
          <t>Senior Lead AI Engineer (MLX)</t>
        </is>
      </c>
      <c r="C6" t="inlineStr">
        <is>
          <t>Capital One</t>
        </is>
      </c>
      <c r="D6" t="inlineStr">
        <is>
          <t>indeed</t>
        </is>
      </c>
      <c r="E6" t="inlineStr"/>
      <c r="F6" t="inlineStr"/>
      <c r="G6" t="inlineStr">
        <is>
          <t>New York, NY, US</t>
        </is>
      </c>
      <c r="H6" s="2" t="n">
        <v>46047</v>
      </c>
      <c r="I6" t="inlineStr">
        <is>
          <t>Senior Lead AI Engineer (MLX)**Overview:**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
      <c r="A7" t="inlineStr">
        <is>
          <t>in-7a844f20e441b61f</t>
        </is>
      </c>
      <c r="B7" t="inlineStr">
        <is>
          <t>Lead Machine Learning Engineer</t>
        </is>
      </c>
      <c r="C7" t="inlineStr"/>
      <c r="D7" t="inlineStr">
        <is>
          <t>indeed</t>
        </is>
      </c>
      <c r="E7" t="inlineStr"/>
      <c r="F7" t="inlineStr"/>
      <c r="G7" t="inlineStr">
        <is>
          <t>Glendale, CA, US</t>
        </is>
      </c>
      <c r="H7" s="2" t="n">
        <v>46048</v>
      </c>
      <c r="I7"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The Ad Platform Engineering organization within Disney Entertainment and ESPN Product \&amp; Technology is responsible for building, enhancing, and operating a high\-performance, distributed, microservice\-based digital advertising platform. This platform powers billions of real\-time ad decisions daily across Disney’s video\-on\-demand and live TV properties, including Hulu, Disney\+, ESPN, and more.
Within Ad Platform Engineering, the Programmatic teams build and maintain Disney’s programmatic advertising suite of products and services that comprise Disney's Real\-time Ad Exchange (DRAX). DRAX is an award\-winning, proprietary supply\-side platform (SSP) that enables programmatic deal configuration and integrates demand from multiple third\-party sources into Disney’s ad server in real time.
As a Lead Machine Learning Engineer, you will serve as a hands\-on technical leader responsible for delivering high\-impact machine learning systems while guiding technical direction within your domain. You will design, build, and operate production ML systems at scale, mentor engineers, and partner closely with product and engineering leaders to ensure machine learning solutions are reliable, performant, and aligned with business goals.
This is a production\-focused leadership role, blending deep technical execution with domain\-level technical ownership and mentorship.
Daily, you should bring:
* Strong technical ownership of ML systems and accountability for outcomes
* The ability to lead by example through hands\-on design, implementation, and operational excellence
* Clear and effective communication across engineering, product, and data partners
* Comfort translating ambiguous business problems into well\-scoped technical solutions
* A focus on system performance, reliability, scalability, and cost efficiency
* A collaborative, pragmatic, and optimistic approach to leading complex initiatives
* A passion for mentoring, learning, and adapting to a very dynamic and fast\-paced environment
**Responsibilities:**
* Lead the design and delivery of machine learning solutions across advertising use cases such as inventory forecasting, pricing, targeting, and efficient ad delivery
* Apply modern machine learning techniques to solve complex, real\-time advertising problems
* Provide technical leadership for ML system architecture, modeling approaches, and production readiness within your domain
* Design, build, and scale ML architectures that balance model quality, latency, throughput, reliability, and cost
* Oversee the full ML lifecycle for owned systems, from experimentation through production deployment and iteration
* Design and maintain feature pipelines and feature stores supporting both real\-time inference and offline training
* Partner with product and engineering stakeholders to translate requirements into clear technical plans and measurable outcomes
* Interpret experimental results and guide data\-informed decision\-making
* Ensure ML systems are observable, debuggable, and explainable in production
* Establish and maintain monitoring for model performance, drift, bias, and system health
* Champion engineering excellence through best practices in code quality, system design, testing, and operational reliability
* Mentor and support engineers through code reviews, design discussions, and ongoing technical guidance
**Basic Qualifications:**
* Bachelor's in Computer Science or equivalent practical experience
* 7\+ years of software engineering experience
* 5\+ years of hands\-on experience developing and deploying machine learning systems in production
* Strong knowledge of machine learning fundamentals, mathematics, and statistics
* Experience operating ML systems in low\-latency, high\-throughput environments
* Strong communication and collaboration skills with both technical and non\-technical partners
* Solid foundations in algorithms, data structures, and numerical optimization
* Proficiency in Python (primary), with experience in Java and SQL
* Experience with ML frameworks and tooling such as TensorFlow, PyTorch, and Hugging Face
* Experience with one or more of the following:
	+ Deep learning methodologies (e.g., sequence\-based or representation learning models)
	+ Transformer architectures (e.g., BERT, GPT, ViT) for NLP and/or vision
	+ Multimodal embedding techniques across text, image, audio, or structured data
	+ Large language models and related evaluation methodologies
	+ Retrieval\-augmented generation (RAG) architectures
* Experience building systems on cloud\-native infrastructure and distributed platforms
* Proven ability to thrive in a fast\-paced, data\-driven, and collaborative environment
**Preferred Qualifications:**
* MS or PhD (preferred) in Computer Science or equivalent practical experience
* Experience in digital video advertising or the digital marketing domain
* Experience with programmatic advertising or real\-time bidding platforms
The hiring range for this position in Glendale, California is $171,600 to $230,100 per year, Santa Monica, California is $171,600 to $230,100 per year, and Seattle, WA is $179,700 to $241,000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8">
      <c r="A8" t="inlineStr">
        <is>
          <t>in-e28df17c685a68e1</t>
        </is>
      </c>
      <c r="B8" t="inlineStr">
        <is>
          <t>Senior Machine Learning Engineer</t>
        </is>
      </c>
      <c r="C8" t="inlineStr"/>
      <c r="D8" t="inlineStr">
        <is>
          <t>indeed</t>
        </is>
      </c>
      <c r="E8" t="inlineStr"/>
      <c r="F8" t="inlineStr"/>
      <c r="G8" t="inlineStr">
        <is>
          <t>Glendale, CA, US</t>
        </is>
      </c>
      <c r="H8" s="2" t="n">
        <v>46048</v>
      </c>
      <c r="I8" t="inlineStr">
        <is>
          <t>**Disney Entertainment and ESPN Product \&amp; Technology**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**Job Summary:**
The Ad Platform Engineering organization within Disney Entertainment and ESPN Product \&amp; Technology is responsible for building, enhancing, and operating a high\-performance, distributed, microservice\-based digital advertising platform. This platform powers billions of real\-time ad decisions daily across Disney’s video\-on\-demand and live TV properties, including Hulu, Disney\+, ESPN, and more.
Within Ad Platform Engineering, the Programmatic teams build and maintain Disney’s programmatic advertising suite of products and services that comprise Disney's Real\-time Ad Exchange (DRAX). DRAX is an award\-winning, proprietary supply\-side platform (SSP) that enables programmatic deal configuration and integrates demand from multiple third\-party sources into Disney’s ad server in real time.  
As a Senior Machine Learning Engineer, you will design, build, and operate production machine learning systems that directly impact revenue, efficiency, and viewer experience at global scale. This is a hands\-on, production\-focused role, ideal for an experienced ML engineer who enjoys owning complex systems end\-to\-end, partnering closely with product and engineering teams, and delivering measurable impact in low\-latency, high\-throughput environments operating at billion\-request\-per\-day scale.
This role is not research\-only. Success is measured by production outcomes, system reliability, model performance, and continuous iteration based on data and feedback.
Daily, you should bring:
* Strong technical ownership and accountability for production ML systems
* Effective collaboration and communication across engineering, product, and data partners
* Comfort operating in ambiguity and translating loosely defined problems into scalable solutions
* A continuous improvement mindset with attention to performance, reliability, and cost
* The ability to define and use technical and operational metrics to measure system and model health
**Responsibilities:**
* Apply modern machine learning techniques to advertising use cases such as inventory forecasting, pricing, targeting, and efficient ad delivery
* Design, implement, and iterate on ML solutions from experimentation through production deployment and ongoing optimization
* Build and scale ML architectures that balance model quality, latency, throughput, reliability, and cost
* Design and maintain feature pipelines and feature stores supporting both real\-time inference and offline training
* Own major components of the model lifecycle, including experimentation, validation, deployment, monitoring, and iteration
* Analyze experimental results and partner with product and engineering stakeholders to support data\-informed decisions
* Ensure models are observable, debuggable, and explainable in production environments
* Implement monitoring for model performance, drift, bias, and overall system health
* Contribute to engineering excellence through high\-quality code, sound system design, and operational best practices
* Provide technical guidance through code reviews, design discussions, and knowledge sharing
**Basic Qualifications:**
* Bachelor's degree in Computer science or related field of study
* 5\+ years of software engineering experience
* Minimum 3 years of hands\-on experience developing and deploying machine learning systems in production
* Strong knowledge of machine learning fundamentals, mathematics, and statistics
* Experience operating ML systems in low\-latency, high\-throughput environments
* Strong communication and collaboration skills with both technical and non\-technical partners
* Solid foundations in algorithms, data structures, and numerical optimization
* Proficiency in Python (primary), with experience in Java and SQL
* Experience with modern ML frameworks and tooling such as TensorFlow, PyTorch, and Hugging Face
* Experience with one or more of the following:
	+ Deep learning methodologies (e.g., sequence\-based or representation learning models)
	+ Transformer architectures (e.g., BERT, GPT, ViT) for NLP and/or vision
	+ Multimodal embedding techniques across text, image, audio, or structured data
	+ Large language models and related evaluation methodologies
	+ Retrieval\-augmented generation (RAG) architectures
* Experience building systems on cloud\-native infrastructure and distributed platforms
* Proven ability to thrive in a fast\-paced, data\-driven, and collaborative environment
**Preferred Qualifications:**
* Experience in digital video advertising or the digital marketing domain
* Experience with programmatic advertising or real\-time bidding platforms
* MS or PhD (preferred) in Computer Science or equivalent practical experience
The hiring range for this position in Glendale, California is $141,900 to $190,300 per year, Santa Monica, California is $141,900 to $190,300 per year, and Seattle, WA is $148,700 to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9">
      <c r="A9" t="inlineStr">
        <is>
          <t>in-19ae19d071452c6e</t>
        </is>
      </c>
      <c r="B9" t="inlineStr">
        <is>
          <t>Senior Principal Applied Scientist - AI Infrastructure Innovation</t>
        </is>
      </c>
      <c r="C9" t="inlineStr">
        <is>
          <t>Oracle</t>
        </is>
      </c>
      <c r="D9" t="inlineStr">
        <is>
          <t>indeed</t>
        </is>
      </c>
      <c r="E9" t="inlineStr"/>
      <c r="F9" t="inlineStr"/>
      <c r="G9" t="inlineStr">
        <is>
          <t>Seattle, WA, US</t>
        </is>
      </c>
      <c r="H9" s="2" t="n">
        <v>46048</v>
      </c>
      <c r="I9" t="inlineStr">
        <is>
          <t>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t>
        </is>
      </c>
    </row>
    <row r="10">
      <c r="A10" t="inlineStr">
        <is>
          <t>in-74afe029b5ea94bd</t>
        </is>
      </c>
      <c r="B10" t="inlineStr">
        <is>
          <t>Machine Learning Engineer - Agent Factory</t>
        </is>
      </c>
      <c r="C10" t="inlineStr">
        <is>
          <t>Workday</t>
        </is>
      </c>
      <c r="D10" t="inlineStr">
        <is>
          <t>indeed</t>
        </is>
      </c>
      <c r="E10" t="inlineStr"/>
      <c r="F10" t="inlineStr"/>
      <c r="G10" t="inlineStr">
        <is>
          <t>Pleasanton, CA, US</t>
        </is>
      </c>
      <c r="H10" s="2" t="n">
        <v>46048</v>
      </c>
      <c r="I10"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P3, Machine Learning Engineer III
Basic Qualifications* 5\+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2\+ years of professional experience in machine learning and deep learning frameworks \&amp; toolkits such as Pytorch, TensorFlow
* 2\+ years of professional experience in building services to host machine learning models in production at scale
* 2\+ years of demonstrated experience working with large language models (LLMs), text generation models, and/or graph neural network models for real\-world use cases
* 2\+ years of proven experience with cloud computing platforms (e.g. AWS, GCP, etc.)
* Bachelor’s (Master’s or PhD preferred) degree in engineering, computer science, physics, math or equivalent
Other Qualifications:*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in Canada, please click here. For more information regarding Workday’s comprehensive benefits in the US, please click here.
Primary Location: USA.CA.Pleasanton
Primary Location Base Pay Range: $165,600 USD \- $248,400 USD
Additional CAN Location(s) Base Pay Range: $122,400 \- $183,600 CAD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t>
        </is>
      </c>
    </row>
    <row r="11">
      <c r="A11" t="inlineStr">
        <is>
          <t>in-371d67b1beb6e8df</t>
        </is>
      </c>
      <c r="B11" t="inlineStr">
        <is>
          <t>Senior Principal Applied Scientist - AI Infrastructure Innovation</t>
        </is>
      </c>
      <c r="C11" t="inlineStr">
        <is>
          <t>Oracle</t>
        </is>
      </c>
      <c r="D11" t="inlineStr">
        <is>
          <t>indeed</t>
        </is>
      </c>
      <c r="E11" t="inlineStr"/>
      <c r="F11" t="inlineStr"/>
      <c r="G11" t="inlineStr">
        <is>
          <t>Seattle, WA, US</t>
        </is>
      </c>
      <c r="H11" s="2" t="n">
        <v>46047</v>
      </c>
      <c r="I11" t="inlineStr">
        <is>
          <t>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t>
        </is>
      </c>
    </row>
    <row r="12">
      <c r="A12" t="inlineStr">
        <is>
          <t>in-ba5aa545358553ef</t>
        </is>
      </c>
      <c r="B12" t="inlineStr">
        <is>
          <t>Applied Scientist II</t>
        </is>
      </c>
      <c r="C12" t="inlineStr">
        <is>
          <t>Microsoft</t>
        </is>
      </c>
      <c r="D12" t="inlineStr">
        <is>
          <t>indeed</t>
        </is>
      </c>
      <c r="E12" t="inlineStr"/>
      <c r="F12" t="inlineStr"/>
      <c r="G12" t="inlineStr">
        <is>
          <t>Redmond, WA, US</t>
        </is>
      </c>
      <c r="H12" s="2" t="n">
        <v>46041</v>
      </c>
      <c r="I12" t="inlineStr">
        <is>
          <t>**Overview**  
Online Advertising is one of the fastest growing businesses on the Internet today \- serving hundreds of millions of ad impressions per day and generating terabytes of user events data every day. The rapid growth of online advertising has created enormous opportunities as well as technical challenges that demand computational intelligence.  
The Bing Ads Understanding team is at the center stage of this exciting new interdisciplinary field that involves natural language processing, computer vision, machine learning, data mining, and statistics, to solve challenging problems that arise in online advertising. The central problem of computational advertising is to select an optimized slate of relevant ads for a user to maximize a total utility function that captures the expected revenue, user experience and return on investment for advertisers.  
We are a world\-class R\&amp;D team of passionate and talented scientists and engineers who aspire to solve tough problems and turn innovative ideas into high\-quality products and services. We help hundreds of millions of users find what they want, and advertisers gain the right audience, thereby directly impacting our business as a Marketplace.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Building and maintaining production machine learning models to generate image and text assets, multimodal representation and predict ad quality.
* Finding insights and forming hypothesis on web\-scale data with various machine learning, computer vision, feature engineering, statistical, and data mining techniques: e.g. regression, classification, NLP, optimization, p\-values analysis.
* Designing experiments, understanding the resulting data, and producing actionable, trustworthy conclusions from them.
* Crafting and Optimizing Prompts for Effective LLM and VLM Performance: Design, test, and refine prompts to elicit accurate, relevant, and useful responses from LLMs/VLMs. This involves understanding the nuances of how the model interprets different inputs, experimenting with various prompt formulations, and iterating based on performance metrics and user feedback.
* Wrangling large amounts of data (think petabytes) using various tools, including open\-source ones and your own. All programming languages are welcome, especially Python, R, C\#, C\+\+, Java, and SQL.
* Taking complex problems and the associated data and giving the answers in a concise form to assist senior executives in making key business decisions.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5\+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Experience with Large Language Models: Demonstrated experience working with LLMs/VLMs, such as GPT, BERT, or similar models, including knowledge of their strengths, limitations, and capabilities.
* Solid Understanding of NLP and CV: In\-depth knowledge of natural language processing (NLP) and computer vision techniques and concepts, including tokenization, semantic analysis, and text generation, multimodal representation, etc.
* Experience delivering, scaling, and maintaining highly successful and innovative machine learning products with your fingerprints all
* over them.
* Experience in parallel or distributed processing, high performance computing, stream computing and SCOPE.
* Understanding of state\-of\-the\-art computer vision, machine learning and deep learning technologies. In particular, hands\-on experiences with deep learning models (Transformers, DNN, Attention, CNN, RNN), multimodal modeling, and frameworks (PyTorch, TensorFlow, Keras, etc.) will be very helpful.
* Solid algorithm and analytical background and very good understanding on how to apply advanced knowledge to solve real problems
* Ability to work independently in a team to deliver innovative solutions solving challenging business/technical problems from high level vision and architecture, down to quality design and implementation.
\#MicrosoftAI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
      <c r="A13" t="inlineStr">
        <is>
          <t>in-7a7d3b88e3586bee</t>
        </is>
      </c>
      <c r="B13" t="inlineStr">
        <is>
          <t>Principal Data/AI Engineering</t>
        </is>
      </c>
      <c r="C13" t="inlineStr">
        <is>
          <t>AT&amp;T</t>
        </is>
      </c>
      <c r="D13" t="inlineStr">
        <is>
          <t>indeed</t>
        </is>
      </c>
      <c r="E13" t="inlineStr"/>
      <c r="F13" t="inlineStr"/>
      <c r="G13" t="inlineStr">
        <is>
          <t>Alpharetta, GA, US</t>
        </is>
      </c>
      <c r="H13" s="2" t="n">
        <v>46048</v>
      </c>
      <c r="I13" t="inlineStr">
        <is>
          <t>**Job Description:**
**This position requires office presence of a minimum of 5 days per week and is only located in the location(s) posted. No relocation is offered.**
At AT\&amp;T, we empower leaders to drive change in a fast\-evolving, connected world. Your strategic vision will help serve customers and transform lives through innovative solutions and impactful connections.
The Principal Data/AI Engineer will play a pivotal role in bridging the gap between data engineering and analytics, enabling data\-driven decision making across the organization. This position is ideal for a candidate passionate about designing robust data and analytics infrastructure and streamlining business data processes.
**What you’ll do**
* Lead initiatives to explore, profile, and catalog new and existing data sources, by partnering with business and technical teams to identify valuable datasets and uncover opportunities for enhanced data utilization
* Develop and maintain scalable, reliable data architecture, pipelines, and transformation workflows to support advanced analytics and reporting
* Collaborate with business stakeholders to map, document, and optimize data\-related business processes creating clear, user\-friendly documentation for data models, data flows, and data governance practices
* Design and deliver training sessions, workshops, and materials to educate users on data and tools, best practices, and data literacy
* Serve as a subject matter expert and resource for data\-related questions across the organization
**What you’ll need**
* Strong experience with SQL, data m{todeling, and ETL/ELT processes.
* Proficiency with analytics engineering tools (e.g., dbt, Looker, Tableau).
* Excellent written and verbal communication skills for documentation and training.
* Proven ability to collaborate with cross\-functional teams and translate business requirements into technical solutions.
* Experience in data discovery, profiling, and cataloging tools.
* A passion for continuous improvement and knowledge sharing.
**What you’ll bring**
* By combining technical expertise with strong communication and process skills, the Principal Data/AI Engineer will ensure that high\-quality, well\-documented data assets are discoverable and actionable, while also fostering a culture of data literacy and empowerment across the business.
Our Principal Data/AI Engineering,
earns between $174,100 \- $261,100\. Not to mention all the other amazing rewards that working at AT\&amp;T offers. In0dividual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8critical illness/accident hospital indemnity/group legal
* Employee Assistance Programs (EAP)
* Extensive employee wellness programs
* Employee discounts up to 50% off on eligible AT\&amp;T mobility plans and accessories,
* AT\&amp;T internet (and fiber where available) and AT\&amp;T phone
If you’re ready to make an impact on our business and your career, bring your bold ideas to a world of possibility.
Apply today!
**Weekly Hours:**
40**Time Type:**
Regular**Location:**
Dallas, Texas**Salary Range:**
$155,400\.00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14">
      <c r="A14" t="inlineStr">
        <is>
          <t>in-dc38259710c8c797</t>
        </is>
      </c>
      <c r="B14" t="inlineStr">
        <is>
          <t>Principal Data/AI Engineering</t>
        </is>
      </c>
      <c r="C14" t="inlineStr">
        <is>
          <t>AT&amp;T</t>
        </is>
      </c>
      <c r="D14" t="inlineStr">
        <is>
          <t>indeed</t>
        </is>
      </c>
      <c r="E14" t="inlineStr"/>
      <c r="F14" t="inlineStr"/>
      <c r="G14" t="inlineStr">
        <is>
          <t>Dallas, TX, US</t>
        </is>
      </c>
      <c r="H14" s="2" t="n">
        <v>46048</v>
      </c>
      <c r="I14" t="inlineStr">
        <is>
          <t>**Job Description:**
**This position requires office presence of a minimum of 5 days per week and is only located in the location(s) posted. No relocation is offered.**
At AT\&amp;T, we empower leaders to drive change in a fast\-evolving, connected world. Your strategic vision will help serve customers and transform lives through innovative solutions and impactful connections.
The Principal Data/AI Engineer will play a pivotal role in bridging the gap between data engineering and analytics, enabling data\-driven decision making across the organization. This position is ideal for a candidate passionate about designing robust data and analytics infrastructure and streamlining business data processes.
**What you’ll do**
* Lead initiatives to explore, profile, and catalog new and existing data sources, by partnering with business and technical teams to identify valuable datasets and uncover opportunities for enhanced data utilization
* Develop and maintain scalable, reliable data architecture, pipelines, and transformation workflows to support advanced analytics and reporting
* Collaborate with business stakeholders to map, document, and optimize data\-related business processes creating clear, user\-friendly documentation for data models, data flows, and data governance practices
* Design and deliver training sessions, workshops, and materials to educate users on data and tools, best practices, and data literacy
* Serve as a subject matter expert and resource for data\-related questions across the organization
**What you’ll need**
* Strong experience with SQL, data m{todeling, and ETL/ELT processes.
* Proficiency with analytics engineering tools (e.g., dbt, Looker, Tableau).
* Excellent written and verbal communication skills for documentation and training.
* Proven ability to collaborate with cross\-functional teams and translate business requirements into technical solutions.
* Experience in data discovery, profiling, and cataloging tools.
* A passion for continuous improvement and knowledge sharing.
**What you’ll bring**
* By combining technical expertise with strong communication and process skills, the Principal Data/AI Engineer will ensure that high\-quality, well\-documented data assets are discoverable and actionable, while also fostering a culture of data literacy and empowerment across the business.
Our Principal Data/AI Engineering,
earns between $174,100 \- $261,100\. Not to mention all the other amazing rewards that working at AT\&amp;T offers. In0dividual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8critical illness/accident hospital indemnity/group legal
* Employee Assistance Programs (EAP)
* Extensive employee wellness programs
* Employee discounts up to 50% off on eligible AT\&amp;T mobility plans and accessories,
* AT\&amp;T internet (and fiber where available) and AT\&amp;T phone
If you’re ready to make an impact on our business and your career, bring your bold ideas to a world of possibility.
Apply today!
**Weekly Hours:**
40**Time Type:**
Regular**Location:**
Dallas, Texas**Salary Range:**
$155,400\.00 \- $261,100\.00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15">
      <c r="A15" t="inlineStr">
        <is>
          <t>in-5a5f2d27819569b4</t>
        </is>
      </c>
      <c r="B15" t="inlineStr">
        <is>
          <t>AI/ML Engineer – Agentic Private Bank Engineer , Vice President</t>
        </is>
      </c>
      <c r="C15" t="inlineStr">
        <is>
          <t>JPMorganChase</t>
        </is>
      </c>
      <c r="D15" t="inlineStr">
        <is>
          <t>indeed</t>
        </is>
      </c>
      <c r="E15" t="inlineStr"/>
      <c r="F15" t="inlineStr"/>
      <c r="G15" t="inlineStr">
        <is>
          <t>Jersey City, NJ, US</t>
        </is>
      </c>
      <c r="H15" s="2" t="n">
        <v>46048</v>
      </c>
      <c r="I15" t="inlineStr">
        <is>
          <t>**JOB DESCRIPTION**  
This is a rare opportunity to help shape the future of our Private Bank. With the sponsorship from the CEO and the heads of the business, our goal is to create **an Agentic Private Bank \-** reimagining the entire process from start to finish, rethinking the operating model including organizational structures and developing AI agents equipped with the latest tools and technologies to fundamentally reshape how we perform this business.
Join our dynamic team of innovators and technologists as an Applied AI/ML Lead, where your mission will be to revolutionize how the Bank services and advises clients, deepen client engagements, and drive process transformation. You will lead efforts to analyze existing processes and vast amounts of data to design autonomous AI agents. We seek leaders passionate about leveraging advanced data analysis, statistical modeling, and AI/ML techniques to solve complex business challenges through high\-quality, cloud\-centric software delivery. Our culture thrives on experimentation, continuous improvement, and learning. You will work in a collaborative, trusting, and intellectually stimulating environment—one that values diversity of thought and fosters creative solutions that serve the best interests of our global clientele.
J**ob Responsibilities**
* Lead the development and implementation of GenAI and Agentic AI solutions using Python to enhance automation and decision\-making processes.
* Oversee the design, deployment, and management of prompt\-based models on LLMs for various NLP tasks in the financial services domain.
* Conduct and guide research on prompt engineering techniques to improve the performance of prompt\-based models within the financial services field, exploring and utilizing LLM orchestration and agentic AI libraries.
* Collaborate with cross\-functional teams to identify requirements and develop solutions to meet business needs within the organization.
* Communicate effectively with both technical and non\-technical stakeholders, including senior leadership.
* Build and maintain data pipelines and data processing workflows for prompt engineering on LLMs utilizing cloud services for scalability and efficiency.
* Develop and maintain tools and frameworks for prompt\-based model training, evaluation, and optimization.
Analyze and interpret data to evaluate model performance and identify areas of improvement.  
* 
**Required qualifications, capabilities, and skills**
* Formal training or certification on software engineering concepts and 5\+ years of applied experience.
* Hands\-on experience in building Agentic AI solutions.
* Familiarity with LLM orchestration and agentic AI libraries.
* Strong programming skills in Python with experience in PyTorch or TensorFlow.
* Experience building data pipelines for both structured and unstructured data processing.
* Experience in developing APIs and integrating NLP or LLM models into software applications.
* Hands\-on experience with cloud platforms (AWS or Azure) for AI/ML deployment and data processing.
* Excellent problem\-solving skills and the ability to communicate ideas and results to stakeholders and leadership in a clear and concise manner.
* Basic knowledge of deployment processes, including experience with GIT and version control systems.
Hands\-on experience with MLOps tools and practices, ensuring seamless integration of machine learning models into production environments.  
* 
**Preferred qualifications, capabilities, and skills**
* Familiarity with model fine\-tuning techniques.
* Knowledge of financial products and services, including trading, investment, and risk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16">
      <c r="A16" t="inlineStr">
        <is>
          <t>in-5d1c01b4d7dd5c3a</t>
        </is>
      </c>
      <c r="B16" t="inlineStr">
        <is>
          <t>Applied AI ML Engineer-Sr. Associate</t>
        </is>
      </c>
      <c r="C16" t="inlineStr">
        <is>
          <t>JPMorganChase</t>
        </is>
      </c>
      <c r="D16" t="inlineStr">
        <is>
          <t>indeed</t>
        </is>
      </c>
      <c r="E16" t="inlineStr"/>
      <c r="F16" t="inlineStr"/>
      <c r="G16" t="inlineStr">
        <is>
          <t>New York, NY, US</t>
        </is>
      </c>
      <c r="H16" s="2" t="n">
        <v>46048</v>
      </c>
      <c r="I16" t="inlineStr">
        <is>
          <t>**JOB DESCRIPTION**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
As an Applied AI/ML Engineer, you will be responsible for designing, developing, and deploying cutting\-edge AI and machine learning solutions to enhance the efficiency and effectiveness of our operations. You will work closely with cross\-functional teams to identify opportunities for automation and process improvement, utilizing your expertise in machine learning and generative AI.
Job Responsibilities:
* Develop and implement machine learning models and algorithms to solve complex operational challenges.
* Design and deploy generative AI applications to automate and optimize business processes.
* Collaborate with stakeholders to understand business needs and translate them into technical solutions.
* Analyze large datasets to extract actionable insights and drive data\-driven decision\-making.
* Ensure the scalability and reliability of AI/ML solutions in a production environment.
* Stay up\-to\-date with the latest advancements in AI/ML technologies and integrate them into our operations.
* Mentor and guide junior team members in AI/ML best practices and methodologies.
Key Skills and Qualifications:
* Masters with at least 3 years experience in Computer Science, Data Science, Machine Learning, or a related field.
* Experience in deploying AI/ML applications in a production environment, with skills in deploying models on AWS platforms such as SageMaker or Bedrock.
* Familiarity with MLOps practices, encompassing the full cycle from design, experimentation, deployment, to monitoring and maintenance of machine learning models.
* Expertise in machine learning frameworks such as TensorFlow, PyTorch, Pytorch lightening, or Scikit\-learn.
* Proficiency in programming languages such as Python
* Proficiency in writing comprehensive test cases, with a strong emphasis on using testing frameworks such as pytest to ensure code quality and reliability.
* Experience with generative AI models, including GANs, VAEs, or transformers. Experience with Diffusion models is a plus.
* Solid understanding of data preprocessing, feature engineering, and model evaluation techniques.
* Familiarity with cloud platforms (AWS) and containerization technologies (Docker, Kubernetes, Amazon EKS).
* Excellent problem\-solving skills and the ability to work independently and collaboratively.
* Strong communication skills to effectively convey complex technical concepts to non\-technical stakeholders.
Preferred Qualifications:
* Experience in the financial services industry, particularly within investment banking operations.
* Experience in developing AI solutions using agentic frameworks.
* Experience fine\-tuning SLMs with approaches like LoRA, QLoRA and DoRA.
* Experience with prompt optimization frameworks such as AutoPrompt and DSPY to enhance the performance and effectiveness of prompt engineering.
* Familiarity with distributed computing systems, frameworks and techniques like data sharding and DDP training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7">
      <c r="A17" t="inlineStr">
        <is>
          <t>in-cc45ca229575f25f</t>
        </is>
      </c>
      <c r="B17" t="inlineStr">
        <is>
          <t>Senior Machine Learning Engineer</t>
        </is>
      </c>
      <c r="C17" t="inlineStr">
        <is>
          <t>Capital One</t>
        </is>
      </c>
      <c r="D17" t="inlineStr">
        <is>
          <t>indeed</t>
        </is>
      </c>
      <c r="E17" t="inlineStr"/>
      <c r="F17" t="inlineStr"/>
      <c r="G17" t="inlineStr">
        <is>
          <t>New York, NY, US</t>
        </is>
      </c>
      <c r="H17" s="2" t="n">
        <v>46047</v>
      </c>
      <c r="I17" t="inlineStr">
        <is>
          <t>Senior Machine Learning Engineer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Machine Learning Engineer  
New York, NY: $176,500 \- $201,400 for Senior Machine Learning Engineer  
Plano, TX: $147,100 \- $167,900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
      <c r="A18" t="inlineStr">
        <is>
          <t>in-18e5a1f541859f91</t>
        </is>
      </c>
      <c r="B18" t="inlineStr">
        <is>
          <t>Senior Lead Machine Learning Engineer, (Intelligent Foundations &amp; Experiences)</t>
        </is>
      </c>
      <c r="C18" t="inlineStr">
        <is>
          <t>Capital One</t>
        </is>
      </c>
      <c r="D18" t="inlineStr">
        <is>
          <t>indeed</t>
        </is>
      </c>
      <c r="E18" t="inlineStr"/>
      <c r="F18" t="inlineStr"/>
      <c r="G18" t="inlineStr">
        <is>
          <t>Richmond, VA, US</t>
        </is>
      </c>
      <c r="H18" s="2" t="n">
        <v>46047</v>
      </c>
      <c r="I18" t="inlineStr">
        <is>
          <t>Senior Lead Machine Learning Engineer, (Intelligent Foundations \&amp; Experiences)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8 years of experience designing and building data\-intensive solutions using distributed computing (Internship experience does not apply)
* At least 4 years of experience programming with Python, Scala, or Java
* At least 3 years of experience building, scaling, and optimizing ML systems
* At least 2 years of experience leading teams developing ML solutions
**Preferred Qualifications:**
* Master's or doctoral degree in computer science, electrical engineering, mathematics, or a similar field
* Experience developing and deploying ML solutions in a public cloud such as AWS, Azure, or Google Cloud Platform
* 4\+ years of on\-the\-job experience with an industry recognized ML framework such as scikit\-learn, PyTorch, Dask, Spark, or TensorFlow
* 3\+ years of experience developing performant, resilient, and maintainable code
* 3\+ years of experience with data gathering and preparation for ML models
* 3\+ years of people management experience
* ML industry impact through conference presentations, papers, blog posts, open source contributions, or patents
* 3\+ years of experience building production\-ready data pipelines that feed ML models
* Ability to communicate complex technical concepts clearly to a variety of audiences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Machine Learning Engineer  
Richmond, VA: $209,000 \- $238,500 for Sr.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9">
      <c r="A19" t="inlineStr">
        <is>
          <t>in-6e18bb4b730e259d</t>
        </is>
      </c>
      <c r="B19" t="inlineStr">
        <is>
          <t>AI Engineer - Remote Indeed 3</t>
        </is>
      </c>
      <c r="C19" t="inlineStr">
        <is>
          <t>Canada Legal Entity, LLC</t>
        </is>
      </c>
      <c r="D19" t="inlineStr">
        <is>
          <t>indeed</t>
        </is>
      </c>
      <c r="E19" t="inlineStr"/>
      <c r="F19" t="inlineStr"/>
      <c r="G19" t="inlineStr">
        <is>
          <t>US</t>
        </is>
      </c>
      <c r="H19" s="2" t="n">
        <v>46038</v>
      </c>
      <c r="I19" t="inlineStr">
        <is>
          <t>**Position Overview**  
We are seeking a detail\-oriented and dependable Accounting Specialist to join our finance team and support the company’s day\-to\-day accounting operations. This role plays a critical part in ensuring accurate financial records, timely reporting, and compliance with accounting standards. The ideal candidate is analytical, organized, and comfortable working in a collaborative, deadline\-driven environment.
### **Key Responsibilities**
* Maintain and reconcile general ledger accounts, ensuring accuracy and completeness
* Prepare, review, and post journal entries for routine and non\-routine transactions
* Assist with month\-end, quarter\-end, and year\-end close processes
* Perform balance sheet and income statement reconciliations and investigate variances
* Support internal and external audits by preparing documentation and responding to inquiries
* Assist with financial reporting, including management reports and ad hoc analysis
* Collaborate with cross\-functional teams to improve accounting processes and internal controls
* Ensure compliance with GAAP and company accounting policies
### **Required Skills \&amp; Qualifications**
* Bachelor’s degree in Accounting, Finance, or a related field
* 2–4 years of experience in accounting or financial operations
* Strong understanding of general ledger accounting and basic GAAP principles
* Proficiency in Microsoft Excel, including formulas, pivot tables, and data analysis
* Experience with accounting or ERP systems (e.g., NetSuite, SAP, Oracle, or similar)
* Strong attention to detail with the ability to manage multiple priorities
* Excellent written and verbal communication skills
### **Preferred Qualifications**
* Experience supporting audits or regulatory reporting
* CPA or progress toward CPA certification
* Familiarity with automation tools or process improvement initiatives
### **Benefits \&amp; Perks**
* Competitive base salary with annual performance bonus
* Comprehensive medical, dental, and vision insurance
* 401(k) retirement plan with company match
* Generous paid time off, paid holidays, and wellness days
* Flexible work schedule and hybrid/remote work options
* Professional development stipend and continuing education support
* Collaborative, team\-focused culture with opportunities for career growth</t>
        </is>
      </c>
    </row>
    <row r="20">
      <c r="A20" t="inlineStr">
        <is>
          <t>in-9e987e70be0b3a9a</t>
        </is>
      </c>
      <c r="B20" t="inlineStr">
        <is>
          <t>AI Engineer 20250617</t>
        </is>
      </c>
      <c r="C20" t="inlineStr">
        <is>
          <t>Canada Legal Entity, LLC</t>
        </is>
      </c>
      <c r="D20" t="inlineStr">
        <is>
          <t>indeed</t>
        </is>
      </c>
      <c r="E20" t="inlineStr"/>
      <c r="F20" t="inlineStr"/>
      <c r="G20" t="inlineStr">
        <is>
          <t>Florida City, FL, US</t>
        </is>
      </c>
      <c r="H20" s="2" t="n">
        <v>45995</v>
      </c>
      <c r="I20" t="inlineStr">
        <is>
          <t>#### **Company Information:**
US English Default.
#### **Description:**
This role requires a highly skilled AI Engineer to design, develop, and deploy cutting\-edge AI solutions. The ideal candidate will possess a strong foundation in machine learning, deep learning, and natural language processing, coupled with practical experience in software engineering and cloud platforms like AWS and Azure. Proficiency in Python and experience with Agile methodologies are essential. The engineer will collaborate effectively within a team, contributing to all phases of the software development lifecycle, from design and implementation to testing and deployment. Strong problem\-solving and communication skills are crucial for success.
#### **Responsibilities:**
* Design, develop, and deploy machine learning models using Python and relevant libraries.
* Implement and optimize deep learning algorithms for various applications.
* Develop and maintain natural language processing (NLP) pipelines for text analysis and generation.
* Build and deploy AI\-powered applications using cloud platforms (AWS and Azure).
* Conduct thorough code reviews and ensure code quality using Git for version control.
* Troubleshoot and debug AI models and applications.
* Collaborate with cross\-functional teams using Agile methodologies.
* Contribute to the improvement of CI/CD pipelines for efficient software delivery.
* Implement scalable and robust AI solutions.
* Document and maintain technical specifications.
#### **Minimum Qualifications:**
* **Machine Learning:** Comprehensive knowledge.
* **Deep Learning:** Thorough knowledge.
* **Natural Language Processing (NLP):** Thorough knowledge.
* **Python (Programming Language):** Comprehensive knowledge.
* **Software Engineering:** Thorough knowledge.
* **Software Development:** Thorough knowledge.
* **Agile Methodology:** General knowledge.
* **Problem Solving:** Comprehensive knowledge.
* **Communication:** General knowledge.
#### **Preferred Qualifications:**
* Experience with React.js, Java, C\+\+, C\#, JavaScript, and SQL.
* Experience with API development and integration.
* Experience with database management systems.
* Demonstrated experience with automation and scripting.
* Experience with containerization technologies (e.g., Docker, Kubernetes).
* Experience with big data technologies (e.g., Spark, Hadoop).
* Proven ability to work independently and as part of a team.
* Strong understanding of scalability and performance optimization.
* Experience with Microsoft Azure and Amazon Web Services.
* Experience with CI/CD pipelines.
#### **Additional Desired Skills:**
Operations, Debugging, Code Review, Management
US English Diversity</t>
        </is>
      </c>
    </row>
    <row r="21">
      <c r="A21" t="inlineStr">
        <is>
          <t>in-31147004a4f89ad1</t>
        </is>
      </c>
      <c r="B21" t="inlineStr">
        <is>
          <t>AI Engineer</t>
        </is>
      </c>
      <c r="C21" t="inlineStr">
        <is>
          <t>Canada Legal Entity, LLC</t>
        </is>
      </c>
      <c r="D21" t="inlineStr">
        <is>
          <t>indeed</t>
        </is>
      </c>
      <c r="E21" t="inlineStr"/>
      <c r="F21" t="inlineStr"/>
      <c r="G21" t="inlineStr">
        <is>
          <t>Florida City, FL, US</t>
        </is>
      </c>
      <c r="H21" s="2" t="n">
        <v>45995</v>
      </c>
      <c r="I21" t="inlineStr">
        <is>
          <t>#### **Company Information:**
US English Default.
#### **Description:**
This role requires a highly skilled AI Engineer to design, develop, and deploy cutting\-edge AI solutions. The ideal candidate will possess a strong foundation in machine learning, deep learning, and natural language processing, coupled with practical experience in software engineering and cloud platforms like AWS and Azure. Proficiency in Python and experience with Agile methodologies are essential. The engineer will collaborate effectively within a team, contributing to all phases of the software development lifecycle, from design and implementation to testing and deployment. Strong problem\-solving and communication skills are crucial for success.
#### **Responsibilities:**
* Design, develop, and deploy machine learning models using Python and relevant libraries.
* Implement and optimize deep learning algorithms for various applications.
* Develop and maintain natural language processing (NLP) pipelines for text analysis and generation.
* Build and deploy AI\-powered applications using cloud platforms (AWS and Azure).
* Conduct thorough code reviews and ensure code quality using Git for version control.
* Troubleshoot and debug AI models and applications.
* Collaborate with cross\-functional teams using Agile methodologies.
* Contribute to the improvement of CI/CD pipelines for efficient software delivery.
* Implement scalable and robust AI solutions.
* Document and maintain technical specifications.
#### **Minimum Qualifications:**
* **Machine Learning:** Comprehensive knowledge.
* **Deep Learning:** Thorough knowledge.
* **Natural Language Processing (NLP):** Thorough knowledge.
* **Python (Programming Language):** Comprehensive knowledge.
* **Software Engineering:** Thorough knowledge.
* **Software Development:** Thorough knowledge.
* **Agile Methodology:** General knowledge.
* **Problem Solving:** Comprehensive knowledge.
* **Communication:** General knowledge.
#### **Preferred Qualifications:**
* Experience with React.js, Java, C\+\+, C\#, JavaScript, and SQL.
* Experience with API development and integration.
* Experience with database management systems.
* Demonstrated experience with automation and scripting.
* Experience with containerization technologies (e.g., Docker, Kubernetes).
* Experience with big data technologies (e.g., Spark, Hadoop).
* Proven ability to work independently and as part of a team.
* Strong understanding of scalability and performance optimization.
* Experience with Microsoft Azure and Amazon Web Services.
* Experience with CI/CD pipelines.
#### **Additional Desired Skills:**
Operations, Debugging, Code Review, Management
US English Diversity</t>
        </is>
      </c>
    </row>
    <row r="22">
      <c r="A22" t="inlineStr">
        <is>
          <t>in-d6c96e06e6c84f95</t>
        </is>
      </c>
      <c r="B22" t="inlineStr">
        <is>
          <t>AI Engineer 2</t>
        </is>
      </c>
      <c r="C22" t="inlineStr">
        <is>
          <t>Canada Legal Entity, LLC</t>
        </is>
      </c>
      <c r="D22" t="inlineStr">
        <is>
          <t>indeed</t>
        </is>
      </c>
      <c r="E22" t="inlineStr"/>
      <c r="F22" t="inlineStr"/>
      <c r="G22" t="inlineStr">
        <is>
          <t>Florida City, FL, US</t>
        </is>
      </c>
      <c r="H22" s="2" t="n">
        <v>45995</v>
      </c>
      <c r="I22" t="inlineStr">
        <is>
          <t>#### **Company Information:**
US English Default.
#### **Description:**
This role requires a highly skilled AI Engineer to design, develop, and deploy cutting\-edge AI solutions. The ideal candidate will possess a strong foundation in machine learning, deep learning, and natural language processing, coupled with practical experience in software engineering and cloud platforms like AWS and Azure. Proficiency in Python and experience with Agile methodologies are essential. The engineer will collaborate effectively within a team, contributing to all phases of the software development lifecycle, from design and implementation to testing and deployment. Strong problem\-solving and communication skills are crucial for success.
#### **Responsibilities:**
* Design, develop, and deploy machine learning models using Python and relevant libraries.
* Implement and optimize deep learning algorithms for various applications.
* Develop and maintain natural language processing (NLP) pipelines for text analysis and generation.
* Build and deploy AI\-powered applications using cloud platforms (AWS and Azure).
* Conduct thorough code reviews and ensure code quality using Git for version control.
* Troubleshoot and debug AI models and applications.
* Collaborate with cross\-functional teams using Agile methodologies.
* Contribute to the improvement of CI/CD pipelines for efficient software delivery.
* Implement scalable and robust AI solutions.
* Document and maintain technical specifications.
#### **Minimum Qualifications:**
* **Machine Learning:** Comprehensive knowledge.
* **Deep Learning:** Thorough knowledge.
* **Natural Language Processing (NLP):** Thorough knowledge.
* **Python (Programming Language):** Comprehensive knowledge.
* **Software Engineering:** Thorough knowledge.
* **Software Development:** Thorough knowledge.
* **Agile Methodology:** General knowledge.
* **Problem Solving:** Comprehensive knowledge.
* **Communication:** General knowledge.
#### **Preferred Qualifications:**
* Experience with React.js, Java, C\+\+, C\#, JavaScript, and SQL.
* Experience with API development and integration.
* Experience with database management systems.
* Demonstrated experience with automation and scripting.
* Experience with containerization technologies (e.g., Docker, Kubernetes).
* Experience with big data technologies (e.g., Spark, Hadoop).
* Proven ability to work independently and as part of a team.
* Strong understanding of scalability and performance optimization.
* Experience with Microsoft Azure and Amazon Web Services.
* Experience with CI/CD pipelines.
#### **Additional Desired Skills:**
Operations, Debugging, Code Review, Management
US English Diversity</t>
        </is>
      </c>
    </row>
    <row r="23">
      <c r="A23" t="inlineStr">
        <is>
          <t>in-66242c6ba1f8ef72</t>
        </is>
      </c>
      <c r="B23" t="inlineStr">
        <is>
          <t>Principal Applied Scientist, Amazon Special Projects</t>
        </is>
      </c>
      <c r="C23" t="inlineStr">
        <is>
          <t>Amazon.com</t>
        </is>
      </c>
      <c r="D23" t="inlineStr">
        <is>
          <t>indeed</t>
        </is>
      </c>
      <c r="E23">
        <f>HYPERLINK("https://www.indeed.com/viewjob?jk=66242c6ba1f8ef72", "https://www.indeed.com/viewjob?jk=66242c6ba1f8ef72")</f>
        <v/>
      </c>
      <c r="F23">
        <f>HYPERLINK("https://www.amazon.jobs/jobs/3132566/principal-applied-scientist-amazon-special-projects?cmpid=DA_INAD200785B", "https://www.amazon.jobs/jobs/3132566/principal-applied-scientist-amazon-special-projects?cmpid=DA_INAD200785B")</f>
        <v/>
      </c>
      <c r="G23" t="inlineStr">
        <is>
          <t>Seattle, WA, US</t>
        </is>
      </c>
      <c r="H23" s="3" t="n">
        <v>45982</v>
      </c>
      <c r="I2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in-4507c7d7cd917b04</t>
        </is>
      </c>
      <c r="B24" t="inlineStr">
        <is>
          <t>Principal Applied Scientist, Amazon Special Projects</t>
        </is>
      </c>
      <c r="C24" t="inlineStr">
        <is>
          <t>Amazon.com</t>
        </is>
      </c>
      <c r="D24" t="inlineStr">
        <is>
          <t>indeed</t>
        </is>
      </c>
      <c r="E24">
        <f>HYPERLINK("https://www.indeed.com/viewjob?jk=4507c7d7cd917b04", "https://www.indeed.com/viewjob?jk=4507c7d7cd917b04")</f>
        <v/>
      </c>
      <c r="F24">
        <f>HYPERLINK("https://www.amazon.jobs/jobs/3132566/principal-applied-scientist-amazon-special-projects?cmpid=DA_INAD200785B", "https://www.amazon.jobs/jobs/3132566/principal-applied-scientist-amazon-special-projects?cmpid=DA_INAD200785B")</f>
        <v/>
      </c>
      <c r="G24" t="inlineStr">
        <is>
          <t>Boston, MA, US</t>
        </is>
      </c>
      <c r="H24" s="3" t="n">
        <v>45982</v>
      </c>
      <c r="I2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in-9d22c19f99d547a1</t>
        </is>
      </c>
      <c r="B25" t="inlineStr">
        <is>
          <t>Sr. Applied Scientist, AGI Foundations</t>
        </is>
      </c>
      <c r="C25" t="inlineStr">
        <is>
          <t>Amazon.com</t>
        </is>
      </c>
      <c r="D25" t="inlineStr">
        <is>
          <t>indeed</t>
        </is>
      </c>
      <c r="E25">
        <f>HYPERLINK("https://www.indeed.com/viewjob?jk=9d22c19f99d547a1", "https://www.indeed.com/viewjob?jk=9d22c19f99d547a1")</f>
        <v/>
      </c>
      <c r="F25">
        <f>HYPERLINK("https://www.amazon.jobs/jobs/3128807/sr-applied-scientist-agi-foundations?cmpid=DA_INAD200785B", "https://www.amazon.jobs/jobs/3128807/sr-applied-scientist-agi-foundations?cmpid=DA_INAD200785B")</f>
        <v/>
      </c>
      <c r="G25" t="inlineStr">
        <is>
          <t>Bellevue, WA, US</t>
        </is>
      </c>
      <c r="H25" s="3" t="n">
        <v>45978</v>
      </c>
      <c r="I2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in-ee4ae450cce3cb8a</t>
        </is>
      </c>
      <c r="B26" t="inlineStr">
        <is>
          <t>Sr. Applied Scientist, AGI Foundations</t>
        </is>
      </c>
      <c r="C26" t="inlineStr">
        <is>
          <t>Amazon.com</t>
        </is>
      </c>
      <c r="D26" t="inlineStr">
        <is>
          <t>indeed</t>
        </is>
      </c>
      <c r="E26">
        <f>HYPERLINK("https://www.indeed.com/viewjob?jk=ee4ae450cce3cb8a", "https://www.indeed.com/viewjob?jk=ee4ae450cce3cb8a")</f>
        <v/>
      </c>
      <c r="F26">
        <f>HYPERLINK("https://www.amazon.jobs/jobs/3128807/sr-applied-scientist-agi-foundations?cmpid=DA_INAD200785B", "https://www.amazon.jobs/jobs/3128807/sr-applied-scientist-agi-foundations?cmpid=DA_INAD200785B")</f>
        <v/>
      </c>
      <c r="G26" t="inlineStr">
        <is>
          <t>Sunnyvale, CA, US</t>
        </is>
      </c>
      <c r="H26" s="3" t="n">
        <v>45978</v>
      </c>
      <c r="I2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in-e594283e913c8005</t>
        </is>
      </c>
      <c r="B27" t="inlineStr">
        <is>
          <t>Sr. Applied Scientist, AGI Foundations</t>
        </is>
      </c>
      <c r="C27" t="inlineStr">
        <is>
          <t>Amazon.com</t>
        </is>
      </c>
      <c r="D27" t="inlineStr">
        <is>
          <t>indeed</t>
        </is>
      </c>
      <c r="E27">
        <f>HYPERLINK("https://www.indeed.com/viewjob?jk=e594283e913c8005", "https://www.indeed.com/viewjob?jk=e594283e913c8005")</f>
        <v/>
      </c>
      <c r="F27">
        <f>HYPERLINK("https://www.amazon.jobs/jobs/3128807/sr-applied-scientist-agi-foundations?cmpid=DA_INAD200785B", "https://www.amazon.jobs/jobs/3128807/sr-applied-scientist-agi-foundations?cmpid=DA_INAD200785B")</f>
        <v/>
      </c>
      <c r="G27" t="inlineStr">
        <is>
          <t>New York, NY, US</t>
        </is>
      </c>
      <c r="H27" s="3" t="n">
        <v>45978</v>
      </c>
      <c r="I2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in-cfd92bc4159d5c8e</t>
        </is>
      </c>
      <c r="B28" t="inlineStr">
        <is>
          <t>Sr. Applied Scientist, AGI Foundations</t>
        </is>
      </c>
      <c r="C28" t="inlineStr">
        <is>
          <t>Amazon.com</t>
        </is>
      </c>
      <c r="D28" t="inlineStr">
        <is>
          <t>indeed</t>
        </is>
      </c>
      <c r="E28">
        <f>HYPERLINK("https://www.indeed.com/viewjob?jk=cfd92bc4159d5c8e", "https://www.indeed.com/viewjob?jk=cfd92bc4159d5c8e")</f>
        <v/>
      </c>
      <c r="F28">
        <f>HYPERLINK("https://www.amazon.jobs/jobs/3128807/sr-applied-scientist-agi-foundations?cmpid=DA_INAD200785B", "https://www.amazon.jobs/jobs/3128807/sr-applied-scientist-agi-foundations?cmpid=DA_INAD200785B")</f>
        <v/>
      </c>
      <c r="G28" t="inlineStr">
        <is>
          <t>Boston, MA, US</t>
        </is>
      </c>
      <c r="H28" s="3" t="n">
        <v>45978</v>
      </c>
      <c r="I2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in-8bcb5fd01ccea104</t>
        </is>
      </c>
      <c r="B29" t="inlineStr">
        <is>
          <t>Sr. Applied Scientist, AGI Foundations</t>
        </is>
      </c>
      <c r="C29" t="inlineStr">
        <is>
          <t>Amazon.com</t>
        </is>
      </c>
      <c r="D29" t="inlineStr">
        <is>
          <t>indeed</t>
        </is>
      </c>
      <c r="E29">
        <f>HYPERLINK("https://www.indeed.com/viewjob?jk=8bcb5fd01ccea104", "https://www.indeed.com/viewjob?jk=8bcb5fd01ccea104")</f>
        <v/>
      </c>
      <c r="F29">
        <f>HYPERLINK("https://www.amazon.jobs/jobs/3123268/sr-applied-scientist-agi-foundations?cmpid=DA_INAD200785B", "https://www.amazon.jobs/jobs/3123268/sr-applied-scientist-agi-foundations?cmpid=DA_INAD200785B")</f>
        <v/>
      </c>
      <c r="G29" t="inlineStr">
        <is>
          <t>New York, NY, US</t>
        </is>
      </c>
      <c r="H29" s="3" t="n">
        <v>45963</v>
      </c>
      <c r="I2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in-fcfa94b32cd0d558</t>
        </is>
      </c>
      <c r="B30" t="inlineStr">
        <is>
          <t>Sr. Applied Scientist, AGI Foundations</t>
        </is>
      </c>
      <c r="C30" t="inlineStr">
        <is>
          <t>Amazon.com</t>
        </is>
      </c>
      <c r="D30" t="inlineStr">
        <is>
          <t>indeed</t>
        </is>
      </c>
      <c r="E30">
        <f>HYPERLINK("https://www.indeed.com/viewjob?jk=fcfa94b32cd0d558", "https://www.indeed.com/viewjob?jk=fcfa94b32cd0d558")</f>
        <v/>
      </c>
      <c r="F30">
        <f>HYPERLINK("https://www.amazon.jobs/jobs/3123268/sr-applied-scientist-agi-foundations?cmpid=DA_INAD200785B", "https://www.amazon.jobs/jobs/3123268/sr-applied-scientist-agi-foundations?cmpid=DA_INAD200785B")</f>
        <v/>
      </c>
      <c r="G30" t="inlineStr">
        <is>
          <t>Boston, MA, US</t>
        </is>
      </c>
      <c r="H30" s="3" t="n">
        <v>45963</v>
      </c>
      <c r="I3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in-465ec60c895a9067</t>
        </is>
      </c>
      <c r="B31" t="inlineStr">
        <is>
          <t>Sr. Applied Scientist, AGI Foundations</t>
        </is>
      </c>
      <c r="C31" t="inlineStr">
        <is>
          <t>Amazon.com</t>
        </is>
      </c>
      <c r="D31" t="inlineStr">
        <is>
          <t>indeed</t>
        </is>
      </c>
      <c r="E31">
        <f>HYPERLINK("https://www.indeed.com/viewjob?jk=465ec60c895a9067", "https://www.indeed.com/viewjob?jk=465ec60c895a9067")</f>
        <v/>
      </c>
      <c r="F31">
        <f>HYPERLINK("https://www.amazon.jobs/jobs/3123268/sr-applied-scientist-agi-foundations?cmpid=DA_INAD200785B", "https://www.amazon.jobs/jobs/3123268/sr-applied-scientist-agi-foundations?cmpid=DA_INAD200785B")</f>
        <v/>
      </c>
      <c r="G31" t="inlineStr">
        <is>
          <t>Bellevue, WA, US</t>
        </is>
      </c>
      <c r="H31" s="3" t="n">
        <v>45963</v>
      </c>
      <c r="I3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in-b85bf376a905adb2</t>
        </is>
      </c>
      <c r="B32" t="inlineStr">
        <is>
          <t>Applied Scientist II, Prime Video - Personalization and Discovery Science, Personalization and Discovery Science</t>
        </is>
      </c>
      <c r="C32" t="inlineStr">
        <is>
          <t>Amazon.com</t>
        </is>
      </c>
      <c r="D32" t="inlineStr">
        <is>
          <t>indeed</t>
        </is>
      </c>
      <c r="E32">
        <f>HYPERLINK("https://www.indeed.com/viewjob?jk=b85bf376a905adb2", "https://www.indeed.com/viewjob?jk=b85bf376a905adb2")</f>
        <v/>
      </c>
      <c r="F3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2" t="inlineStr">
        <is>
          <t>New York, NY, US</t>
        </is>
      </c>
      <c r="H32" s="3" t="n">
        <v>45930</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in-a19655908534680a</t>
        </is>
      </c>
      <c r="B33" t="inlineStr">
        <is>
          <t>Applied Scientist II, Prime Video - Personalization and Discovery Science, Personalization and Discovery Science</t>
        </is>
      </c>
      <c r="C33" t="inlineStr">
        <is>
          <t>Amazon.com</t>
        </is>
      </c>
      <c r="D33" t="inlineStr">
        <is>
          <t>indeed</t>
        </is>
      </c>
      <c r="E33">
        <f>HYPERLINK("https://www.indeed.com/viewjob?jk=a19655908534680a", "https://www.indeed.com/viewjob?jk=a19655908534680a")</f>
        <v/>
      </c>
      <c r="F3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3" t="inlineStr">
        <is>
          <t>Sunnyvale, CA, US</t>
        </is>
      </c>
      <c r="H33" s="3" t="n">
        <v>45930</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in-19cddcda6cc066f2</t>
        </is>
      </c>
      <c r="B34" t="inlineStr">
        <is>
          <t>Applied Scientist II, Prime Video - Personalization and Discovery Science, Personalization and Discovery Science</t>
        </is>
      </c>
      <c r="C34" t="inlineStr">
        <is>
          <t>Amazon.com</t>
        </is>
      </c>
      <c r="D34" t="inlineStr">
        <is>
          <t>indeed</t>
        </is>
      </c>
      <c r="E34">
        <f>HYPERLINK("https://www.indeed.com/viewjob?jk=19cddcda6cc066f2", "https://www.indeed.com/viewjob?jk=19cddcda6cc066f2")</f>
        <v/>
      </c>
      <c r="F3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34" t="inlineStr">
        <is>
          <t>Seattle, WA, US</t>
        </is>
      </c>
      <c r="H34" s="3" t="n">
        <v>45930</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in-fed18f3a0a0e7e2b</t>
        </is>
      </c>
      <c r="B35" t="inlineStr">
        <is>
          <t>Applied Scientist II, Prime Video - Personalization and Discovery Science</t>
        </is>
      </c>
      <c r="C35" t="inlineStr">
        <is>
          <t>Amazon.com</t>
        </is>
      </c>
      <c r="D35" t="inlineStr">
        <is>
          <t>indeed</t>
        </is>
      </c>
      <c r="E35">
        <f>HYPERLINK("https://www.indeed.com/viewjob?jk=fed18f3a0a0e7e2b", "https://www.indeed.com/viewjob?jk=fed18f3a0a0e7e2b")</f>
        <v/>
      </c>
      <c r="F35">
        <f>HYPERLINK("https://www.amazon.jobs/jobs/3086060/applied-scientist-ii-prime-video--personalization-and-discovery-science?cmpid=DA_INAD200785B", "https://www.amazon.jobs/jobs/3086060/applied-scientist-ii-prime-video--personalization-and-discovery-science?cmpid=DA_INAD200785B")</f>
        <v/>
      </c>
      <c r="G35" t="inlineStr">
        <is>
          <t>Sunnyvale, CA, US</t>
        </is>
      </c>
      <c r="H35" s="3" t="n">
        <v>45915</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in-4486aacc202b7286</t>
        </is>
      </c>
      <c r="B36" t="inlineStr">
        <is>
          <t>Applied Scientist II, Prime Video - Personalization and Discovery Science</t>
        </is>
      </c>
      <c r="C36" t="inlineStr">
        <is>
          <t>Amazon.com</t>
        </is>
      </c>
      <c r="D36" t="inlineStr">
        <is>
          <t>indeed</t>
        </is>
      </c>
      <c r="E36">
        <f>HYPERLINK("https://www.indeed.com/viewjob?jk=4486aacc202b7286", "https://www.indeed.com/viewjob?jk=4486aacc202b7286")</f>
        <v/>
      </c>
      <c r="F36">
        <f>HYPERLINK("https://www.amazon.jobs/jobs/3086060/applied-scientist-ii-prime-video--personalization-and-discovery-science?cmpid=DA_INAD200785B", "https://www.amazon.jobs/jobs/3086060/applied-scientist-ii-prime-video--personalization-and-discovery-science?cmpid=DA_INAD200785B")</f>
        <v/>
      </c>
      <c r="G36" t="inlineStr">
        <is>
          <t>New York, NY, US</t>
        </is>
      </c>
      <c r="H36" s="3" t="n">
        <v>45915</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in-bc35d1275e10dc67</t>
        </is>
      </c>
      <c r="B37" t="inlineStr">
        <is>
          <t>Applied Scientist II, Prime Video - Personalization and Discovery Science</t>
        </is>
      </c>
      <c r="C37" t="inlineStr">
        <is>
          <t>Amazon.com</t>
        </is>
      </c>
      <c r="D37" t="inlineStr">
        <is>
          <t>indeed</t>
        </is>
      </c>
      <c r="E37">
        <f>HYPERLINK("https://www.indeed.com/viewjob?jk=bc35d1275e10dc67", "https://www.indeed.com/viewjob?jk=bc35d1275e10dc67")</f>
        <v/>
      </c>
      <c r="F37">
        <f>HYPERLINK("https://www.amazon.jobs/jobs/3086060/applied-scientist-ii-prime-video--personalization-and-discovery-science?cmpid=DA_INAD200785B", "https://www.amazon.jobs/jobs/3086060/applied-scientist-ii-prime-video--personalization-and-discovery-science?cmpid=DA_INAD200785B")</f>
        <v/>
      </c>
      <c r="G37" t="inlineStr">
        <is>
          <t>Seattle, WA, US</t>
        </is>
      </c>
      <c r="H37" s="3" t="n">
        <v>45915</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in-15b025a30374c4a4</t>
        </is>
      </c>
      <c r="B38" t="inlineStr">
        <is>
          <t>Sr. Applied Scientist, Prime Video - Personalization and Discovery Science</t>
        </is>
      </c>
      <c r="C38" t="inlineStr">
        <is>
          <t>Amazon.com</t>
        </is>
      </c>
      <c r="D38" t="inlineStr">
        <is>
          <t>indeed</t>
        </is>
      </c>
      <c r="E38">
        <f>HYPERLINK("https://www.indeed.com/viewjob?jk=15b025a30374c4a4", "https://www.indeed.com/viewjob?jk=15b025a30374c4a4")</f>
        <v/>
      </c>
      <c r="F38">
        <f>HYPERLINK("https://www.amazon.jobs/jobs/3059256/sr-applied-scientist-prime-video--personalization-and-discovery-science?cmpid=DA_INAD200785B", "https://www.amazon.jobs/jobs/3059256/sr-applied-scientist-prime-video--personalization-and-discovery-science?cmpid=DA_INAD200785B")</f>
        <v/>
      </c>
      <c r="G38" t="inlineStr">
        <is>
          <t>New York, NY, US</t>
        </is>
      </c>
      <c r="H38" s="3"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in-65a2d0cfc89fb204</t>
        </is>
      </c>
      <c r="B39" t="inlineStr">
        <is>
          <t>Sr. Applied Scientist, Prime Video - Personalization and Discovery Science</t>
        </is>
      </c>
      <c r="C39" t="inlineStr">
        <is>
          <t>Amazon.com</t>
        </is>
      </c>
      <c r="D39" t="inlineStr">
        <is>
          <t>indeed</t>
        </is>
      </c>
      <c r="E39">
        <f>HYPERLINK("https://www.indeed.com/viewjob?jk=65a2d0cfc89fb204", "https://www.indeed.com/viewjob?jk=65a2d0cfc89fb204")</f>
        <v/>
      </c>
      <c r="F39">
        <f>HYPERLINK("https://www.amazon.jobs/jobs/3059256/sr-applied-scientist-prime-video--personalization-and-discovery-science?cmpid=DA_INAD200785B", "https://www.amazon.jobs/jobs/3059256/sr-applied-scientist-prime-video--personalization-and-discovery-science?cmpid=DA_INAD200785B")</f>
        <v/>
      </c>
      <c r="G39" t="inlineStr">
        <is>
          <t>Seattle, WA, US</t>
        </is>
      </c>
      <c r="H39" s="3"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in-84e7f9f43af4d0ff</t>
        </is>
      </c>
      <c r="B40" t="inlineStr">
        <is>
          <t>Applied Scientist II, Prime Video - Personalization and Discovery Science</t>
        </is>
      </c>
      <c r="C40" t="inlineStr">
        <is>
          <t>Amazon.com</t>
        </is>
      </c>
      <c r="D40" t="inlineStr">
        <is>
          <t>indeed</t>
        </is>
      </c>
      <c r="E40">
        <f>HYPERLINK("https://www.indeed.com/viewjob?jk=84e7f9f43af4d0ff", "https://www.indeed.com/viewjob?jk=84e7f9f43af4d0ff")</f>
        <v/>
      </c>
      <c r="F40">
        <f>HYPERLINK("https://www.amazon.jobs/jobs/3059253/applied-scientist-ii-prime-video--personalization-and-discovery-science?cmpid=DA_INAD200785B", "https://www.amazon.jobs/jobs/3059253/applied-scientist-ii-prime-video--personalization-and-discovery-science?cmpid=DA_INAD200785B")</f>
        <v/>
      </c>
      <c r="G40" t="inlineStr">
        <is>
          <t>New York, NY, US</t>
        </is>
      </c>
      <c r="H40" s="3"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in-fcd4a0aa0c5cb6da</t>
        </is>
      </c>
      <c r="B41" t="inlineStr">
        <is>
          <t>Sr. Applied Scientist, Prime Video - Personalization and Discovery Science</t>
        </is>
      </c>
      <c r="C41" t="inlineStr">
        <is>
          <t>Amazon.com</t>
        </is>
      </c>
      <c r="D41" t="inlineStr">
        <is>
          <t>indeed</t>
        </is>
      </c>
      <c r="E41">
        <f>HYPERLINK("https://www.indeed.com/viewjob?jk=fcd4a0aa0c5cb6da", "https://www.indeed.com/viewjob?jk=fcd4a0aa0c5cb6da")</f>
        <v/>
      </c>
      <c r="F41">
        <f>HYPERLINK("https://www.amazon.jobs/jobs/3059256/sr-applied-scientist-prime-video--personalization-and-discovery-science?cmpid=DA_INAD200785B", "https://www.amazon.jobs/jobs/3059256/sr-applied-scientist-prime-video--personalization-and-discovery-science?cmpid=DA_INAD200785B")</f>
        <v/>
      </c>
      <c r="G41" t="inlineStr">
        <is>
          <t>Sunnyvale, CA, US</t>
        </is>
      </c>
      <c r="H41" s="3"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in-bd01964583eda31a</t>
        </is>
      </c>
      <c r="B42" t="inlineStr">
        <is>
          <t>Applied Scientist II, Prime Video - Personalization and Discovery Science</t>
        </is>
      </c>
      <c r="C42" t="inlineStr">
        <is>
          <t>Amazon.com</t>
        </is>
      </c>
      <c r="D42" t="inlineStr">
        <is>
          <t>indeed</t>
        </is>
      </c>
      <c r="E42">
        <f>HYPERLINK("https://www.indeed.com/viewjob?jk=bd01964583eda31a", "https://www.indeed.com/viewjob?jk=bd01964583eda31a")</f>
        <v/>
      </c>
      <c r="F42">
        <f>HYPERLINK("https://www.amazon.jobs/jobs/3059253/applied-scientist-ii-prime-video--personalization-and-discovery-science?cmpid=DA_INAD200785B", "https://www.amazon.jobs/jobs/3059253/applied-scientist-ii-prime-video--personalization-and-discovery-science?cmpid=DA_INAD200785B")</f>
        <v/>
      </c>
      <c r="G42" t="inlineStr">
        <is>
          <t>Sunnyvale, CA, US</t>
        </is>
      </c>
      <c r="H42" s="3"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in-eb7cf16f3eb3508f</t>
        </is>
      </c>
      <c r="B43" t="inlineStr">
        <is>
          <t>Applied Scientist II, Prime Video - Personalization and Discovery Science</t>
        </is>
      </c>
      <c r="C43" t="inlineStr">
        <is>
          <t>Amazon.com</t>
        </is>
      </c>
      <c r="D43" t="inlineStr">
        <is>
          <t>indeed</t>
        </is>
      </c>
      <c r="E43">
        <f>HYPERLINK("https://www.indeed.com/viewjob?jk=eb7cf16f3eb3508f", "https://www.indeed.com/viewjob?jk=eb7cf16f3eb3508f")</f>
        <v/>
      </c>
      <c r="F43">
        <f>HYPERLINK("https://www.amazon.jobs/jobs/3059253/applied-scientist-ii-prime-video--personalization-and-discovery-science?cmpid=DA_INAD200785B", "https://www.amazon.jobs/jobs/3059253/applied-scientist-ii-prime-video--personalization-and-discovery-science?cmpid=DA_INAD200785B")</f>
        <v/>
      </c>
      <c r="G43" t="inlineStr">
        <is>
          <t>Seattle, WA, US</t>
        </is>
      </c>
      <c r="H43" s="3"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in-9ac2edb72f59578a</t>
        </is>
      </c>
      <c r="B44" t="inlineStr">
        <is>
          <t>Applied Scientist, Prime Video - Personalization and Discovery Science</t>
        </is>
      </c>
      <c r="C44" t="inlineStr">
        <is>
          <t>Amazon.com</t>
        </is>
      </c>
      <c r="D44" t="inlineStr">
        <is>
          <t>indeed</t>
        </is>
      </c>
      <c r="E44">
        <f>HYPERLINK("https://www.indeed.com/viewjob?jk=9ac2edb72f59578a", "https://www.indeed.com/viewjob?jk=9ac2edb72f59578a")</f>
        <v/>
      </c>
      <c r="F44">
        <f>HYPERLINK("https://www.amazon.jobs/jobs/3033050/applied-scientist-prime-video--personalization-and-discovery-science?cmpid=DA_INAD200785B", "https://www.amazon.jobs/jobs/3033050/applied-scientist-prime-video--personalization-and-discovery-science?cmpid=DA_INAD200785B")</f>
        <v/>
      </c>
      <c r="G44" t="inlineStr">
        <is>
          <t>Seattle, WA, US</t>
        </is>
      </c>
      <c r="H44" s="3" t="n">
        <v>45845</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in-8f9a4ca46ff8179e</t>
        </is>
      </c>
      <c r="B45" t="inlineStr">
        <is>
          <t>Applied Scientist, Prime Video - Personalization and Discovery Science</t>
        </is>
      </c>
      <c r="C45" t="inlineStr">
        <is>
          <t>Amazon.com</t>
        </is>
      </c>
      <c r="D45" t="inlineStr">
        <is>
          <t>indeed</t>
        </is>
      </c>
      <c r="E45">
        <f>HYPERLINK("https://www.indeed.com/viewjob?jk=8f9a4ca46ff8179e", "https://www.indeed.com/viewjob?jk=8f9a4ca46ff8179e")</f>
        <v/>
      </c>
      <c r="F45">
        <f>HYPERLINK("https://www.amazon.jobs/jobs/3033050/applied-scientist-prime-video--personalization-and-discovery-science?cmpid=DA_INAD200785B", "https://www.amazon.jobs/jobs/3033050/applied-scientist-prime-video--personalization-and-discovery-science?cmpid=DA_INAD200785B")</f>
        <v/>
      </c>
      <c r="G45" t="inlineStr">
        <is>
          <t>Sunnyvale, CA, US</t>
        </is>
      </c>
      <c r="H45" s="3" t="n">
        <v>45845</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in-069a9b130d4dc6fa</t>
        </is>
      </c>
      <c r="B46" t="inlineStr">
        <is>
          <t>Applied Scientist, Prime Video - Personalization and Discovery Science</t>
        </is>
      </c>
      <c r="C46" t="inlineStr">
        <is>
          <t>Amazon.com</t>
        </is>
      </c>
      <c r="D46" t="inlineStr">
        <is>
          <t>indeed</t>
        </is>
      </c>
      <c r="E46">
        <f>HYPERLINK("https://www.indeed.com/viewjob?jk=069a9b130d4dc6fa", "https://www.indeed.com/viewjob?jk=069a9b130d4dc6fa")</f>
        <v/>
      </c>
      <c r="F46">
        <f>HYPERLINK("https://www.amazon.jobs/jobs/3033050/applied-scientist-prime-video--personalization-and-discovery-science?cmpid=DA_INAD200785B", "https://www.amazon.jobs/jobs/3033050/applied-scientist-prime-video--personalization-and-discovery-science?cmpid=DA_INAD200785B")</f>
        <v/>
      </c>
      <c r="G46" t="inlineStr">
        <is>
          <t>New York, NY, US</t>
        </is>
      </c>
      <c r="H46" s="3"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in-06cc85280f5e9098</t>
        </is>
      </c>
      <c r="B47" t="inlineStr">
        <is>
          <t>Applied Scientist, Special Projects</t>
        </is>
      </c>
      <c r="C47" t="inlineStr">
        <is>
          <t>Amazon.com</t>
        </is>
      </c>
      <c r="D47" t="inlineStr">
        <is>
          <t>indeed</t>
        </is>
      </c>
      <c r="E47">
        <f>HYPERLINK("https://www.indeed.com/viewjob?jk=06cc85280f5e9098", "https://www.indeed.com/viewjob?jk=06cc85280f5e9098")</f>
        <v/>
      </c>
      <c r="F47">
        <f>HYPERLINK("https://www.amazon.jobs/jobs/3154876/applied-scientist-special-projects?cmpid=DA_INAD200785B", "https://www.amazon.jobs/jobs/3154876/applied-scientist-special-projects?cmpid=DA_INAD200785B")</f>
        <v/>
      </c>
      <c r="G47" t="inlineStr">
        <is>
          <t>Boston, MA, US</t>
        </is>
      </c>
      <c r="H47" s="3" t="n">
        <v>46028</v>
      </c>
      <c r="I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in-cc954c56b0efa0a0</t>
        </is>
      </c>
      <c r="B48" t="inlineStr">
        <is>
          <t>Applied Scientist, Amazon Special Projects</t>
        </is>
      </c>
      <c r="C48" t="inlineStr">
        <is>
          <t>Amazon.com</t>
        </is>
      </c>
      <c r="D48" t="inlineStr">
        <is>
          <t>indeed</t>
        </is>
      </c>
      <c r="E48">
        <f>HYPERLINK("https://www.indeed.com/viewjob?jk=cc954c56b0efa0a0", "https://www.indeed.com/viewjob?jk=cc954c56b0efa0a0")</f>
        <v/>
      </c>
      <c r="F48">
        <f>HYPERLINK("https://www.amazon.jobs/jobs/3152795/applied-scientist-amazon-special-projects?cmpid=DA_INAD200785B", "https://www.amazon.jobs/jobs/3152795/applied-scientist-amazon-special-projects?cmpid=DA_INAD200785B")</f>
        <v/>
      </c>
      <c r="G48" t="inlineStr">
        <is>
          <t>Boston, MA, US</t>
        </is>
      </c>
      <c r="H48" s="3" t="n">
        <v>46026</v>
      </c>
      <c r="I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in-3c924555803ecbe9</t>
        </is>
      </c>
      <c r="B49" t="inlineStr">
        <is>
          <t>Applied Scientist, Amazon Special Projects</t>
        </is>
      </c>
      <c r="C49" t="inlineStr">
        <is>
          <t>Amazon.com</t>
        </is>
      </c>
      <c r="D49" t="inlineStr">
        <is>
          <t>indeed</t>
        </is>
      </c>
      <c r="E49">
        <f>HYPERLINK("https://www.indeed.com/viewjob?jk=3c924555803ecbe9", "https://www.indeed.com/viewjob?jk=3c924555803ecbe9")</f>
        <v/>
      </c>
      <c r="F49">
        <f>HYPERLINK("https://www.amazon.jobs/jobs/3152795/applied-scientist-amazon-special-projects?cmpid=DA_INAD200785B", "https://www.amazon.jobs/jobs/3152795/applied-scientist-amazon-special-projects?cmpid=DA_INAD200785B")</f>
        <v/>
      </c>
      <c r="G49" t="inlineStr">
        <is>
          <t>Seattle, WA, US</t>
        </is>
      </c>
      <c r="H49" s="3" t="n">
        <v>46026</v>
      </c>
      <c r="I49"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in-12a7c64b79bac0b4</t>
        </is>
      </c>
      <c r="B50" t="inlineStr">
        <is>
          <t>Senior Applied Scientist, Sponsored Products and Brands, Off-Search</t>
        </is>
      </c>
      <c r="C50" t="inlineStr">
        <is>
          <t>Amazon.com</t>
        </is>
      </c>
      <c r="D50" t="inlineStr">
        <is>
          <t>indeed</t>
        </is>
      </c>
      <c r="E50">
        <f>HYPERLINK("https://www.indeed.com/viewjob?jk=12a7c64b79bac0b4", "https://www.indeed.com/viewjob?jk=12a7c64b79bac0b4")</f>
        <v/>
      </c>
      <c r="F50">
        <f>HYPERLINK("https://www.amazon.jobs/jobs/3153569/senior-applied-scientist-sponsored-products-and-brands-offsearch?cmpid=DA_INAD200785B", "https://www.amazon.jobs/jobs/3153569/senior-applied-scientist-sponsored-products-and-brands-offsearch?cmpid=DA_INAD200785B")</f>
        <v/>
      </c>
      <c r="G50" t="inlineStr">
        <is>
          <t>New York, NY, US</t>
        </is>
      </c>
      <c r="H50" s="3" t="n">
        <v>46017</v>
      </c>
      <c r="I50"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in-8bc002fffc61532c</t>
        </is>
      </c>
      <c r="B51" t="inlineStr">
        <is>
          <t>Senior Applied Scientist, Sponsored Products and Brands, Off-Search</t>
        </is>
      </c>
      <c r="C51" t="inlineStr">
        <is>
          <t>Amazon.com</t>
        </is>
      </c>
      <c r="D51" t="inlineStr">
        <is>
          <t>indeed</t>
        </is>
      </c>
      <c r="E51">
        <f>HYPERLINK("https://www.indeed.com/viewjob?jk=8bc002fffc61532c", "https://www.indeed.com/viewjob?jk=8bc002fffc61532c")</f>
        <v/>
      </c>
      <c r="F51">
        <f>HYPERLINK("https://www.amazon.jobs/jobs/3153569/senior-applied-scientist-sponsored-products-and-brands-offsearch?cmpid=DA_INAD200785B", "https://www.amazon.jobs/jobs/3153569/senior-applied-scientist-sponsored-products-and-brands-offsearch?cmpid=DA_INAD200785B")</f>
        <v/>
      </c>
      <c r="G51" t="inlineStr">
        <is>
          <t>Seattle, WA, US</t>
        </is>
      </c>
      <c r="H51" s="3" t="n">
        <v>46017</v>
      </c>
      <c r="I51" t="inlineStr">
        <is>
          <t>**DESCRIPTION**
---------------
The Sponsored Products and Brands (SPB) team at Amazon Ads is transforming advertising through generative AI technologies. We help millions of customers discover products and engage with brands across Amazon.com and beyond. Our team combines human creativity with artificial intelligence to reinvent the entire advertising lifecycle—from ad creation and optimization to performance analysis and customer insights.  
We develop responsible AI technologies that balance advertiser needs, enhance shopping experiences, and strengthen the marketplace. Our team values innovation and tackles complex challenges that push the boundaries of what's possible with AI.  
Join us in shaping the future of advertising.  
Key job responsibilities  
This role will redesign how ads create personalized, relevant shopping experiences with customer value at the forefront. Key responsibilities include:  
* Design and develop solutions using GenAI, deep learning, multi\-objective optimization and/or reinforcement learning to transform ad retrieval, auctions, whole\-page relevance, and shopping experiences.
* Partner with scientists, engineers, and product managers to build scalable, production\-ready science solutions.
* Apply industry advances in GenAI, Large Language Models (LLMs), and related fields to create innovative prototypes and concepts.
* Improve the team's scientific and technical capabilities by implementing algorithms, methodologies, and infrastructure that enable rapid experimentation and scaling.
* Mentor junior scientists and engineers to build a high\-performing, collaborative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value.**BASIC QUALIFICATIONS**
------------------------
* 3\+ years of building machine learning models for business application experience
* PhD, or Master's degree and 6\+ years of applied research experience
* Experience programming in Java, C\+\+, Python or related language
* Strong foundation in GenAI, large language models, machine learning, deep learning, probabilistic modeling, and/or optimization.
**PREFERRED QUALIFICATIONS**
----------------------------
* Demonstrated expertise in Generative AI technologies, including foundation models, LLMs, and model customization for specific business applications
* Hands\-on experience building ads ranking, retrieval, recommendation, or personalization systems that operate at web scale
* Technical proficiency in advanced AI approaches such as multi\-modal modeling, few\-shot learning, retrieval\-augmented generation (RAG), or reinforcement learning from human feedback (RLHF)
* Track record of designing and implementing online experimentation frameworks, including A/B testing methodologies and performance metrics for advertising or e\-commerce
* Proven ability to translate complex technical concepts into clear explanations for diverse audiences, from engineers to executives
* Deep knowledge of computational advertising fundamentals, including auction mechanisms, advertising economics, and advertiser success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in-32b2d318ad4410a9</t>
        </is>
      </c>
      <c r="B52" t="inlineStr">
        <is>
          <t>Sr. Applied Scientist, Amazon Ads</t>
        </is>
      </c>
      <c r="C52" t="inlineStr">
        <is>
          <t>Amazon.com</t>
        </is>
      </c>
      <c r="D52" t="inlineStr">
        <is>
          <t>indeed</t>
        </is>
      </c>
      <c r="E52">
        <f>HYPERLINK("https://www.indeed.com/viewjob?jk=32b2d318ad4410a9", "https://www.indeed.com/viewjob?jk=32b2d318ad4410a9")</f>
        <v/>
      </c>
      <c r="F52">
        <f>HYPERLINK("https://www.amazon.jobs/jobs/3139328/sr-applied-scientist-amazon-ads?cmpid=DA_INAD200785B", "https://www.amazon.jobs/jobs/3139328/sr-applied-scientist-amazon-ads?cmpid=DA_INAD200785B")</f>
        <v/>
      </c>
      <c r="G52" t="inlineStr">
        <is>
          <t>Santa Monica, CA, US</t>
        </is>
      </c>
      <c r="H52" s="3" t="n">
        <v>45998</v>
      </c>
      <c r="I5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3">
      <c r="A53" t="inlineStr">
        <is>
          <t>in-ce4ffd657e8f6c04</t>
        </is>
      </c>
      <c r="B53" t="inlineStr">
        <is>
          <t>Sr. Applied Scientist, Amazon Ads</t>
        </is>
      </c>
      <c r="C53" t="inlineStr">
        <is>
          <t>Amazon.com</t>
        </is>
      </c>
      <c r="D53" t="inlineStr">
        <is>
          <t>indeed</t>
        </is>
      </c>
      <c r="E53">
        <f>HYPERLINK("https://www.indeed.com/viewjob?jk=ce4ffd657e8f6c04", "https://www.indeed.com/viewjob?jk=ce4ffd657e8f6c04")</f>
        <v/>
      </c>
      <c r="F53">
        <f>HYPERLINK("https://www.amazon.jobs/jobs/3139328/sr-applied-scientist-amazon-ads?cmpid=DA_INAD200785B", "https://www.amazon.jobs/jobs/3139328/sr-applied-scientist-amazon-ads?cmpid=DA_INAD200785B")</f>
        <v/>
      </c>
      <c r="G53" t="inlineStr">
        <is>
          <t>Brooklyn, NY, US</t>
        </is>
      </c>
      <c r="H53" s="3" t="n">
        <v>45998</v>
      </c>
      <c r="I5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4">
      <c r="A54" t="inlineStr">
        <is>
          <t>in-6dedc83498e81664</t>
        </is>
      </c>
      <c r="B54" t="inlineStr">
        <is>
          <t>Sr. Applied Scientist, Amazon Ads</t>
        </is>
      </c>
      <c r="C54" t="inlineStr">
        <is>
          <t>Amazon.com</t>
        </is>
      </c>
      <c r="D54" t="inlineStr">
        <is>
          <t>indeed</t>
        </is>
      </c>
      <c r="E54">
        <f>HYPERLINK("https://www.indeed.com/viewjob?jk=6dedc83498e81664", "https://www.indeed.com/viewjob?jk=6dedc83498e81664")</f>
        <v/>
      </c>
      <c r="F54">
        <f>HYPERLINK("https://www.amazon.jobs/jobs/3139328/sr-applied-scientist-amazon-ads?cmpid=DA_INAD200785B", "https://www.amazon.jobs/jobs/3139328/sr-applied-scientist-amazon-ads?cmpid=DA_INAD200785B")</f>
        <v/>
      </c>
      <c r="G54" t="inlineStr">
        <is>
          <t>Corvallis, OR, US</t>
        </is>
      </c>
      <c r="H54" s="3" t="n">
        <v>45998</v>
      </c>
      <c r="I5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5">
      <c r="A55" t="inlineStr">
        <is>
          <t>in-02c51110488925d4</t>
        </is>
      </c>
      <c r="B55" t="inlineStr">
        <is>
          <t>Sr. Applied Scientist, Amazon Ads</t>
        </is>
      </c>
      <c r="C55" t="inlineStr">
        <is>
          <t>Amazon.com</t>
        </is>
      </c>
      <c r="D55" t="inlineStr">
        <is>
          <t>indeed</t>
        </is>
      </c>
      <c r="E55">
        <f>HYPERLINK("https://www.indeed.com/viewjob?jk=02c51110488925d4", "https://www.indeed.com/viewjob?jk=02c51110488925d4")</f>
        <v/>
      </c>
      <c r="F55">
        <f>HYPERLINK("https://www.amazon.jobs/jobs/3139328/sr-applied-scientist-amazon-ads?cmpid=DA_INAD200785B", "https://www.amazon.jobs/jobs/3139328/sr-applied-scientist-amazon-ads?cmpid=DA_INAD200785B")</f>
        <v/>
      </c>
      <c r="G55" t="inlineStr">
        <is>
          <t>Palo Alto, CA, US</t>
        </is>
      </c>
      <c r="H55" s="3" t="n">
        <v>45998</v>
      </c>
      <c r="I5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6">
      <c r="A56" t="inlineStr">
        <is>
          <t>in-f8c592d0bcd47145</t>
        </is>
      </c>
      <c r="B56" t="inlineStr">
        <is>
          <t>Sr. Applied Scientist, Amazon Ads</t>
        </is>
      </c>
      <c r="C56" t="inlineStr">
        <is>
          <t>Amazon.com</t>
        </is>
      </c>
      <c r="D56" t="inlineStr">
        <is>
          <t>indeed</t>
        </is>
      </c>
      <c r="E56">
        <f>HYPERLINK("https://www.indeed.com/viewjob?jk=f8c592d0bcd47145", "https://www.indeed.com/viewjob?jk=f8c592d0bcd47145")</f>
        <v/>
      </c>
      <c r="F56">
        <f>HYPERLINK("https://www.amazon.jobs/jobs/3139328/sr-applied-scientist-amazon-ads?cmpid=DA_INAD200785B", "https://www.amazon.jobs/jobs/3139328/sr-applied-scientist-amazon-ads?cmpid=DA_INAD200785B")</f>
        <v/>
      </c>
      <c r="G56" t="inlineStr">
        <is>
          <t>Boston, MA, US</t>
        </is>
      </c>
      <c r="H56" s="3" t="n">
        <v>45998</v>
      </c>
      <c r="I5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7">
      <c r="A57" t="inlineStr">
        <is>
          <t>in-6a760b6ad1034c54</t>
        </is>
      </c>
      <c r="B57" t="inlineStr">
        <is>
          <t>Sr. Applied Scientist, Amazon Ads</t>
        </is>
      </c>
      <c r="C57" t="inlineStr">
        <is>
          <t>Amazon.com</t>
        </is>
      </c>
      <c r="D57" t="inlineStr">
        <is>
          <t>indeed</t>
        </is>
      </c>
      <c r="E57">
        <f>HYPERLINK("https://www.indeed.com/viewjob?jk=6a760b6ad1034c54", "https://www.indeed.com/viewjob?jk=6a760b6ad1034c54")</f>
        <v/>
      </c>
      <c r="F57">
        <f>HYPERLINK("https://www.amazon.jobs/jobs/3139328/sr-applied-scientist-amazon-ads?cmpid=DA_INAD200785B", "https://www.amazon.jobs/jobs/3139328/sr-applied-scientist-amazon-ads?cmpid=DA_INAD200785B")</f>
        <v/>
      </c>
      <c r="G57" t="inlineStr">
        <is>
          <t>Seattle, WA, US</t>
        </is>
      </c>
      <c r="H57" s="3" t="n">
        <v>45998</v>
      </c>
      <c r="I5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8">
      <c r="A58" t="inlineStr">
        <is>
          <t>in-c16459d1708e871e</t>
        </is>
      </c>
      <c r="B58" t="inlineStr">
        <is>
          <t>Sr. Applied Scientist, Amazon Ads</t>
        </is>
      </c>
      <c r="C58" t="inlineStr">
        <is>
          <t>Amazon.com</t>
        </is>
      </c>
      <c r="D58" t="inlineStr">
        <is>
          <t>indeed</t>
        </is>
      </c>
      <c r="E58">
        <f>HYPERLINK("https://www.indeed.com/viewjob?jk=c16459d1708e871e", "https://www.indeed.com/viewjob?jk=c16459d1708e871e")</f>
        <v/>
      </c>
      <c r="F58">
        <f>HYPERLINK("https://www.amazon.jobs/jobs/3139328/sr-applied-scientist-amazon-ads?cmpid=DA_INAD200785B", "https://www.amazon.jobs/jobs/3139328/sr-applied-scientist-amazon-ads?cmpid=DA_INAD200785B")</f>
        <v/>
      </c>
      <c r="G58" t="inlineStr">
        <is>
          <t>Boulder, CO, US</t>
        </is>
      </c>
      <c r="H58" s="3" t="n">
        <v>45998</v>
      </c>
      <c r="I5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9">
      <c r="A59" t="inlineStr">
        <is>
          <t>in-342bf93e927de69d</t>
        </is>
      </c>
      <c r="B59" t="inlineStr">
        <is>
          <t>Sr. Applied Scientist, Amazon Ads</t>
        </is>
      </c>
      <c r="C59" t="inlineStr">
        <is>
          <t>Amazon.com</t>
        </is>
      </c>
      <c r="D59" t="inlineStr">
        <is>
          <t>indeed</t>
        </is>
      </c>
      <c r="E59">
        <f>HYPERLINK("https://www.indeed.com/viewjob?jk=342bf93e927de69d", "https://www.indeed.com/viewjob?jk=342bf93e927de69d")</f>
        <v/>
      </c>
      <c r="F59">
        <f>HYPERLINK("https://www.amazon.jobs/jobs/3139328/sr-applied-scientist-amazon-ads?cmpid=DA_INAD200785B", "https://www.amazon.jobs/jobs/3139328/sr-applied-scientist-amazon-ads?cmpid=DA_INAD200785B")</f>
        <v/>
      </c>
      <c r="G59" t="inlineStr">
        <is>
          <t>Tukwila, WA, US</t>
        </is>
      </c>
      <c r="H59" s="3" t="n">
        <v>45998</v>
      </c>
      <c r="I5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0">
      <c r="A60" t="inlineStr">
        <is>
          <t>in-816b4ee7a7d32c5a</t>
        </is>
      </c>
      <c r="B60" t="inlineStr">
        <is>
          <t>Sr. Applied Scientist, Amazon Ads</t>
        </is>
      </c>
      <c r="C60" t="inlineStr">
        <is>
          <t>Amazon.com</t>
        </is>
      </c>
      <c r="D60" t="inlineStr">
        <is>
          <t>indeed</t>
        </is>
      </c>
      <c r="E60">
        <f>HYPERLINK("https://www.indeed.com/viewjob?jk=816b4ee7a7d32c5a", "https://www.indeed.com/viewjob?jk=816b4ee7a7d32c5a")</f>
        <v/>
      </c>
      <c r="F60">
        <f>HYPERLINK("https://www.amazon.jobs/jobs/3139328/sr-applied-scientist-amazon-ads?cmpid=DA_INAD200785B", "https://www.amazon.jobs/jobs/3139328/sr-applied-scientist-amazon-ads?cmpid=DA_INAD200785B")</f>
        <v/>
      </c>
      <c r="G60" t="inlineStr">
        <is>
          <t>New York, NY, US</t>
        </is>
      </c>
      <c r="H60" s="3" t="n">
        <v>45998</v>
      </c>
      <c r="I6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1">
      <c r="A61" t="inlineStr">
        <is>
          <t>in-3bab952ae3978726</t>
        </is>
      </c>
      <c r="B61" t="inlineStr">
        <is>
          <t>Sr. Applied Scientist, Amazon Ads</t>
        </is>
      </c>
      <c r="C61" t="inlineStr">
        <is>
          <t>Amazon.com</t>
        </is>
      </c>
      <c r="D61" t="inlineStr">
        <is>
          <t>indeed</t>
        </is>
      </c>
      <c r="E61">
        <f>HYPERLINK("https://www.indeed.com/viewjob?jk=3bab952ae3978726", "https://www.indeed.com/viewjob?jk=3bab952ae3978726")</f>
        <v/>
      </c>
      <c r="F61">
        <f>HYPERLINK("https://www.amazon.jobs/jobs/3139328/sr-applied-scientist-amazon-ads?cmpid=DA_INAD200785B", "https://www.amazon.jobs/jobs/3139328/sr-applied-scientist-amazon-ads?cmpid=DA_INAD200785B")</f>
        <v/>
      </c>
      <c r="G61" t="inlineStr">
        <is>
          <t>Sunnyvale, CA, US</t>
        </is>
      </c>
      <c r="H61" s="3" t="n">
        <v>45998</v>
      </c>
      <c r="I6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2">
      <c r="A62" t="inlineStr">
        <is>
          <t>in-71b196df2db1621b</t>
        </is>
      </c>
      <c r="B62" t="inlineStr">
        <is>
          <t>Applied Scientist, ML Compiler</t>
        </is>
      </c>
      <c r="C62" t="inlineStr">
        <is>
          <t>Amazon Web Services</t>
        </is>
      </c>
      <c r="D62" t="inlineStr">
        <is>
          <t>indeed</t>
        </is>
      </c>
      <c r="E62">
        <f>HYPERLINK("https://www.indeed.com/viewjob?jk=71b196df2db1621b", "https://www.indeed.com/viewjob?jk=71b196df2db1621b")</f>
        <v/>
      </c>
      <c r="F62">
        <f>HYPERLINK("https://www.amazon.jobs/jobs/3136884/applied-scientist-ml-compiler?cmpid=DA_INAD200785B", "https://www.amazon.jobs/jobs/3136884/applied-scientist-ml-compiler?cmpid=DA_INAD200785B")</f>
        <v/>
      </c>
      <c r="G62" t="inlineStr">
        <is>
          <t>Cupertino, CA, US</t>
        </is>
      </c>
      <c r="H62" s="3" t="n">
        <v>45993</v>
      </c>
      <c r="I6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in-d4a7d019f94ed118</t>
        </is>
      </c>
      <c r="B63" t="inlineStr">
        <is>
          <t>Applied Scientist, ML Compiler</t>
        </is>
      </c>
      <c r="C63" t="inlineStr">
        <is>
          <t>Amazon Web Services</t>
        </is>
      </c>
      <c r="D63" t="inlineStr">
        <is>
          <t>indeed</t>
        </is>
      </c>
      <c r="E63">
        <f>HYPERLINK("https://www.indeed.com/viewjob?jk=d4a7d019f94ed118", "https://www.indeed.com/viewjob?jk=d4a7d019f94ed118")</f>
        <v/>
      </c>
      <c r="F63">
        <f>HYPERLINK("https://www.amazon.jobs/jobs/3136884/applied-scientist-ml-compiler?cmpid=DA_INAD200785B", "https://www.amazon.jobs/jobs/3136884/applied-scientist-ml-compiler?cmpid=DA_INAD200785B")</f>
        <v/>
      </c>
      <c r="G63" t="inlineStr">
        <is>
          <t>Seattle, WA, US</t>
        </is>
      </c>
      <c r="H63" s="3" t="n">
        <v>45993</v>
      </c>
      <c r="I63"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in-9d3d813f46064f4c</t>
        </is>
      </c>
      <c r="B64" t="inlineStr">
        <is>
          <t>Senior Applied Scientist, Locomotion, Amazon Industrial Robotics</t>
        </is>
      </c>
      <c r="C64" t="inlineStr">
        <is>
          <t>Amazon.com</t>
        </is>
      </c>
      <c r="D64" t="inlineStr">
        <is>
          <t>indeed</t>
        </is>
      </c>
      <c r="E64">
        <f>HYPERLINK("https://www.indeed.com/viewjob?jk=9d3d813f46064f4c", "https://www.indeed.com/viewjob?jk=9d3d813f46064f4c")</f>
        <v/>
      </c>
      <c r="F64">
        <f>HYPERLINK("https://www.amazon.jobs/jobs/3134751/senior-applied-scientist-locomotion-amazon-industrial-robotics?cmpid=DA_INAD200785B", "https://www.amazon.jobs/jobs/3134751/senior-applied-scientist-locomotion-amazon-industrial-robotics?cmpid=DA_INAD200785B")</f>
        <v/>
      </c>
      <c r="G64" t="inlineStr">
        <is>
          <t>Reading, MA, US</t>
        </is>
      </c>
      <c r="H64" s="3" t="n">
        <v>45992</v>
      </c>
      <c r="I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in-d9dca5f3c77cb5f9</t>
        </is>
      </c>
      <c r="B65" t="inlineStr">
        <is>
          <t>Senior Applied Scientist, Locomotion, Amazon Industrial Robotics</t>
        </is>
      </c>
      <c r="C65" t="inlineStr">
        <is>
          <t>Amazon.com</t>
        </is>
      </c>
      <c r="D65" t="inlineStr">
        <is>
          <t>indeed</t>
        </is>
      </c>
      <c r="E65">
        <f>HYPERLINK("https://www.indeed.com/viewjob?jk=d9dca5f3c77cb5f9", "https://www.indeed.com/viewjob?jk=d9dca5f3c77cb5f9")</f>
        <v/>
      </c>
      <c r="F65">
        <f>HYPERLINK("https://www.amazon.jobs/jobs/3134751/senior-applied-scientist-locomotion-amazon-industrial-robotics?cmpid=DA_INAD200785B", "https://www.amazon.jobs/jobs/3134751/senior-applied-scientist-locomotion-amazon-industrial-robotics?cmpid=DA_INAD200785B")</f>
        <v/>
      </c>
      <c r="G65" t="inlineStr">
        <is>
          <t>Reading, MA, US</t>
        </is>
      </c>
      <c r="H65" s="3" t="n">
        <v>45992</v>
      </c>
      <c r="I6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in-1120fb8d2a34b639</t>
        </is>
      </c>
      <c r="B66" t="inlineStr">
        <is>
          <t>Sr. Machine Learning Engineer, AGIF | Finetuning</t>
        </is>
      </c>
      <c r="C66" t="inlineStr">
        <is>
          <t>Amazon.com</t>
        </is>
      </c>
      <c r="D66" t="inlineStr">
        <is>
          <t>indeed</t>
        </is>
      </c>
      <c r="E66">
        <f>HYPERLINK("https://www.indeed.com/viewjob?jk=1120fb8d2a34b639", "https://www.indeed.com/viewjob?jk=1120fb8d2a34b639")</f>
        <v/>
      </c>
      <c r="F66">
        <f>HYPERLINK("https://www.amazon.jobs/jobs/3145989/sr-machine-learning-engineer-agif--finetuning?cmpid=DA_INAD200785B", "https://www.amazon.jobs/jobs/3145989/sr-machine-learning-engineer-agif--finetuning?cmpid=DA_INAD200785B")</f>
        <v/>
      </c>
      <c r="G66" t="inlineStr">
        <is>
          <t>Sunnyvale, CA, US</t>
        </is>
      </c>
      <c r="H66" s="3" t="n">
        <v>45984</v>
      </c>
      <c r="I6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in-bd729b7738088c2e</t>
        </is>
      </c>
      <c r="B67" t="inlineStr">
        <is>
          <t>Sr. Machine Learning Engineer, AGIF | Finetuning</t>
        </is>
      </c>
      <c r="C67" t="inlineStr">
        <is>
          <t>Amazon.com</t>
        </is>
      </c>
      <c r="D67" t="inlineStr">
        <is>
          <t>indeed</t>
        </is>
      </c>
      <c r="E67">
        <f>HYPERLINK("https://www.indeed.com/viewjob?jk=bd729b7738088c2e", "https://www.indeed.com/viewjob?jk=bd729b7738088c2e")</f>
        <v/>
      </c>
      <c r="F67">
        <f>HYPERLINK("https://www.amazon.jobs/jobs/3145989/sr-machine-learning-engineer-agif--finetuning?cmpid=DA_INAD200785B", "https://www.amazon.jobs/jobs/3145989/sr-machine-learning-engineer-agif--finetuning?cmpid=DA_INAD200785B")</f>
        <v/>
      </c>
      <c r="G67" t="inlineStr">
        <is>
          <t>New York, NY, US</t>
        </is>
      </c>
      <c r="H67" s="3" t="n">
        <v>45984</v>
      </c>
      <c r="I6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in-6d928e1e9d3d85ac</t>
        </is>
      </c>
      <c r="B68" t="inlineStr">
        <is>
          <t>Sr. Machine Learning Engineer, AGIF | Finetuning</t>
        </is>
      </c>
      <c r="C68" t="inlineStr">
        <is>
          <t>Amazon.com</t>
        </is>
      </c>
      <c r="D68" t="inlineStr">
        <is>
          <t>indeed</t>
        </is>
      </c>
      <c r="E68">
        <f>HYPERLINK("https://www.indeed.com/viewjob?jk=6d928e1e9d3d85ac", "https://www.indeed.com/viewjob?jk=6d928e1e9d3d85ac")</f>
        <v/>
      </c>
      <c r="F68">
        <f>HYPERLINK("https://www.amazon.jobs/jobs/3145989/sr-machine-learning-engineer-agif--finetuning?cmpid=DA_INAD200785B", "https://www.amazon.jobs/jobs/3145989/sr-machine-learning-engineer-agif--finetuning?cmpid=DA_INAD200785B")</f>
        <v/>
      </c>
      <c r="G68" t="inlineStr">
        <is>
          <t>Bellevue, WA, US</t>
        </is>
      </c>
      <c r="H68" s="3" t="n">
        <v>45984</v>
      </c>
      <c r="I6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in-8a76660a1d05e0e9</t>
        </is>
      </c>
      <c r="B69" t="inlineStr">
        <is>
          <t>Sr. Applied Scientist, SPB Advertiser Guidance</t>
        </is>
      </c>
      <c r="C69" t="inlineStr">
        <is>
          <t>Amazon.com</t>
        </is>
      </c>
      <c r="D69" t="inlineStr">
        <is>
          <t>indeed</t>
        </is>
      </c>
      <c r="E69">
        <f>HYPERLINK("https://www.indeed.com/viewjob?jk=8a76660a1d05e0e9", "https://www.indeed.com/viewjob?jk=8a76660a1d05e0e9")</f>
        <v/>
      </c>
      <c r="F69">
        <f>HYPERLINK("https://www.amazon.jobs/jobs/3132336/sr-applied-scientist-spb-advertiser-guidance?cmpid=DA_INAD200785B", "https://www.amazon.jobs/jobs/3132336/sr-applied-scientist-spb-advertiser-guidance?cmpid=DA_INAD200785B")</f>
        <v/>
      </c>
      <c r="G69" t="inlineStr">
        <is>
          <t>Palo Alto, CA, US</t>
        </is>
      </c>
      <c r="H69" s="3" t="n">
        <v>45981</v>
      </c>
      <c r="I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in-6245e7314a076e7a</t>
        </is>
      </c>
      <c r="B70" t="inlineStr">
        <is>
          <t>Sr. Applied Scientist, SPB Advertiser Guidance</t>
        </is>
      </c>
      <c r="C70" t="inlineStr">
        <is>
          <t>Amazon.com</t>
        </is>
      </c>
      <c r="D70" t="inlineStr">
        <is>
          <t>indeed</t>
        </is>
      </c>
      <c r="E70">
        <f>HYPERLINK("https://www.indeed.com/viewjob?jk=6245e7314a076e7a", "https://www.indeed.com/viewjob?jk=6245e7314a076e7a")</f>
        <v/>
      </c>
      <c r="F70">
        <f>HYPERLINK("https://www.amazon.jobs/jobs/3132336/sr-applied-scientist-spb-advertiser-guidance?cmpid=DA_INAD200785B", "https://www.amazon.jobs/jobs/3132336/sr-applied-scientist-spb-advertiser-guidance?cmpid=DA_INAD200785B")</f>
        <v/>
      </c>
      <c r="G70" t="inlineStr">
        <is>
          <t>Seattle, WA, US</t>
        </is>
      </c>
      <c r="H70" s="3" t="n">
        <v>45981</v>
      </c>
      <c r="I7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in-feaa170ce27ddd48</t>
        </is>
      </c>
      <c r="B71" t="inlineStr">
        <is>
          <t>Sr. Applied Scientist, SPB Advertiser Guidance</t>
        </is>
      </c>
      <c r="C71" t="inlineStr">
        <is>
          <t>Amazon.com</t>
        </is>
      </c>
      <c r="D71" t="inlineStr">
        <is>
          <t>indeed</t>
        </is>
      </c>
      <c r="E71">
        <f>HYPERLINK("https://www.indeed.com/viewjob?jk=feaa170ce27ddd48", "https://www.indeed.com/viewjob?jk=feaa170ce27ddd48")</f>
        <v/>
      </c>
      <c r="F71">
        <f>HYPERLINK("https://www.amazon.jobs/jobs/3132336/sr-applied-scientist-spb-advertiser-guidance?cmpid=DA_INAD200785B", "https://www.amazon.jobs/jobs/3132336/sr-applied-scientist-spb-advertiser-guidance?cmpid=DA_INAD200785B")</f>
        <v/>
      </c>
      <c r="G71" t="inlineStr">
        <is>
          <t>New York, NY, US</t>
        </is>
      </c>
      <c r="H71" s="3" t="n">
        <v>45981</v>
      </c>
      <c r="I7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in-9e456d5b7d16c02d</t>
        </is>
      </c>
      <c r="B72" t="inlineStr">
        <is>
          <t>Senior Applied Scientist, Artificial General Intelligence</t>
        </is>
      </c>
      <c r="C72" t="inlineStr">
        <is>
          <t>Amazon.com</t>
        </is>
      </c>
      <c r="D72" t="inlineStr">
        <is>
          <t>indeed</t>
        </is>
      </c>
      <c r="E72">
        <f>HYPERLINK("https://www.indeed.com/viewjob?jk=9e456d5b7d16c02d", "https://www.indeed.com/viewjob?jk=9e456d5b7d16c02d")</f>
        <v/>
      </c>
      <c r="F72">
        <f>HYPERLINK("https://www.amazon.jobs/jobs/3131971/senior-applied-scientist-artificial-general-intelligence?cmpid=DA_INAD200785B", "https://www.amazon.jobs/jobs/3131971/senior-applied-scientist-artificial-general-intelligence?cmpid=DA_INAD200785B")</f>
        <v/>
      </c>
      <c r="G72" t="inlineStr">
        <is>
          <t>New York, NY, US</t>
        </is>
      </c>
      <c r="H72" s="3" t="n">
        <v>45980</v>
      </c>
      <c r="I7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in-90fdd545123a5bd8</t>
        </is>
      </c>
      <c r="B73" t="inlineStr">
        <is>
          <t>Senior Applied Scientist, Artificial General Intelligence</t>
        </is>
      </c>
      <c r="C73" t="inlineStr">
        <is>
          <t>Amazon.com</t>
        </is>
      </c>
      <c r="D73" t="inlineStr">
        <is>
          <t>indeed</t>
        </is>
      </c>
      <c r="E73">
        <f>HYPERLINK("https://www.indeed.com/viewjob?jk=90fdd545123a5bd8", "https://www.indeed.com/viewjob?jk=90fdd545123a5bd8")</f>
        <v/>
      </c>
      <c r="F73">
        <f>HYPERLINK("https://www.amazon.jobs/jobs/3131971/senior-applied-scientist-artificial-general-intelligence?cmpid=DA_INAD200785B", "https://www.amazon.jobs/jobs/3131971/senior-applied-scientist-artificial-general-intelligence?cmpid=DA_INAD200785B")</f>
        <v/>
      </c>
      <c r="G73" t="inlineStr">
        <is>
          <t>Boston, MA, US</t>
        </is>
      </c>
      <c r="H73" s="3" t="n">
        <v>45980</v>
      </c>
      <c r="I7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in-a3c68844911bc053</t>
        </is>
      </c>
      <c r="B74" t="inlineStr">
        <is>
          <t>Senior Applied Scientist, Artificial General Intelligence</t>
        </is>
      </c>
      <c r="C74" t="inlineStr">
        <is>
          <t>Amazon.com</t>
        </is>
      </c>
      <c r="D74" t="inlineStr">
        <is>
          <t>indeed</t>
        </is>
      </c>
      <c r="E74">
        <f>HYPERLINK("https://www.indeed.com/viewjob?jk=a3c68844911bc053", "https://www.indeed.com/viewjob?jk=a3c68844911bc053")</f>
        <v/>
      </c>
      <c r="F74">
        <f>HYPERLINK("https://www.amazon.jobs/jobs/3131971/senior-applied-scientist-artificial-general-intelligence?cmpid=DA_INAD200785B", "https://www.amazon.jobs/jobs/3131971/senior-applied-scientist-artificial-general-intelligence?cmpid=DA_INAD200785B")</f>
        <v/>
      </c>
      <c r="G74" t="inlineStr">
        <is>
          <t>Seattle, WA, US</t>
        </is>
      </c>
      <c r="H74" s="3" t="n">
        <v>45980</v>
      </c>
      <c r="I7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in-fe690f99e489109b</t>
        </is>
      </c>
      <c r="B75" t="inlineStr">
        <is>
          <t>Senior Applied Scientist, Artificial General Intelligence</t>
        </is>
      </c>
      <c r="C75" t="inlineStr">
        <is>
          <t>Amazon.com</t>
        </is>
      </c>
      <c r="D75" t="inlineStr">
        <is>
          <t>indeed</t>
        </is>
      </c>
      <c r="E75">
        <f>HYPERLINK("https://www.indeed.com/viewjob?jk=fe690f99e489109b", "https://www.indeed.com/viewjob?jk=fe690f99e489109b")</f>
        <v/>
      </c>
      <c r="F75">
        <f>HYPERLINK("https://www.amazon.jobs/jobs/3131971/senior-applied-scientist-artificial-general-intelligence?cmpid=DA_INAD200785B", "https://www.amazon.jobs/jobs/3131971/senior-applied-scientist-artificial-general-intelligence?cmpid=DA_INAD200785B")</f>
        <v/>
      </c>
      <c r="G75" t="inlineStr">
        <is>
          <t>Sunnyvale, CA, US</t>
        </is>
      </c>
      <c r="H75" s="3" t="n">
        <v>45980</v>
      </c>
      <c r="I7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in-5610e40a30d70f2e</t>
        </is>
      </c>
      <c r="B76" t="inlineStr">
        <is>
          <t>Applied Scientist II, SPB Advertiser Guidance</t>
        </is>
      </c>
      <c r="C76" t="inlineStr">
        <is>
          <t>Amazon.com</t>
        </is>
      </c>
      <c r="D76" t="inlineStr">
        <is>
          <t>indeed</t>
        </is>
      </c>
      <c r="E76">
        <f>HYPERLINK("https://www.indeed.com/viewjob?jk=5610e40a30d70f2e", "https://www.indeed.com/viewjob?jk=5610e40a30d70f2e")</f>
        <v/>
      </c>
      <c r="F76">
        <f>HYPERLINK("https://www.amazon.jobs/jobs/3131876/applied-scientist-ii-spb-advertiser-guidance?cmpid=DA_INAD200785B", "https://www.amazon.jobs/jobs/3131876/applied-scientist-ii-spb-advertiser-guidance?cmpid=DA_INAD200785B")</f>
        <v/>
      </c>
      <c r="G76" t="inlineStr">
        <is>
          <t>New York, NY, US</t>
        </is>
      </c>
      <c r="H76" s="3" t="n">
        <v>45980</v>
      </c>
      <c r="I7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in-61393b701796e3bb</t>
        </is>
      </c>
      <c r="B77" t="inlineStr">
        <is>
          <t>Applied Scientist II, SPB Advertiser Guidance</t>
        </is>
      </c>
      <c r="C77" t="inlineStr">
        <is>
          <t>Amazon.com</t>
        </is>
      </c>
      <c r="D77" t="inlineStr">
        <is>
          <t>indeed</t>
        </is>
      </c>
      <c r="E77">
        <f>HYPERLINK("https://www.indeed.com/viewjob?jk=61393b701796e3bb", "https://www.indeed.com/viewjob?jk=61393b701796e3bb")</f>
        <v/>
      </c>
      <c r="F77">
        <f>HYPERLINK("https://www.amazon.jobs/jobs/3131876/applied-scientist-ii-spb-advertiser-guidance?cmpid=DA_INAD200785B", "https://www.amazon.jobs/jobs/3131876/applied-scientist-ii-spb-advertiser-guidance?cmpid=DA_INAD200785B")</f>
        <v/>
      </c>
      <c r="G77" t="inlineStr">
        <is>
          <t>Palo Alto, CA, US</t>
        </is>
      </c>
      <c r="H77" s="3" t="n">
        <v>45980</v>
      </c>
      <c r="I7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in-4cf2b1891d962886</t>
        </is>
      </c>
      <c r="B78" t="inlineStr">
        <is>
          <t>Applied Scientist II, SPB Advertiser Guidance</t>
        </is>
      </c>
      <c r="C78" t="inlineStr">
        <is>
          <t>Amazon.com</t>
        </is>
      </c>
      <c r="D78" t="inlineStr">
        <is>
          <t>indeed</t>
        </is>
      </c>
      <c r="E78">
        <f>HYPERLINK("https://www.indeed.com/viewjob?jk=4cf2b1891d962886", "https://www.indeed.com/viewjob?jk=4cf2b1891d962886")</f>
        <v/>
      </c>
      <c r="F78">
        <f>HYPERLINK("https://www.amazon.jobs/jobs/3131876/applied-scientist-ii-spb-advertiser-guidance?cmpid=DA_INAD200785B", "https://www.amazon.jobs/jobs/3131876/applied-scientist-ii-spb-advertiser-guidance?cmpid=DA_INAD200785B")</f>
        <v/>
      </c>
      <c r="G78" t="inlineStr">
        <is>
          <t>Seattle, WA, US</t>
        </is>
      </c>
      <c r="H78" s="3" t="n">
        <v>45980</v>
      </c>
      <c r="I7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in-9548a38573317c99</t>
        </is>
      </c>
      <c r="B79" t="inlineStr">
        <is>
          <t>Principal Applied Scientist, Sponsored Products and Brands</t>
        </is>
      </c>
      <c r="C79" t="inlineStr">
        <is>
          <t>Amazon.com</t>
        </is>
      </c>
      <c r="D79" t="inlineStr">
        <is>
          <t>indeed</t>
        </is>
      </c>
      <c r="E79">
        <f>HYPERLINK("https://www.indeed.com/viewjob?jk=9548a38573317c99", "https://www.indeed.com/viewjob?jk=9548a38573317c99")</f>
        <v/>
      </c>
      <c r="F79">
        <f>HYPERLINK("https://www.amazon.jobs/jobs/3130855/principal-applied-scientist-sponsored-products-and-brands?cmpid=DA_INAD200785B", "https://www.amazon.jobs/jobs/3130855/principal-applied-scientist-sponsored-products-and-brands?cmpid=DA_INAD200785B")</f>
        <v/>
      </c>
      <c r="G79" t="inlineStr">
        <is>
          <t>New York, NY, US</t>
        </is>
      </c>
      <c r="H79" s="3" t="n">
        <v>45979</v>
      </c>
      <c r="I7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in-16aa09b4dbafe2ad</t>
        </is>
      </c>
      <c r="B80" t="inlineStr">
        <is>
          <t>Principal Applied Scientist, Sponsored Products and Brands</t>
        </is>
      </c>
      <c r="C80" t="inlineStr">
        <is>
          <t>Amazon.com</t>
        </is>
      </c>
      <c r="D80" t="inlineStr">
        <is>
          <t>indeed</t>
        </is>
      </c>
      <c r="E80">
        <f>HYPERLINK("https://www.indeed.com/viewjob?jk=16aa09b4dbafe2ad", "https://www.indeed.com/viewjob?jk=16aa09b4dbafe2ad")</f>
        <v/>
      </c>
      <c r="F80">
        <f>HYPERLINK("https://www.amazon.jobs/jobs/3130855/principal-applied-scientist-sponsored-products-and-brands?cmpid=DA_INAD200785B", "https://www.amazon.jobs/jobs/3130855/principal-applied-scientist-sponsored-products-and-brands?cmpid=DA_INAD200785B")</f>
        <v/>
      </c>
      <c r="G80" t="inlineStr">
        <is>
          <t>Seattle, WA, US</t>
        </is>
      </c>
      <c r="H80" s="3" t="n">
        <v>45979</v>
      </c>
      <c r="I8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in-3b783192c45746ba</t>
        </is>
      </c>
      <c r="B81" t="inlineStr">
        <is>
          <t>Applied Scientist II, Robotics and ML, Amazon Industrial Robotics</t>
        </is>
      </c>
      <c r="C81" t="inlineStr">
        <is>
          <t>Amazon.com</t>
        </is>
      </c>
      <c r="D81" t="inlineStr">
        <is>
          <t>indeed</t>
        </is>
      </c>
      <c r="E81">
        <f>HYPERLINK("https://www.indeed.com/viewjob?jk=3b783192c45746ba", "https://www.indeed.com/viewjob?jk=3b783192c45746ba")</f>
        <v/>
      </c>
      <c r="F81">
        <f>HYPERLINK("https://www.amazon.jobs/jobs/3128219/applied-scientist-ii-robotics-and-ml-amazon-industrial-robotics?cmpid=DA_INAD200785B", "https://www.amazon.jobs/jobs/3128219/applied-scientist-ii-robotics-and-ml-amazon-industrial-robotics?cmpid=DA_INAD200785B")</f>
        <v/>
      </c>
      <c r="G81" t="inlineStr">
        <is>
          <t>Reading, MA, US</t>
        </is>
      </c>
      <c r="H81" s="3" t="n">
        <v>45975</v>
      </c>
      <c r="I8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in-33138f913a51b1b3</t>
        </is>
      </c>
      <c r="B82" t="inlineStr">
        <is>
          <t>Applied Scientist II, Robotics and ML, Amazon Industrial Robotics</t>
        </is>
      </c>
      <c r="C82" t="inlineStr">
        <is>
          <t>Amazon.com</t>
        </is>
      </c>
      <c r="D82" t="inlineStr">
        <is>
          <t>indeed</t>
        </is>
      </c>
      <c r="E82">
        <f>HYPERLINK("https://www.indeed.com/viewjob?jk=33138f913a51b1b3", "https://www.indeed.com/viewjob?jk=33138f913a51b1b3")</f>
        <v/>
      </c>
      <c r="F82">
        <f>HYPERLINK("https://www.amazon.jobs/jobs/3128219/applied-scientist-ii-robotics-and-ml-amazon-industrial-robotics?cmpid=DA_INAD200785B", "https://www.amazon.jobs/jobs/3128219/applied-scientist-ii-robotics-and-ml-amazon-industrial-robotics?cmpid=DA_INAD200785B")</f>
        <v/>
      </c>
      <c r="G82" t="inlineStr">
        <is>
          <t>Reading, MA, US</t>
        </is>
      </c>
      <c r="H82" s="3" t="n">
        <v>45975</v>
      </c>
      <c r="I8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in-8cc2a94784770eaf</t>
        </is>
      </c>
      <c r="B83" t="inlineStr">
        <is>
          <t>Sr. Applied Scientist, Amazon Industrial Robotics</t>
        </is>
      </c>
      <c r="C83" t="inlineStr">
        <is>
          <t>Amazon.com</t>
        </is>
      </c>
      <c r="D83" t="inlineStr">
        <is>
          <t>indeed</t>
        </is>
      </c>
      <c r="E83">
        <f>HYPERLINK("https://www.indeed.com/viewjob?jk=8cc2a94784770eaf", "https://www.indeed.com/viewjob?jk=8cc2a94784770eaf")</f>
        <v/>
      </c>
      <c r="F83">
        <f>HYPERLINK("https://www.amazon.jobs/jobs/3128751/sr-applied-scientist-amazon-industrial-robotics?cmpid=DA_INAD200785B", "https://www.amazon.jobs/jobs/3128751/sr-applied-scientist-amazon-industrial-robotics?cmpid=DA_INAD200785B")</f>
        <v/>
      </c>
      <c r="G83" t="inlineStr">
        <is>
          <t>Reading, MA, US</t>
        </is>
      </c>
      <c r="H83" s="3" t="n">
        <v>45973</v>
      </c>
      <c r="I8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in-71daa461cf675d69</t>
        </is>
      </c>
      <c r="B84" t="inlineStr">
        <is>
          <t>Sr. Applied Scientist, Amazon Industrial Robotics</t>
        </is>
      </c>
      <c r="C84" t="inlineStr">
        <is>
          <t>Amazon.com</t>
        </is>
      </c>
      <c r="D84" t="inlineStr">
        <is>
          <t>indeed</t>
        </is>
      </c>
      <c r="E84">
        <f>HYPERLINK("https://www.indeed.com/viewjob?jk=71daa461cf675d69", "https://www.indeed.com/viewjob?jk=71daa461cf675d69")</f>
        <v/>
      </c>
      <c r="F84">
        <f>HYPERLINK("https://www.amazon.jobs/jobs/3128751/sr-applied-scientist-amazon-industrial-robotics?cmpid=DA_INAD200785B", "https://www.amazon.jobs/jobs/3128751/sr-applied-scientist-amazon-industrial-robotics?cmpid=DA_INAD200785B")</f>
        <v/>
      </c>
      <c r="G84" t="inlineStr">
        <is>
          <t>Reading, MA, US</t>
        </is>
      </c>
      <c r="H84" s="3" t="n">
        <v>45973</v>
      </c>
      <c r="I8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in-6ed880d5535884e7</t>
        </is>
      </c>
      <c r="B85" t="inlineStr">
        <is>
          <t>Senior Applied Scientist, Planning and Controls, Amazon Industrial Robotics</t>
        </is>
      </c>
      <c r="C85" t="inlineStr">
        <is>
          <t>Amazon.com</t>
        </is>
      </c>
      <c r="D85" t="inlineStr">
        <is>
          <t>indeed</t>
        </is>
      </c>
      <c r="E85">
        <f>HYPERLINK("https://www.indeed.com/viewjob?jk=6ed880d5535884e7", "https://www.indeed.com/viewjob?jk=6ed880d5535884e7")</f>
        <v/>
      </c>
      <c r="F85">
        <f>HYPERLINK("https://www.amazon.jobs/jobs/3127891/senior-applied-scientist-planning-and-controls-amazon-industrial-robotics?cmpid=DA_INAD200785B", "https://www.amazon.jobs/jobs/3127891/senior-applied-scientist-planning-and-controls-amazon-industrial-robotics?cmpid=DA_INAD200785B")</f>
        <v/>
      </c>
      <c r="G85" t="inlineStr">
        <is>
          <t>Reading, MA, US</t>
        </is>
      </c>
      <c r="H85" s="3" t="n">
        <v>45972</v>
      </c>
      <c r="I8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in-7ecb13ea3ade6117</t>
        </is>
      </c>
      <c r="B86" t="inlineStr">
        <is>
          <t>Senior Applied Scientist, Planning and Controls, Amazon Industrial Robotics</t>
        </is>
      </c>
      <c r="C86" t="inlineStr">
        <is>
          <t>Amazon.com</t>
        </is>
      </c>
      <c r="D86" t="inlineStr">
        <is>
          <t>indeed</t>
        </is>
      </c>
      <c r="E86">
        <f>HYPERLINK("https://www.indeed.com/viewjob?jk=7ecb13ea3ade6117", "https://www.indeed.com/viewjob?jk=7ecb13ea3ade6117")</f>
        <v/>
      </c>
      <c r="F86">
        <f>HYPERLINK("https://www.amazon.jobs/jobs/3127891/senior-applied-scientist-planning-and-controls-amazon-industrial-robotics?cmpid=DA_INAD200785B", "https://www.amazon.jobs/jobs/3127891/senior-applied-scientist-planning-and-controls-amazon-industrial-robotics?cmpid=DA_INAD200785B")</f>
        <v/>
      </c>
      <c r="G86" t="inlineStr">
        <is>
          <t>Reading, MA, US</t>
        </is>
      </c>
      <c r="H86" s="3" t="n">
        <v>45972</v>
      </c>
      <c r="I8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unprecedented scale, working with world\-class teams pushing the boundaries of what's possible in robotic manipulation, locomotion, and human\-robot interaction.
We are seeking an Applied Scientist to develop innovative and scalable solutions in motion planning and feedback controls for complex robotic systems. In this role, you will take responsibility for developing robot physics models, performing analysis, and devising and implementing algorithms for the control and estimation of robotic systems.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Conduct research, design, implement, and assess feedback control and motion planning algorithms, ensuring integration across various disciplines.
* Develop experiments and build prototypes to implement control algorithms, planners, and optimization techniques.
* Collaborate closely with software engineering teams to ensure scalable, real\-time implementation of algorithms.
* Partner with cross\-functional engineering teams to deploy algorithms from initial prototyping to production\-level implementation.
* Engage with stakeholders across hardware, scientific, and operational teams to iterate on system design and implementation.
**BASIC QUALIFICATIONS**
------------------------
* Experience programming in Java, C\+\+, Python or related language
* PhD in engineering, technology, computer science, machine learning, robotics, operations research, statistics, mathematics or equivalent quantitative field
* Experience in building machine learning models for business application
* 5\+ years of industry or academic research experience in applied research and development in robotics, with a focus on motion planning and feedback controls.
**PREFERRED QUALIFICATIONS**
----------------------------
* Experience in patents or publications at top\-tier peer\-reviewed conferences or journals
* Proven ability to innovate and develop robust and scalable solutions to complex robotics problems.
* Experience in trajectory optimization for multi\-degree\-of\-freedom (multi\-DOF) robotic systems
* Experience in designing controllers using Model Predictive Control, Optimal Control,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in-688f6d55ed512492</t>
        </is>
      </c>
      <c r="B87" t="inlineStr">
        <is>
          <t>Principal Applied Scientist, Amazon AGI</t>
        </is>
      </c>
      <c r="C87" t="inlineStr">
        <is>
          <t>Amazon.com</t>
        </is>
      </c>
      <c r="D87" t="inlineStr">
        <is>
          <t>indeed</t>
        </is>
      </c>
      <c r="E87">
        <f>HYPERLINK("https://www.indeed.com/viewjob?jk=688f6d55ed512492", "https://www.indeed.com/viewjob?jk=688f6d55ed512492")</f>
        <v/>
      </c>
      <c r="F87">
        <f>HYPERLINK("https://www.amazon.jobs/jobs/3128808/principal-applied-scientist-amazon-agi?cmpid=DA_INAD200785B", "https://www.amazon.jobs/jobs/3128808/principal-applied-scientist-amazon-agi?cmpid=DA_INAD200785B")</f>
        <v/>
      </c>
      <c r="G87" t="inlineStr">
        <is>
          <t>San Francisco, CA, US</t>
        </is>
      </c>
      <c r="H87" s="3" t="n">
        <v>45964</v>
      </c>
      <c r="I8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in-8f673f74f41426ab</t>
        </is>
      </c>
      <c r="B88" t="inlineStr">
        <is>
          <t>Principal Applied Scientist, Amazon AGI</t>
        </is>
      </c>
      <c r="C88" t="inlineStr">
        <is>
          <t>Amazon.com</t>
        </is>
      </c>
      <c r="D88" t="inlineStr">
        <is>
          <t>indeed</t>
        </is>
      </c>
      <c r="E88">
        <f>HYPERLINK("https://www.indeed.com/viewjob?jk=8f673f74f41426ab", "https://www.indeed.com/viewjob?jk=8f673f74f41426ab")</f>
        <v/>
      </c>
      <c r="F88">
        <f>HYPERLINK("https://www.amazon.jobs/jobs/3128808/principal-applied-scientist-amazon-agi?cmpid=DA_INAD200785B", "https://www.amazon.jobs/jobs/3128808/principal-applied-scientist-amazon-agi?cmpid=DA_INAD200785B")</f>
        <v/>
      </c>
      <c r="G88" t="inlineStr">
        <is>
          <t>Boston, MA, US</t>
        </is>
      </c>
      <c r="H88" s="3" t="n">
        <v>45964</v>
      </c>
      <c r="I8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in-cf56dadf6087702b</t>
        </is>
      </c>
      <c r="B89" t="inlineStr">
        <is>
          <t>Principal Applied Scientist, AWS Agentic AI Science</t>
        </is>
      </c>
      <c r="C89" t="inlineStr">
        <is>
          <t>Amazon Web Services</t>
        </is>
      </c>
      <c r="D89" t="inlineStr">
        <is>
          <t>indeed</t>
        </is>
      </c>
      <c r="E89">
        <f>HYPERLINK("https://www.indeed.com/viewjob?jk=cf56dadf6087702b", "https://www.indeed.com/viewjob?jk=cf56dadf6087702b")</f>
        <v/>
      </c>
      <c r="F89">
        <f>HYPERLINK("https://www.amazon.jobs/jobs/3132887/principal-applied-scientist-aws-agentic-ai-science?cmpid=DA_INAD200785B", "https://www.amazon.jobs/jobs/3132887/principal-applied-scientist-aws-agentic-ai-science?cmpid=DA_INAD200785B")</f>
        <v/>
      </c>
      <c r="G89" t="inlineStr">
        <is>
          <t>New York, NY, US</t>
        </is>
      </c>
      <c r="H89" s="3" t="n">
        <v>45963</v>
      </c>
      <c r="I89"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in-4b004e05b7c84b80</t>
        </is>
      </c>
      <c r="B90" t="inlineStr">
        <is>
          <t>Principal Applied Scientist, AWS Agentic AI Science</t>
        </is>
      </c>
      <c r="C90" t="inlineStr">
        <is>
          <t>Amazon Web Services</t>
        </is>
      </c>
      <c r="D90" t="inlineStr">
        <is>
          <t>indeed</t>
        </is>
      </c>
      <c r="E90">
        <f>HYPERLINK("https://www.indeed.com/viewjob?jk=4b004e05b7c84b80", "https://www.indeed.com/viewjob?jk=4b004e05b7c84b80")</f>
        <v/>
      </c>
      <c r="F90">
        <f>HYPERLINK("https://www.amazon.jobs/jobs/3132887/principal-applied-scientist-aws-agentic-ai-science?cmpid=DA_INAD200785B", "https://www.amazon.jobs/jobs/3132887/principal-applied-scientist-aws-agentic-ai-science?cmpid=DA_INAD200785B")</f>
        <v/>
      </c>
      <c r="G90" t="inlineStr">
        <is>
          <t>Santa Clara, CA, US</t>
        </is>
      </c>
      <c r="H90" s="3" t="n">
        <v>45963</v>
      </c>
      <c r="I90"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in-0b7663218af2b5f5</t>
        </is>
      </c>
      <c r="B91" t="inlineStr">
        <is>
          <t>Sr. Applied Scientist, Sponsored Product Off-Search</t>
        </is>
      </c>
      <c r="C91" t="inlineStr">
        <is>
          <t>Amazon.com</t>
        </is>
      </c>
      <c r="D91" t="inlineStr">
        <is>
          <t>indeed</t>
        </is>
      </c>
      <c r="E91">
        <f>HYPERLINK("https://www.indeed.com/viewjob?jk=0b7663218af2b5f5", "https://www.indeed.com/viewjob?jk=0b7663218af2b5f5")</f>
        <v/>
      </c>
      <c r="F91">
        <f>HYPERLINK("https://www.amazon.jobs/jobs/3120815/sr-applied-scientist-sponsored-product-offsearch-?cmpid=DA_INAD200785B", "https://www.amazon.jobs/jobs/3120815/sr-applied-scientist-sponsored-product-offsearch-?cmpid=DA_INAD200785B")</f>
        <v/>
      </c>
      <c r="G91" t="inlineStr">
        <is>
          <t>Seattle, WA, US</t>
        </is>
      </c>
      <c r="H91" s="3" t="n">
        <v>45963</v>
      </c>
      <c r="I91"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in-91cfb27ccfbebded</t>
        </is>
      </c>
      <c r="B92" t="inlineStr">
        <is>
          <t>Sr. Applied Scientist, Sponsored Product Off-Search</t>
        </is>
      </c>
      <c r="C92" t="inlineStr">
        <is>
          <t>Amazon.com</t>
        </is>
      </c>
      <c r="D92" t="inlineStr">
        <is>
          <t>indeed</t>
        </is>
      </c>
      <c r="E92">
        <f>HYPERLINK("https://www.indeed.com/viewjob?jk=91cfb27ccfbebded", "https://www.indeed.com/viewjob?jk=91cfb27ccfbebded")</f>
        <v/>
      </c>
      <c r="F92">
        <f>HYPERLINK("https://www.amazon.jobs/jobs/3120815/sr-applied-scientist-sponsored-product-offsearch-?cmpid=DA_INAD200785B", "https://www.amazon.jobs/jobs/3120815/sr-applied-scientist-sponsored-product-offsearch-?cmpid=DA_INAD200785B")</f>
        <v/>
      </c>
      <c r="G92" t="inlineStr">
        <is>
          <t>New York, NY, US</t>
        </is>
      </c>
      <c r="H92" s="3" t="n">
        <v>45963</v>
      </c>
      <c r="I92"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in-02794f23f3a4b978</t>
        </is>
      </c>
      <c r="B93" t="inlineStr">
        <is>
          <t>Applied Scientist, AWS Agentic AI</t>
        </is>
      </c>
      <c r="C93" t="inlineStr">
        <is>
          <t>Amazon Web Services</t>
        </is>
      </c>
      <c r="D93" t="inlineStr">
        <is>
          <t>indeed</t>
        </is>
      </c>
      <c r="E93">
        <f>HYPERLINK("https://www.indeed.com/viewjob?jk=02794f23f3a4b978", "https://www.indeed.com/viewjob?jk=02794f23f3a4b978")</f>
        <v/>
      </c>
      <c r="F93">
        <f>HYPERLINK("https://www.amazon.jobs/jobs/3141517/applied-scientist-aws-agentic-ai-?cmpid=DA_INAD200785B", "https://www.amazon.jobs/jobs/3141517/applied-scientist-aws-agentic-ai-?cmpid=DA_INAD200785B")</f>
        <v/>
      </c>
      <c r="G93" t="inlineStr">
        <is>
          <t>New York, NY, US</t>
        </is>
      </c>
      <c r="H93" s="3" t="n">
        <v>45962</v>
      </c>
      <c r="I9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in-a8c346b52776af3f</t>
        </is>
      </c>
      <c r="B94" t="inlineStr">
        <is>
          <t>Applied Scientist, AWS Agentic AI</t>
        </is>
      </c>
      <c r="C94" t="inlineStr">
        <is>
          <t>Amazon Web Services</t>
        </is>
      </c>
      <c r="D94" t="inlineStr">
        <is>
          <t>indeed</t>
        </is>
      </c>
      <c r="E94">
        <f>HYPERLINK("https://www.indeed.com/viewjob?jk=a8c346b52776af3f", "https://www.indeed.com/viewjob?jk=a8c346b52776af3f")</f>
        <v/>
      </c>
      <c r="F94">
        <f>HYPERLINK("https://www.amazon.jobs/jobs/3141517/applied-scientist-aws-agentic-ai-?cmpid=DA_INAD200785B", "https://www.amazon.jobs/jobs/3141517/applied-scientist-aws-agentic-ai-?cmpid=DA_INAD200785B")</f>
        <v/>
      </c>
      <c r="G94" t="inlineStr">
        <is>
          <t>Santa Clara, CA, US</t>
        </is>
      </c>
      <c r="H94" s="3" t="n">
        <v>45962</v>
      </c>
      <c r="I9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in-0b7c2ef16feb525b</t>
        </is>
      </c>
      <c r="B95" t="inlineStr">
        <is>
          <t>Applied Scientist, AWS Agentic AI</t>
        </is>
      </c>
      <c r="C95" t="inlineStr">
        <is>
          <t>Amazon Web Services</t>
        </is>
      </c>
      <c r="D95" t="inlineStr">
        <is>
          <t>indeed</t>
        </is>
      </c>
      <c r="E95">
        <f>HYPERLINK("https://www.indeed.com/viewjob?jk=0b7c2ef16feb525b", "https://www.indeed.com/viewjob?jk=0b7c2ef16feb525b")</f>
        <v/>
      </c>
      <c r="F95">
        <f>HYPERLINK("https://www.amazon.jobs/jobs/3141517/applied-scientist-aws-agentic-ai-?cmpid=DA_INAD200785B", "https://www.amazon.jobs/jobs/3141517/applied-scientist-aws-agentic-ai-?cmpid=DA_INAD200785B")</f>
        <v/>
      </c>
      <c r="G95" t="inlineStr">
        <is>
          <t>Seattle, WA, US</t>
        </is>
      </c>
      <c r="H95" s="3" t="n">
        <v>45962</v>
      </c>
      <c r="I9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in-d12a35238f62816e</t>
        </is>
      </c>
      <c r="B96" t="inlineStr">
        <is>
          <t>Principal Applied Scientist, Advertiser Growth, Amazon Sponsored Products &amp; Brands</t>
        </is>
      </c>
      <c r="C96" t="inlineStr">
        <is>
          <t>Amazon.com</t>
        </is>
      </c>
      <c r="D96" t="inlineStr">
        <is>
          <t>indeed</t>
        </is>
      </c>
      <c r="E96">
        <f>HYPERLINK("https://www.indeed.com/viewjob?jk=d12a35238f62816e", "https://www.indeed.com/viewjob?jk=d12a35238f62816e")</f>
        <v/>
      </c>
      <c r="F96">
        <f>HYPERLINK("https://www.amazon.jobs/jobs/3115279/principal-applied-scientist-advertiser-growth-amazon-sponsored-products--brands?cmpid=DA_INAD200785B", "https://www.amazon.jobs/jobs/3115279/principal-applied-scientist-advertiser-growth-amazon-sponsored-products--brands?cmpid=DA_INAD200785B")</f>
        <v/>
      </c>
      <c r="G96" t="inlineStr">
        <is>
          <t>New York, NY, US</t>
        </is>
      </c>
      <c r="H96" s="3" t="n">
        <v>45942</v>
      </c>
      <c r="I9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in-2917699021cd78d5</t>
        </is>
      </c>
      <c r="B97" t="inlineStr">
        <is>
          <t>Principal Applied Scientist, Advertiser Growth, Amazon Sponsored Products &amp; Brands</t>
        </is>
      </c>
      <c r="C97" t="inlineStr">
        <is>
          <t>Amazon.com</t>
        </is>
      </c>
      <c r="D97" t="inlineStr">
        <is>
          <t>indeed</t>
        </is>
      </c>
      <c r="E97">
        <f>HYPERLINK("https://www.indeed.com/viewjob?jk=2917699021cd78d5", "https://www.indeed.com/viewjob?jk=2917699021cd78d5")</f>
        <v/>
      </c>
      <c r="F97">
        <f>HYPERLINK("https://www.amazon.jobs/jobs/3115279/principal-applied-scientist-advertiser-growth-amazon-sponsored-products--brands?cmpid=DA_INAD200785B", "https://www.amazon.jobs/jobs/3115279/principal-applied-scientist-advertiser-growth-amazon-sponsored-products--brands?cmpid=DA_INAD200785B")</f>
        <v/>
      </c>
      <c r="G97" t="inlineStr">
        <is>
          <t>Palo Alto, CA, US</t>
        </is>
      </c>
      <c r="H97" s="3" t="n">
        <v>45942</v>
      </c>
      <c r="I9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in-f4a0ddf66f5269dd</t>
        </is>
      </c>
      <c r="B98" t="inlineStr">
        <is>
          <t>Principal Applied Scientist, Advertiser Growth, Amazon Sponsored Products &amp; Brands</t>
        </is>
      </c>
      <c r="C98" t="inlineStr">
        <is>
          <t>Amazon.com</t>
        </is>
      </c>
      <c r="D98" t="inlineStr">
        <is>
          <t>indeed</t>
        </is>
      </c>
      <c r="E98">
        <f>HYPERLINK("https://www.indeed.com/viewjob?jk=f4a0ddf66f5269dd", "https://www.indeed.com/viewjob?jk=f4a0ddf66f5269dd")</f>
        <v/>
      </c>
      <c r="F98">
        <f>HYPERLINK("https://www.amazon.jobs/jobs/3115279/principal-applied-scientist-advertiser-growth-amazon-sponsored-products--brands?cmpid=DA_INAD200785B", "https://www.amazon.jobs/jobs/3115279/principal-applied-scientist-advertiser-growth-amazon-sponsored-products--brands?cmpid=DA_INAD200785B")</f>
        <v/>
      </c>
      <c r="G98" t="inlineStr">
        <is>
          <t>Seattle, WA, US</t>
        </is>
      </c>
      <c r="H98" s="3" t="n">
        <v>45942</v>
      </c>
      <c r="I9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in-c7d719d3a51ac353</t>
        </is>
      </c>
      <c r="B99" t="inlineStr">
        <is>
          <t>Applied Scientist</t>
        </is>
      </c>
      <c r="C99" t="inlineStr">
        <is>
          <t>Amazon.com</t>
        </is>
      </c>
      <c r="D99" t="inlineStr">
        <is>
          <t>indeed</t>
        </is>
      </c>
      <c r="E99">
        <f>HYPERLINK("https://www.indeed.com/viewjob?jk=c7d719d3a51ac353", "https://www.indeed.com/viewjob?jk=c7d719d3a51ac353")</f>
        <v/>
      </c>
      <c r="F99">
        <f>HYPERLINK("https://www.amazon.jobs/jobs/3106501/applied-scientist?cmpid=DA_INAD200785B", "https://www.amazon.jobs/jobs/3106501/applied-scientist?cmpid=DA_INAD200785B")</f>
        <v/>
      </c>
      <c r="G99" t="inlineStr">
        <is>
          <t>Seattle, WA, US</t>
        </is>
      </c>
      <c r="H99" s="3" t="n">
        <v>45939</v>
      </c>
      <c r="I9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in-ee161c98c0d73145</t>
        </is>
      </c>
      <c r="B100" t="inlineStr">
        <is>
          <t>Sr. Applied Scientist, SPB Advertiser Guidance</t>
        </is>
      </c>
      <c r="C100" t="inlineStr">
        <is>
          <t>Amazon.com</t>
        </is>
      </c>
      <c r="D100" t="inlineStr">
        <is>
          <t>indeed</t>
        </is>
      </c>
      <c r="E100">
        <f>HYPERLINK("https://www.indeed.com/viewjob?jk=ee161c98c0d73145", "https://www.indeed.com/viewjob?jk=ee161c98c0d73145")</f>
        <v/>
      </c>
      <c r="F100">
        <f>HYPERLINK("https://www.amazon.jobs/jobs/3106497/sr-applied-scientist-spb-advertiser-guidance?cmpid=DA_INAD200785B", "https://www.amazon.jobs/jobs/3106497/sr-applied-scientist-spb-advertiser-guidance?cmpid=DA_INAD200785B")</f>
        <v/>
      </c>
      <c r="G100" t="inlineStr">
        <is>
          <t>Palo Alto, CA, US</t>
        </is>
      </c>
      <c r="H100" s="3" t="n">
        <v>45939</v>
      </c>
      <c r="I10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in-6a0e9aaab1cb997d</t>
        </is>
      </c>
      <c r="B101" t="inlineStr">
        <is>
          <t>Applied Scientist</t>
        </is>
      </c>
      <c r="C101" t="inlineStr">
        <is>
          <t>Amazon.com</t>
        </is>
      </c>
      <c r="D101" t="inlineStr">
        <is>
          <t>indeed</t>
        </is>
      </c>
      <c r="E101">
        <f>HYPERLINK("https://www.indeed.com/viewjob?jk=6a0e9aaab1cb997d", "https://www.indeed.com/viewjob?jk=6a0e9aaab1cb997d")</f>
        <v/>
      </c>
      <c r="F101">
        <f>HYPERLINK("https://www.amazon.jobs/jobs/3106501/applied-scientist?cmpid=DA_INAD200785B", "https://www.amazon.jobs/jobs/3106501/applied-scientist?cmpid=DA_INAD200785B")</f>
        <v/>
      </c>
      <c r="G101" t="inlineStr">
        <is>
          <t>New York, NY, US</t>
        </is>
      </c>
      <c r="H101" s="3" t="n">
        <v>45939</v>
      </c>
      <c r="I10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in-b82712439138d133</t>
        </is>
      </c>
      <c r="B102" t="inlineStr">
        <is>
          <t>Applied Scientist</t>
        </is>
      </c>
      <c r="C102" t="inlineStr">
        <is>
          <t>Amazon.com</t>
        </is>
      </c>
      <c r="D102" t="inlineStr">
        <is>
          <t>indeed</t>
        </is>
      </c>
      <c r="E102">
        <f>HYPERLINK("https://www.indeed.com/viewjob?jk=b82712439138d133", "https://www.indeed.com/viewjob?jk=b82712439138d133")</f>
        <v/>
      </c>
      <c r="F102">
        <f>HYPERLINK("https://www.amazon.jobs/jobs/3106501/applied-scientist?cmpid=DA_INAD200785B", "https://www.amazon.jobs/jobs/3106501/applied-scientist?cmpid=DA_INAD200785B")</f>
        <v/>
      </c>
      <c r="G102" t="inlineStr">
        <is>
          <t>Palo Alto, CA, US</t>
        </is>
      </c>
      <c r="H102" s="3" t="n">
        <v>45939</v>
      </c>
      <c r="I10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in-2c02d892d0266a32</t>
        </is>
      </c>
      <c r="B103" t="inlineStr">
        <is>
          <t>Sr. Applied Scientist, SPB Advertiser Guidance</t>
        </is>
      </c>
      <c r="C103" t="inlineStr">
        <is>
          <t>Amazon.com</t>
        </is>
      </c>
      <c r="D103" t="inlineStr">
        <is>
          <t>indeed</t>
        </is>
      </c>
      <c r="E103">
        <f>HYPERLINK("https://www.indeed.com/viewjob?jk=2c02d892d0266a32", "https://www.indeed.com/viewjob?jk=2c02d892d0266a32")</f>
        <v/>
      </c>
      <c r="F103">
        <f>HYPERLINK("https://www.amazon.jobs/jobs/3106497/sr-applied-scientist-spb-advertiser-guidance?cmpid=DA_INAD200785B", "https://www.amazon.jobs/jobs/3106497/sr-applied-scientist-spb-advertiser-guidance?cmpid=DA_INAD200785B")</f>
        <v/>
      </c>
      <c r="G103" t="inlineStr">
        <is>
          <t>New York, NY, US</t>
        </is>
      </c>
      <c r="H103" s="3" t="n">
        <v>45939</v>
      </c>
      <c r="I10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in-83dc405c2add6041</t>
        </is>
      </c>
      <c r="B104" t="inlineStr">
        <is>
          <t>Sr. Applied Scientist, SPB Advertiser Guidance</t>
        </is>
      </c>
      <c r="C104" t="inlineStr">
        <is>
          <t>Amazon.com</t>
        </is>
      </c>
      <c r="D104" t="inlineStr">
        <is>
          <t>indeed</t>
        </is>
      </c>
      <c r="E104">
        <f>HYPERLINK("https://www.indeed.com/viewjob?jk=83dc405c2add6041", "https://www.indeed.com/viewjob?jk=83dc405c2add6041")</f>
        <v/>
      </c>
      <c r="F104">
        <f>HYPERLINK("https://www.amazon.jobs/jobs/3106497/sr-applied-scientist-spb-advertiser-guidance?cmpid=DA_INAD200785B", "https://www.amazon.jobs/jobs/3106497/sr-applied-scientist-spb-advertiser-guidance?cmpid=DA_INAD200785B")</f>
        <v/>
      </c>
      <c r="G104" t="inlineStr">
        <is>
          <t>Seattle, WA, US</t>
        </is>
      </c>
      <c r="H104" s="3" t="n">
        <v>45939</v>
      </c>
      <c r="I10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in-744a2f9a8976246f</t>
        </is>
      </c>
      <c r="B105" t="inlineStr">
        <is>
          <t>Senior Applied Scientist, Sponsored Products and Brands</t>
        </is>
      </c>
      <c r="C105" t="inlineStr">
        <is>
          <t>Amazon.com</t>
        </is>
      </c>
      <c r="D105" t="inlineStr">
        <is>
          <t>indeed</t>
        </is>
      </c>
      <c r="E105">
        <f>HYPERLINK("https://www.indeed.com/viewjob?jk=744a2f9a8976246f", "https://www.indeed.com/viewjob?jk=744a2f9a8976246f")</f>
        <v/>
      </c>
      <c r="F105">
        <f>HYPERLINK("https://www.amazon.jobs/jobs/3094886/senior-applied-scientist-sponsored-products-and-brands?cmpid=DA_INAD200785B", "https://www.amazon.jobs/jobs/3094886/senior-applied-scientist-sponsored-products-and-brands?cmpid=DA_INAD200785B")</f>
        <v/>
      </c>
      <c r="G105" t="inlineStr">
        <is>
          <t>Seattle, WA, US</t>
        </is>
      </c>
      <c r="H105" s="3" t="n">
        <v>45922</v>
      </c>
      <c r="I10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in-7a006d7287a57d99</t>
        </is>
      </c>
      <c r="B106" t="inlineStr">
        <is>
          <t>Senior Applied Scientist, Sponsored Products and Brands</t>
        </is>
      </c>
      <c r="C106" t="inlineStr">
        <is>
          <t>Amazon.com</t>
        </is>
      </c>
      <c r="D106" t="inlineStr">
        <is>
          <t>indeed</t>
        </is>
      </c>
      <c r="E106">
        <f>HYPERLINK("https://www.indeed.com/viewjob?jk=7a006d7287a57d99", "https://www.indeed.com/viewjob?jk=7a006d7287a57d99")</f>
        <v/>
      </c>
      <c r="F106">
        <f>HYPERLINK("https://www.amazon.jobs/jobs/3094886/senior-applied-scientist-sponsored-products-and-brands?cmpid=DA_INAD200785B", "https://www.amazon.jobs/jobs/3094886/senior-applied-scientist-sponsored-products-and-brands?cmpid=DA_INAD200785B")</f>
        <v/>
      </c>
      <c r="G106" t="inlineStr">
        <is>
          <t>New York, NY, US</t>
        </is>
      </c>
      <c r="H106" s="3" t="n">
        <v>45922</v>
      </c>
      <c r="I10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in-652867ea81adf0fd</t>
        </is>
      </c>
      <c r="B107" t="inlineStr">
        <is>
          <t>Applied Scientist, Workplace Health &amp; Safety</t>
        </is>
      </c>
      <c r="C107" t="inlineStr">
        <is>
          <t>Amazon.com</t>
        </is>
      </c>
      <c r="D107" t="inlineStr">
        <is>
          <t>indeed</t>
        </is>
      </c>
      <c r="E107">
        <f>HYPERLINK("https://www.indeed.com/viewjob?jk=652867ea81adf0fd", "https://www.indeed.com/viewjob?jk=652867ea81adf0fd")</f>
        <v/>
      </c>
      <c r="F107">
        <f>HYPERLINK("https://www.amazon.jobs/jobs/3144886/applied-scientist-workplace-health--safety-?cmpid=DA_INAD200785B", "https://www.amazon.jobs/jobs/3144886/applied-scientist-workplace-health--safety-?cmpid=DA_INAD200785B")</f>
        <v/>
      </c>
      <c r="G107" t="inlineStr">
        <is>
          <t>Nashville, TN, US</t>
        </is>
      </c>
      <c r="H107" s="3" t="n">
        <v>45917</v>
      </c>
      <c r="I10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in-2cff0c6e9bea4912</t>
        </is>
      </c>
      <c r="B108" t="inlineStr">
        <is>
          <t>Applied Scientist, Workplace Health &amp; Safety</t>
        </is>
      </c>
      <c r="C108" t="inlineStr">
        <is>
          <t>Amazon.com</t>
        </is>
      </c>
      <c r="D108" t="inlineStr">
        <is>
          <t>indeed</t>
        </is>
      </c>
      <c r="E108">
        <f>HYPERLINK("https://www.indeed.com/viewjob?jk=2cff0c6e9bea4912", "https://www.indeed.com/viewjob?jk=2cff0c6e9bea4912")</f>
        <v/>
      </c>
      <c r="F108">
        <f>HYPERLINK("https://www.amazon.jobs/jobs/3144886/applied-scientist-workplace-health--safety-?cmpid=DA_INAD200785B", "https://www.amazon.jobs/jobs/3144886/applied-scientist-workplace-health--safety-?cmpid=DA_INAD200785B")</f>
        <v/>
      </c>
      <c r="G108" t="inlineStr">
        <is>
          <t>Bellevue, WA, US</t>
        </is>
      </c>
      <c r="H108" s="3" t="n">
        <v>45917</v>
      </c>
      <c r="I10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in-c49aafff21ddbf75</t>
        </is>
      </c>
      <c r="B109" t="inlineStr">
        <is>
          <t>Sr. Applied Scientist, Amazon Advertising</t>
        </is>
      </c>
      <c r="C109" t="inlineStr">
        <is>
          <t>Amazon.com</t>
        </is>
      </c>
      <c r="D109" t="inlineStr">
        <is>
          <t>indeed</t>
        </is>
      </c>
      <c r="E109">
        <f>HYPERLINK("https://www.indeed.com/viewjob?jk=c49aafff21ddbf75", "https://www.indeed.com/viewjob?jk=c49aafff21ddbf75")</f>
        <v/>
      </c>
      <c r="F109">
        <f>HYPERLINK("https://www.amazon.jobs/jobs/3035686/sr-applied-scientist-amazon-advertising?cmpid=DA_INAD200785B", "https://www.amazon.jobs/jobs/3035686/sr-applied-scientist-amazon-advertising?cmpid=DA_INAD200785B")</f>
        <v/>
      </c>
      <c r="G109" t="inlineStr">
        <is>
          <t>Arlington, VA, US</t>
        </is>
      </c>
      <c r="H109" s="3"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in-4db1d4da766f0b10</t>
        </is>
      </c>
      <c r="B110" t="inlineStr">
        <is>
          <t>Sr. Applied Scientist, Amazon Advertising</t>
        </is>
      </c>
      <c r="C110" t="inlineStr">
        <is>
          <t>Amazon.com</t>
        </is>
      </c>
      <c r="D110" t="inlineStr">
        <is>
          <t>indeed</t>
        </is>
      </c>
      <c r="E110">
        <f>HYPERLINK("https://www.indeed.com/viewjob?jk=4db1d4da766f0b10", "https://www.indeed.com/viewjob?jk=4db1d4da766f0b10")</f>
        <v/>
      </c>
      <c r="F110">
        <f>HYPERLINK("https://www.amazon.jobs/jobs/3035686/sr-applied-scientist-amazon-advertising?cmpid=DA_INAD200785B", "https://www.amazon.jobs/jobs/3035686/sr-applied-scientist-amazon-advertising?cmpid=DA_INAD200785B")</f>
        <v/>
      </c>
      <c r="G110" t="inlineStr">
        <is>
          <t>Simi Valley, CA, US</t>
        </is>
      </c>
      <c r="H110" s="3"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in-9f87d3551d6dcb11</t>
        </is>
      </c>
      <c r="B111" t="inlineStr">
        <is>
          <t>Sr. Applied Scientist, Amazon Advertising</t>
        </is>
      </c>
      <c r="C111" t="inlineStr">
        <is>
          <t>Amazon.com</t>
        </is>
      </c>
      <c r="D111" t="inlineStr">
        <is>
          <t>indeed</t>
        </is>
      </c>
      <c r="E111">
        <f>HYPERLINK("https://www.indeed.com/viewjob?jk=9f87d3551d6dcb11", "https://www.indeed.com/viewjob?jk=9f87d3551d6dcb11")</f>
        <v/>
      </c>
      <c r="F111">
        <f>HYPERLINK("https://www.amazon.jobs/jobs/3035686/sr-applied-scientist-amazon-advertising?cmpid=DA_INAD200785B", "https://www.amazon.jobs/jobs/3035686/sr-applied-scientist-amazon-advertising?cmpid=DA_INAD200785B")</f>
        <v/>
      </c>
      <c r="G111" t="inlineStr">
        <is>
          <t>West Hollywood, CA, US</t>
        </is>
      </c>
      <c r="H111" s="3"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in-35c2049dce63b3a2</t>
        </is>
      </c>
      <c r="B112" t="inlineStr">
        <is>
          <t>Sr. Applied Scientist, Amazon Advertising</t>
        </is>
      </c>
      <c r="C112" t="inlineStr">
        <is>
          <t>Amazon.com</t>
        </is>
      </c>
      <c r="D112" t="inlineStr">
        <is>
          <t>indeed</t>
        </is>
      </c>
      <c r="E112">
        <f>HYPERLINK("https://www.indeed.com/viewjob?jk=35c2049dce63b3a2", "https://www.indeed.com/viewjob?jk=35c2049dce63b3a2")</f>
        <v/>
      </c>
      <c r="F112">
        <f>HYPERLINK("https://www.amazon.jobs/jobs/3035686/sr-applied-scientist-amazon-advertising?cmpid=DA_INAD200785B", "https://www.amazon.jobs/jobs/3035686/sr-applied-scientist-amazon-advertising?cmpid=DA_INAD200785B")</f>
        <v/>
      </c>
      <c r="G112" t="inlineStr">
        <is>
          <t>Los Angeles, CA, US</t>
        </is>
      </c>
      <c r="H112" s="3"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in-9d0c2f20d75e5aa7</t>
        </is>
      </c>
      <c r="B113" t="inlineStr">
        <is>
          <t>Sr. Applied Scientist, Amazon Advertising</t>
        </is>
      </c>
      <c r="C113" t="inlineStr">
        <is>
          <t>Amazon.com</t>
        </is>
      </c>
      <c r="D113" t="inlineStr">
        <is>
          <t>indeed</t>
        </is>
      </c>
      <c r="E113">
        <f>HYPERLINK("https://www.indeed.com/viewjob?jk=9d0c2f20d75e5aa7", "https://www.indeed.com/viewjob?jk=9d0c2f20d75e5aa7")</f>
        <v/>
      </c>
      <c r="F113">
        <f>HYPERLINK("https://www.amazon.jobs/jobs/3035686/sr-applied-scientist-amazon-advertising?cmpid=DA_INAD200785B", "https://www.amazon.jobs/jobs/3035686/sr-applied-scientist-amazon-advertising?cmpid=DA_INAD200785B")</f>
        <v/>
      </c>
      <c r="G113" t="inlineStr">
        <is>
          <t>Austin, TX, US</t>
        </is>
      </c>
      <c r="H113" s="3"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in-5eef2d6d296b9a19</t>
        </is>
      </c>
      <c r="B114" t="inlineStr">
        <is>
          <t>Sr. Applied Scientist, Amazon Advertising</t>
        </is>
      </c>
      <c r="C114" t="inlineStr">
        <is>
          <t>Amazon.com</t>
        </is>
      </c>
      <c r="D114" t="inlineStr">
        <is>
          <t>indeed</t>
        </is>
      </c>
      <c r="E114">
        <f>HYPERLINK("https://www.indeed.com/viewjob?jk=5eef2d6d296b9a19", "https://www.indeed.com/viewjob?jk=5eef2d6d296b9a19")</f>
        <v/>
      </c>
      <c r="F114">
        <f>HYPERLINK("https://www.amazon.jobs/jobs/3035686/sr-applied-scientist-amazon-advertising?cmpid=DA_INAD200785B", "https://www.amazon.jobs/jobs/3035686/sr-applied-scientist-amazon-advertising?cmpid=DA_INAD200785B")</f>
        <v/>
      </c>
      <c r="G114" t="inlineStr">
        <is>
          <t>Palo Alto, CA, US</t>
        </is>
      </c>
      <c r="H114" s="3"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in-e4fce677417573ec</t>
        </is>
      </c>
      <c r="B115" t="inlineStr">
        <is>
          <t>Sr. Applied Scientist, Amazon Advertising</t>
        </is>
      </c>
      <c r="C115" t="inlineStr">
        <is>
          <t>Amazon.com</t>
        </is>
      </c>
      <c r="D115" t="inlineStr">
        <is>
          <t>indeed</t>
        </is>
      </c>
      <c r="E115">
        <f>HYPERLINK("https://www.indeed.com/viewjob?jk=e4fce677417573ec", "https://www.indeed.com/viewjob?jk=e4fce677417573ec")</f>
        <v/>
      </c>
      <c r="F115">
        <f>HYPERLINK("https://www.amazon.jobs/jobs/3035686/sr-applied-scientist-amazon-advertising?cmpid=DA_INAD200785B", "https://www.amazon.jobs/jobs/3035686/sr-applied-scientist-amazon-advertising?cmpid=DA_INAD200785B")</f>
        <v/>
      </c>
      <c r="G115" t="inlineStr">
        <is>
          <t>Seattle, WA, US</t>
        </is>
      </c>
      <c r="H115" s="3"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in-b941beaa0bb171da</t>
        </is>
      </c>
      <c r="B116" t="inlineStr">
        <is>
          <t>Sr. Applied Scientist, Amazon Advertising</t>
        </is>
      </c>
      <c r="C116" t="inlineStr">
        <is>
          <t>Amazon.com</t>
        </is>
      </c>
      <c r="D116" t="inlineStr">
        <is>
          <t>indeed</t>
        </is>
      </c>
      <c r="E116">
        <f>HYPERLINK("https://www.indeed.com/viewjob?jk=b941beaa0bb171da", "https://www.indeed.com/viewjob?jk=b941beaa0bb171da")</f>
        <v/>
      </c>
      <c r="F116">
        <f>HYPERLINK("https://www.amazon.jobs/jobs/3035686/sr-applied-scientist-amazon-advertising?cmpid=DA_INAD200785B", "https://www.amazon.jobs/jobs/3035686/sr-applied-scientist-amazon-advertising?cmpid=DA_INAD200785B")</f>
        <v/>
      </c>
      <c r="G116" t="inlineStr">
        <is>
          <t>New York, NY, US</t>
        </is>
      </c>
      <c r="H116" s="3"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in-73c5a87351f1bb0b</t>
        </is>
      </c>
      <c r="B117" t="inlineStr">
        <is>
          <t>Senior Applied Scientist, Artificial General Intelligence</t>
        </is>
      </c>
      <c r="C117" t="inlineStr">
        <is>
          <t>Amazon.com</t>
        </is>
      </c>
      <c r="D117" t="inlineStr">
        <is>
          <t>indeed</t>
        </is>
      </c>
      <c r="E117">
        <f>HYPERLINK("https://www.indeed.com/viewjob?jk=73c5a87351f1bb0b", "https://www.indeed.com/viewjob?jk=73c5a87351f1bb0b")</f>
        <v/>
      </c>
      <c r="F117">
        <f>HYPERLINK("https://www.amazon.jobs/jobs/3032183/senior-applied-scientist-artificial-general-intelligence?cmpid=DA_INAD200785B", "https://www.amazon.jobs/jobs/3032183/senior-applied-scientist-artificial-general-intelligence?cmpid=DA_INAD200785B")</f>
        <v/>
      </c>
      <c r="G117" t="inlineStr">
        <is>
          <t>New York, NY, US</t>
        </is>
      </c>
      <c r="H117" s="3" t="n">
        <v>45838</v>
      </c>
      <c r="I11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in-28ba63d3737c95db</t>
        </is>
      </c>
      <c r="B118" t="inlineStr">
        <is>
          <t>Senior Applied Scientist, Artificial General Intelligence</t>
        </is>
      </c>
      <c r="C118" t="inlineStr">
        <is>
          <t>Amazon.com</t>
        </is>
      </c>
      <c r="D118" t="inlineStr">
        <is>
          <t>indeed</t>
        </is>
      </c>
      <c r="E118">
        <f>HYPERLINK("https://www.indeed.com/viewjob?jk=28ba63d3737c95db", "https://www.indeed.com/viewjob?jk=28ba63d3737c95db")</f>
        <v/>
      </c>
      <c r="F118">
        <f>HYPERLINK("https://www.amazon.jobs/jobs/3032183/senior-applied-scientist-artificial-general-intelligence?cmpid=DA_INAD200785B", "https://www.amazon.jobs/jobs/3032183/senior-applied-scientist-artificial-general-intelligence?cmpid=DA_INAD200785B")</f>
        <v/>
      </c>
      <c r="G118" t="inlineStr">
        <is>
          <t>Sunnyvale, CA, US</t>
        </is>
      </c>
      <c r="H118" s="3" t="n">
        <v>45838</v>
      </c>
      <c r="I11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in-db47c9e60d4767b2</t>
        </is>
      </c>
      <c r="B119" t="inlineStr">
        <is>
          <t>Senior Applied Scientist, Artificial General Intelligence</t>
        </is>
      </c>
      <c r="C119" t="inlineStr">
        <is>
          <t>Amazon.com</t>
        </is>
      </c>
      <c r="D119" t="inlineStr">
        <is>
          <t>indeed</t>
        </is>
      </c>
      <c r="E119">
        <f>HYPERLINK("https://www.indeed.com/viewjob?jk=db47c9e60d4767b2", "https://www.indeed.com/viewjob?jk=db47c9e60d4767b2")</f>
        <v/>
      </c>
      <c r="F119">
        <f>HYPERLINK("https://www.amazon.jobs/jobs/3032183/senior-applied-scientist-artificial-general-intelligence?cmpid=DA_INAD200785B", "https://www.amazon.jobs/jobs/3032183/senior-applied-scientist-artificial-general-intelligence?cmpid=DA_INAD200785B")</f>
        <v/>
      </c>
      <c r="G119" t="inlineStr">
        <is>
          <t>Boston, MA, US</t>
        </is>
      </c>
      <c r="H119" s="3" t="n">
        <v>45838</v>
      </c>
      <c r="I11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in-d95447fb6e2f81cd</t>
        </is>
      </c>
      <c r="B120" t="inlineStr">
        <is>
          <t>Sr. Applied Scientist, Sales AI</t>
        </is>
      </c>
      <c r="C120" t="inlineStr">
        <is>
          <t>Amazon.com</t>
        </is>
      </c>
      <c r="D120" t="inlineStr">
        <is>
          <t>indeed</t>
        </is>
      </c>
      <c r="E120">
        <f>HYPERLINK("https://www.indeed.com/viewjob?jk=d95447fb6e2f81cd", "https://www.indeed.com/viewjob?jk=d95447fb6e2f81cd")</f>
        <v/>
      </c>
      <c r="F120">
        <f>HYPERLINK("https://www.amazon.jobs/jobs/3020528/sr-applied-scientist-sales-ai?cmpid=DA_INAD200785B", "https://www.amazon.jobs/jobs/3020528/sr-applied-scientist-sales-ai?cmpid=DA_INAD200785B")</f>
        <v/>
      </c>
      <c r="G120" t="inlineStr">
        <is>
          <t>Seattle, WA, US</t>
        </is>
      </c>
      <c r="H120" s="3" t="n">
        <v>45830</v>
      </c>
      <c r="I12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in-9787a376248ee92e</t>
        </is>
      </c>
      <c r="B121" t="inlineStr">
        <is>
          <t>Sr. Applied Scientist, Sales AI</t>
        </is>
      </c>
      <c r="C121" t="inlineStr">
        <is>
          <t>Amazon.com</t>
        </is>
      </c>
      <c r="D121" t="inlineStr">
        <is>
          <t>indeed</t>
        </is>
      </c>
      <c r="E121">
        <f>HYPERLINK("https://www.indeed.com/viewjob?jk=9787a376248ee92e", "https://www.indeed.com/viewjob?jk=9787a376248ee92e")</f>
        <v/>
      </c>
      <c r="F121">
        <f>HYPERLINK("https://www.amazon.jobs/jobs/3020528/sr-applied-scientist-sales-ai?cmpid=DA_INAD200785B", "https://www.amazon.jobs/jobs/3020528/sr-applied-scientist-sales-ai?cmpid=DA_INAD200785B")</f>
        <v/>
      </c>
      <c r="G121" t="inlineStr">
        <is>
          <t>New York, NY, US</t>
        </is>
      </c>
      <c r="H121" s="3" t="n">
        <v>45830</v>
      </c>
      <c r="I12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in-d4965072bc5dce75</t>
        </is>
      </c>
      <c r="B122" t="inlineStr">
        <is>
          <t>Sr. Applied Scientist, Sales AI</t>
        </is>
      </c>
      <c r="C122" t="inlineStr">
        <is>
          <t>Amazon.com</t>
        </is>
      </c>
      <c r="D122" t="inlineStr">
        <is>
          <t>indeed</t>
        </is>
      </c>
      <c r="E122">
        <f>HYPERLINK("https://www.indeed.com/viewjob?jk=d4965072bc5dce75", "https://www.indeed.com/viewjob?jk=d4965072bc5dce75")</f>
        <v/>
      </c>
      <c r="F122">
        <f>HYPERLINK("https://www.amazon.jobs/jobs/3020528/sr-applied-scientist-sales-ai?cmpid=DA_INAD200785B", "https://www.amazon.jobs/jobs/3020528/sr-applied-scientist-sales-ai?cmpid=DA_INAD200785B")</f>
        <v/>
      </c>
      <c r="G122" t="inlineStr">
        <is>
          <t>Sunnyvale, CA, US</t>
        </is>
      </c>
      <c r="H122" s="3" t="n">
        <v>45830</v>
      </c>
      <c r="I12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in-345fc73280c73fdb</t>
        </is>
      </c>
      <c r="B123" t="inlineStr">
        <is>
          <t>Sr. Applied Scientist, AGI Info</t>
        </is>
      </c>
      <c r="C123" t="inlineStr">
        <is>
          <t>Amazon.com</t>
        </is>
      </c>
      <c r="D123" t="inlineStr">
        <is>
          <t>indeed</t>
        </is>
      </c>
      <c r="E123">
        <f>HYPERLINK("https://www.indeed.com/viewjob?jk=345fc73280c73fdb", "https://www.indeed.com/viewjob?jk=345fc73280c73fdb")</f>
        <v/>
      </c>
      <c r="F123">
        <f>HYPERLINK("https://www.amazon.jobs/jobs/2999351/sr-applied-scientist-agi-info?cmpid=DA_INAD200785B", "https://www.amazon.jobs/jobs/2999351/sr-applied-scientist-agi-info?cmpid=DA_INAD200785B")</f>
        <v/>
      </c>
      <c r="G123" t="inlineStr">
        <is>
          <t>Bellevue, WA, US</t>
        </is>
      </c>
      <c r="H123" s="3" t="n">
        <v>45811</v>
      </c>
      <c r="I12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in-83aa10442c63e0e1</t>
        </is>
      </c>
      <c r="B124" t="inlineStr">
        <is>
          <t>Sr. Applied Scientist, AGI Info</t>
        </is>
      </c>
      <c r="C124" t="inlineStr">
        <is>
          <t>Amazon.com</t>
        </is>
      </c>
      <c r="D124" t="inlineStr">
        <is>
          <t>indeed</t>
        </is>
      </c>
      <c r="E124">
        <f>HYPERLINK("https://www.indeed.com/viewjob?jk=83aa10442c63e0e1", "https://www.indeed.com/viewjob?jk=83aa10442c63e0e1")</f>
        <v/>
      </c>
      <c r="F124">
        <f>HYPERLINK("https://www.amazon.jobs/jobs/2999351/sr-applied-scientist-agi-info?cmpid=DA_INAD200785B", "https://www.amazon.jobs/jobs/2999351/sr-applied-scientist-agi-info?cmpid=DA_INAD200785B")</f>
        <v/>
      </c>
      <c r="G124" t="inlineStr">
        <is>
          <t>Sunnyvale, CA, US</t>
        </is>
      </c>
      <c r="H124" s="3" t="n">
        <v>45811</v>
      </c>
      <c r="I124"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in-7d9f208225d090db</t>
        </is>
      </c>
      <c r="B125" t="inlineStr">
        <is>
          <t>Principal Applied Scientist, Delivery Foundation Model</t>
        </is>
      </c>
      <c r="C125" t="inlineStr">
        <is>
          <t>Amazon.com</t>
        </is>
      </c>
      <c r="D125" t="inlineStr">
        <is>
          <t>indeed</t>
        </is>
      </c>
      <c r="E125">
        <f>HYPERLINK("https://www.indeed.com/viewjob?jk=7d9f208225d090db", "https://www.indeed.com/viewjob?jk=7d9f208225d090db")</f>
        <v/>
      </c>
      <c r="F125">
        <f>HYPERLINK("https://www.amazon.jobs/jobs/3006938/principal-applied-scientist-delivery-foundation-model-?cmpid=DA_INAD200785B", "https://www.amazon.jobs/jobs/3006938/principal-applied-scientist-delivery-foundation-model-?cmpid=DA_INAD200785B")</f>
        <v/>
      </c>
      <c r="G125" t="inlineStr">
        <is>
          <t>New York, NY, US</t>
        </is>
      </c>
      <c r="H125" s="3" t="n">
        <v>45810</v>
      </c>
      <c r="I1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in-01f7a17ba92e6d05</t>
        </is>
      </c>
      <c r="B126" t="inlineStr">
        <is>
          <t>Principal Applied Scientist, Delivery Foundation Model</t>
        </is>
      </c>
      <c r="C126" t="inlineStr">
        <is>
          <t>Amazon.com</t>
        </is>
      </c>
      <c r="D126" t="inlineStr">
        <is>
          <t>indeed</t>
        </is>
      </c>
      <c r="E126">
        <f>HYPERLINK("https://www.indeed.com/viewjob?jk=01f7a17ba92e6d05", "https://www.indeed.com/viewjob?jk=01f7a17ba92e6d05")</f>
        <v/>
      </c>
      <c r="F126">
        <f>HYPERLINK("https://www.amazon.jobs/jobs/3006938/principal-applied-scientist-delivery-foundation-model-?cmpid=DA_INAD200785B", "https://www.amazon.jobs/jobs/3006938/principal-applied-scientist-delivery-foundation-model-?cmpid=DA_INAD200785B")</f>
        <v/>
      </c>
      <c r="G126" t="inlineStr">
        <is>
          <t>Bellevue, WA, US</t>
        </is>
      </c>
      <c r="H126" s="3" t="n">
        <v>45810</v>
      </c>
      <c r="I1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in-86b5258f4c4f2345</t>
        </is>
      </c>
      <c r="B127" t="inlineStr">
        <is>
          <t>Principal Applied Scientist, Delivery Foundation Model</t>
        </is>
      </c>
      <c r="C127" t="inlineStr">
        <is>
          <t>Amazon.com</t>
        </is>
      </c>
      <c r="D127" t="inlineStr">
        <is>
          <t>indeed</t>
        </is>
      </c>
      <c r="E127">
        <f>HYPERLINK("https://www.indeed.com/viewjob?jk=86b5258f4c4f2345", "https://www.indeed.com/viewjob?jk=86b5258f4c4f2345")</f>
        <v/>
      </c>
      <c r="F127">
        <f>HYPERLINK("https://www.amazon.jobs/jobs/3006938/principal-applied-scientist-delivery-foundation-model-?cmpid=DA_INAD200785B", "https://www.amazon.jobs/jobs/3006938/principal-applied-scientist-delivery-foundation-model-?cmpid=DA_INAD200785B")</f>
        <v/>
      </c>
      <c r="G127" t="inlineStr">
        <is>
          <t>Santa Clara, CA, US</t>
        </is>
      </c>
      <c r="H127" s="3" t="n">
        <v>45810</v>
      </c>
      <c r="I1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in-82b306a16bc94fd0</t>
        </is>
      </c>
      <c r="B128" t="inlineStr">
        <is>
          <t>Principal Applied Scientist, Delivery Foundation Model</t>
        </is>
      </c>
      <c r="C128" t="inlineStr">
        <is>
          <t>Amazon.com</t>
        </is>
      </c>
      <c r="D128" t="inlineStr">
        <is>
          <t>indeed</t>
        </is>
      </c>
      <c r="E128">
        <f>HYPERLINK("https://www.indeed.com/viewjob?jk=82b306a16bc94fd0", "https://www.indeed.com/viewjob?jk=82b306a16bc94fd0")</f>
        <v/>
      </c>
      <c r="F128">
        <f>HYPERLINK("https://www.amazon.jobs/jobs/3006938/principal-applied-scientist-delivery-foundation-model-?cmpid=DA_INAD200785B", "https://www.amazon.jobs/jobs/3006938/principal-applied-scientist-delivery-foundation-model-?cmpid=DA_INAD200785B")</f>
        <v/>
      </c>
      <c r="G128" t="inlineStr">
        <is>
          <t>Austin, TX, US</t>
        </is>
      </c>
      <c r="H128" s="3" t="n">
        <v>45810</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in-5fd34f050a943032</t>
        </is>
      </c>
      <c r="B129" t="inlineStr">
        <is>
          <t>Senior Applied Scientist, Delivery Foundation Model</t>
        </is>
      </c>
      <c r="C129" t="inlineStr">
        <is>
          <t>Amazon.com</t>
        </is>
      </c>
      <c r="D129" t="inlineStr">
        <is>
          <t>indeed</t>
        </is>
      </c>
      <c r="E129">
        <f>HYPERLINK("https://www.indeed.com/viewjob?jk=5fd34f050a943032", "https://www.indeed.com/viewjob?jk=5fd34f050a943032")</f>
        <v/>
      </c>
      <c r="F129">
        <f>HYPERLINK("https://www.amazon.jobs/jobs/2998435/senior-applied-scientist-delivery-foundation-model-?cmpid=DA_INAD200785B", "https://www.amazon.jobs/jobs/2998435/senior-applied-scientist-delivery-foundation-model-?cmpid=DA_INAD200785B")</f>
        <v/>
      </c>
      <c r="G129" t="inlineStr">
        <is>
          <t>Santa Clara, CA, US</t>
        </is>
      </c>
      <c r="H129" s="3" t="n">
        <v>45806</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in-a28479f6891a8191</t>
        </is>
      </c>
      <c r="B130" t="inlineStr">
        <is>
          <t>Senior Applied Scientist, Delivery Foundation Model</t>
        </is>
      </c>
      <c r="C130" t="inlineStr">
        <is>
          <t>Amazon.com</t>
        </is>
      </c>
      <c r="D130" t="inlineStr">
        <is>
          <t>indeed</t>
        </is>
      </c>
      <c r="E130">
        <f>HYPERLINK("https://www.indeed.com/viewjob?jk=a28479f6891a8191", "https://www.indeed.com/viewjob?jk=a28479f6891a8191")</f>
        <v/>
      </c>
      <c r="F130">
        <f>HYPERLINK("https://www.amazon.jobs/jobs/2998435/senior-applied-scientist-delivery-foundation-model-?cmpid=DA_INAD200785B", "https://www.amazon.jobs/jobs/2998435/senior-applied-scientist-delivery-foundation-model-?cmpid=DA_INAD200785B")</f>
        <v/>
      </c>
      <c r="G130" t="inlineStr">
        <is>
          <t>Bellevue, WA, US</t>
        </is>
      </c>
      <c r="H130" s="3" t="n">
        <v>45806</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in-acdd62f75611b639</t>
        </is>
      </c>
      <c r="B131" t="inlineStr">
        <is>
          <t>Senior Applied Scientist, Delivery Foundation Model</t>
        </is>
      </c>
      <c r="C131" t="inlineStr">
        <is>
          <t>Amazon.com</t>
        </is>
      </c>
      <c r="D131" t="inlineStr">
        <is>
          <t>indeed</t>
        </is>
      </c>
      <c r="E131">
        <f>HYPERLINK("https://www.indeed.com/viewjob?jk=acdd62f75611b639", "https://www.indeed.com/viewjob?jk=acdd62f75611b639")</f>
        <v/>
      </c>
      <c r="F131">
        <f>HYPERLINK("https://www.amazon.jobs/jobs/2998435/senior-applied-scientist-delivery-foundation-model-?cmpid=DA_INAD200785B", "https://www.amazon.jobs/jobs/2998435/senior-applied-scientist-delivery-foundation-model-?cmpid=DA_INAD200785B")</f>
        <v/>
      </c>
      <c r="G131" t="inlineStr">
        <is>
          <t>New York, NY, US</t>
        </is>
      </c>
      <c r="H131" s="3" t="n">
        <v>45806</v>
      </c>
      <c r="I1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in-6d42a0e7ea588068</t>
        </is>
      </c>
      <c r="B132" t="inlineStr">
        <is>
          <t>Principal Applied Scientist, Delivery Foundation Model</t>
        </is>
      </c>
      <c r="C132" t="inlineStr">
        <is>
          <t>Amazon.com</t>
        </is>
      </c>
      <c r="D132" t="inlineStr">
        <is>
          <t>indeed</t>
        </is>
      </c>
      <c r="E132">
        <f>HYPERLINK("https://www.indeed.com/viewjob?jk=6d42a0e7ea588068", "https://www.indeed.com/viewjob?jk=6d42a0e7ea588068")</f>
        <v/>
      </c>
      <c r="F132">
        <f>HYPERLINK("https://www.amazon.jobs/jobs/2998635/principal-applied-scientist-delivery-foundation-model-?cmpid=DA_INAD200785B", "https://www.amazon.jobs/jobs/2998635/principal-applied-scientist-delivery-foundation-model-?cmpid=DA_INAD200785B")</f>
        <v/>
      </c>
      <c r="G132" t="inlineStr">
        <is>
          <t>New York, NY, US</t>
        </is>
      </c>
      <c r="H132" s="3" t="n">
        <v>45757</v>
      </c>
      <c r="I13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in-9a3d68d7822bf16d</t>
        </is>
      </c>
      <c r="B133" t="inlineStr">
        <is>
          <t>Principal Applied Scientist, Delivery Foundation Model</t>
        </is>
      </c>
      <c r="C133" t="inlineStr">
        <is>
          <t>Amazon.com</t>
        </is>
      </c>
      <c r="D133" t="inlineStr">
        <is>
          <t>indeed</t>
        </is>
      </c>
      <c r="E133">
        <f>HYPERLINK("https://www.indeed.com/viewjob?jk=9a3d68d7822bf16d", "https://www.indeed.com/viewjob?jk=9a3d68d7822bf16d")</f>
        <v/>
      </c>
      <c r="F133">
        <f>HYPERLINK("https://www.amazon.jobs/jobs/2998635/principal-applied-scientist-delivery-foundation-model-?cmpid=DA_INAD200785B", "https://www.amazon.jobs/jobs/2998635/principal-applied-scientist-delivery-foundation-model-?cmpid=DA_INAD200785B")</f>
        <v/>
      </c>
      <c r="G133" t="inlineStr">
        <is>
          <t>Santa Clara, CA, US</t>
        </is>
      </c>
      <c r="H133" s="3" t="n">
        <v>45757</v>
      </c>
      <c r="I13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in-6ee370e784b376a0</t>
        </is>
      </c>
      <c r="B134" t="inlineStr">
        <is>
          <t>Principal Applied Scientist, Delivery Foundation Model</t>
        </is>
      </c>
      <c r="C134" t="inlineStr">
        <is>
          <t>Amazon.com</t>
        </is>
      </c>
      <c r="D134" t="inlineStr">
        <is>
          <t>indeed</t>
        </is>
      </c>
      <c r="E134">
        <f>HYPERLINK("https://www.indeed.com/viewjob?jk=6ee370e784b376a0", "https://www.indeed.com/viewjob?jk=6ee370e784b376a0")</f>
        <v/>
      </c>
      <c r="F134">
        <f>HYPERLINK("https://www.amazon.jobs/jobs/2998635/principal-applied-scientist-delivery-foundation-model-?cmpid=DA_INAD200785B", "https://www.amazon.jobs/jobs/2998635/principal-applied-scientist-delivery-foundation-model-?cmpid=DA_INAD200785B")</f>
        <v/>
      </c>
      <c r="G134" t="inlineStr">
        <is>
          <t>Bellevue, WA, US</t>
        </is>
      </c>
      <c r="H134" s="3" t="n">
        <v>45757</v>
      </c>
      <c r="I13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in-c34bbf701840c735</t>
        </is>
      </c>
      <c r="B135" t="inlineStr">
        <is>
          <t>Principal Applied Scientist, FAR (Frontier AI &amp; Robotics)</t>
        </is>
      </c>
      <c r="C135" t="inlineStr">
        <is>
          <t>Amazon.com</t>
        </is>
      </c>
      <c r="D135" t="inlineStr">
        <is>
          <t>indeed</t>
        </is>
      </c>
      <c r="E135">
        <f>HYPERLINK("https://www.indeed.com/viewjob?jk=c34bbf701840c735", "https://www.indeed.com/viewjob?jk=c34bbf701840c735")</f>
        <v/>
      </c>
      <c r="F135">
        <f>HYPERLINK("https://www.amazon.jobs/jobs/2938625/principal-applied-scientist-far-frontier-ai--robotics?cmpid=DA_INAD200785B", "https://www.amazon.jobs/jobs/2938625/principal-applied-scientist-far-frontier-ai--robotics?cmpid=DA_INAD200785B")</f>
        <v/>
      </c>
      <c r="G135" t="inlineStr">
        <is>
          <t>San Francisco, CA, US</t>
        </is>
      </c>
      <c r="H135" s="3" t="n">
        <v>45740</v>
      </c>
      <c r="I13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in-2fd595bbc923e017</t>
        </is>
      </c>
      <c r="B136" t="inlineStr">
        <is>
          <t>Principal Applied Scientist, FAR (Frontier AI &amp; Robotics)</t>
        </is>
      </c>
      <c r="C136" t="inlineStr">
        <is>
          <t>Amazon.com</t>
        </is>
      </c>
      <c r="D136" t="inlineStr">
        <is>
          <t>indeed</t>
        </is>
      </c>
      <c r="E136">
        <f>HYPERLINK("https://www.indeed.com/viewjob?jk=2fd595bbc923e017", "https://www.indeed.com/viewjob?jk=2fd595bbc923e017")</f>
        <v/>
      </c>
      <c r="F136">
        <f>HYPERLINK("https://www.amazon.jobs/jobs/2938625/principal-applied-scientist-far-frontier-ai--robotics?cmpid=DA_INAD200785B", "https://www.amazon.jobs/jobs/2938625/principal-applied-scientist-far-frontier-ai--robotics?cmpid=DA_INAD200785B")</f>
        <v/>
      </c>
      <c r="G136" t="inlineStr">
        <is>
          <t>Seattle, WA, US</t>
        </is>
      </c>
      <c r="H136" s="3" t="n">
        <v>45740</v>
      </c>
      <c r="I13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in-44b1726d6f35a0b1</t>
        </is>
      </c>
      <c r="B137" t="inlineStr">
        <is>
          <t>Senior Agentic AI Engineer</t>
        </is>
      </c>
      <c r="C137" t="inlineStr">
        <is>
          <t>Rockwell Automation</t>
        </is>
      </c>
      <c r="D137" t="inlineStr">
        <is>
          <t>indeed</t>
        </is>
      </c>
      <c r="E137">
        <f>HYPERLINK("https://www.indeed.com/viewjob?jk=44b1726d6f35a0b1", "https://www.indeed.com/viewjob?jk=44b1726d6f35a0b1")</f>
        <v/>
      </c>
      <c r="F137">
        <f>HYPERLINK("https://rockwellautomation.wd1.myworkdayjobs.com/en-US/External_Rockwell_Automation/job/Milwaukee-Wisconsin-United-States/Senior-Agentic-AI-Engineer_R25-9056", "https://rockwellautomation.wd1.myworkdayjobs.com/en-US/External_Rockwell_Automation/job/Milwaukee-Wisconsin-United-States/Senior-Agentic-AI-Engineer_R25-9056")</f>
        <v/>
      </c>
      <c r="G137" t="inlineStr">
        <is>
          <t>Milwaukee, WI, US</t>
        </is>
      </c>
      <c r="H137" s="3" t="n">
        <v>46048</v>
      </c>
      <c r="I137"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**Senior Agentic AI Engineer**
**Job Description**
Rockwell Automation is looking for an experienced **Agentic AI Engineer** to serve as a technical leader within our Data Science and Innovation Organization. This role is crucial for executing our enterprise AI vision by architecting, implementing, and deploying sophisticated Generative AI and Agentic AI solutions. We are looking for someone who is specialized in Generative AI. This specialization includes RAG pipelines, agentic frameworks, and LLM implementation. You have a proven track record of leading high\-impact projects, optimizing ML systems for performance, and building robust MLOps infrastructure in cloud\-native environments.
You will report to the Director MLE and Data Science Innovation.
**Key** **Responsibilities**
Agentic Framework Development involves designing, engineering, and deploying production\-ready multi\-agent systems and services. These systems and services utilize modern frameworks such as Microsoft Semantic Kernel, Azure AI Foundry Agents, or Google Agent Development Kit (ADK).
**Generative AI Pipeline Engineering (RAG):**
Architect and implement scalable end\-to\-end Retrieval\-Augmented Generation (RAG) pipelines. These pipelines include data ingestion, document processing, and embedding generation, such as using Azure OpenAI embeddings or Gemini embeddings. Additionally, they involve integration with vector and NoSQL databases.
**Azure MLOps and Deployment:** Lead the development of robust MLOps infrastructure for AI systems, leveraging Azure Machine Learning (AML) or Kubeflow for pipeline orchestration, alongside Docker for containerization. Deploy and manage scalable inference services on server less platforms like Azure Container Apps or Google Cloud Run.
**Performance Optimization:** Optimize model serving layers and high\-throughput data processing pipelines, employing advanced libraries (e.g., Polars) to ensure ultra\-low latency and efficient resource utilization across the cloud environment.
**System Architecture \&amp; Security:** involves designing and implementing secure system architectures for all new AI products. These architectures ensure strict compliance with enterprise\-wide data governance and security policies through mechanisms such as PII filtering and guarded conversation frameworks.
**Infrastructure Automation \&amp; CI/CD:** Use **Terraform** for provisioning and manage Azure infrastructure\-as\-code. Implement centralized observability (logging and alerting) to support automated and reproducible Continuous Integration/Continuous Deployment (CI/CD) pipelines.
**The Essentials \-** **You Will Have**
* Bachelor's Degree in Relevant Field
* Legal authorization to work in the U.S. We will not sponsor individuals for employment visas, now or in the future, for this job opening.
**The Preferred \- You Might Also Have:**
* Typically requires a minimum of 8 of relevant professional experience, with a focus on AI/ML Engineering and Agentic AI product development.
* Master of Science in Business Analytics, Data Science, or a similar quantitative discipline.
* Expert\-level proficiency in Python and SQL.
* Hands\-on experience developing and deploying Generative AI solutions, RAG pipelines, and multi\-agent frameworks, regardless of the underlying cloud vendor.
* Experience with major cloud platforms, specifically Microsoft Azure, Aws, or Google Cloud Platform (GCP).
* Worked on core MLOps and orchestration tools, including Docker, Airflow, and Kubeflow/Azure Machine Learning (AML).The
* Worked with vector search platforms like Azure Cosmos DB for PostgreSQL, Redis, Azure AI Search, or pgvector/Mongo Atlas.
* Familiarity with advanced statistical modeling techniques such as Causal Inference or Matrix Factorization.
* Experience optimizing large\-scale data processing using libraries like Polars.
* Familiarity with Scaled Agile Framework (SAFe) methodologies.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
**This position is part of a job family. Experience will be the determining factor for position level and compensation.**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\#LI\-Hybrid
\#LI\-PD1
\#lifeatrok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38">
      <c r="A138" t="inlineStr">
        <is>
          <t>in-88d88f15b98b7ff1</t>
        </is>
      </c>
      <c r="B138" t="inlineStr">
        <is>
          <t>AI/ML Engineer (Language Models / NLP)</t>
        </is>
      </c>
      <c r="C138" t="inlineStr">
        <is>
          <t>Shield Consulting Solutions</t>
        </is>
      </c>
      <c r="D138" t="inlineStr">
        <is>
          <t>indeed</t>
        </is>
      </c>
      <c r="E138">
        <f>HYPERLINK("https://www.indeed.com/viewjob?jk=88d88f15b98b7ff1", "https://www.indeed.com/viewjob?jk=88d88f15b98b7ff1")</f>
        <v/>
      </c>
      <c r="F138">
        <f>HYPERLINK("https://theapplicantmanager.com/jobs?pos=sh5081&amp;src=Indeed", "https://theapplicantmanager.com/jobs?pos=sh5081&amp;src=Indeed")</f>
        <v/>
      </c>
      <c r="G138" t="inlineStr">
        <is>
          <t>Annapolis Junction, MD, US</t>
        </is>
      </c>
      <c r="H138" s="3" t="n">
        <v>46048</v>
      </c>
      <c r="I138" t="inlineStr">
        <is>
          <t>\*\*Active TS/SCI w/Polygraph REQUIRED\*\* Please do not apply if you do not currently possess this level of clearance.
\-  
Telework: None  
Basic Requirements:
* 2 years experience in applied machine learning in programs and contracts of similar scope, type, and complexity is required.
* B.S. degree in advanced math (e.g., calculus, linear algebra or Bayesian statistics), computer science or related STEM discipline from an accredited college or university is required.
	+ 3 years of additional machine learning experience on projects with similar machine learning processes may be substituted for a bachelor’s degree.
Job Description:
* Seeking an AI/ML Engineer, responsible for building, training, fine\-tuning, and evaluating advanced language models.
* The ideal candidate will have hands\-on experience with state\-of\-the\-art machine learning techniques, specifically for natural language processing (NLP), and will also have a strong understanding of full\-stack development.
* This person will work across the model development lifecycle and collaborate with cross\-functional teams to deliver high\-impact solutions.
Key Responsibilities:
* Knowledge and experience of Language models is required
	+ Specific experience with Marian and multi\-lingual model development
* Knowledge of Computation Linguistics is a plus
* Experience with Open\-Source model libraries, Deep Learning Containers (DLC), GPU technologies and optimization / tuning
* Strong Java, C, C\+\+ programming experience
* Willingness to support occasional on\-call duties is a plus
Model Development \&amp; Training:
* Build, train, and fine\-tune machine learning models, particularly language models
* Apply best practices in model training, tuning, and optimization.
* Design and implement solutions for model performance improvement.
Evaluation \&amp; Testing:
* Conduct rigorous model evaluation, including performance analysis and benchmarking.
* Perform error analysis, debugging, and model diagnostics to ensure quality and reliability.
Model Deployment \&amp; Integration:
* Work with cloud\-based AI platforms (especially AWS Sagemaker) to deploy and scale models.
* Integrate machine learning models into production environments, ensuring seamless integration with other systems.
Full\-Stack Engineering:
* Contribute to the development and maintenance of the full stack for AI model\-based applications (front\-end and back\-end).
* Collaborate with software engineers to build scalable and efficient deployment pipelines.
Collaboration \&amp; Reporting:
* Work closely with data scientists, product teams, and engineers to translate business requirements into technical solutions.
* Document workflows, model design processes, and technical specifications.
Technical Skills:
* Strong proficiency in AI/ML frameworks such as TensorFlow, PyTorch, or Hugging Face.
* Expertise in model training, evaluation, and deployment.
* Hands\-on experience with AWS tools like SageMaker, Lambda, EC2, and S3\.
* Experience in developing full\-stack software applications (JavaScript, Python, Java, etc.).
* Solid understanding of data structures, algorithms, and system design.
Experience \&amp; Background:
* Extensive experience in machine learning model development, including natural language processing (NLP).
* Experience with model evaluation, optimization, and performance monitoring.
* Proven experience in software engineering with strong coding skills.
* Experience working in a government or defense\-related environment is highly preferred.
Additional Skills:
* Experience with model versioning and management using tools such as MLFlow or Git.
* Familiarity with containerization tools (i.e. Kubernetes).
* Strong problem\-solving and analytical skills.
* Excellent communication and collaboration abilities.
Nice to Have:
* Experience with secure data handling and compliance requirements
* Experience working with Large Language Models (LLMs)
\-  
Excellent benefits package including 25 days PTO, 11 paid holidays, 100% employer\-paid healthcare for employees and dependents – available day 1, 8% 401(k) employer match – immediate vesting.
Disclaimer: The salary range provided is an estimate based on current market conditions and may be adjusted based on factors such as experience, skills, and qualifications. The final salary offer will be determined after a thorough review of the candidate's background and alignment with the role. Please note that this range is subject to change and should be considered as a guideline rather than a definitive figure.  
Shield Consulting Solutions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row>
    <row r="139">
      <c r="A139" t="inlineStr">
        <is>
          <t>in-0e8b769d5ed11358</t>
        </is>
      </c>
      <c r="B139" t="inlineStr">
        <is>
          <t>Staff AI Engineer</t>
        </is>
      </c>
      <c r="C139" t="inlineStr">
        <is>
          <t>Collective Health</t>
        </is>
      </c>
      <c r="D139" t="inlineStr">
        <is>
          <t>indeed</t>
        </is>
      </c>
      <c r="E139">
        <f>HYPERLINK("https://www.indeed.com/viewjob?jk=0e8b769d5ed11358", "https://www.indeed.com/viewjob?jk=0e8b769d5ed11358")</f>
        <v/>
      </c>
      <c r="F139">
        <f>HYPERLINK("https://grnh.se/iyh132eu1us", "https://grnh.se/iyh132eu1us")</f>
        <v/>
      </c>
      <c r="G139" t="inlineStr">
        <is>
          <t>Lehi, UT, US</t>
        </is>
      </c>
      <c r="H139" s="3" t="n">
        <v>46048</v>
      </c>
      <c r="I139" t="inlineStr">
        <is>
          <t>At Collective Health, we're transforming how employers and their people engage with their health benefits by seamlessly integrating cutting\-edge technology, compassionate service, and world\-class user experience design.
\[Insert 2\-3 sentences about the team, how it fits into the company]
\[Insert 2\-3 sentences about the role, what would make it interesting to the right candidate, who they'll report to, etc]
### **What you'll do:**
* Set the technical vision, architecture, design and lead development and maintenance of highly scalable and performant AI applications.
* Lead our applied AI initiatives, collaborating closely with Engineering, Product and Business stakeholders to integrate advanced AI models into our products and services. This will include:
	+ Implementing and leveraging Google Gemini for enhanced conversational AI, content summarization, or intelligent search within our platform.
* Shape the technical roadmap for AI\-driven features and ensuring responsible AI development and deployment in a healthcare context.
* Drive the architectural evolution enhancing our member and client support experiences, potentially integrating AI for improved automation and intelligence.
* Mentor and guide junior to mid\-level engineers, fostering a culture of technical excellence, continuous learning, and collaborative problem\-solving within the team.
* Act as a subject matter expert, providing technical guidance and thought leadership to the team and broader organization on full\-stack development and applied AI.
* Collaborate extensively with cross\-functional partners, including Product Managers, Designers, Data Scientists, Analytics teams, and various Business Stakeholders. You'll translate business requirements into technical specifications, provide technical insights during ideation, and ensure technical solutions align with product vision and user needs.
* Contribute to all phases of the software development lifecycle, from initial concept and requirements gathering to design, implementation, testing, deployment, and ongoing maintenance.  
Ensure the highest standards of code quality, performance, and security through rigorous code reviews, automated testing, and adherence to architectural principles, especially concerning sensitive healthcare data (HIPAA compliance).
* Proactively identify and resolve complex technical challenges and production issues, driving continuous improvement.
* Stay ahead of emerging technologies and industry trends, particularly in full\-stack development, cloud computing, and artificial intelligence, and advocate for their strategic adoption.
### **To be successful in this role, you'll need:**
* Proven, hands\-on experience in designing, building, and launching production\-level AI experiences.
* 12\+ years of Software Development experience designing and developing high performing applications
* In\-depth knowledge and practical experience with the Google cloud platform.
* Experienced in prompt engineering, building, enhancing and maintaining custom RAG pipelines.
* Expert level in Python
* Experience with API integrations and connecting conversational interfaces with backend systems and data sources.
* Demonstrated ability to lead and mentor engineering teams, with a passion for sharing knowledge and fostering technical growth.
* Excellent communication and interpersonal skills, with the ability to collaborate effectively with cross\-functional teams and stakeholders.
* A strategic mindset with the ability to translate business needs into technical solutions and a long\-term vision for conversational AI.
### **Pay Transparency Statement**
This is a hybrid position based out of one of our offices: San Francisco, CA, Plano, TX, or Lehi, UT. Hybrid employees are expected to be in the office two days per week.\#LI\-hybrid
The actual pay rate offered within the range will depend on factors including geographic location, qualifications, experience, and internal equity. In addition to the salary, you will be eligible for 330,000 stock options and benefits like health insurance, 401k, and paid time off*.* Learn more about our benefits at https://jobs.collectivehealth.com/benefits/.
###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 **Privacy Notice**
For more information about why we need your data and how we use it, please see our privacy policy: https://collectivehealth.com/privacy\-policy/.</t>
        </is>
      </c>
    </row>
    <row r="140">
      <c r="A140" t="inlineStr">
        <is>
          <t>in-c0bf8b84dc96e665</t>
        </is>
      </c>
      <c r="B140" t="inlineStr">
        <is>
          <t>Java Full-Stack AI engineer</t>
        </is>
      </c>
      <c r="C140" t="inlineStr">
        <is>
          <t>ECS</t>
        </is>
      </c>
      <c r="D140" t="inlineStr">
        <is>
          <t>indeed</t>
        </is>
      </c>
      <c r="E140">
        <f>HYPERLINK("https://www.indeed.com/viewjob?jk=c0bf8b84dc96e665", "https://www.indeed.com/viewjob?jk=c0bf8b84dc96e665")</f>
        <v/>
      </c>
      <c r="F140">
        <f>HYPERLINK("https://recruiting.adp.com/srccsh/public/RTI.home?r=5001175695106&amp;c=2201039&amp;d=ExternalCareerSite&amp;rb=INDEED&amp;idUnique=5001175695106", "https://recruiting.adp.com/srccsh/public/RTI.home?r=5001175695106&amp;c=2201039&amp;d=ExternalCareerSite&amp;rb=INDEED&amp;idUnique=5001175695106")</f>
        <v/>
      </c>
      <c r="G140" t="inlineStr">
        <is>
          <t>Memphis, TN, US</t>
        </is>
      </c>
      <c r="H140" s="3" t="n">
        <v>46048</v>
      </c>
      <c r="I140" t="inlineStr">
        <is>
          <t>ECS is seeking a ***Java Full\-Stack AI Engineer*** to work in our ***Memphis, TN*** office*.*
ECS is seeking a highly skilled and motivated ***Java Full\-Stack AI Engineer***to support our USPS client. The candidate will enhance enterprise services and solutions for USPS, as part of an integrated evaluation, integration, strategy, design, implementation, and operational maintenance program. Participates in the design, development, and implementation of software engineering activities. Responsible for the development of components of many analytical tasks and activities. Establishes input/output processes and defining parameters for interfacing with external production systems and the implementation of system design. Must be able to provide and communicate technology solutions across technical, managerial and customer audiences. Responsible for the resolution process for problems where troubleshooting requires an in\-depth understanding and evaluation of system processes. Exercises judgment through understanding of software engineering best practices in selecting methods, techniques, and evaluation criterion for obtaining results. This role bridges traditional applications with modern AI\-driven data workflows, ensuring our systems are scalable, secure, and ready for intelligent automation. As this role will involve supporting rapidly evolving AI/ML projects and use cases, the candidate must have experience in any of the following areas: NLP, data provenance, LLMs/RAG, or deep learning.
**Responsibilities:**
* Design, develop and implement web\-based applications.
* Design, develop and implement highly complex applications utilizing Oracle and Java technologies.
* Demonstrate strong troubleshooting skills to solve complex problems across a large enterprise.
* Demonstrate a flexible attitude, ability to perform under pressure and ability to handle change easily while meeting deadlines.
* Communicate with technical and non\-technical audiences verbally and in writing to design efficient and effective applications.
* Work independently and in a team environment, to give and receive direction.
* Develop and revise Java source code based on clearly defined requirements.
* Experience in designing, architecting, and building Kafka based solutions.
* Extensive experience with messaging and stream processing on Kafka.
* Participate in code reviews for team members as well as yourself.
* Assist in the setup of production environments including application servers and database structure.
* Assist in the implementation of applications through various testing phases and into production environments.
* Must be able to communicate effectively, work in a team environment and think analytically.
* Perform maintenance on programs currently in production.
* Assist QA teams with writing test scripts and explaining functionality.
* Unit Testing candidate releases.
* Collaborate with other departments to ensure high availability and performance.
* Partner with data scientists, data architects, and federal stakeholders to deploy AI/ML models in production
Requirements:
* ***Master's Degree in Computer Science, Engineering, Mathematics, Business Management or equivalent.***
* ***Must be US citizen or Green Card Holder per contract and must be able to obtain a Public Trust clearance***
* 12\+ years of general experience in information systems, including 7 years of specialized experience providing state\-of\-the\-art solutions in information systems technology
* 5\+ years of experience with web technologies (HTML, CSS, JavaScript frameworks)
* 5\+ years of experience with Java server technologies (JEE, Spring Framework, Spring Boot)
* 3\+ years of experience with SQL and PL/SQL on Oracle or similar platform
* 5\+ years of experience with IBM MQ and stream processing on Kafka.
* Expertise in troubleshooting, performance tuning, and query optimization.
* Excellent communication, problem\-solving, and organizational skills.
* Ability to work independently and as part of a team.
* Experience with Large Language Models, NLP, GenAI, and scaling of AI tools
* Work comfortably in version control systems (e.g., Git)
* Partner with data scientists, data architects, and federal stakeholders to deploy AI/ML models in production
Req Benefits:
https://ecstech.com/careers/benefits/"\&gt;https://ecstech.com/careers/benefits/</t>
        </is>
      </c>
    </row>
    <row r="141">
      <c r="A141" t="inlineStr">
        <is>
          <t>in-dcdb948601d62547</t>
        </is>
      </c>
      <c r="B141" t="inlineStr">
        <is>
          <t>Artificial Intelligence Machine Learning Engineer</t>
        </is>
      </c>
      <c r="C141" t="inlineStr">
        <is>
          <t>Beusa Energy</t>
        </is>
      </c>
      <c r="D141" t="inlineStr">
        <is>
          <t>indeed</t>
        </is>
      </c>
      <c r="E141">
        <f>HYPERLINK("https://www.indeed.com/viewjob?jk=dcdb948601d62547", "https://www.indeed.com/viewjob?jk=dcdb948601d62547")</f>
        <v/>
      </c>
      <c r="F141">
        <f>HYPERLINK("https://www.paycomonline.net/v4/ats/web.php/jobs/ViewJobDetails?job=256077&amp;clientkey=F6B26FED7C26F1C0F187FC0DC94FBF34&amp;source=Indeed", "https://www.paycomonline.net/v4/ats/web.php/jobs/ViewJobDetails?job=256077&amp;clientkey=F6B26FED7C26F1C0F187FC0DC94FBF34&amp;source=Indeed")</f>
        <v/>
      </c>
      <c r="G141" t="inlineStr">
        <is>
          <t>The Woodlands, TX, US</t>
        </is>
      </c>
      <c r="H141" s="3" t="n">
        <v>46048</v>
      </c>
      <c r="I141" t="inlineStr">
        <is>
          <t>**Artificial Intelligence \- Machine Learning Engineer**
**Job Description**
**Department:** Data Technology**Job Status:** Full\-Time**FLSA Status:** Salary**\-**Exempt**Reports To:** Artificial Intelligence Machine Learning Manager**Location:** The Woodlands, TX**Amount of Travel Required:** Less than 10%**Work Schedule:** Monday \- Friday, 8 a.m. – 5 p.m.**Positions Supervised:** None**AIP:** Level 6  
**POSITION SUMMARY:**
The AI/ML Engineer designs, develops, and deploys Generative AI and traditional machine learning solutions across the BEUSA family of companies. This role focuses on hands\-on engineering: building models, data pipelines, and services that integrate with business processes to drive measurable impact. The ideal candidate is an engineer with strong fundamentals in ML/LLMs, solid software craft, and a collaborative mindset. You are comfortable owning features end\-to\-end, partnering with cross\-functional teams, and continuously learning new tools and methods.
The ideal candidate is a highly skilled engineer with deep technical expertise in AI/ML, a passion for Generative AI, and a collaborative mindset. This role requires strong problem\-solving skills, the ability to work independently, and a desire to stay at the forefront of AI/ML advancements.
**ESSENTIAL FUNCTIONS:** (The following duties and responsibilities are all essential job functions, as
defined by the ADA, except for those that begin with the word "may.")* **AI/ML Solution Development:**
	+ Design, implement, and deploy scalable AI/ML models (with emphasis on Generative AI applications such as LLMs, retrieval\-augmented generation, and prompt engineering).
	+ Build robust data pipelines, feature engineering workflows, and training/evaluation jobs using Python and standard ML libraries.
	+ Package and deploy models as services or batch jobs; implement inference pipelines and optimize for latency, throughput, and cost.
* **Generative AI Innovation:**
	+ Evaluate and integrate Generative AI models and frameworks (e.g., LLMs, embeddings, vector search, diffusion models) for defined use cases.
	+ Develop prompts, RAG pipelines, guardrails, and evaluation harnesses; conduct A/B and offline evaluations to improve output quality and safety.
* **MLOps/LLMOps Execution:**
	+ Apply best practices for experiment tracking, model versioning, CI/CD, monitoring, and alerting.
	+ Implement data and model quality checks, drift detection, and performance dashboards.
	+ Contribute infrastructure\-as\-code or configuration needed to run training/inference at scale in collaboration with platform teams.
* **Data and Systems Integration:**
	+ Integrate AI/ML services with existing data platforms and business systems (APIs, event streams, warehouses, BI).
	+ Collaborate with IT and data architecture teams to ensure reliable data access, security, and compliant deployments.
* **Stakeholder Collaboration:**
	+ Work closely with product, analytics, and business stakeholders to refine requirements, scope technical tasks, and deliver increments that meet acceptance criteria.
	+ Document designs, assumptions, and operational runbooks; communicate progress and trade\-offs clearly.
* **AI Ethics \&amp; Best Practices:**
	+ Implement privacy, security, safety, and fairness considerations in data handling and model behavior consistent with organizational guidelines.
	+ Contribute to model evaluation criteria, red\-teaming tests, and content filtering aligned with ethical standards.
* **Change Advocacy:**
	+ Promote understanding and adoption of AI across all levels of the organization, training stakeholders on AI’s benefits, risks, and ethical implications.
* **Infrastructure \&amp; Systems Integration:**
	+ Partner with IT and data architecture teams to ensure robust data pipelines and infrastructure, enabling the successful deployment and scaling of AI solutions.
* **KPI Development \&amp; Monitoring:**
	+ Develop and monitor KPIs to track the success of AI initiatives, providing insights on performance, ROI, and opportunities for improvement.
* **Continuous Learning:**
	+ Stay up to date on emerging trends in Generative AI and traditional data science to ensure the company adopts cutting\-edge methods and tools.
* Perform other related duties as assigned to assist with successful operations and business continuity.
**POSITION REQUIREMENTS:*** Successfully passes all applicable general pre\-employment testing including but not limited to: background check, pre\-employment drug screening, pre\-employment fit tests, pre\-employment aptitude and/or competency assessment(s).
* Proficiency in the spoken English language
* Position requires in\-person, predictable attendance
* Valid U.S. Driver’s License required. Employment is contingent upon meeting the company's driving standards, including an acceptable Motor Vehicle Record (MVR) in accordance with Company policy.
**EDUCATION/EXPERIENCE LEVEL*** Bachelor’s or Master’s degree in Data Science, Computer Science, Engineering, Mathematics, or a related field.
* 2–5 years of professional experience developing and deploying machine learning models in production.
* 1\+ year of hands\-on experience implementing Generative AI solutions in production or pilot environments.
* Experience with Databricks or similar data/ML platforms.
* Oil \&amp; Gas industry experience is a plus.
**QUALIFICATIONS, SKILLS, COMPETENCIES, AND ABILITIES:****Technical Expertise:*** Proficiency in Python and common ML/AI libraries and tools (e.g., scikit\-learn, PyTorch or TensorFlow, Transformers, LangChain/LlamaIndex or equivalent).
* Practical experience with LLMs and Generative AI (prompt engineering, RAG, embeddings, vector databases, safety/guardrails, evaluation).
* Working knowledge of MLOps best practices: experimentation, versioning, CI/CD, containerization, monitoring, and observability.
* Experience deploying in cloud environments (AWS, Azure, or GCP) and using services relevant to data/ML (e.g., serverless, Kubernetes, managed ML services).
* Ability to design and optimize data pipelines (batch/stream) and model serving workflows.
**Business \&amp; Communication Skills:*** Excellent verbal and written communication skills, with the ability to present technical topics to both technical and non\-technical audiences.
* Proven ability to work independently, manage multiple priorities, and deliver results in a fast\-paced environment.
* Proven ability to break down requirements, estimate work, manage priorities, and deliver in a fast\-paced environment.
* Experience collaborating with cross\-functional teams to deliver business\-driven AI/ML solutions.
* Team\-oriented, proactive, and detail\-driven with a focus on measurable business outcomes.
**Curiosity \&amp; Growth Mindset:*** A high degree of curiosity, with the ability and desire to learn new skills both on\-the\-fly and in formal learning environments.
**PHYSICAL REQUIREMENTS/WORK ENVIRONMENT:**
The physical demands and work environment described here are representative of those that must be met by an employee to perform the essential functions of this job successfully. Reasonable accommodations may be made to enable individuals with disabilities to perform the essential functions.
Frequently required to walk, sit, climb, bend, reach, and squat/kneel. The AI/ML Engineer works primarily indoors and will be sitting for prolonged periods of sitting at a desk and working on a computer. Must be able to access and navigate each department at the organization’s facilities. The AI/ML Engineer may be required to lift heavy objects; therefore, the AI/ML Engineer must be able to lift 25lbs.
Work hours may include early morning, late afternoon/evening hours, and weekends in combination, depending on job demands.
**AAP /EEO STATEMENT:**
The Company is committed to the cause of equal employment opportunity for all employees and applicants, thus abiding by all applicable state and federal laws. Our practices regarding employment, job promotion, compensation, training, and termination do not discriminate based on race, color, religious creed, age, sex, national origin, veteran's status, disability, pregnancy, genetic information, or any other legally protected status. It is expected that all employees, both management and staff, will fully support these nondiscriminatory policies.
The company has reviewed this job description to ensure essential functions and duties have been included. It is not intended to be an exhaustive list of all functions, responsibilities, skills, and abilities.
Last Revised 01/2026\.</t>
        </is>
      </c>
    </row>
    <row r="142">
      <c r="A142" t="inlineStr">
        <is>
          <t>in-8b1158e7a1eccd33</t>
        </is>
      </c>
      <c r="B142" t="inlineStr">
        <is>
          <t>AI Engineer TO</t>
        </is>
      </c>
      <c r="C142" t="inlineStr">
        <is>
          <t>Archarithms Inc</t>
        </is>
      </c>
      <c r="D142" t="inlineStr">
        <is>
          <t>indeed</t>
        </is>
      </c>
      <c r="E142">
        <f>HYPERLINK("https://www.indeed.com/viewjob?jk=8b1158e7a1eccd33", "https://www.indeed.com/viewjob?jk=8b1158e7a1eccd33")</f>
        <v/>
      </c>
      <c r="F142">
        <f>HYPERLINK("https://workforcenow.adp.com/mascsr/default/mdf/recruitment/recruitment.html?cid=2ac19c2c-cd24-4fd1-8ab6-b1d93b864c78&amp;ccId=19000101_000001&amp;jobId=532995&amp;source=IN&amp;lang=en_US", "https://workforcenow.adp.com/mascsr/default/mdf/recruitment/recruitment.html?cid=2ac19c2c-cd24-4fd1-8ab6-b1d93b864c78&amp;ccId=19000101_000001&amp;jobId=532995&amp;source=IN&amp;lang=en_US")</f>
        <v/>
      </c>
      <c r="G142" t="inlineStr">
        <is>
          <t>Huntsville, AL, US</t>
        </is>
      </c>
      <c r="H142" s="3" t="n">
        <v>46047</v>
      </c>
      <c r="I142" t="inlineStr">
        <is>
          <t>**WE ARE ARCARITHM**, **and we are changing the world!**
If you are ready to grow your career and change the world with us, then join the Arcarithm team!
We are located in beautiful, downtown Huntsville, AL, one of the fastest growing cities in the U.S.! At Arcarithm, we cultivate and foster an environment of integrity, open communication, work life balance, and career development. We are committed to investing in our employees by offering comprehensive health insurance options, a generous 401K plan, competitive salaries, continuous career growth opportunities, flexible schedules including remote work, mentoring and performance incentives.
 Arcarithm is currently seeking top talent in the areas of full stack software development, artificial intelligence, optimization, and data analytics. You will work in a dynamic and challenging environment alongside our customers which include Lockheed Martin, General Dynamics, Northrop Grumman, Raytheon, US Army, US Navy, US Air Force, the Missile Defense Agency, and NASA on cutting edge technologies including machine learning, augmented and virtual reality, big data analytics, and more!
 We are excited to continue to change and improve the world through innovation and technology!
Contact us today to hear more about Arcarithm and all we offer!
**Job Title: AI Engineer**
**Job Location: Tullahoma, TN**
**Job Summary:**
The successful candidate will work as a team member to Develop and utilizes simulations and models. Evaluates tools, technologies, architectures, models, and test results. Heads meetings regarding AI with external parties and internal business\-embedded innovation teams. Collaborates with lead engineers to define subsystem requirements and acceptance criteria.
**Job Duties:**
* Support the Project Managers managing large and complex capital improvement projects in an assigned branch.
* Prepare and provide reports for that assist the Project Managers with tracking and control of the scope of work, resource utilization, schedules, and work accomplishments.
 The AI Engineer is responsible for designing, developing, testing, and maintaining artificial intelligence (AI) systems and applications. General responsibilities include:
* Designing and implementing machine learning models using various programming languages such as Python, R, Java, JavaScript or C\+\+.
* Collaborating with data scientists to develop algorithms for training AI models.
* Conducting research on new technologies in the field of AI and applying them to improve existing systems.
* Optimizing AI models for performance, scalability, and efficiency.
* Integrating AI solutions into various software applications or platforms.
* Collaborating with cross\-functional teams such as product managers, UX designers, and data analysts to ensure the successful deployment of AI projects.
* Ensuring that AI systems are secure, reliable, and adhere to ethical guidelines.
* Staying up\-to\-date on industry trends and best practices in AI development.
* Providing technical guidance and mentorship to junior engineers or interns.
* Documenting code, models, and processes for future reference and collaboration with other team members.
* Perform other related duties as required.
**Basic Qualifications:**
* BS Degree: AI Engineers candidates should hold a Bachelor's or Master's Degree in Computer Science, Electrical Engineering, Mathematics, Statistics, Robotics, Artificial Intelligence, Machine Learning, Data Science, or related technical field from an accredited university.
* 1 to 3 years of relevant experience or any equivalent combination of relevant education and experience.
* Current U. S. Citizenship is required.
* DoD Secret security clearance
* Strong written and verbal communication skills.
* Strong Microsoft Office skills.</t>
        </is>
      </c>
    </row>
    <row r="143">
      <c r="A143" t="inlineStr">
        <is>
          <t>in-34d243e2e320676d</t>
        </is>
      </c>
      <c r="B143" t="inlineStr">
        <is>
          <t>Machine Learning Engineer</t>
        </is>
      </c>
      <c r="C143" t="inlineStr">
        <is>
          <t>bp</t>
        </is>
      </c>
      <c r="D143" t="inlineStr">
        <is>
          <t>indeed</t>
        </is>
      </c>
      <c r="E143">
        <f>HYPERLINK("https://www.indeed.com/viewjob?jk=34d243e2e320676d", "https://www.indeed.com/viewjob?jk=34d243e2e320676d")</f>
        <v/>
      </c>
      <c r="F143">
        <f>HYPERLINK("https://careers.bp.com/job-description/RQ094457", "https://careers.bp.com/job-description/RQ094457")</f>
        <v/>
      </c>
      <c r="G143" t="inlineStr">
        <is>
          <t>Denver, CO, US</t>
        </is>
      </c>
      <c r="H143" s="3" t="n">
        <v>45967</v>
      </c>
      <c r="I143" t="inlineStr">
        <is>
          <t>Job category
IT\&amp;S
Experience level
Intermediate
Relocation available
This role is not eligible for relocation
Job type
Professionals
Travel required
Negligible travel should be expected with this role
Job code
RQ094457
Job Description
Role Synopsis
The Machine Learning Engineer will be responsible for implementing and maintaining data science models in bpx’s machine learning studio. The role will be a subject matter expert in machine learning operations and the associated technology. This role will bridge the gap between pure data science and the computational requirements needed to meet business outcomes. The role will have the ability to guide bpx’s data science journey in a nascent technology stack. The ML Engineer will have significant freedom and latitude to suggest and implement solutions.
Key Accountabilities
Implement data science algorithms in bpx’s ML Studio SageMaker).
Create systems and processes to monitor performance of ML algorithms in production.
Serve as the subject matter expert of ML Operations and guides data scientists in the practical implications of model design
Collaborate with the data engineering team to build and maintain data pipelines from systems like Snowflake and OSI Pi
Partner with bpx Architecture team to ensure endpoints, compute, and network considerations are built into solutions
Takes initiative and stays up to date with the latest data science trends, techniques, and best practices, determining how to incorporate the most suitable practices in the department.
Work as part of geographically dispersed team, effectively communicating prioritized business needs and prioritized project statuses.
Design systems to balance cost and performance to meet business outcomes
Essential Education and Experience
A Bachelor’s degree (Master’s preferred) in Statistics, Mathematics, Computer Science, or any other related quantitative field.
7\+ years in data science or related field, 3\+ years of hands\-on experience in machine learning operations.
Proven track record of implementing and scaling models in an operations or customers focused company
Strong programming skills: Python and Cloud Implementation Scripting
Experience with big data, real\-time streaming data technologies, and cluster computing environments.
Knowledge and exposure to cloud technologies, especially AWS.
Must be legally authorized to work in the US without sponsorship.
How much do we pay (Base)? $119,000\-$140,000 \*Note that the pay range listed for this position is a good faith and reasonable estimate of the range of possible base compensation at the time of posting.
Why join our team?
At bpx, we provide an excellent working environment and a reward and wellbeing package to enable your work to fit with your life. These can include, but not limited to, access to health, vision and dental insurance, flexible working schedule, paid time off policy, discretionary annual bonus program, long\-term incentive program, and a generous 401K matching program.
We support our people to learn and grow in a diverse and exciting environment. We believe that our team is strengthened by diversity. We are committed to crafting an inclusive environment in which everyone is respected and treated fairly.
We will ensure that individuals with disabilities are provided reasonable accommodations to participate in the job application or interview process, perform crucial job functions, and receive other benefits and privileges of employment.
Don’t hesitate to get in touch with us to request any accommodations!
Legal Disclaimer:
We are an equal opportunity employer and value diversity at our company. We do not discriminate on the basis of race, religion, color, national origin, sex, gender, gender expression, sexual orientation, age, marital status, socioeconomic status, neurodiversity/neurocognitive functioning,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
Rewards and benefits
With ongoing learning and development, your reward goes far beyond the financial.
Global
Global
Australia
Hungary
India
Malaysia
UK
Financial wellbeing
Community \&amp; growth
Work\-life balance
Health \&amp; wellness
Family matters
Office experience
**Our innovative Energize recognition points programme and spot awards translate exceptional performance into tangible rewards, to motivate our high performers.**
Pay
bp offers competitive pay in line with industry standards, making us an employer of choice.  
Discretionary bonus
We offer discretionary bonuses to reward strong company, business unit and individual performance, and recognition awards, including those related to long service to recognize commitment to the company.  
Retirement \&amp; savings
We offer a range of discretionary retirement and savings plans to help provide you and your family with financial security.  
Insurance benefits
To give you additional peace of mind, bp provides valuable insurance benefits in some countries. These are designed to provide financial assistance to employees and their families if employees become unwell or die in service.  
Equity
Depending on your location and job level, there may be equity (stock and share) options you are eligible to join so you can be part of bp’s success.
**Unlock a distinct development experience with ‘grow@bp’, a comprehensive online platform offering accessible learning opportunities for every bp employee at their fingertips 24/7\.**
Learning \&amp; development
bp is a learning organization. Whether you’re looking to reskill, upskill or build the skills you already have, we can help you with the support and resources you need, including mentoring, ‘Growth Week’, getAbstract and LinkedIn Learning.
Business resource groups (BRGs)
Our employee\-led BRGs – including working families, social mobility and women's network – are communities where we embrace different ideas and perspectives and treat each other with care and respect.
Volunteer days
Caring for others is at the heart of who we are at bp and employees can give back to their communities where we operate by engaging in volunteer activities.
Hybrid \&amp; flexible working
At bp, we understand the importance of balancing work and personal obligations. Where possible, we offer employees a hybrid model of work and consider flexible working arrangements.  
Time off
Along with annual leave in addition to public holidays, we provide bp employees with comprehensive sick leave and compassionate leave coverage. We may also be able to support your career break for up to 12 months.
**We offer a variety of flexible benefits designed to prioritize your wellbeing, giving you choices that align with your lifestyle.**
Keeping well
At bp, we believe a happy and healthy workforce is in everyone's best interests. We offer comprehensive health and wellness programmes to support you in having a balanced lifestyle.  
Mental health
At bp, we focus on wellbeing and provide 24/7 support tools and resources, such as an employee assistance programme, a global wellbeing portal – ‘Thrive’ – and free access to mindfulness resources, such as Headspace, to help you navigate the ups and downs of life.
**Our family\-forward leave options show our commitment to supporting you and your loved ones.**  
Family\-forward leave
At bp, we recognize the significance of family. We provide comprehensive paid maternity, parental and adoption leave to support you in cherishing important moments, bonding with loved ones and transitioning smoothly into your new role as a parent.
**We encourage collaboration within our offices by creating spaces that enable teamwork and innovation.**
Equipment
At bp, we support you with the right furniture and equipment and offer you an ergonomically safe and comfortable environment to help you perform at your best.  
Office space
We ensure a comfortable work environment for everyone, with collaboration spaces to encourage teamwork and innovation. Our workspaces are designed with inclusive accessibility in mind, to promote mobility and access for all.
Disclaimer
This is a high\-level summary only of terms and current discretionary benefits applicable to certain roles. Some rewards, benefits and policies are at managers’ discretion and vary depending on where you work within the business. All terms subject to contract and all discretionary benefits subject to policy and eligibility.</t>
        </is>
      </c>
    </row>
    <row r="144">
      <c r="A144" t="inlineStr">
        <is>
          <t>in-1dda2f90a5e74a8d</t>
        </is>
      </c>
      <c r="B144" t="inlineStr">
        <is>
          <t>Identity AI / ML Engineer</t>
        </is>
      </c>
      <c r="C144" t="inlineStr">
        <is>
          <t>Openkyber</t>
        </is>
      </c>
      <c r="D144" t="inlineStr">
        <is>
          <t>indeed</t>
        </is>
      </c>
      <c r="E144">
        <f>HYPERLINK("https://www.indeed.com/viewjob?jk=1dda2f90a5e74a8d", "https://www.indeed.com/viewjob?jk=1dda2f90a5e74a8d")</f>
        <v/>
      </c>
      <c r="F144">
        <f>HYPERLINK("https://candidateportalnew.ceipal.com/job-details/fKnnWBG--PXHDalULZ1J_-20xRYjTeNKLO7MXqhILxs#.job_boards.Indeed", "https://candidateportalnew.ceipal.com/job-details/fKnnWBG--PXHDalULZ1J_-20xRYjTeNKLO7MXqhILxs#.job_boards.Indeed")</f>
        <v/>
      </c>
      <c r="G144" t="inlineStr">
        <is>
          <t>TX, US</t>
        </is>
      </c>
      <c r="H144" s="3" t="n">
        <v>46048</v>
      </c>
      <c r="I144" t="inlineStr">
        <is>
          <t>Backend Software Engineer, Python/ML W2 Contract Salary Range: $114,400 \- $135,200 per year Location: Austin, TX \- Remote Role Requirements and Qualifications: 5\+ years of backend development experience in Python Must have a proven track record of building platforms or adding features to backend services. Experience with AWS and Kubernetes. Familiarity with Large Language Models (LLMs) \- using models, not building them. Some experience and understanding of working with AI "Agent" workflows and how they work with Platforms Experience with Distributed Systems Experience developing large\-scale web applications or platforms that serve other teams (e.g., REST services, backend architecture). Bachelor"s degree in Computer Science Preferred Qualifications: Familiarity with exposing the service to agents through MCP Experience with LangGraph Familiarity with Retrieval\-Augmented Generation (RAG) OpenKyber is not able to sponsor any candidates at this time. Additionally, candidates for this position must qualify as a W2 candidate. OpenKyber may collect your personal information during the position application process. Please reference OpenKyber"s CCPA Privacy Policy at ;/span\&gt;
**For applications and inquiries, contact:** hirings@openkyber.com</t>
        </is>
      </c>
    </row>
    <row r="145">
      <c r="A145" t="inlineStr">
        <is>
          <t>in-11024e00650729ff</t>
        </is>
      </c>
      <c r="B145" t="inlineStr">
        <is>
          <t>Identity AI / ML Engineer</t>
        </is>
      </c>
      <c r="C145" t="inlineStr">
        <is>
          <t>Openkyber</t>
        </is>
      </c>
      <c r="D145" t="inlineStr">
        <is>
          <t>indeed</t>
        </is>
      </c>
      <c r="E145">
        <f>HYPERLINK("https://www.indeed.com/viewjob?jk=11024e00650729ff", "https://www.indeed.com/viewjob?jk=11024e00650729ff")</f>
        <v/>
      </c>
      <c r="F145">
        <f>HYPERLINK("https://candidateportalnew.ceipal.com/job-details/ZYk2olQZl0FiCAcXtBC9QBNc04rXYLJXp_IYUGvzHsA#.job_boards.Indeed", "https://candidateportalnew.ceipal.com/job-details/ZYk2olQZl0FiCAcXtBC9QBNc04rXYLJXp_IYUGvzHsA#.job_boards.Indeed")</f>
        <v/>
      </c>
      <c r="G145" t="inlineStr">
        <is>
          <t>HI, US</t>
        </is>
      </c>
      <c r="H145" s="3" t="n">
        <v>46048</v>
      </c>
      <c r="I145" t="inlineStr">
        <is>
          <t>**RESPONSIBILITIES:** OpenKyber has a client in Orlando, FL that is seeking an AI/ML Full\-Stack Engineer for a full time role. This role is 100% remote and follows a 4x10 work schedule (four 10\-hour days per week with three days off), providing additional scheduling flexibility in addition to standard paid time off benefits.
**Overview:** We are seeking an entry\-level Full Stack Engineer with a strong interest in AI/ML to support an advanced technology and strategy team. This role focuses on early\-stage ontology and knowledge graph (KG) development, along with exploratory AI technologies that contribute to the organization's long\-term digital transformation initiatives. You will join a collaborative team that values experimentation, innovation, and responsible adoption of emerging technologies. This position provides a unique opportunity for hands\-on learning, professional development, and exposure to AI acceleration initiatives.
**Responsibilities:**
* Collaborate with AI, software engineering, and systems development professionals to support new solution development
* Assist with building and enhancing ontology and knowledge graph capabilities that form the foundation for future AI applications
* Support exploratory research, prototyping, and rapid experimentation across emerging AI/ML technologies
* Participate in developing tools and platforms that enhance automation, improve decision\-making, and drive continuous improvement
* Contribute to full\-stack development tasks with guidance from senior engineers
* Engage in team discussions, design reviews, and backlog refinement to support Agile delivery rhythms
* Receive mentorship and on\-the\-job training from experienced engineers and AI specialists
**REQUIREMENTS:**
* Bachelor's or Master's degree in Computer Science, Engineering, IT, AI/ML, or related field
* Experience with software development, particularly in full\-stack engineering
* Familiarity with Python, including reading, writing, and debugging simple scripts
* Basic understanding of Large Language Models (LLMs) or Generative AI concepts
* Fundamental understanding of APIs, including REST principles and making basic API calls
**Desired:**
* Introductory exposure to LLM tool calling and related workflows
* Introductory experience in API development and integration
* Awareness of Model Context Protocol (MCP)
* Familiarity with Generative AI coding assistants
* Basic understanding of cloud platforms and containerization (e.g., Docker, Kubernetes)
* Knowledge of CI/CD concepts, including GitLab pipelines or OpenShift
* Experience with additional languages such as Java or C\+\+
* Basic understanding of Agile methodologies and version control (e.g., Git)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OpenKyber's sole discretion unless and until paid and may be modified in its discretion consistent with the law. This job is not eligible for bonuses, incentives or commissions. OpenKyber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OpenKyber and its affiliates, and service providers. Note that if you choose to communicate with OpenKyber via text messaging the frequency may vary, and message and data rates may apply. Carriers are not liable for delayed or undelivered messages. You will always have the right to cease communicating via text by using key words such as STOP.
**For applications and inquiries, contact:** hirings@openkyber.com</t>
        </is>
      </c>
    </row>
    <row r="146">
      <c r="A146" t="inlineStr">
        <is>
          <t>in-19b78797b9b1baae</t>
        </is>
      </c>
      <c r="B146" t="inlineStr">
        <is>
          <t>Identity AI / ML Engineer</t>
        </is>
      </c>
      <c r="C146" t="inlineStr">
        <is>
          <t>Openkyber</t>
        </is>
      </c>
      <c r="D146" t="inlineStr">
        <is>
          <t>indeed</t>
        </is>
      </c>
      <c r="E146">
        <f>HYPERLINK("https://www.indeed.com/viewjob?jk=19b78797b9b1baae", "https://www.indeed.com/viewjob?jk=19b78797b9b1baae")</f>
        <v/>
      </c>
      <c r="F146">
        <f>HYPERLINK("https://candidateportalnew.ceipal.com/job-details/luHqRoSOHxQurvYhHGQx5MEWFZDhl9TZBxNm7N3JgK4#.job_boards.Indeed", "https://candidateportalnew.ceipal.com/job-details/luHqRoSOHxQurvYhHGQx5MEWFZDhl9TZBxNm7N3JgK4#.job_boards.Indeed")</f>
        <v/>
      </c>
      <c r="G146" t="inlineStr">
        <is>
          <t>GA, US</t>
        </is>
      </c>
      <c r="H146" s="3" t="n">
        <v>46048</v>
      </c>
      <c r="I146" t="inlineStr">
        <is>
          <t>Looking for a Software Engineer to join the Enterprise Analytics Group , where we build advanced, enterprise\-scale analytics and AI solutions used across 50\+ facilities and multiple business divisions. This team focuses on creating sustainable value and competitive advantage by leveraging analytics, AI, and cutting\-edge technologies , with a strong emphasis on forward\-looking and innovative use cases.
**What You'll Be Doing**  
Own the development and deployment of computer vision applications Collaborate closely with data scientists, engineers, and product managers to launch and enhance AI\-driven products Write high\-performance, state\-of\-the\-art code for scalable and elegant applications Proactively identify and resolve technical debt to improve development velocity
**What We're Looking For**  
Strong experience with Python, SQL , and modern software development practices Solid understanding of software architecture, best practices, and DevOps processes Hands\-on experience with Kubernetes Strong knowledge of AWS services (S3, Lambda, Glue, Redshift, RDS, etc.) Experience with version control (Git) and collaborative development Excellent analytical, troubleshooting, and problem\-solving skills
**Nice to Have**  
Experience with computer vision Exposure to distributed and edge computing Experience with streaming technologies (Kafka, NATS) Familiarity with Helm, Terraform Experience with monitoring and alerting tools (Dynatrace, Splunk, LogicMonitor, SolarWinds) Background in resolving network and infrastructure issues
**For applications and inquiries, contact:** hirings@openkyber.com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li-4354628121</t>
        </is>
      </c>
      <c r="B2" t="inlineStr">
        <is>
          <t>Applied Scientist, Amazon Special Projects</t>
        </is>
      </c>
      <c r="C2" t="inlineStr">
        <is>
          <t>Amazon</t>
        </is>
      </c>
      <c r="D2" t="inlineStr">
        <is>
          <t>linkedin</t>
        </is>
      </c>
      <c r="E2" t="inlineStr"/>
      <c r="F2" t="inlineStr"/>
      <c r="G2" t="inlineStr">
        <is>
          <t>Boston, MA</t>
        </is>
      </c>
      <c r="H2" t="inlineStr"/>
      <c r="I2" t="inlineStr">
        <is>
          <t>**Description**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A3152795</t>
        </is>
      </c>
    </row>
    <row r="3">
      <c r="A3" t="inlineStr">
        <is>
          <t>li-4354589821</t>
        </is>
      </c>
      <c r="B3" t="inlineStr">
        <is>
          <t>Applied Scientist, Amazon Special Projects</t>
        </is>
      </c>
      <c r="C3" t="inlineStr">
        <is>
          <t>Amazon</t>
        </is>
      </c>
      <c r="D3" t="inlineStr">
        <is>
          <t>linkedin</t>
        </is>
      </c>
      <c r="E3" t="inlineStr"/>
      <c r="F3" t="inlineStr"/>
      <c r="G3" t="inlineStr">
        <is>
          <t>Seattle, WA</t>
        </is>
      </c>
      <c r="H3" t="inlineStr"/>
      <c r="I3" t="inlineStr">
        <is>
          <t>**Description**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A3152795</t>
        </is>
      </c>
    </row>
    <row r="4">
      <c r="A4" t="inlineStr">
        <is>
          <t>li-4343831624</t>
        </is>
      </c>
      <c r="B4" t="inlineStr">
        <is>
          <t>Senior Applied Scientist - Agentic AI</t>
        </is>
      </c>
      <c r="C4" t="inlineStr">
        <is>
          <t>Oracle</t>
        </is>
      </c>
      <c r="D4" t="inlineStr">
        <is>
          <t>linkedin</t>
        </is>
      </c>
      <c r="E4" t="inlineStr"/>
      <c r="F4" t="inlineStr"/>
      <c r="G4" t="inlineStr">
        <is>
          <t>New York, NY</t>
        </is>
      </c>
      <c r="H4" t="inlineStr"/>
      <c r="I4"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agents for enterprise analytics—focusing on planning, multi\-step reasoning, and tool\-augmented execution with large language models over unstructured data (documents, logs, emails, multimodal artifacts). You will design agent architectures, memory and planning systems, retrieval and grounding pipelines, and evaluation frameworks that deliver reliable, auditable, and cost\-efficient enterprise outcomes. You will partner closely with research engineers and product teams to ship agentic systems to production, rigorously evaluate reasoning quality and safety, and drive measurable customer and business impact.
**Responsibilities**
 Responsibilities:
* Perform end\-to\-end agentic system development: define agent goals and decomposition strategies; design planners, controllers, and executors; implement tool\-use orchestration (APIs, SQL, vector search, code execution) and robust recovery/rollback.
* Advance planning and reasoning: hierarchical/task planning, self\-reflection and critique, debate/tree\-search methods, constraint satisfaction, and chain\-of\-thought/toolformer\-style approaches to improve correctness, faithfulness, and robustness.
* Ground LLMs on unstructured data: build retrieval and indexing over documents, semi\-structured data
* Ensure safety, privacy, and compliance: content safety policies, least\-privilege tool access, execution sandboxes, prompt/memory redaction, PII handling, and governance appropriate for regulated enterprise settings; implement interpretable action logs.
* Productionize agentic solutions: collaborate with platform teams to ship planning/orchestration services and evaluation harnesses; implement observability, telemetry, canarying, rollback, and lifecycle management for agent workflows.
* Stay current with research and translate advances into production differentiators; mentor teammates and contribute to a culture of scientific rigor and impact.
**Minimum Qualifications**
* PhD in Computer Science, Machine Learning, Statistics, Electrical Engineering, or related field with a focus relevant to LLMs, planning/reasoning, NLP, or autonomous/interactive systems.
* Experience (industry or applied research) building and deploying ML/LLM systems, including agentic workflows, retrieval/grounding, and evaluation at scale.
* Demonstrated expertise in agentic methods: multi\-step planning, tool\-use orchestration, reflection/critique, and structured reasoning (e.g., CoT, programmatic planning).
* Strong background in retrieval over unstructured data, RAG architectures, document preprocessing, indexing, and provenance tracking for accuracy, safety, and robustness.
* Proficient in Python and modern ML stacks: PyTorch/JAX, Transformers, vector databases/IR libraries, orchestration frameworks; solid software engineering practices and experimentation discipline.
* Track record of publications in top venues (e.g., NeurIPS, ICML, ICLR, ACL, EMNLP, NAACL) or equivalent demonstrated impact in production systems.
**Preferred Qualifications**
* Experience designing data/feedback pipelines for agent evaluation: step\-level labeling, trace audits, and active learning for hard cases; familiarity with bias/variance trade\-offs.
* Knowledge of search/planning and decision\-making: tree search, bandits for tool/model selection, off\-policy evaluation for policy changes, and statistical testing for online experiments.
* Familiarity with LLM efficiency and serving: PEFT/LoRA/QLoRA, quantization, KV cache management, batching, speculative decoding, routing across models/skills, and throughput/latency trade\-offs.
* Experience integrating safety/guardrails and policy enforcement: sandboxed tool execution, OAuth/secret management, rate\-limiting, jailbreak/prompt\-injection defenses, and privacy\-preserving telemetry aligned with enterprise compliance.
* Comfortable collaborating across research, engineering, product, and legal/compliance; excellent communication skills to explain methods and results to technical and non\-technical stakeholders.
* Practical experience with experiment tracking, model registries, CI/CD for ML, and production observability for agent traces and actions.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
      <c r="A5" t="inlineStr">
        <is>
          <t>li-4343831626</t>
        </is>
      </c>
      <c r="B5" t="inlineStr">
        <is>
          <t>Senior Applied Scientist - Agentic AI</t>
        </is>
      </c>
      <c r="C5" t="inlineStr">
        <is>
          <t>Oracle</t>
        </is>
      </c>
      <c r="D5" t="inlineStr">
        <is>
          <t>linkedin</t>
        </is>
      </c>
      <c r="E5" t="inlineStr"/>
      <c r="F5" t="inlineStr"/>
      <c r="G5" t="inlineStr">
        <is>
          <t>Seattle, WA</t>
        </is>
      </c>
      <c r="H5" t="inlineStr"/>
      <c r="I5" t="inlineStr">
        <is>
          <t>**Job Description**
 At Oracle Analytics, we are building the next generation of enterprise AI products to enable intelligent data analysis at scale. Leveraging our foundational strengths in data management and enterprise software applications, we are advancing our platforms and applications by deeply embedding cutting\-edge agentic AI, generative AI, and innovations in machine learning and optimization.We are seeking a Senior Applied Scientist (with a PhD preferably) to perform innovation in AI agent evaluation and user experience (UX), and to advance machine learning for structured data at enterprise scale. You will define evaluation frameworks for multi\-step, tool\-using agents; design user\-centric studies and telemetry; and build robust metrics that connect agent behavior to measurable user and business outcomes. You will also develop and productionize ML methods for structured/tabular data—including forecasting, anomaly detection, and causal insights—that power analytic workflows and agent decision\-making. You will partner closely with research engineers, product/UX, and platform teams to ship reliable, safe, and delightful agent experiences into production.
**Responsibilities**
 Responsibilities:
* Perform end\-to\-end agent evaluation programs: establish task taxonomies, gold standards, and reproducible scenarios for tool\-using and planning agents across BI, SQL, and data preparation workflows; design rubric\-based and pairwise evaluations to measure correctness, grounding, and traceability.
* Stay current with research and translate advances into production differentiators; mentor teammates and contribute to a culture of scientific rigor and impact.
**Minimum Qualifications**
* PhD in Computer Science, Machine Learning, Human\-Computer Interaction, Statistics, Electrical Engineering, or related field with focus relevant to AI agents, evaluation/UX, or structured data ML.
* Experience (industry or applied research) building and evaluating ML systems, including agentic workflows, UX research for AI products, and structured/tabular ML in production.
* Demonstrated expertise in human/AI evaluation: rubric and study design, telemetry and instrumentation, A/B testing, and statistical analysis; ability to connect evaluation metrics to product outcomes.
* Strong background in structured data ML: feature engineering, time series forecasting, anomaly detection, causal inference, and robustness for enterprise datasets; proficiency with SQL and data warehousing concepts.
* Proficient in Python and modern ML stacks (e.g., PyTorch/JAX) and libraries for evaluation and experimentation; solid software engineering practices, experiment tracking, and reproducibility discipline.
* Track record of publications in top venues (e.g., NeurIPS, ICML, NAACL, ICLR, ACL, CHI) or equivalent evidence of impact.
**Preferred Qualifications**
* Experience building scalable evaluation platforms for tool\-using agents
* Expertise in UX research methods for AI
* Knowledge of planning and tool\-use policies
* Familiarity with efficiency and serving: batching, KV cache management, quantization/PEFT for cost/latency trade\-offs; observability and alerting for agent behavior drifts.
* Experience integrating safety/guardrails, policy enforcement, and privacy\-preserving telemetry into production workflows aligned with enterprise compliance.
* Comfortable collaborating across research, engineering, product, and legal/compliance; excellent communication skills to explain methods and results to technical and non\-technical stakeholders.
 Career Level \- IC3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6">
      <c r="A6" t="inlineStr">
        <is>
          <t>li-4355975022</t>
        </is>
      </c>
      <c r="B6" t="inlineStr">
        <is>
          <t>Senior Principal Applied Scientist - AI Infrastructure Innovation</t>
        </is>
      </c>
      <c r="C6" t="inlineStr">
        <is>
          <t>Oracle</t>
        </is>
      </c>
      <c r="D6" t="inlineStr">
        <is>
          <t>linkedin</t>
        </is>
      </c>
      <c r="E6" t="inlineStr"/>
      <c r="F6" t="inlineStr"/>
      <c r="G6" t="inlineStr"/>
      <c r="H6" t="inlineStr"/>
      <c r="I6"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
      <c r="A7" t="inlineStr">
        <is>
          <t>li-4355955062</t>
        </is>
      </c>
      <c r="B7" t="inlineStr">
        <is>
          <t>Senior Principal Applied Scientist - AI Infrastructure Innovation</t>
        </is>
      </c>
      <c r="C7" t="inlineStr">
        <is>
          <t>Oracle</t>
        </is>
      </c>
      <c r="D7" t="inlineStr">
        <is>
          <t>linkedin</t>
        </is>
      </c>
      <c r="E7" t="inlineStr"/>
      <c r="F7" t="inlineStr"/>
      <c r="G7" t="inlineStr"/>
      <c r="H7" t="inlineStr"/>
      <c r="I7"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8">
      <c r="A8" t="inlineStr">
        <is>
          <t>li-4355964912</t>
        </is>
      </c>
      <c r="B8" t="inlineStr">
        <is>
          <t>Senior Principal Applied Scientist - AI Infrastructure Innovation</t>
        </is>
      </c>
      <c r="C8" t="inlineStr">
        <is>
          <t>Oracle</t>
        </is>
      </c>
      <c r="D8" t="inlineStr">
        <is>
          <t>linkedin</t>
        </is>
      </c>
      <c r="E8" t="inlineStr"/>
      <c r="F8" t="inlineStr"/>
      <c r="G8" t="inlineStr">
        <is>
          <t>Seattle, WA</t>
        </is>
      </c>
      <c r="H8" t="inlineStr"/>
      <c r="I8"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
      <c r="A9" t="inlineStr">
        <is>
          <t>li-4356003716</t>
        </is>
      </c>
      <c r="B9" t="inlineStr">
        <is>
          <t>Senior Principal Applied Scientist - AI Infrastructure Innovation</t>
        </is>
      </c>
      <c r="C9" t="inlineStr">
        <is>
          <t>Oracle</t>
        </is>
      </c>
      <c r="D9" t="inlineStr">
        <is>
          <t>linkedin</t>
        </is>
      </c>
      <c r="E9" t="inlineStr"/>
      <c r="F9" t="inlineStr"/>
      <c r="G9" t="inlineStr">
        <is>
          <t>Nashville, TN</t>
        </is>
      </c>
      <c r="H9" t="inlineStr"/>
      <c r="I9"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
      <c r="A10" t="inlineStr">
        <is>
          <t>li-4356200415</t>
        </is>
      </c>
      <c r="B10" t="inlineStr">
        <is>
          <t>Senior Principal Applied Scientist - AI Infrastructure Innovation</t>
        </is>
      </c>
      <c r="C10" t="inlineStr">
        <is>
          <t>Oracle</t>
        </is>
      </c>
      <c r="D10" t="inlineStr">
        <is>
          <t>linkedin</t>
        </is>
      </c>
      <c r="E10" t="inlineStr"/>
      <c r="F10" t="inlineStr"/>
      <c r="G10" t="inlineStr">
        <is>
          <t>Redwood City, CA</t>
        </is>
      </c>
      <c r="H10" t="inlineStr"/>
      <c r="I10"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1">
      <c r="A11" t="inlineStr">
        <is>
          <t>li-4356200414</t>
        </is>
      </c>
      <c r="B11" t="inlineStr">
        <is>
          <t>Senior Principal Applied Scientist - AI Infrastructure Innovation</t>
        </is>
      </c>
      <c r="C11" t="inlineStr">
        <is>
          <t>Oracle</t>
        </is>
      </c>
      <c r="D11" t="inlineStr">
        <is>
          <t>linkedin</t>
        </is>
      </c>
      <c r="E11" t="inlineStr"/>
      <c r="F11" t="inlineStr"/>
      <c r="G11" t="inlineStr">
        <is>
          <t>Seattle, WA</t>
        </is>
      </c>
      <c r="H11" t="inlineStr"/>
      <c r="I11" t="inlineStr">
        <is>
          <t>**Job Description**
 As a Senior Principal Applied Scientist on OCI’s AI Innovation team, you’ll shaping Oracle’s next generation AI infrastructure. You will bring foresight into concrete requirements for training and serving models at massive scale. Your evidence\-backed insights will guide where we invest across the stack so OCI’s AI Infra offerings are ready for what is coming in the future.
 This role requires a deep understanding of machine learning techniques, including foundation model evaluation, traditional NLP/CV metrics, human evaluation, confidence estimation, agentive application evaluation, and RAG application evaluation. The successful candidate will have experience in conducting in\-depth research, producing production\-ready code, and collaborating with cross\-functional teams to integrate evaluation capabilities into various products. A strong background in programming languages, such as Python, and experience with machine learning frameworks, such as TensorFlow or PyTorch, is also required.
 In this role, you will lead deep research and rigorous evaluation of LLMs and related systems, designing benchmarks that capture quality, latency, cost, and reliability in real production settings. Expect to prototype new training and inference methods and run large\-scale experiments that reveal scaling behavior and bottlenecks.
 A PhD in Computer Science, Mathematics, Statistics, Physics, Linguistics, or a related field, with a dissertation or thesis centered on machine learning techniques, is preferred, although a Master's or Bachelor's degree with relevant experience will also be considered.
**Responsibilities**
* Research and Development: Conduct in\-depth research on foundation model evaluation, including traditional NLP/CV metrics, LLMaaJ techniques, human evaluation, confidence estimation, agentive application evaluation, and RAG application evaluation. Produce production\-ready code for handoff of POC applications to counterparts in Engineering.
* Collaboration: Work closely with cross\-functional teams to integrate evaluation capabilities into various applications and products.
* Innovation: Identify new opportunities for evaluation and explore emerging technologies.
* Stay Updated: Maintain a deep understanding of industry trends and advancements in evaluation.
**Qualifications and Experience:**
* PhD Computer Science, Mathematics, Statistics, Physics, Linguistics or a related field (with a dissertation, thesis or final project centered in Machine Learning/Deep Learning/Generative AI/Computational Linguistics) and a minimum of 4 years work experience. Candidates without a PhD but with 5\+ additional years' experience will be considered.
* Strong publication record, including as a lead author or reviewer, in top\-tier journals or conferences.
* Extensive experience in generative AI and model/application evaluation.
* Strong understanding of machine learning algorithms and architectures
* Excellent problem\-solving and analytical skills
* Strong leadership and communication abilities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
      <c r="A12" t="inlineStr">
        <is>
          <t>li-4306632527</t>
        </is>
      </c>
      <c r="B12" t="inlineStr">
        <is>
          <t>AI/Generative AI Engineer</t>
        </is>
      </c>
      <c r="C12" t="inlineStr">
        <is>
          <t>Andiamo</t>
        </is>
      </c>
      <c r="D12" t="inlineStr">
        <is>
          <t>linkedin</t>
        </is>
      </c>
      <c r="E12" t="inlineStr"/>
      <c r="F12" t="inlineStr"/>
      <c r="G12" t="inlineStr">
        <is>
          <t>San Francisco, CA</t>
        </is>
      </c>
      <c r="H12" t="inlineStr"/>
      <c r="I12"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3">
      <c r="A13" t="inlineStr">
        <is>
          <t>li-4366333280</t>
        </is>
      </c>
      <c r="B13" t="inlineStr">
        <is>
          <t>Machine Learning Engineer</t>
        </is>
      </c>
      <c r="C13" t="inlineStr">
        <is>
          <t>Upstart</t>
        </is>
      </c>
      <c r="D13" t="inlineStr">
        <is>
          <t>linkedin</t>
        </is>
      </c>
      <c r="E13" t="inlineStr"/>
      <c r="F13" t="inlineStr"/>
      <c r="G13" t="inlineStr"/>
      <c r="H13" t="inlineStr"/>
      <c r="I13" t="inlineStr">
        <is>
          <t>**About Upstart** 
 At Upstart, we are driven by a mission to radically reduce the cost and complexity of borrowing for all Americans. Our innovative approach combines creativity, experimentation, and advanced artificial intelligence to reshape access to credit, empowering millions of individuals to progress financially with clarity and confidence. As a leading AI\-powered lending marketplace, we partner with banks and credit unions to provide smarter, fairer, and more accessible credit solutions. Our platform processes over one million predictions per borrower, utilizing more than 1,800 signals to inform lending decisions. This sophisticated system enables us to deliver better outcomes for our customers while maintaining high standards of fairness and accuracy. The impact of our work extends beyond numbers, fostering financial inclusion and helping people achieve their goals.
 We operate as a digital\-first organization, offering flexibility for our team members to work from anywhere in the United States or Canada. Despite our remote work culture, we prioritize in\-person connections through team onsites, planning sessions, and community\-building activities. Our offices are located in Columbus, Austin, the Bay Area, and New York City (opening Summer 2026\), providing options for those who prefer in\-person collaboration. We believe that a diverse, inclusive, and engaged workforce is essential to our success, and we are committed to creating an environment where every voice is valued.
**About The Role** 
 We are seeking a highly skilled Staff Machine Learning Engineer to join our team. In this role, you will collaborate closely with Research Scientists, Data Scientists, and other engineering teams to enhance our machine learning infrastructure and software. Your primary focus will be on increasing ML productivity by developing scalable, reliable, and efficient tools and systems that streamline research, training, deployment, and monitoring of models. You will play a key role in reducing the time from idea conception to production deployment, enabling rapid experimentation and iteration on new modeling approaches. Additionally, you will design and implement algorithms that directly improve the predictive power of our models, contributing to our mission of expanding access to affordable credit.
 This position offers an opportunity to set engineering standards, define technical direction, and drive initiatives that enhance system reliability, model quality, and development velocity. Your work will involve building repeatable workflows, automation, and exploring innovative algorithms and methodologies, including deep learning architectures, probabilistic models, and reinforcement learning. You will interface with cross\-functional teams to gather requirements and deliver end\-to\-end solutions that support our business objectives and technical excellence.
**Qualifications** 
* Advanced degree (MS, PhD, or equivalent experience) in Computer Science, Machine Learning, Operations Research, Statistics, or a related quantitative field
* 4\+ years of industry experience as a Machine Learning Engineer or Research Scientist with a focus on implementation and tooling
* Proficiency in multiple object\-oriented programming languages such as Python and C\+\+
* Experience building and deploying innovative end\-to\-end machine learning systems in production environments
* Strong background in exploratory data analysis, statistical modeling, hypothesis testing, and experimental design
* Experience collaborating with cross\-functional teams including product, science, and operations
**Responsibilities** 
* Establish engineering and coding standards, and define the technical roadmap to improve model performance, system reliability, and development speed
* Create scalable workflows and automation tools that enable scientists and engineers to focus on high\-leverage tasks like research, analysis, and methodology development
* Identify and implement engineering improvements, including exploring new algorithms, methodologies, and architectures for machine learning models
* Collaborate with data engineering, platform, and product teams to build integrated, high\-quality end\-to\-end ML systems
* Develop and maintain monitoring, validation, and deployment pipelines to ensure model robustness and performance
* Contribute to the design and architecture of scalable ML workflows and infrastructure
* Stay current with industry trends and research to continuously improve our machine learning capabilities
**Benefits** 
* Competitive salary with bonus opportunities and quarterly equity grants
* Generous 401(k) plan with Upstart matching $2 for every $1 contributed, up to $15,000 annually
* Employee Stock Purchase Plan (ESPP) with discounted stock options
* Comprehensive medical, dental, and vision coverage, with Upstart covering 90\-100% of costs
* Health Savings Account contributions for eligible plans
* Income protection benefits including company\-paid life insurance, AD\&amp;D, and disability coverage
* Paid time off, sick leave, and holidays, along with paid family and parental leave
* Family\-centered benefits through partners supporting fertility, parenthood, and caregiving
* Mental health and life support through Employee Assistance Program (EAP)
* Financial wellness resources, including planning tools and concierge services
* Annual wellness and productivity allowances to support personal and professional growth
* Opportunities for community engagement through team events and company\-wide updates
* Onsite perks such as catered lunches and fully stocked micro\-kitchens at physical office locations
 Equal Opportunity
 Upstart is an Equal Opportunity Employer. We are committed to fostering an inclusive environment that values diversity and provides equal employment opportunities to all applicants and employees. We do not discriminate based on race, color, religion, gender, sexual orientation, gender identity or expression, national origin, age, disability, or any other protected status.</t>
        </is>
      </c>
    </row>
    <row r="14">
      <c r="A14" t="inlineStr">
        <is>
          <t>li-4195257196</t>
        </is>
      </c>
      <c r="B14" t="inlineStr">
        <is>
          <t>Machine Learning Engineer, Search Quality</t>
        </is>
      </c>
      <c r="C14" t="inlineStr">
        <is>
          <t>Glean</t>
        </is>
      </c>
      <c r="D14" t="inlineStr">
        <is>
          <t>linkedin</t>
        </is>
      </c>
      <c r="E14" t="inlineStr"/>
      <c r="F14" t="inlineStr"/>
      <c r="G14" t="inlineStr"/>
      <c r="H14" t="inlineStr"/>
      <c r="I14"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engineers to help build the world’s best search and assistant product for work. Our engineers work on a range of systems across the stack, including query understanding, document understanding, domain\-adapted language models, natural language question\-answering, evaluation, and experimentation. We interact regularly with customers, deeply understand their pain points, and use whatever tool is necessary, simple or complex, to solve their problems.
**You Will**
* Invent new signals to improve the personalization of our search engine
* Train a model to capture interactions between signals in our ranking system
* Design smarter ways to domain\-adapt language models to each customer’s corpus
* Discover new ways of combining LLMs with search engines to answer complex questions
* Write robust code that’s easy to read, maintain, and test
* Mentor more junior engineers, or learn from battle\-tested ones
**About You**
* 2\+ years of experience
* BA/BS in computer science, math, sciences, or a related degree
* Experience working with search, recommendation, natural language processing, or other large systems involving machine learning
* Strong analytical skills and ability to work with data
* Proven ability to design, build, and ship production\-ready models
* Proficiency in your ML framework of choice
* Strong coding skills (Python, Go, Java, C\+\+, ...)
* Thrive in a customer\-focused, tight\-knit and cross\-functional environment \- being a team player and willing to take on whatever is most impactful for the company is a must
* A proactive and positive attitude to lead, learn, troubleshoot and take ownership of both small tasks and large features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15">
      <c r="A15" t="inlineStr">
        <is>
          <t>li-4306615998</t>
        </is>
      </c>
      <c r="B15" t="inlineStr">
        <is>
          <t>AI/Generative AI Engineer</t>
        </is>
      </c>
      <c r="C15" t="inlineStr">
        <is>
          <t>Andiamo</t>
        </is>
      </c>
      <c r="D15" t="inlineStr">
        <is>
          <t>linkedin</t>
        </is>
      </c>
      <c r="E15" t="inlineStr"/>
      <c r="F15" t="inlineStr"/>
      <c r="G15" t="inlineStr">
        <is>
          <t>Seattle, WA</t>
        </is>
      </c>
      <c r="H15" t="inlineStr"/>
      <c r="I15" t="inlineStr">
        <is>
          <t>Generative AI Engineer \- Pre\-IPO Tech Company
**About The Role**
 We are seeking a talented
 **Generative AI Engineer** 
 to help design and build the next generation of AI\-powered applications at a high\-growth, pre\-IPO technology company. You will work on applying large language models (LLMs), multimodal AI, and cutting\-edge generative techniques to create products that transform how our customers interact with data, content, and decision\-making systems.
 This is a hands\-on engineering role at the intersection of AI research and scalable product development. You will collaborate with data scientists, ML engineers, and product managers to prototype, deploy, and optimize generative AI systems that deliver measurable customer and business impact.
 What You’ll Do
* Develop Generative Applications: Build production\-ready systems leveraging LLMs and generative models for NLP, code, and multimodal use cases.
* Integrate with Products: Design APIs and services that embed generative AI capabilities into customer\-facing applications.
* Optimize Models: Fine\-tune, distill, and adapt foundation models to specific tasks and domains for efficiency and performance.
* Leverage Retrieval \&amp; Memory: Implement retrieval\-augmented generation (RAG), vector search, and embeddings for context\-aware AI solutions.
* Ensure Reliability: Build monitoring and evaluation pipelines to track model quality, detect drift, and maintain trustworthiness in production.
* Collaborate Cross\-Functionally: Work with researchers and product leaders to translate cutting\-edge AI into practical features.
* Stay Ahead: Keep current with state\-of\-the\-art generative AI research and frameworks, bringing new ideas and approaches into the company.
 What We’re Looking For
* Professional Experience: 3\-7 years in applied ML/AI engineering, with at least 1\-2 years working on generative AI, LLMs, or related areas.
* Technical Skills: Proficiency in Python, strong experience with ML/AI frameworks (PyTorch, TensorFlow, Hugging Face Transformers, LangChain, LlamaIndex).
* LLM Experience: Hands\-on experience fine\-tuning or deploying large language models, and familiarity with APIs such as OpenAI, Anthropic, or similar.
* Infrastructure Knowledge: Experience with cloud ML platforms (AWS Sagemaker, GCP Vertex AI, Azure ML) and vector databases (Pinecone, Weaviate, Milvus, FAISS).
* Systems Thinking: Ability to design scalable pipelines for training, inference, and integration into production systems.
* Collaboration: Strong communication skills and ability to partner across engineering, product, and research teams.
* Education: Bachelor’s or Master’s in Computer Science, Engineering, AI/ML, or a related field; PhD a plus.
 Why Join
 This is a unique opportunity to shape the future of generative AI at a pre\-IPO company with $500M\+ in funding. As a Generative AI Engineer, you’ll work with state\-of\-the\-art models, solve complex problems at scale, and bring transformative AI capabilities directly to customers. You’ll be part of a high\-growth team where innovation is encouraged, impact is immediate, and the future of AI is being built.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16">
      <c r="A16" t="inlineStr">
        <is>
          <t>li-4366309927</t>
        </is>
      </c>
      <c r="B16" t="inlineStr">
        <is>
          <t>Machine Learning Engineer, Sr.</t>
        </is>
      </c>
      <c r="C16" t="inlineStr">
        <is>
          <t>NVIDIA</t>
        </is>
      </c>
      <c r="D16" t="inlineStr">
        <is>
          <t>linkedin</t>
        </is>
      </c>
      <c r="E16" t="inlineStr"/>
      <c r="F16" t="inlineStr"/>
      <c r="G16" t="inlineStr"/>
      <c r="H16" t="inlineStr"/>
      <c r="I16" t="inlineStr">
        <is>
          <t>**About The Company**
 NVIDIA is a global leader in artificial intelligence, graphics processing units, and high\-performance computing solutions. Renowned for pioneering innovations in visual computing, NVIDIA empowers industries such as gaming, professional visualization, data centers, and autonomous vehicles. The company's cutting\-edge technologies drive advancements in AI research, scientific discovery, and immersive entertainment. With a commitment to pushing the boundaries of innovation, NVIDIA fosters a dynamic and inclusive work environment dedicated to solving complex problems and delivering impactful solutions worldwide.
**About The Role**
 We are seeking a highly skilled Senior Machine Learning Engineer to join our team in Santa Clara, CA, or remotely within the US. In this role, you will be instrumental in developing and deploying advanced machine learning models that enhance the performance and reliability of NVIDIA’s DGX Cloud platform. Your work will directly influence the efficiency of AI workloads, ranging from large language models to autonomous systems and scientific research. You will collaborate with cross\-functional teams to translate complex telemetry data into actionable insights, enabling NVIDIA to maintain its leadership in AI innovation. This position offers an exciting opportunity to work on groundbreaking projects that shape the future of AI technology and cloud infrastructure.
**Qualifications**
* Master’s degree or PhD in Mathematics, Statistics, Machine Learning, or a related quantitative field (or equivalent experience)
* 8\+ years of experience applying Machine Learning to operational systems
* Proven experience in building and deploying Machine Learning models in production environments
* Expertise in time series analysis and optimization algorithms
* Strong proficiency in Python programming
* Experience with machine learning frameworks such as TensorFlow, PyTorch, or similar
* Familiarity with distributed systems and cloud platforms like AWS and Kubernetes
* Excellent communication and technical presentation skills
* Track record of delivering high\-impact projects in fast\-paced environments
**Responsibilities**
* Design and develop innovative machine learning algorithms and models to enhance NVIDIA’s AI products
* Create production models for anomaly detection, predictive maintenance, and usage optimization
* Develop tools for real\-time telemetry analysis, efficiency metrics, and trend forecasting
* Build forecasting and simulation models to support global scale planning and decision\-making
* Analyze complex datasets to determine optimal approaches for model training and performance tuning
* Translate research findings into actionable engineering solutions in collaboration with infrastructure, operations, and product teams
* Participate in cross\-functional projects to integrate machine learning capabilities into various NVIDIA products
* Maintain and improve existing models to ensure high accuracy and reliability
**Benefits**
* Competitive salary package within the range of USD 184,000 to USD 287,500, commensurate with experience and location
* Equity options and performance\-based bonuses
* Comprehensive health, dental, and vision insurance plans
* Flexible work hours and remote work opportunities
* Professional development programs and continuous learning opportunities
* Generous paid time off and holidays
* Inclusive and diverse work environment that fosters innovation and collaboration
 Equal Opportunity
 NVIDIA is committed to fostering a diverse and inclusive workplace. We are proud to be an equal opportunity employer and do not discriminate based on race, religion, color, national origin, gender, gender identity or expression, sexual orientation, age, marital status, veteran status, disability, or any other characteristic protected by law.</t>
        </is>
      </c>
    </row>
    <row r="17">
      <c r="A17" t="inlineStr">
        <is>
          <t>li-4343655521</t>
        </is>
      </c>
      <c r="B17" t="inlineStr">
        <is>
          <t>Machine Learning Engineer</t>
        </is>
      </c>
      <c r="C17" t="inlineStr">
        <is>
          <t>PitchBook</t>
        </is>
      </c>
      <c r="D17" t="inlineStr">
        <is>
          <t>linkedin</t>
        </is>
      </c>
      <c r="E17" t="inlineStr"/>
      <c r="F17" t="inlineStr"/>
      <c r="G17" t="inlineStr">
        <is>
          <t>Seattle, WA</t>
        </is>
      </c>
      <c r="H17" t="inlineStr"/>
      <c r="I17"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Machine Learning Engineer (MLE) on the AI \&amp; ML (Insights) team, you will play a critical role in delivering AI\-powered features that extract meaningful insights from PitchBook’s wealth of structured and unstructured data including reports, news, and other textual content. This role requires deep technical expertise in advanced data analytics and machine learning, as well as a hands\-on approach to designing, building, and optimizing ML solutions that power user\-facing features on the PitchBook Platform.
 You will be deeply involved in the end\-to\-end development and operationalization of ML models, including their architecture, training, deployment, and ongoing maintenance. Your focus will span across natural language processing (NLP), generative AI (GenAI), large language models (LLMs), and scalable data systems. You will be expected to tackle complex technical challenges, contribute to architectural decisions, and collaborate closely with other engineers, data scientists, and product managers to ensure that your work aligns with business goals and AI/ML strategy.
 Your contributions will help unlock unique value for PitchBook customers by improving the speed, discoverability, quality, and quantity of insights available on the platform. This includes developing models that can infer meaning and structure from millions of discrete data sources and applying ML to enrich our datasets with predictive and generative intelligence.
**Primary Job Responsibilities**
* Deliver high\-impact AI and ML capabilities that drive insight generation on the PitchBook Platform. Ensure your work contributes to broader business goals and is aligned with the team's strategic priorities
* Provide hands\-on expertise in designing, building, and deploying AI/ML models and services with a focus on NLP, summarization, semantic search, classification, and prediction. Contribute to the development of scalable, high\-performance systems that meet production\-grade reliability and efficiency standards
* Contribute to a culture of technical excellence by sharing knowledge, pairing with teammates, and actively participating in code and design reviews. Provide situational guidance to junior engineers and contribute to team best practices
* Build and optimize models that leverage classifiers, transformers, LLMs, and other NLP techniques to generate meaningful insights from structured and unstructured data. Integrate these models into the broader AI/ML infrastructure in collaboration with partner teams
* Collaborate with engineering, product management, and data collection teams to ensure models are informed by high\-quality data and support strategic product goals
* Explore and experiment with emerging technologies, methodologies, and tools in the fields of GenAI, NLP, and search. Translate research findings into practical solutions that enhance PitchBook’s AI capabilities
* Contribute to best practices in model transparency, monitoring, evaluation, and compliance. Help maintain high standards of security, data integrity, and responsible AI use across your projects
* Participate in the technical evaluation of candidates and help onboard new team members by contributing to documentation, pairing, and knowledge\-sharing practices
* Apply principles from Agile, Lean, and Fast\-Flow methodologies to support efficient model development and deployment cycles
* Support the vision and values of the company through role modeling and encouraging desired behaviors
* Participate in various company initiatives and projects as requested
**Skills And Qualifications**
* Bachelor’s degree in Computer Science, Mathematics, Data Science, or related technical field, advanced degrees are preferred
* 2\+ years of experience in software engineering or machine learning engineering, with a strong focus on AI/ML applications in insight generation, summarization, semantic search, and prediction
* Demonstrated expertise in natural language processing (NLP) and machine learning, including hands\-on experience with classifiers, transformer models, large language models (LLMs), and widely used ML and data science libraries such as scikit\-learn, pandas, numpy, TensorFlow, and PyTorch
* Experience delivering production\-grade GenAI or LLM\-based systems with measurable business impact
* Familiarity with the LangChain ecosystem, including tools such as LangSmith and LangGraph, and experience using them in production environments is a strong plus
* Proficiency in building and maintaining scalable data pipelines and distributed systems using technologies such as Apache Kafka, Airflow, and cloud data platforms like Snowflake
* Strong programming skills in Python and SQL, with working knowledge of additional languages such as Java or Scala considered a plus
* Practical experience with cloud\-native development, containerization, and orchestration technologies such as Docker and Kubernetes
* Demonstrated ability to solve complex technical problems, contribute to architectural decisions, and deliver high\-performance, reliable solutions
* Excellent communication and collaboration skills, with experience working cross\-functionally with product managers, engineers, and data scientists in globally distributed teams
* Experience working in fast\-paced, data\-driven environments. Prior exposure to fintech or financial data platforms is a strong advantage
* Experience authoring research papers for peer\-reviewed AI/ML conferences (e.g., NeurIPS, ICML, ACL) and participating in the broader AI research community is strongly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$125,000\-$180,000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18">
      <c r="A18" t="inlineStr">
        <is>
          <t>li-4343802199</t>
        </is>
      </c>
      <c r="B18" t="inlineStr">
        <is>
          <t>Machine Learning Engineer, Personalization</t>
        </is>
      </c>
      <c r="C18" t="inlineStr">
        <is>
          <t>Spotify</t>
        </is>
      </c>
      <c r="D18" t="inlineStr">
        <is>
          <t>linkedin</t>
        </is>
      </c>
      <c r="E18" t="inlineStr"/>
      <c r="F18" t="inlineStr"/>
      <c r="G18" t="inlineStr">
        <is>
          <t>New York, NY</t>
        </is>
      </c>
      <c r="H18" t="inlineStr"/>
      <c r="I18" t="inlineStr">
        <is>
          <t>The Personalization team makes deciding what to play next on Spotify easier and more enjoyable for every listener. We seek to understand the world of music, podcasts, and audiobooks better than anyone else so that we can make great recommendations to every individual person and keep the world listening. Every day, hundreds of millions of people all over the world use the products we build which include destinations like “Home” and “Search” as well as original playlists such as “Discover Weekly” and “Daily Mix.”
 Personalization’s Minesweeper squad produces Human Understandable Language Knowledge to enrich music and talk content understanding. We use AI and ML techniques, including Large Language Models, to understand music, podcasts and audiobooks, building reliable, scalable systems to distribute that knowledge to Spotify internal teams, users, and creators. We are looking for a Machine Learning Engineer to join our team and help build the future of music, podcast and audiobook listening experiences for millions of listeners at Spotify. This is a unique opportunity to help develop and shape Spotify content enrichment, and recommendations. You’ll grow your skills in ML engineering at scale, work with a cross\-functional team of Data Engineers, Backend Engineers, and researchers, and join a motivated and supportive team.
 What You'll Do
* Utilize in\-house and 3rd party LLMs to solve language understanding problems
* Employ techniques such as fine\-tuning and RAG to improve models
* Contribute to designing, building, evaluating, shipping, and refining Spotify’s product by hands\-on ML development
* Help drive optimization, testing, and tooling to improve quality of our content enrichment assets
* Collaborate with cross\-functional teams of MLEs, data and backend engineers, and other stakeholders including tech research, data science, and product to develop new features and technologies
* Be a participant in our AI Foundation’s ML community and work collaboratively and efficiently within our existing platforms and systems Perform data analysis to establish baselines and inform product decisions
* Stay up\-to\-date on the latest machine learning algorithms and techniques
 Who You Are
* You have a strong background in machine learning, especially experience with Large Language Models
* You have professional experience in applied machine learning
* Extensive experience working in a product and data\-driven environment (Python, Scala, Java, SQL, with Python experience required) and cloud platforms (GCP or AWS)
* You have some hands\-on experience implementing or prototyping machine learning systems at scale
* You have experience architecting data pipelines and are self\-sufficient in getting the data you need to build and evaluate models, using tools like Dataflow, Apache Beam, or Spark
* You care about agile software processes, data\-driven development, reliability, and disciplined experimentation
* You have experience and passion for fostering collaborative teams
* Experience with PyTorch, TensorFlow, and/or other scalable Machine learning frameworks. Experience with Ray or TFX is a plus
* Bonus if you have experience with architecting near real time pipelines
 Where You'll Be
* We offer you the flexibility to work where you work best! For this role, you can be within the North America region as long as we have a work location.This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9">
      <c r="A19" t="inlineStr">
        <is>
          <t>li-4365952882</t>
        </is>
      </c>
      <c r="B19" t="inlineStr">
        <is>
          <t>AI Agent ML Engineer</t>
        </is>
      </c>
      <c r="C19" t="inlineStr">
        <is>
          <t>Synergetics</t>
        </is>
      </c>
      <c r="D19" t="inlineStr">
        <is>
          <t>linkedin</t>
        </is>
      </c>
      <c r="E19" t="inlineStr"/>
      <c r="F19" t="inlineStr"/>
      <c r="G19" t="inlineStr">
        <is>
          <t>Bridgewater, NJ</t>
        </is>
      </c>
      <c r="H19" t="inlineStr"/>
      <c r="I19" t="inlineStr">
        <is>
          <t>Bausch \+ Lomb (NYSE/TSX: BLCO) is a leading global eye health company dedicated to protecting and enhancing the gift of sight for millions of people around the world—from the moment of birth through every phase of life. Our mission is simple, yet powerful: helping you see better, to live better.
 Our comprehensive portfolio of over 400 products is fully integrated and built to serve our customers across the full spectrum of their eye health needs throughout their lives. Our iconic brand is built on the deep trust and loyalty of our customers established over our 170\-year history. We have a significant global research, development, manufacturing and commercial footprint of approximately 13,000 employees and a presence in approximately 100 countries, extending our reach to billions of potential customers across the globe. We have long been associated with many of the most significant advances in eye health, and we believe we are well positioned to continue leading the advancement of eye health in the future.
 The AI Agent \&amp; ML Engineer will design, build, and optimize intelligent agents powered by advanced machine learning models, enabling process automation and decision support across Bausch \+ Lomb’s departments. This hybrid role blends hands\-on engineering with strategic vision, ensuring our AI capabilities deliver measurable impact through robust agent orchestration, scalable model deployment, and seamless integration with enterprise workflows. A key focus of this role is to understand complex business processes and translate them into agentic frameworks for automation and optimization.
 Key Responsibilities
* Architect and develop multi\-agent systems for process automation and intelligent decision\-making.
* Implement reasoning, planning, and tool\-use capabilities using frameworks such as LangChain, AutoGPT, or similar.
* Integrate AI agents with APIs, enterprise systems, and business workflows to drive operational efficiency.
* Analyze, map, and document business processes; translate process requirements into agentic frameworks and automation solutions.
* Collaborate with business stakeholders to identify opportunities for agent\-driven process improvement.
* Develop, fine\-tune, and deploy large language models (LLMs) and domain\-specific ML models.
* Build and maintain data pipelines, embeddings, and vector databases to support agent intelligence.
* Optimize models for scalability, latency, and accuracy in production environments.
* Champion Responsible AI practices, including monitoring, guardrails, and compliance with governance standards.
* Lead Agile AI Operations, including backlog management, sprint planning, cross\-functional collaboration, and continuous improvement.
**Qualifications**
* Bachelor’s or Master’s degree in Computer Science, Artificial Intelligence, Machine Learning, Engineering, or related field.
* 3\+ years’ experience in AI/ML engineering, agent development, process engineering, or related roles.
* Proven track record of building and deploying production\-grade AI agents and ML models.
* Deep expertise in at least three of the following: Agent orchestration, ML model development, Data engineering, API integration, Process engineering, Responsible AI.
* Strong programming skills in Python; experience with ML frameworks (PyTorch, TensorFlow) and agent orchestration tools.
* Experience in business process analysis, process mapping, and workflow automation.
* Familiarity with prompt engineering and vector databases (e.g., Pinecone, Weaviate).
* Success operating in a matrix environment, developing strong relationships across functional groups (e.g., IT, business, UX) to achieve shared goals.
* Demonstrated expertise in Agile methodologies (e.g., Scrum, SAFe), with experience managing AI backlogs, sprints, and team metrics.
* Excellent leadership, communication, and presentation skills, with the ability to engage and influence internal and external stakeholders, and proven sound business judgment and financial acumen.
 Location: This role is eligible for our hybrid work arrangement, allowing for up to two days a week in a remote work location and three days a week in our Bridgewater, NJ corporate office.
 Travel: 10%
 This position may be available in the following location(s): US \- Bridgewater, NJ
 All qualified applicants will receive consideration for employment without regard to race, color, religion, sex, sexual orientation, gender identity, national origin, disability, or veteran status.
 For U.S. locations that require disclosure of compensation, the starting pay for this role is between $165,000 and $190,000\.The estimated salary range reflects an anticipated range for this position. The actual base salary offered may depend on a variety of factors. U.S. based employees may be eligible for short\-term and/or long\-term incentives. They may also be eligible to participate in medical, dental, vision insurance, disability and life insurance, a 401(k) plan and company match, a tuition reimbursement program (select degrees), company holidays, and well\-being benefits, among others. U.S. based employees are also eligible to receive sick time, floating holidays and paid vacation.
 Job Applicants should be aware of job offer scams perpetrated through the use of the Internet and social media platforms.
 To learn more please read Bausch \+ Lomb's Job Offer Fraud Statement.
 Our Benefit Programs: Employee Benefits: Bausch \+ Lomb
 Applicants must be authorized to work for ANY employer in the U.S. We are unable to sponsor or take over sponsorship of an employment Visa at this time.</t>
        </is>
      </c>
    </row>
    <row r="20">
      <c r="A20" t="inlineStr">
        <is>
          <t>li-4358191579</t>
        </is>
      </c>
      <c r="B20" t="inlineStr">
        <is>
          <t>Machine Learning Engineer, Level 4</t>
        </is>
      </c>
      <c r="C20" t="inlineStr">
        <is>
          <t>Snap Inc.</t>
        </is>
      </c>
      <c r="D20" t="inlineStr">
        <is>
          <t>linkedin</t>
        </is>
      </c>
      <c r="E20" t="inlineStr"/>
      <c r="F20" t="inlineStr"/>
      <c r="G20" t="inlineStr">
        <is>
          <t>New York, United States</t>
        </is>
      </c>
      <c r="H20" t="inlineStr"/>
      <c r="I2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21">
      <c r="A21" t="inlineStr">
        <is>
          <t>li-4279934765</t>
        </is>
      </c>
      <c r="B21" t="inlineStr">
        <is>
          <t>Machine Learning Engineer, Payments ML Accelerator</t>
        </is>
      </c>
      <c r="C21" t="inlineStr">
        <is>
          <t>Stripe</t>
        </is>
      </c>
      <c r="D21" t="inlineStr">
        <is>
          <t>linkedin</t>
        </is>
      </c>
      <c r="E21" t="inlineStr"/>
      <c r="F21" t="inlineStr"/>
      <c r="G21" t="inlineStr">
        <is>
          <t>San Francisco, CA</t>
        </is>
      </c>
      <c r="H21" t="inlineStr"/>
      <c r="I21"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ML Accelerator team is developing foundational ML capabilities that drive innovation across Stripe's payment products. We build deep learning models that tackle Stripe's most complex payment challenges \- from fraud detection to authorization optimization \- and deliver measurable business impact. Our work combines advanced ML techniques with large\-scale data infrastructure to enable rapid experimentation and seamless deployment of AI\-powered solutions. As a central ML innovation hub, we work closely with product teams to identify high\-impact opportunities and implement scalable solutions that can be leveraged across the organization.
**What You'll Do**
 As a machine learning engineer on our team, you’ll develop advanced ML solutions that directly impact Stripe’s payment products and core business metrics. Your role will span the entire ML lifecycle, from research and experimentation to production deployment.
 You’ll work on high\-leverage problems that require innovation in modeling, optimization, and system design. Where possible, you’ll look beyond point solutions \- designing approaches and architectures that are reusable, extensible, and serve as foundation models for future capabilities.
 The role demands strong technical judgment, deep knowledge of modern ML methods, and the ability to translate ideas into systems that deliver measurable impact. You’ll partner with product and engineering teams to identify opportunities where ML can move the needle today while setting Stripe up for long\-term success.
**Responsibilities**
* Design and deploy deep learning architectures and foundation models to address problems across key payment entities such as merchants, issuers, or customers
* Identify high\-impact opportunities, and drive the long\-term ML roadmap through well\-scoped high\-leverage initiatives
* Architect generalizable ML workflows to enable rapid scaling and optimized online performance
* Deploy ML models online and ensure operational stability
* Experiment with advanced ML solutions in the industry and ideate on product applications
* Explore cutting\-edge ML techniques and evaluate their potential to solve business problems
* Work closely with ML infrastructure teams to shape new platform capabilities
**Who You Are**
 We are looking for ML Engineers who are passionate about using ML to improve products and delight customers. You have experience developing streaming feature pipelines, building ML models, and deploying them to production, even if it involves making substantial changes to backend code. You are comfortable with ambiguity, love to take initiative, and have a bias towards action.
**Minimum Requirements**
* Minimum 7 years of industry experience doing end\-to\-end ML development on a machine learning team and bringing ML models to production
* Proficient in Python, Scala, and Spark
* Proficient in deep learning and LLM/foundation models
**Preferred Qualifications**
* MS/PhD degree in quantitative field or ML/AI (e.g. computer science, math, physics, statistics)
* Knowledge about how to manipulate data to perform analysis, including querying data, defining metrics, or slicing and dicing data to evaluate a hypothesis
* Experience evaluating niche and upcoming ML solutions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2">
      <c r="A22" t="inlineStr">
        <is>
          <t>li-4327778039</t>
        </is>
      </c>
      <c r="B22" t="inlineStr">
        <is>
          <t>AI Engineer</t>
        </is>
      </c>
      <c r="C22" t="inlineStr">
        <is>
          <t>Aircall</t>
        </is>
      </c>
      <c r="D22" t="inlineStr">
        <is>
          <t>linkedin</t>
        </is>
      </c>
      <c r="E22" t="inlineStr"/>
      <c r="F22" t="inlineStr"/>
      <c r="G22" t="inlineStr">
        <is>
          <t>Seattle, WA</t>
        </is>
      </c>
      <c r="H22" t="inlineStr"/>
      <c r="I22" t="inlineStr">
        <is>
          <t>Aircall is a unicorn AI\-powered customer communications platform used by 22,000\+ companies worldwide to drive revenue, faster resolutions, and scale. We’re redefining what a customer communications platform can be—by combining voice, SMS, WhatsApp, and AI into one seamless workspace.
 Our momentum comes from a simple but powerful idea: help every customer\-facing team work smarter, not harder. Aircall’s AI Voice Agent automates routine calls, AI Assist streamlines post\-call tasks, and AI Assist Pro delivers real\-time guidance that helps people do their best work. The result—companies grow revenue, deliver faster resolutions, and scale service.
 We’ve built a product customers love and a business that scales fast. Aircall operates in nine global offices (Paris, New York, San Francisco, Sydney, Madrid, London, Berlin, Seattle, and Mexico City), and is backed by world\-class investors. Our teams are shipping AI innovation faster than ever and expanding across new product lines and markets.
 At Aircall, you’ll join a company in motion—ambitious, profitable, and product\-driven—where impact is visible, decisions are fast, and growth is real.
**How We Work at Aircall:** 
 At Aircall, we believe in customer obsession, continuous learning, and delivering extraordinary outcomes. We value open collaboration, taking ownership, and making smart, informed decisions with speed and precision. If you thrive in a fast\-paced, team\-driven environment where curiosity, trust, and impact matter, you'll fit right in
 As an AI Engineer for the Integrations team, you will be responsible to design, develop, and optimize scalable, high\-performance cloud\-based solutions. In this role, you will work across the entire software development lifecycle, contributing to architecture, coding, testing, and deployment while ensuring high\-quality and reliable deliverables. You’ll collaborate closely with cross\-functional teams to translate requirements into technical solutions. This position offers the chance to solve challenging technical problems, mentor junior engineers, and make a meaningful impact on the design, development, deployment, and operation of world\-class software and features that add customer value.
**Key Responsibilities**
* Own key responsibilities in the design, architecture, and end\-to\-end delivery of AI\-driven modules.
* Propose innovative solutions by staying ahead of AI landscape trends and emerging technologies.
* Participate in requirements analysis to help with providing the right technical and business solutions for our customers.
* Have key responsibilities within the design, architecture, and end\-to\-end delivery of your development.
* Write clean scalable code and test and deploy applications and systems.
* Revise, update, refactor, and debug code.
* Participate in code reviews to ensure code quality and share knowledge.
* Be part of an engineering organization delivering high quality, secure, voice solutions to Aircall clients.
* Involvement in product and platform performance optimization and live site monitoring.
* Participate in an on\-call rotation to respond to critical system issues and ensure continuous system reliability.
* Security is at the forefront of your mind in everything that you do.
**Qualifications**
* AI experience is a must for this position: Strong knowledge of LLMs and hands\-on experience building with them \- including usage, prompting and model integration.
* Proven understanding and direct experience with Agentic AI systems, including designing, developing, and deploying AI Agents and MCP prototype/servers.
* Familiarity with AI frameworks (e.g., LangChain, LlamaIndex, AutoGen) and modern AI architectures such as RAG, vector databases, reranking, and performance optimization.
* At least 1 year of experience in back\-end development using Python, TypeScript/Node.js, or Java, with a focus on security, scalability, availability, and performance.
* Full\-stack development experience is a strong plus.
* Nice to have: Ideally you will have worked with AWS in a production environment and understand how to design for, deploy on and get the best out of, the environment and services provided by Amazon.
 $140,000 \- $220,000 a year
 This is not including equity and other benefits. The actual salary offered will carefully consider a wide range of factors, including your skills, qualifications, and experience.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equity
 🏨 Medical, dental, and vision insurance is 100% covered
 📈 401k plan with company matching!
 ✈️ Unlimited PTO — take the time you need to come to work feeling great!
 ⭐️ Wellness, internet, and childcare reimbursements
 💚 Generous parental leave policy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
      <c r="A23" t="inlineStr">
        <is>
          <t>li-4366358569</t>
        </is>
      </c>
      <c r="B23" t="inlineStr">
        <is>
          <t>Applied AI Engineer</t>
        </is>
      </c>
      <c r="C23" t="inlineStr">
        <is>
          <t>Atomicwork</t>
        </is>
      </c>
      <c r="D23" t="inlineStr">
        <is>
          <t>linkedin</t>
        </is>
      </c>
      <c r="E23" t="inlineStr"/>
      <c r="F23" t="inlineStr"/>
      <c r="G23" t="inlineStr"/>
      <c r="H23" t="inlineStr"/>
      <c r="I23" t="inlineStr">
        <is>
          <t>We’re looking for an
 **Applied AI Engineer** 
 to join our Engineering team to design, build, evaluate, and deploy intelligent AI systems that power enterprise workflows, autonomous assistants, and machine\-assisted task automation. This role is based out of our US office and comes with competitive pay and practical benefits for you and your family.
 We’re looking for strong problem solvers who’ve shipped impactful AI\-driven functionality before and can scale our platform intelligence with quality and ownership.
**What you'll do — responsibilities** 
* Design, build, and fine\-tune transformer\-based and retrieval\-augmented models for natural language understanding, intent classification, summarization, and context\-aware reasoning.
* Develop AI components that power automated knowledge search, semantic retrieval, agentic task orchestration, and conversational assistants.
* Integrate AI systems with production data pipelines in a scalable and secure way.
* Build evaluation pipelines, define metrics, and establish performance and reliability benchmarks for AI features.
* Collaborate with engineering, data, and product teams to productize models with observability, monitoring, and continuous improvement.
* Participate in code reviews, architecture discussions, and cross\-team problem solving.
* Take end\-to\-end ownership of features — from problem definition to deployment and performance monitoring.
**What we’re looking for (qualifications)** 
* Strong programming experience in Python and familiarity with ML/AI frameworks like PyTorch or TensorFlow.
* Hands\-on experience with transformer\-based models (LLMs), embeddings, vector search, and retrieval augmentation.
* Experience building or integrating semantic search, RAG, or multi\-agent workflows.
* Demonstrated ability to build reliable ML/AI systems in production environments.
* Understanding of scalable backend systems, cloud infrastructure, and model serving techniques.
* Good software engineering practices: clean code, testing, version control (Git), and collaboration.
* Curious mindset, product empathy, and willingness to learn new technologies quickly.
* We don’t require specific degrees — practical skills, curiosity, and ownership matter most.
**Why we are different (culture)** 
 As part of Atomicwork, you can shape our company and business from idea to production. Our cultural values set the bar high and help us create a better workplace for everyone.
**Agency:** 
 Be self\-directed and take initiative.
**Taste:** 
 Hold a high bar — sweat the details and build with care.
**Ownership:** 
 Take full responsibility for wins and setbacks.
**Mastery:** 
 Commit to continuous learning and improvement.
**Impatience:** 
 Move with urgency towards outcomes.
**Customer Obsession:** 
 Put customer value at the heart of every decision.</t>
        </is>
      </c>
    </row>
    <row r="24">
      <c r="A24" t="inlineStr">
        <is>
          <t>li-4358221508</t>
        </is>
      </c>
      <c r="B24" t="inlineStr">
        <is>
          <t>Machine Learning Engineer, Level 4</t>
        </is>
      </c>
      <c r="C24" t="inlineStr">
        <is>
          <t>Snap Inc.</t>
        </is>
      </c>
      <c r="D24" t="inlineStr">
        <is>
          <t>linkedin</t>
        </is>
      </c>
      <c r="E24" t="inlineStr"/>
      <c r="F24" t="inlineStr"/>
      <c r="G24" t="inlineStr">
        <is>
          <t>Palo Alto, CA</t>
        </is>
      </c>
      <c r="H24" t="inlineStr"/>
      <c r="I2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25">
      <c r="A25" t="inlineStr">
        <is>
          <t>li-4365998807</t>
        </is>
      </c>
      <c r="B25" t="inlineStr">
        <is>
          <t>Machine Learning Engineer, Entry Level</t>
        </is>
      </c>
      <c r="C25" t="inlineStr">
        <is>
          <t>Emonics LLC</t>
        </is>
      </c>
      <c r="D25" t="inlineStr">
        <is>
          <t>linkedin</t>
        </is>
      </c>
      <c r="E25" t="inlineStr"/>
      <c r="F25" t="inlineStr"/>
      <c r="G25" t="inlineStr">
        <is>
          <t>Boston, MA</t>
        </is>
      </c>
      <c r="H25" t="inlineStr"/>
      <c r="I25" t="inlineStr">
        <is>
          <t>Job description
 About the role
 We are hiring a Machine Learning Engineer to help design, build, and deploy ML solutions. This role focuses on turning models into reliable systems and collaborating with engineering teams to operationalize ML.
 What you will do
 • Develop and train ML models with reproducible pipelines
 • Build data preprocessing workflows and feature generation
 • Deploy models to production and monitor performance
 • Work with stakeholders to define success metrics and test outcomes
 • Document experiments and contribute to best practices
 What you are looking for
 • Degree in CS, Data Science, Engineering, or related field
 • Strong Python, data handling (pandas), and ML fundamentals
 • Familiarity with scikit\-learn and basic model evaluation
 • Understanding of software engineering basics (Git, testing, modular code)
 Nice to have
 • PyTorch or TensorFlow
 • Experience with ML pipelines, Airflow, or workflow orchestration
 • Exposure to CI/CD, Docker, and cloud services</t>
        </is>
      </c>
    </row>
    <row r="26">
      <c r="A26" t="inlineStr">
        <is>
          <t>li-4366325546</t>
        </is>
      </c>
      <c r="B26" t="inlineStr">
        <is>
          <t>Machine Learning Engineer</t>
        </is>
      </c>
      <c r="C26" t="inlineStr">
        <is>
          <t>Workiva</t>
        </is>
      </c>
      <c r="D26" t="inlineStr">
        <is>
          <t>linkedin</t>
        </is>
      </c>
      <c r="E26" t="inlineStr"/>
      <c r="F26" t="inlineStr"/>
      <c r="G26" t="inlineStr"/>
      <c r="H26" t="inlineStr"/>
      <c r="I26" t="inlineStr">
        <is>
          <t>**About The Company**
 Workiva is a leading provider of cloud\-based solutions designed to streamline complex business processes, enhance data accuracy, and foster collaboration across teams. With a commitment to innovation and excellence, Workiva empowers organizations to transform their data management, reporting, and compliance workflows. Our platform integrates advanced technologies, including machine learning and AI, to deliver intelligent insights and automation that drive strategic decision\-making. As a company dedicated to fostering a diverse and inclusive environment, Workiva values the unique perspectives of its employees and strives to create a workplace where everyone can thrive.
**About The Role**
 We are seeking a highly skilled Staff Machine Learning Engineer to join our dynamic team. In this role, you will be responsible for developing robust tools, systems, and infrastructure that support the development, monitoring, and management of our machine learning solutions. Your expertise will be pivotal in ensuring the scalability, availability, and long\-term stability of our ML systems. You will work closely with cross\-functional teams, including product managers, software engineers, and data scientists, to architect and deliver innovative ML solutions, with a particular focus on integrating Generative AI capabilities. This position offers a unique opportunity to lead technical initiatives, mentor junior engineers, and shape the future of machine learning at Workiva.
**Qualifications**
* Bachelor’s degree in Computer Science, Engineering, or a related field
* Minimum of 4 years of experience in ML engineering or related software engineering roles
* Proficiency in ML development cycles and relevant toolsets
* Strong programming skills in Python, GO, Java, or similar languages
* Experience with cloud services such as AWS or equivalent providers
* Knowledge of containerization and orchestration tools like Docker and Kubernetes
* Experience with CI/CD pipelines, model deployment, and data pipelines
* Excellent problem\-solving and debugging skills
* Ability to collaborate effectively with cross\-functional teams
**Responsibilities**
* Architect and develop innovative ML solutions using MLOps best practices, fostering creativity and efficiency
* Design systems that enable rapid ML development, high availability, and clear observability
* Develop tools, automation, and infrastructure to support scalable and reliable ML solutions
* Collaborate closely with product teams to develop APIs, maintain ML infrastructure, and integrate machine learning features into products
* Provide technical leadership, mentor junior engineers, and define team best practices and processes
* Introduce new technologies and techniques to advance Workiva's strategic initiatives in ML
* Communicate complex technical concepts effectively to both technical and non\-technical stakeholders
* Monitor, support, and optimize ML models in production environments, ensuring their robustness and performance
* Participate in code reviews, troubleshooting, and incident management to maintain system reliability
* Engage in on\-call rotations to provide 24/7 support for SaaS hosted environments
**Benefits**
* Competitive salary range in the US: $148,000 \- $237,000, commensurate with experience
* Discretionary annual bonus
* Restricted Stock Units (RSUs) granted at hire
* 401(k) retirement plan with company match
* Comprehensive health, dental, and vision insurance plans
* Generous paid time off and holiday leave
* Flexible work arrangements, including remote work options
* Professional development opportunities and ongoing training
* Inclusive and collaborative workplace culture
 Equal Opportunity
 Workiva is an equal opportunity employer. We celebrate diversity and are committed to creating an inclusive environment for all employees.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t>
        </is>
      </c>
    </row>
    <row r="27">
      <c r="A27" t="inlineStr">
        <is>
          <t>li-4366369111</t>
        </is>
      </c>
      <c r="B27" t="inlineStr">
        <is>
          <t>Senior AI Engineer</t>
        </is>
      </c>
      <c r="C27" t="inlineStr">
        <is>
          <t>Enzo Tech Group</t>
        </is>
      </c>
      <c r="D27" t="inlineStr">
        <is>
          <t>linkedin</t>
        </is>
      </c>
      <c r="E27" t="inlineStr"/>
      <c r="F27" t="inlineStr"/>
      <c r="G27" t="inlineStr">
        <is>
          <t>California, United States</t>
        </is>
      </c>
      <c r="H27" t="inlineStr"/>
      <c r="I27" t="inlineStr">
        <is>
          <t>**Senior AI Engineer (Applied GenAI / LLMs)** 
**HealthTech \| Production AI \| Python\-first \| Full\-Time Remote** 
 We’re hiring a
 **full\-time Senior AI Engineer** 
 to build
 **production\-grade GenAI systems** 
 used daily by clinicians. This is applied AI in a regulated healthcare environment — not research or demos.
**What You’ll Do** 
* Ship LLM features from
 **PoC to production**
* Design prompts,
 **RAG pipelines** 
 , and AI workflows
* Own
 **LLM evaluation frameworks** 
 (no evals, no launch)
* Ensure reliability, monitoring, and low hallucination rates
* Partner with Product and Engineering to shape what ships
**What We’re Looking For** 
* Senior,
 **Python\-first** 
 engineer
* Proven experience deploying
 **LLM / GenAI systems** 
 in production
* Strong systems design mindset
* Deep focus on AI quality and evaluation
**Compensation \&amp; Benefits** 
* **Base salary:** 
 \~$200,000 USD (depending on experience)
* Remote\-Role, flexible work environment
**Why This Role** 
* AI is already live and trusted
* High ownership with real\-world impact
* Rare opportunity to work deeply on
 **LLM evaluations**
**Interested? Apply now by attaching your resume — we’d love to hear from you.**</t>
        </is>
      </c>
    </row>
    <row r="28">
      <c r="A28" t="inlineStr">
        <is>
          <t>li-4365959421</t>
        </is>
      </c>
      <c r="B28" t="inlineStr">
        <is>
          <t>Sr Machine Learning Engineer - Infra</t>
        </is>
      </c>
      <c r="C28" t="inlineStr">
        <is>
          <t>Adobe</t>
        </is>
      </c>
      <c r="D28" t="inlineStr">
        <is>
          <t>linkedin</t>
        </is>
      </c>
      <c r="E28" t="inlineStr"/>
      <c r="F28" t="inlineStr"/>
      <c r="G28" t="inlineStr">
        <is>
          <t>San Jose, CA</t>
        </is>
      </c>
      <c r="H28" t="inlineStr"/>
      <c r="I2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Our focus is developing AI technologies for text, images, and videos to boost creativity. We're seeking an outstanding ML infra engineer with deep expertise in building large scale foundation models infrastructures that support all the generative AI efforts in Firefly! This is a chance to create a huge impact in a fast\-paced, startup\-like environment in a great company. Join us!
 The position involves building infrastructures touching various components of our foundation model stack. including large scale data processing, scalable and reliable PyTorch training infrastructures, GPU optimizations with custom CUDA kernels on the latest Nvidia GPUs, and more!
 Responsibilities:
* You'll build and optimize infrastructures that power large foundation model training on thousands of GPUs
* You will profile GPU utilization, trace inference and training runs and help craft strategies for optimizing our ML model latency.
* We'll work together to architect and optimize end\-to\-end ML pipelines, ensuring they're scalable, efficient, and robust.
* You'll dive deep into data to recommend the right models, evaluation metrics, and governance approaches.
* Throughout the product lifecycle, you'll engage in architecture, design, deployment, and optimizations of ML models and systems.
 Requirements:
* Graduate, PhD, or postgraduate degree in Computer Science, Computer Engineering, or a related field—or equivalent experience.
* 5\+ years ML Engineering experience, specializing in generative AI like LLMs.
* Strong Python and deep learning engineering skills, paired with experience in training and inferencing with PyTorch or TensorFlow, will be essential.
* Familiarity with distillation, transformers, and diffusion models. Experience with generative image and video is a plus.
* Knowledge of deployment technologies such as Docker, ML Ops, and ML services is valuable, and experience with cloud platforms like Azure and AWS is a plus.
* We value your excellent problem\-solving abilities and your capacity to analyze complex issues and drive solutions with a data\-driven approach.
* Your strong verbal and written communication skills and success in cross\-functional team environments will help us all succeed together.
 \#FireflyGenAI
 Our compensation reflects the cost of labor across several  U.S. geographic markets, and we pay differently based on those defined markets. The U.S. pay range for this position is $172,500 \-\- $306,625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$211,800 \- $306,625 In Washington, the pay range for this position is $201,000 \- $291,150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9">
      <c r="A29" t="inlineStr">
        <is>
          <t>li-4366009794</t>
        </is>
      </c>
      <c r="B29" t="inlineStr">
        <is>
          <t>Junior AI Engineer</t>
        </is>
      </c>
      <c r="C29" t="inlineStr">
        <is>
          <t>Emonics LLC</t>
        </is>
      </c>
      <c r="D29" t="inlineStr">
        <is>
          <t>linkedin</t>
        </is>
      </c>
      <c r="E29" t="inlineStr"/>
      <c r="F29" t="inlineStr"/>
      <c r="G29" t="inlineStr">
        <is>
          <t>Philadelphia, PA</t>
        </is>
      </c>
      <c r="H29" t="inlineStr"/>
      <c r="I29" t="inlineStr">
        <is>
          <t>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row>
    <row r="30">
      <c r="A30" t="inlineStr">
        <is>
          <t>li-4343980608</t>
        </is>
      </c>
      <c r="B30" t="inlineStr">
        <is>
          <t>Senior AI/ML Engineer - CI Platform</t>
        </is>
      </c>
      <c r="C30" t="inlineStr">
        <is>
          <t>General Motors</t>
        </is>
      </c>
      <c r="D30" t="inlineStr">
        <is>
          <t>linkedin</t>
        </is>
      </c>
      <c r="E30" t="inlineStr"/>
      <c r="F30" t="inlineStr"/>
      <c r="G30" t="inlineStr">
        <is>
          <t>Sunnyvale, CA</t>
        </is>
      </c>
      <c r="H30" t="inlineStr"/>
      <c r="I30"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3\+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
      <c r="A31" t="inlineStr">
        <is>
          <t>li-4366367012</t>
        </is>
      </c>
      <c r="B31" t="inlineStr">
        <is>
          <t>Software AI Engineer</t>
        </is>
      </c>
      <c r="C31" t="inlineStr">
        <is>
          <t>micro1</t>
        </is>
      </c>
      <c r="D31" t="inlineStr">
        <is>
          <t>linkedin</t>
        </is>
      </c>
      <c r="E31" t="inlineStr"/>
      <c r="F31" t="inlineStr"/>
      <c r="G31" t="inlineStr"/>
      <c r="H31" t="inlineStr"/>
      <c r="I31" t="inlineStr">
        <is>
          <t>**Job Title:** 
 Software Engineer
**Job Type:** 
 Full\-time, Contractual
**Job Summary:** 
 Join our customer’s team as a Software Engineer, where you will build, optimize, and integrate cutting\-edge AI\-powered applications. This is a unique opportunity to leverage large language models and Retrieval\-Augmented Generation (RAG) while working with frontier AI platforms and secure cloud solutions. Help shape the next era of intelligent software in a collaborative, high\-impact environment.
**Key Responsibilities:** 
* Design, implement, and maintain scalable APIs and backend systems leveraging Python and RESTful services.
* Develop and integrate advanced LLM and RAG solutions, utilizing frameworks like LangGraph and LangChain for agentic, multi\-agent orchestration.
* Work with leading AI platforms including Anthropic for Gov, OpenAI Enterprise, Gemini Enterprise, and Grok Enterprise.
* Deploy, monitor, and optimize solutions on secure cloud infrastructures, such as AWS GovCloud, Google GovCloud, Azure IL5\+, and Vertex AI.
* Build robust data pipelines, manage metadata catalogs, and ensure secure data handling using ETL and MCP methodologies.
* Champion best practices in CI/CD pipelines, SDK integration, and secure coding for scalable codebases.
* Collaborate cross\-functionally, demonstrating exemplary written and verbal communication skills to document and present technical solutions.
**Required Skills and Qualifications:** 
* Proven experience with large language models (LLMs), Retrieval\-Augmented Generation (RAG), and prompt engineering.
* Strong development skills with Python, focusing on backend API development and SDK integration.
* Hands\-on expertise with AWS, particularly AWS GovCloud and AWS Bedrock services.
* Experience with agentic AI tools such as LangGraph, LangChain, and multi\-agent orchestration systems.
* Knowledge of cloud platforms including Google GovCloud, Azure IL5\+, and Vertex AI.
* Solid understanding of data ontologies, metadata management, and building ETL pipelines.
* Exceptional written and verbal communication skills are a must.
**Preferred Qualifications:** 
* Background in secure coding practices for government or regulated environments.
* Direct experience working with enterprise AI solutions such as OpenAI Enterprise or Anthropic for Gov.
* Familiarity with CI/CD automation in complex, hybrid cloud environments.</t>
        </is>
      </c>
    </row>
    <row r="32">
      <c r="A32" t="inlineStr">
        <is>
          <t>li-4343980607</t>
        </is>
      </c>
      <c r="B32" t="inlineStr">
        <is>
          <t>Senior AI/ML Engineer - CI Platform</t>
        </is>
      </c>
      <c r="C32" t="inlineStr">
        <is>
          <t>General Motors</t>
        </is>
      </c>
      <c r="D32" t="inlineStr">
        <is>
          <t>linkedin</t>
        </is>
      </c>
      <c r="E32" t="inlineStr"/>
      <c r="F32" t="inlineStr"/>
      <c r="G32" t="inlineStr">
        <is>
          <t>Austin, TX</t>
        </is>
      </c>
      <c r="H32" t="inlineStr"/>
      <c r="I32"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3\+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
      <c r="A33" t="inlineStr">
        <is>
          <t>li-4355936804</t>
        </is>
      </c>
      <c r="B33" t="inlineStr">
        <is>
          <t>Machine Learning Engineer - Agent Factory</t>
        </is>
      </c>
      <c r="C33" t="inlineStr">
        <is>
          <t>Workday</t>
        </is>
      </c>
      <c r="D33" t="inlineStr">
        <is>
          <t>linkedin</t>
        </is>
      </c>
      <c r="E33" t="inlineStr"/>
      <c r="F33" t="inlineStr"/>
      <c r="G33" t="inlineStr">
        <is>
          <t>Pleasanton, CA</t>
        </is>
      </c>
      <c r="H33" t="inlineStr"/>
      <c r="I33"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**P3, Machine Learning Engineer III**
**Basic Qualifications**
* 5\+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2\+ years of professional experience in machine learning and deep learning frameworks \&amp; toolkits such as Pytorch, TensorFlow
* 2\+ years of professional experience in building services to host machine learning models in production at scale
* 2\+ years of demonstrated experience working with large language models (LLMs), text generation models, and/or graph neural network models for real\-world use cases
* 2\+ years of proven experience with cloud computing platforms (e.g. AWS, GCP, etc.)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in Canada, please click here. For more information regarding Workday’s comprehensive benefits in the US, please click here.
 Primary Location: USA.CA.Pleasanton
 Primary Location Base Pay Range: $165,600 USD \- $248,400 USD
 Additional CAN Location(s) Base Pay Range: $122,400 \- $183,600 CAD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34">
      <c r="A34" t="inlineStr">
        <is>
          <t>li-4358141567</t>
        </is>
      </c>
      <c r="B34" t="inlineStr">
        <is>
          <t>Machine Learning Engineer, Level 5</t>
        </is>
      </c>
      <c r="C34" t="inlineStr">
        <is>
          <t>Snap Inc.</t>
        </is>
      </c>
      <c r="D34" t="inlineStr">
        <is>
          <t>linkedin</t>
        </is>
      </c>
      <c r="E34" t="inlineStr"/>
      <c r="F34" t="inlineStr"/>
      <c r="G34" t="inlineStr">
        <is>
          <t>San Francisco, CA</t>
        </is>
      </c>
      <c r="H34" t="inlineStr"/>
      <c r="I3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5\+ years of post\-Bachelor’s machine learning experience; or Master’s degree in a technical field \+ 4\+ year of post\-grad machine learning experience; or PhD in a relevant technical field \+ 1 years of post\-grad machine learning experience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35">
      <c r="A35" t="inlineStr">
        <is>
          <t>li-4343990648</t>
        </is>
      </c>
      <c r="B35" t="inlineStr">
        <is>
          <t>Senior AI/ML Engineer - CI Platform</t>
        </is>
      </c>
      <c r="C35" t="inlineStr">
        <is>
          <t>General Motors</t>
        </is>
      </c>
      <c r="D35" t="inlineStr">
        <is>
          <t>linkedin</t>
        </is>
      </c>
      <c r="E35" t="inlineStr"/>
      <c r="F35" t="inlineStr"/>
      <c r="G35" t="inlineStr">
        <is>
          <t>Warren, MI</t>
        </is>
      </c>
      <c r="H35" t="inlineStr"/>
      <c r="I35" t="inlineStr">
        <is>
          <t>**Job Description**
*This role is categorized as hybrid. This means the successful candidate is expected to report to the office in \[Austin, Detroit, Warren, Milford, Mountain* 
*View* 
*or Sunnyvale] a minimum of 3 days per week. This position can be considered Remote if the successful candidate is in the Seattle, Washington area.*
**About Us**
 The AI Cloud and Developer Infrastructure organization is responsible for delivering and maintaining the tools and services engineers here at GM use every day to do their best work and drive our cars forward. Tools and services we work on enhancing the entire development process of engineers at GM — how/where code is checked out, modified, compiled, tested, merged, and eventually deployed. Our goal is to ensure our AV engineers and others here have world class tools and a seamless development experience so that they can focus on the problems that matter most in their domain.
**The Role**
 We are looking for a Senior Engineer with an extensive engineering background, experience using a variety of developer tools and technologies, and who is passionate about developer productivity. As a leader on this team, we are looking for someone who cares deeply about the technical development of other engineers on the team and can effectively balance the needs and priorities of the business, our users, and the growth of our engineers.
 The way this engineer will deliver impact may vary depending on the situation, but they will be expected to be able to identify how they can best have impact with minimal guidance.
**The Team**
 The Continuous Integration (CI) Platform team owns our CI infrastructure along with the tools that improve the CI customer experience. We are part of the AI and Cloud Developer Productivity Organization and own the building blocks to produce high quality CI experiences and workflows. This includes services such as the Remote Build Execution (RBE) service which allows GM AI to reliably test at scale and the build artifact storage which is a FUSE based network file system used in conjunction with RBE. Our goal is to accelerate AV development by supporting developer workflows for building, testing, and releasing software.
**What You’ll Do (Responsibilities)**
* Identify engineering pain points and propose/design/implement solutions that are reliable, scalable, and maintainable
* Influence the team’s technical roadmap
* Evaluate new tools and technologies through PoCs
* Ship improvements to our AV development toolchains and services which have a measurable and direct impact on engineering productivity and our core company metrics
* Drive software engineering best practices within your team, and create tooling which encourages these
* Help steer the engineering culture on the team
* Guide the team to find the right balance between delivering impact and addressing technical debt
* Mentor and grow engineers on the team
* Set the example for high levels of accountability
* Execute and deliver impact both individually and through the team
* Set strong boundaries when selecting external requests and pushing back on requests that do not align with our team vision
**Minimum Qualifications (Must\-Have)**
* 3\+ years of experience designing, building and operating production systems at scale in the cloud
* Bachelors Degree in Computer Science or related field or equivalent work experience
* Experience designing highly scalable, reliable, and maintainable services
* Experience writing in Go, Python, or other languages at production scale
* Understanding of Unix/Linux, SSH, and networking fundamentals
* Attention to detail, and a desire to improve processes and systems around you
* Ability to lead and influence others, both internal and external to the team
* Ability to research, document, communicate, and defend proposals, and provide and take critical feedback
* Ability to effectively make trade\-offs and communicate the reasoning
* Ability to manage competing priorities, focus on shipping, and work effectively under pressure
* Passion for mentoring and growing junior engineers
* Passion for self\-driving technology and its potential impact on the world
**Preferred Qualifications (Nice\-to\-Have)**
* Experience working with GCP
* Experience working with Docker and Kubernetes
* Experience owning or contributing to Open\-Source projects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$170,000 to $240,000\.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This role is categorized as hybrid. This means the selected candidate is expected to report to a specific location at least 3 times a week {or other frequency dictated by their manager}.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6">
      <c r="A36" t="inlineStr">
        <is>
          <t>li-4354664253</t>
        </is>
      </c>
      <c r="B36" t="inlineStr">
        <is>
          <t>Machine Learning Engineer, Level 5</t>
        </is>
      </c>
      <c r="C36" t="inlineStr">
        <is>
          <t>Snap Inc.</t>
        </is>
      </c>
      <c r="D36" t="inlineStr">
        <is>
          <t>linkedin</t>
        </is>
      </c>
      <c r="E36" t="inlineStr"/>
      <c r="F36" t="inlineStr"/>
      <c r="G36" t="inlineStr">
        <is>
          <t>Palo Alto, CA</t>
        </is>
      </c>
      <c r="H36" t="inlineStr"/>
      <c r="I36"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5\+ years of post\-Bachelor’s machine learning experience; or Master’s degree in a technical field \+ 4\+ year of post\-grad machine learning experience; or PhD in a relevant technical field \+ 1 years of post\-grad machine learning experience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37">
      <c r="A37" t="inlineStr">
        <is>
          <t>li-4326605184</t>
        </is>
      </c>
      <c r="B37" t="inlineStr">
        <is>
          <t>Senior Machine Learning Engineer</t>
        </is>
      </c>
      <c r="C37" t="inlineStr">
        <is>
          <t>NVIDIA</t>
        </is>
      </c>
      <c r="D37" t="inlineStr">
        <is>
          <t>linkedin</t>
        </is>
      </c>
      <c r="E37" t="inlineStr"/>
      <c r="F37" t="inlineStr"/>
      <c r="G37" t="inlineStr">
        <is>
          <t>Seattle, WA</t>
        </is>
      </c>
      <c r="H37" t="inlineStr"/>
      <c r="I37" t="inlineStr">
        <is>
          <t>As a Senior Machine Learning Engineer at NVIDIA, you will build the machine learning brain that keeps NVIDIA’s global DGX Cloud healthy, efficient and ready for the next waves of AI breakthroughs. DGX Cloud fuses NVIDIA GPUs, NVLink networking and the full AI software stack into elastic infrastructure powering large language models, drug discovery, autonomous driving and climate science. Your models will turn billions of telemetry signals into predictive insight. This frees customers to innovate while our platform runs smarter.
**What You'll Be Doing**
* Ground breaking and developing innovative machine learning algorithms and models that propel our AI products.
* Build production models for anomaly detection, predictive maintenance and usage optimization.
* Develop tools surfacing real time telemetry, efficiency metrics and long term trends.
* Develop forecasting and simulation models for global scale planning.
* Analyzing complex datasets to determine the best approach for model training and optimization.
* Translate findings into clear engineering actions with infrastructure, operations and product teams.
* Participating in cross\-functional projects to integrate machine learning capabilities into various NVIDIA products.
**What We Need To See**
* Master's degree or PhD in Mathematics, Statistics, Machine Learning or related quantitative field (or equivalent experience).
* 8\+ years experience applying Machine Learning to operational systems.
* Proven track record of building and deploying Machine Learning models in production environments.
* Experience with time series analysis and optimization algorithms.
* Familiarity with distributed systems and cloud platforms such as AWS and Kubernetes.
* Strong software engineering skills and proficiency in Python.
* Effective verbal/written communication, and technical presentation skills.
* Experience with machine learning frameworks such as TensorFlow, PyTorch, or similar.
* A track record of delivering high\-impact projects to compete in a fast\-paced environment.
**Ways To Stand Out From The Crowd**
* Experience solving capacity planning problems.
* Deep understanding of GPU performance metrics.
* Familiarity with prometheus and PromQL.
 Your base salary will be determined based on your location, experience, and the pay of employees in similar positions. The base salary range is 184,000 USD \- 287,500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JR2004659</t>
        </is>
      </c>
    </row>
    <row r="38">
      <c r="A38" t="inlineStr">
        <is>
          <t>li-4365947894</t>
        </is>
      </c>
      <c r="B38" t="inlineStr">
        <is>
          <t>AI Engineer</t>
        </is>
      </c>
      <c r="C38" t="inlineStr">
        <is>
          <t>Haystack</t>
        </is>
      </c>
      <c r="D38" t="inlineStr">
        <is>
          <t>linkedin</t>
        </is>
      </c>
      <c r="E38" t="inlineStr"/>
      <c r="F38" t="inlineStr"/>
      <c r="G38" t="inlineStr"/>
      <c r="H38" t="inlineStr"/>
      <c r="I38" t="inlineStr">
        <is>
          <t>**AI Engineer Sr \- Reinforcement Learning (hybrid, Fort Worth) \| Fort Worth, TX \| Hybrid** 
 We're working with Lockheed Martin on this exciting opportunity.
 Join Lockheed Martin's Artificial Intelligence Center (LAIC) team to revolutionize AI solutions from prototype to deployment. You'll develop cutting\-edge software products that leverage reinforcement learning and advanced machine learning techniques to provide discriminating capabilities to customers.
**The Role** 
 • Develop software products implementing Artificial Intelligence for cutting\-edge solutions
 • Engage in all phases of the system development lifecycle, including requirements, design, implementation, and testing
 • Participate in proof of concepts, prototypes, demonstrators, and production transitions
 • Leverage computer science paradigms like object\-oriented programming, data structures, and algorithms
 • Develop code to solve complex problems and field innovative solutions
**What You'll Need** 
 • Experience with reinforcement learning and machine learning techniques such as Q\-Learning, Deep Q\-Learning, or PPO
 • Expertise with deep learning libraries including PyTorch, Torch, Keras, TensorFlow, scikit\-learn, or OpenCV
 • Strong proficiency in Python for complex problem\-solving and innovative solution development
 • Familiarity with DevOps tools (Docker/Podman, Git, GitLab CI/CD) and software orchestration (Kubernetes, Helm)
 • Experience with messaging protocols (Kafka, ActiveMQ, ZeroMQ, DDS) and communication protocols (REST, gRPC)
**What's On Offer** 
 • Flexible work schedules and comprehensive benefits package
 • Empowering environment to think big, lead with a growth mindset, and make an impact
 • Resources and flexibility to inspire and focus your passion for innovation
 • 4x10 hour day work week, providing three days off per week
**Apply via Haystack today!**</t>
        </is>
      </c>
    </row>
    <row r="39">
      <c r="A39" t="inlineStr">
        <is>
          <t>li-4311726002</t>
        </is>
      </c>
      <c r="B39" t="inlineStr">
        <is>
          <t>Machine Learning Engineer, Foundation Model</t>
        </is>
      </c>
      <c r="C39" t="inlineStr">
        <is>
          <t>Stripe</t>
        </is>
      </c>
      <c r="D39" t="inlineStr">
        <is>
          <t>linkedin</t>
        </is>
      </c>
      <c r="E39" t="inlineStr"/>
      <c r="F39" t="inlineStr"/>
      <c r="G39" t="inlineStr">
        <is>
          <t>San Francisco, CA</t>
        </is>
      </c>
      <c r="H39" t="inlineStr"/>
      <c r="I39" t="inlineStr">
        <is>
          <t>Who we are
**About Stripe**
 Stripe’s mission is to accelerate global economic and technological development. We offer financial infrastructure and a variety of services to serve the needs of a wide range of users, from startups to enterprises, with global scale and industry\-leading reliability and product quality. All financial services businesses face a trade\-off between access, which we want to expand, and risk, which we want to minimize. We use machine learning to scalably and intelligently optimize across both.
 Machine learning is an integral part of almost every service at Stripe. It is a key investment area with products and use cases that span merchant and transaction risk, payments optimization, identity, and merchant data analytics and insights. We are also using the latest generative AI technologies (such as LLMs and FMs) to re\-imagine product experiences and developing AI Assistants and Agents both for our customers (e.g. Radar Assistant and Sigma Assistant), and also to make Stripes more productive across Support, Marketing, Sales, and Engineering roles within the company.
**About The Team**
 We are dedicated to building and shipping the foundational AI and machine learning systems that will power our entire product suite. Our mission is to fundamentally transform how Stripe uses ML, leveraging our extensive and rich dataset to solve some of the most challenging problems in payments and fraud. We work closely with our partners in Risk, Payments, and Support to build transformative technologies that have a direct impact on our users.
 From a data perspective, Stripe handles over $1\.4T in payments volume per year, which is roughly 1\.3% of the world’s GDP. We process petabytes of financial data using our ML platform to build features, train models, and deploy them to production. We focus on seeing how LLMs can solve some of our hardest problems in merchant risk and understanding how we can align language to our immense ocean of payments data. Some of our latest innovations have been around understanding how to best represent payments using transformers and enabling entirely new product ideas that are only made possible by GenAI.
 What you'll do
 As a Machine Learning Engineer on the Foundation Model team, you'll solve some of Stripe's most challenging technical problems that span multiple teams and directly impact our research and engineering efforts around building the Foundation Models that power our payments and risk solutions . You'll be responsible for both hands\-on technical contributions and driving strategic initiatives that shape how ML systems operate at scale across Stripe.
**Responsibilities**
* Develop foundation models for payments, merchants, and consumers that span Stripe product areas.
* Fine\-tune and optimize LLMs using SOTA techniques, including multimodal alignment, knowledge distillation, quantization, and reasoning to build highly specialized models.
* Drive technical excellence through hands\-on contributions to the design and development of state\-of\-the\-art AI/ML systems, conducting architecture reviews, and maintaining high code quality
* Partner with engineering and product leaders across Stripe to identify and prioritize foundational investments such as foundation models, assistants, and agents that unlock new capabilities for product teams
* Contribute to Stripe's technical strategy by representing AI/ML engineering perspectives in company\-wide technical decisions and roadmap planning
* Mentor ML engineers across Stripe on ML experimentation, helping teams navigate complex technical trade\-offs, and adopt platform capabilities effectively
 Who you are
 We're looking for someone who meets the minimum requirements to be considered for the role. If you meet these requirements, you are encouraged to apply. The preferred qualifications are a bonus, not a requirement.
**Minimum Requirements**
* 5\+ years of experience building and shipping ML models that power AI/ML product features, with a strong emphasis on modern technologies such as DNNs, Transformers, and Foundation Models.
* Strong programming skills in Python with demonstrated ability to write production\-quality code
* A strong experimental mindset, with a proven track record of identifying, prototyping, and validating SOTA machine learning methods to enhance model performance.
* Proven ability to shepherd large, complex ML projects and drive transformational change in an organization.
* Deep passion for solving really interesting problems and for building the latest technologies rather than relying on outdated methods.
**Preferred Qualifications**
* A PhD or Master's degree with a research\-oriented background, with the ability to dive into research papers and stay current with academic publications.
* Experience with a large\-scale, data\-rich product in a domain such as payments, commerce, search, or social media.
* Knowledge of the challenges and opportunities in applying ML to fraud prevention, merchant intelligence, or financial services.
* Published research or open source contributions in AI/ML or related fields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40">
      <c r="A40" t="inlineStr">
        <is>
          <t>li-4356240314</t>
        </is>
      </c>
      <c r="B40" t="inlineStr">
        <is>
          <t>Principal ML Engineer</t>
        </is>
      </c>
      <c r="C40" t="inlineStr">
        <is>
          <t>Palo Alto Networks</t>
        </is>
      </c>
      <c r="D40" t="inlineStr">
        <is>
          <t>linkedin</t>
        </is>
      </c>
      <c r="E40" t="inlineStr"/>
      <c r="F40" t="inlineStr"/>
      <c r="G40" t="inlineStr">
        <is>
          <t>Santa Clara, CA</t>
        </is>
      </c>
      <c r="H40" t="inlineStr"/>
      <c r="I40" t="inlineStr">
        <is>
          <t>**Our Mission**
 At Palo Alto Networks®, we’re united by a shared mission—to protect our digital way of life. We thrive at the intersection of innovation and impact, solving real\-world problems with cutting\-edge technology and bold thinking. Here, everyone has a voice, and every idea counts. If you’re ready to do the most meaningful work of your career alongside people who are just as passionate as you are, you’re in the right place.
**Who We Are**
 In order to be the cybersecurity partner of choice, we must trailblaze the path and shape the future of our industry. This is something our employees work at each day and is defined by our values: Disruption, Collaboration, Execution, Integrity, and Inclusion. We weave AI into the fabric of everything we do and use it to augment the impact every individual can have. If you are passionate about solving real\-world problems and ideating beside the best and the brightest, we invite you to join us!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You will build machine learning models and develop big data and distributed systems that use the models to analyze and categorize an enormous amount of URLs. You will be a key person in transforming ideas into products which are part of the next generation security platform. The Internet Security Research Team is responsible for innovating new security techniques. Your Impact Design, build, and operate production machine learning systems that balance model quality, cost, latency, and reliability in a security\-sensitive environment. Own the end\-to\-end lifecycle of ML and LLM components, from problem formulation and model development to production deployment, monitoring, and iterative improvement. Integrate ML and LLM\-based services with backend systems and data pipelines, ensuring scalability, observability, and safe operation in production. Develop and maintain automated training, evaluation, and retraining pipelines, and build data analysis tools to continuously improve model performance as data and threats evolve. Partner closely with Product Managers and domain experts to translate product and security requirements into robust ML solutions with clear success metrics. Collaborate with software engineers and SREs on release planning, deployment strategies, monitoring, and incident response to ensure reliable and predictable production behavior.
**Qualifications (Additional Job Description)**
 Your Experience Strong problem solver with collaborative team player with clear communication skills, able to work effectively across engineering, product, and SRE teams. Solid foundation in Machine Learning, Deep Learning, and NLP, with hands\-on experience using modern architectures such as transformer\-based models and representation learning techniques. Practical experience applying Large Language Models (LLMs) to real\-world problems, including text understanding, classification, extraction, summarization, or reasoning over large\-scale and noisy data. Experience designing, implementing, and operating LLM\-powered components in production, including prompt design, model adaptation or fine\-tuning, evaluation, and cost/performance optimization. Familiarity with AI agent–based approaches, such as multi\-step inference pipelines, tool\-augmented LLM workflows, or systems that combine models, heuristics, and external signals to drive reliable decisions. Experience with MLOps / AIOps practices for operating ML and LLM systems in production, including model lifecycle management, monitoring, logging, alerting, retraining workflows, and debugging production issues. Understanding of model quality, robustness, and safety considerations, including evaluation methodologies, failure modes, and guardrails required for production ML systems in security\-sensitive environments. Strong experience with ML frameworks, libraries, and tooling (e.g., PyTorch, Tensorflow, Keras, Scikit\-learn, Kubeflow), and solid software engineering fundamentals. Ability to independently own ML features end\-to\-end, from problem formulation and system design to implementation, deployment, and iterative improvement in production. Experience with website content understanding, website classifications, security, or large\-scale internet data is a strong plus. Proficient in Python, working knowledge of Java, Linux, and shell scripting. Experience building and operating services on cloud platforms (GCP and/or AWS) and in containerized environments (Docker, Kubernetes). Familiarity with relational and NoSQL data stores such as MySQL, MongoDB, or similar systems. Experience applying LLMs and agentic systems in security\-sensitive or high\-precision domains is a strong plus. MS or Ph.D. in Computer Science or a related field, with a focus on Machine Learning, and 2\+ years of industry experience delivering ML systems in production environments.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the annual range listed below. The offered compensation may also include restricted stock units and a bonus. A description of our employee benefits may be found here.
 $157,200\.00 \- $254,100\.00/yr
**Our Commitment**
 We’re trailblazers that dream big,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41">
      <c r="A41" t="inlineStr">
        <is>
          <t>li-4292460045</t>
        </is>
      </c>
      <c r="B41" t="inlineStr">
        <is>
          <t>Senior Machine Learning Engineer</t>
        </is>
      </c>
      <c r="C41" t="inlineStr">
        <is>
          <t>Scribd, Inc.</t>
        </is>
      </c>
      <c r="D41" t="inlineStr">
        <is>
          <t>linkedin</t>
        </is>
      </c>
      <c r="E41" t="inlineStr"/>
      <c r="F41" t="inlineStr"/>
      <c r="G41" t="inlineStr">
        <is>
          <t>San Diego, CA</t>
        </is>
      </c>
      <c r="H41" t="inlineStr"/>
      <c r="I4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2">
      <c r="A42" t="inlineStr">
        <is>
          <t>li-4365993194</t>
        </is>
      </c>
      <c r="B42" t="inlineStr">
        <is>
          <t>Senior, ML Engineer - Neural Rendering</t>
        </is>
      </c>
      <c r="C42" t="inlineStr">
        <is>
          <t>RemoteHunter</t>
        </is>
      </c>
      <c r="D42" t="inlineStr">
        <is>
          <t>linkedin</t>
        </is>
      </c>
      <c r="E42" t="inlineStr"/>
      <c r="F42" t="inlineStr"/>
      <c r="G42" t="inlineStr"/>
      <c r="H42" t="inlineStr"/>
      <c r="I42" t="inlineStr">
        <is>
          <t>About the Opportunity:
 The organization focuses on developing software for automated trucks to transform freight movement using autonomous vehicle technology. This role involves advancing simulation and data generation through Neural Rendering and generative models to support a data\-driven simulator aimed at enhancing safety in autonomous trucking.
 Responsibilities:
 • Implement latest research in Neural Rendering and generative models
 • Translate solutions for high\-quality Camera, LiDAR, and Radar sensor simulations in autonomous driving
 • Support development of a neural rendering framework to scale perception simulation and training
 • Integrate framework into cloud environments and automate pipelines for verification and validation
 • Lead projects from research through deployment
 • Design, test, and deploy production\-quality software following disciplined development processes
 • Collaborate within cloud machine learning ecosystems alongside existing services
 • Assess and improve current capabilities aligned with strategy and operations
 • Serve as project lead, mentoring and guiding team members
 Requirements:
 • Proficiency in Python and deep learning frameworks such as PyTorch
 • PhD or equivalent 6\+ years of experience in CS, Robotics, or Electrical Engineering with production software background
 • Proven expertise in Neural Rendering (Neural Radiance Fields, 3D Gaussian Splatting) and generative models (Diffusion Models, Flow Matching)
 • Background in Computer Graphics, 3D Reconstruction, or 3D Computer Vision
 • Ability to work independently on complex tasks with minimal supervision
 • Experience with VDI and cloud\-based machine learning development environments
 • Ability to drive alignment across team interfaces and maintain team technical solutions
 • Experience mentoring engineers
 Bonus Points:
 • Experience with autonomous driving or robotics perception in production
 • Proficiency with CUDA programming for large\-scale scene rendering
 • Publications in top\-tier CV/AI/Graphics conferences or journals
 • Experience with MLOps and infrastructure tools such as Ray
 • Familiarity with 3D labeling, calibration, and sensor simulation pipelines
 • Experience handling data from multiple autonomous driving sensors (camera, lidar, radar)
 Benefits \&amp; Perks:
 • Competitive compensation including bonus and stock options
 • 100% paid medical, dental, and vision insurance for full\-time employees
 • 401K plan with 6% employer match
 • Flexible schedule and generous paid vacation from start date
 • AD\+D and life insurance coverage
 Compensation:
 • US Base Pay Range: $199,200 to $298,800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3">
      <c r="A43" t="inlineStr">
        <is>
          <t>li-4343729513</t>
        </is>
      </c>
      <c r="B43" t="inlineStr">
        <is>
          <t>Staff AI Engineer - AI Product</t>
        </is>
      </c>
      <c r="C43" t="inlineStr">
        <is>
          <t>ClickUp</t>
        </is>
      </c>
      <c r="D43" t="inlineStr">
        <is>
          <t>linkedin</t>
        </is>
      </c>
      <c r="E43" t="inlineStr"/>
      <c r="F43" t="inlineStr"/>
      <c r="G43" t="inlineStr"/>
      <c r="H43" t="inlineStr"/>
      <c r="I43"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**Role Overview:**
 We are seeking a highly skilled and innovative
 **Staff AI Engineer – AI Product** 
 to join our ClickUp Engineering team. In this role, you will drive the development of intelligent, user\-facing features that leverage the latest advancements in AI and large language models (LLMs). You will work closely with product, design, and engineering teams to deliver seamless, impactful AI\-powered experiences that delight our users and differentiate ClickUp in the productivity space. This is a product\-focused engineering role requiring deep expertise in AI, LLMs, and building scalable, production\-ready applications.
**Key Responsibilities:**
* Lead the design, development, and deployment of AI\-powered features and products that directly impact ClickUp users.
* Collaborate with product managers, designers, and engineers to identify opportunities for AI\-driven innovation and translate user needs into technical solutions.
* Integrate and orchestrate multiple LLMs and AI models to deliver robust, context\-aware, and personalized user experiences.
* Prototype, test, and iterate on new AI features, leveraging user feedback and data to drive continuous improvement.
* Ensure the reliability, scalability, and performance of AI\-powered features in production environments.
* Stay at the forefront of AI research and product trends, incorporating the latest advancements into ClickUp’s product roadmap.
* Address AI privacy, security, and compliance challenges, ensuring responsible and ethical use of AI in user\-facing applications.
* Mentor and guide other engineers in best practices for building AI\-powered products.
**Qualifications:**
* Proven experience building and shipping AI\-powered features or products in a production environment.
* Deep understanding of LLMs and AI models, including their strengths, limitations, and integration strategies.
* Experience working with orchestration frameworks and integrating multiple AI models to deliver cohesive user experiences.
* Experience developing evaluation frameworks and metrics for AI features, with a focus on user impact and business value.
* Familiarity with AI privacy, security, and compliance best practices.
* 5\+ years of backend and/or full\-stack engineering experience, with proficiency in Python, JavaScript/TypeScript, or similar languages.
* 5\+ years of experience with PostgresDB, MySQL, or other related DBs.
* 5\+ years of experience with Elasticsearch or other related technologies.
* Experience setting up production\-ready observability and logging.
* Demonstrated ability to collaborate cross\-functionally and translate product requirements into technical solutions.
* Passion for staying updated with the latest AI research and applying it to solve real\-world user problems.
* Excellent communication and mentorship skills, with a track record of influencing product direction and engineering best practices.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$250K \- $300K</t>
        </is>
      </c>
    </row>
    <row r="44">
      <c r="A44" t="inlineStr">
        <is>
          <t>li-4302788444</t>
        </is>
      </c>
      <c r="B44" t="inlineStr">
        <is>
          <t>Senior Machine Learning Engineer</t>
        </is>
      </c>
      <c r="C44" t="inlineStr">
        <is>
          <t>Capital Group</t>
        </is>
      </c>
      <c r="D44" t="inlineStr">
        <is>
          <t>linkedin</t>
        </is>
      </c>
      <c r="E44" t="inlineStr"/>
      <c r="F44" t="inlineStr"/>
      <c r="G44" t="inlineStr">
        <is>
          <t>Seattle, WA</t>
        </is>
      </c>
      <c r="H44" t="inlineStr"/>
      <c r="I44"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 Enjoy generous time\-away and health benefits from day one, with the opportunity for flexible work options
* Receive 2\-for\-1 matching gifts for your charitable contributions and the opportunity to secure annual grants for the organizations you love
* Access on\-demand professional development resources that allow you to hone existing skills and learn new ones
**“I can succeed as a Machine Learning Engineer at Capital Solutions Group Technology (CSGT)”**
 As a Machine Learning Engineer in CSGT, you will design and implement intelligent systems that enhance portfolio construction, investment research, and monitoring. You’ll collaborate closely with investment professionals, product managers, and fellow engineers to deliver scalable, data\-driven solutions that power our multi\-asset strategies. You will be creating and implementing detailed quality technical designs using existing and emerging technology platforms. The ideal candidate will be passionate about our mission and will drive for superior long\-term investment results.
**“I am the person Capital Group is looking for.”**
* Demonstrated thought leadership and deep understanding of supported business capabilities.
* Experience in leading end\-to\-end solutioning across all aspects of SDLC (analysis, development, testing, deployment, support, etc.) for business problems with medium to high complexity and ambiguity.
* You will independently implement new features in a highly collaborative work environment alongside product managers and fellow engineers.
* You will write legible, efficient, and performant code.
* You will collaborate with business partners and internal customers.
* You will share technical solutions and product ideas through team planning, design review, pair programming, code review, and technical discussions.
* You will take on projects and make software enhancements that improve team software and processes.
* While you are an agent of change with a sense of urgency, you are respectful of what came before.
**Requirements**
* You have 7\+ years’ experience with at least one modern programming language such as Java, Python, C\+\+ or C\#. Strong OO or Functional design skills with understanding of common design patterns.
* You possess outstanding communication skills, ability to establish and maintain a close working relationship with distributed team members and business partners.
* You have experience solving “full stack” machine learning problems, from data collection to model training to deployment. Must have experience using machine learning or NLP to solve real business problems.
* You are experienced in one or more machine learning subfield, such as NLU (e.g., question answering, information extraction, summarization, text classification), recommender systems, ranking and relevance, optimization, etc.
* Strong computer science fundamentals including data structures, algorithms, and complexity analysis.
* Excellent knowledge of software engineering best practices (e.g. Agile software development, test\-driven development, unit testing, code reviews, design documentation, etc…)
* Willingness and ability to own all stages of the development process: design, testing, implementation, operational support.
* Knowledge of data stores, SQL and No\-SQL preferred.
* Experience with AWS services (S3, containers – ECS \&amp; EKS, Lambda, Elasticsearch) preferred.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Southern California Base Salary Range: $201,683\-$322,693
 ‎
 ‎
 ‎
 New York Base Salary Range: $213,795\-$342,072
 ‎
 Seattle Base Salary Range: $201,683\-$322,693
 ‎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45">
      <c r="A45" t="inlineStr">
        <is>
          <t>li-4292457093</t>
        </is>
      </c>
      <c r="B45" t="inlineStr">
        <is>
          <t>Senior Machine Learning Engineer</t>
        </is>
      </c>
      <c r="C45" t="inlineStr">
        <is>
          <t>Scribd, Inc.</t>
        </is>
      </c>
      <c r="D45" t="inlineStr">
        <is>
          <t>linkedin</t>
        </is>
      </c>
      <c r="E45" t="inlineStr"/>
      <c r="F45" t="inlineStr"/>
      <c r="G45" t="inlineStr">
        <is>
          <t>Miami, FL</t>
        </is>
      </c>
      <c r="H45" t="inlineStr"/>
      <c r="I4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6">
      <c r="A46" t="inlineStr">
        <is>
          <t>li-4292454210</t>
        </is>
      </c>
      <c r="B46" t="inlineStr">
        <is>
          <t>Senior Machine Learning Engineer</t>
        </is>
      </c>
      <c r="C46" t="inlineStr">
        <is>
          <t>Scribd, Inc.</t>
        </is>
      </c>
      <c r="D46" t="inlineStr">
        <is>
          <t>linkedin</t>
        </is>
      </c>
      <c r="E46" t="inlineStr"/>
      <c r="F46" t="inlineStr"/>
      <c r="G46" t="inlineStr">
        <is>
          <t>Denver, CO</t>
        </is>
      </c>
      <c r="H46" t="inlineStr"/>
      <c r="I4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7">
      <c r="A47" t="inlineStr">
        <is>
          <t>li-4292454218</t>
        </is>
      </c>
      <c r="B47" t="inlineStr">
        <is>
          <t>Senior Machine Learning Engineer</t>
        </is>
      </c>
      <c r="C47" t="inlineStr">
        <is>
          <t>Scribd, Inc.</t>
        </is>
      </c>
      <c r="D47" t="inlineStr">
        <is>
          <t>linkedin</t>
        </is>
      </c>
      <c r="E47" t="inlineStr"/>
      <c r="F47" t="inlineStr"/>
      <c r="G47" t="inlineStr">
        <is>
          <t>Austin, TX</t>
        </is>
      </c>
      <c r="H47" t="inlineStr"/>
      <c r="I4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8">
      <c r="A48" t="inlineStr">
        <is>
          <t>li-4366047048</t>
        </is>
      </c>
      <c r="B48" t="inlineStr">
        <is>
          <t>ML Engineering Program Manager (EPM), Apple Ads</t>
        </is>
      </c>
      <c r="C48" t="inlineStr">
        <is>
          <t>Apple</t>
        </is>
      </c>
      <c r="D48" t="inlineStr">
        <is>
          <t>linkedin</t>
        </is>
      </c>
      <c r="E48">
        <f>HYPERLINK("https://www.linkedin.com/jobs/view/4366047048", "https://www.linkedin.com/jobs/view/4366047048")</f>
        <v/>
      </c>
      <c r="F48" t="inlineStr"/>
      <c r="G48" t="inlineStr">
        <is>
          <t>Cupertino, CA</t>
        </is>
      </c>
      <c r="H48" t="inlineStr"/>
      <c r="I48" t="inlineStr">
        <is>
          <t>**Summary**
 At Apple, we work every day to create products that enrich people’s lives. Our Apple Ads group makes it possible for people around the world to easily access informative and imaginative content on their devices while helping publishers and developers promote and monetize their work. Our platforms are highly performant, deployed at scale, and set new standards for enabling effective advertising while protecting user privacy.
 The Apple Ads EPM team is looking for an ML\-focused EPM to drive initiatives that focus on building and scaling machine learning platforms. You will work closely with engineers and product managers to drive roadmaps, navigate dependencies, mitigate risks, and meet ambitious timelines. Your role is highly cross\-functional and will bridge bringing teams together to launch exciting products..
**Description**
 You will be part of an engineering organization that is highly tuned towards delivering strategic outcomes for the business. You will lead project planning, prioritization, and execution of machine learning initiatives that are central to business growth. In this role you will:
* Plan, drive, prioritize, and deliver against a key roadmap that builds ML frameworks and platforms.
* Lead project planning, delivery, work breakdowns, resource planning, and day\-to\-day project management using suitable methodologies.
* Work closely with technology leadership to form strategic plans and contribute towards defining overall technology direction.
* Negotiate the sequencing and timing of releases and launches with other engineering and product teams. Assess delivery risks, propose effective mitigation paths, and identify critical trade\-off options.
* Develop and implement communication strategies for keeping stakeholders up\-to\-date on progress and asks.
* Streamline and execute quarterly planning for engineering teams, assisting with prioritization efforts to align engineering efforts against the top priorities of the organization.
**Minimum Qualifications**
* 5\+ years of leading projects related to AI/ML systems. Experiences with low latency architectures, cloud platforms, and/or data\-driven solutions is preferred.
* 3\+ years leading engineering roadmaps, planning, and execution across multiple engineering teams.
* Demonstrated experience delivering platforms in cloud or hybrid environments with a focus on scale, performance, and reliability.
* Exceptional written and verbal communication skills. Ability to clearly articulate technical concepts and communicate with engineering, product, and leadership partners.
**Preferred Qualifications**
* Deep understanding of AI/ML workflows and algorithmic improvements.
* Experiences managing projects involving distributed systems, large\-scale cloud architectures, and performance marketing platforms.
* Experiences managing software projects focused on building and scaling platforms.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49">
      <c r="A49" t="inlineStr">
        <is>
          <t>li-4366067644</t>
        </is>
      </c>
      <c r="B49" t="inlineStr">
        <is>
          <t>Senior AI &amp; Machine Learning Engineer - IntelliScript (Remote)</t>
        </is>
      </c>
      <c r="C49" t="inlineStr">
        <is>
          <t>ChatGPT Jobs</t>
        </is>
      </c>
      <c r="D49" t="inlineStr">
        <is>
          <t>linkedin</t>
        </is>
      </c>
      <c r="E49">
        <f>HYPERLINK("https://www.linkedin.com/jobs/view/4366067644", "https://www.linkedin.com/jobs/view/4366067644")</f>
        <v/>
      </c>
      <c r="F49">
        <f>HYPERLINK("https://chatgpt-jobs.com/job/senior-ai-machine-learning-engineer-intelliscript-remote-milliman-3248&amp;urlHash=ghSX", "https://chatgpt-jobs.com/job/senior-ai-machine-learning-engineer-intelliscript-remote-milliman-3248&amp;urlHash=ghSX")</f>
        <v/>
      </c>
      <c r="G49" t="inlineStr">
        <is>
          <t>Wisconsin, United States</t>
        </is>
      </c>
      <c r="H49" t="inlineStr"/>
      <c r="I49" t="inlineStr">
        <is>
          <t>**Job Description**
 Senior AI \&amp; Machine Learning Engineer \- IntelliScript (Remote)
 Milliman \- Brookfield, WI
* On\-site, Remote
 Estimated pay: $114\.80K \- $151\.30K/yr
 Full\-time
 Benefits: Medical, Dental, Vision, Life, Retirement, PTO
 Posted 17 hours ago
 What We Do
 Milliman IntelliScript develops data\-driven SaaS products for insurance, health IT, and life sciences clients. We foster an entrepreneurial and collaborative culture.
 What this position entails
 We are seeking a Senior AI \&amp; Machine Learning Engineer to modernize our AI and machine learning model delivery platform. This role involves coding, platform delivery, and technical reviews, contributing to complex data science projects with a focus on medical claims and EHR data.
 What you will be doing
* Lead end\-to\-end development, deployment, and maintenance of AI infrastructure and applications.
* Collaborate with the Product Owner for Models as a Service and the AI architect.
* Provide technical proficiency in AI/ML engineering and data science.
* Develop MLOps, LLMOps, and AIOps solutions across the organization.
* Serve as a ML Engineer driving innovative product features.
* Peer review, audit, and enhance models and code developed by team members.
 What we need
* 7\+ years of machine learning engineering, GenAI, and data science experience in healthcare, insurance, clinical trials, or similar fields.
* Experience with machine learning engineering and data science projects across the full life cycle.
* Expert level knowledge of Python and SQL.
* Experience with other programming languages: R, PySpark.
* Ability to understand / read other programming languages: C\#, Rust.
* Expert with cloud\-based analytical solutions and distributed computing (Databricks).
* Experience with converting on\-premise solutions into cloud ready applications.
* Ability to create CI/CD workflows using Github and IaC technology (e.g. Terraform).
* Experience with APIs, AWS Cloud Services, and git.
* Strong programming aptitude (debugging, package design, dependency management, testing).
* Understand how to build and design varying inference solutions (single and batch scoring)
 What you bring to the table
* Excellent communication skills.
* Ability to translate technical specs or model results.
* Proven ability to understand client analytical needs and execute.
* Customer\-centric approach.
* Focused on results.
* Constructive approach to overcoming obstacles.
* Ability to quickly learn new techniques and technologies.
* Proactive in identifying process improvements.
* Strong work ethic.
* Ability to manage projects and timelines.
 Wish List
* 7\+ years experience in Machine Learning Engineering, Data Engineering, or Software Engineering
* 7\+ years experience in Data Science or a supportive role
* Degree in a relevant field
* Experience working in a HIPAA / PHI / PCI compliant environment
 Location
 Remote. Must be willing to travel to the Milliman office in Brookfield, WI, as needed and travel nationwide for meetings, conferences, and team events.
**Compensation**
 The overall salary range for this role is $117,500 \- $222,985\.
 For candidates residing in: Alaska, California, Connecticut, Illinois, Maryland, Massachusetts, New Jersey, New York City, Pennsylvania, Virginia, Washington, or the District of Columbia the salary range is $135,125 \- $222,985\.
 All other locations the salary range is $117,500 \- $193,900\.
 Milliman Benefits
* Medical, Dental and Vision
* Employee Assistance Program (EAP)
* 401(k) Plan
* Discretionary Bonus Program
* Flexible Spending Accounts (FSA)
* Paid Time Off (PTO)
* Holidays – A minimum of 10 paid holidays per year
* Family Building Benefits
* Paid Parental Leave
* Life Insurance \&amp; AD\&amp;D
* Short\-Term and Long\-Term Disability
 Milliman is an Equal Opportunity Employer.</t>
        </is>
      </c>
    </row>
    <row r="50">
      <c r="A50" t="inlineStr">
        <is>
          <t>li-4366625029</t>
        </is>
      </c>
      <c r="B50" t="inlineStr">
        <is>
          <t>Applied Scientist</t>
        </is>
      </c>
      <c r="C50" t="inlineStr">
        <is>
          <t>Planet</t>
        </is>
      </c>
      <c r="D50" t="inlineStr">
        <is>
          <t>linkedin</t>
        </is>
      </c>
      <c r="E50">
        <f>HYPERLINK("https://www.linkedin.com/jobs/view/4366625029", "https://www.linkedin.com/jobs/view/4366625029")</f>
        <v/>
      </c>
      <c r="F50" t="inlineStr"/>
      <c r="G50" t="inlineStr"/>
      <c r="H50" t="inlineStr"/>
      <c r="I50" t="inlineStr">
        <is>
          <t>**Welcome to Planet. We believe in using space to help life on Earth.**
 Planet designs, builds, and operates the largest constellation of imaging satellites in history. This constellation delivers an unprecedented dataset of empirical information via a revolutionary cloud\-based platform to authoritative figures in commercial, environmental, and humanitarian sectors. We are both a space company and data company all rolled into one.
 Customers and users across the globe use Planet's data to develop new technologies, drive revenue, power research, and solve our world’s toughest obstacles.
 As we control every component of hardware design, manufacturing, data processing, and software engineering, our office is a truly inspiring mix of experts from a variety of domains.
 We have a people\-centric approach toward culture and community and we strive to iterate in a way that puts our team members first and prepares our company for growth. Join Planet and be a part of our mission to change the way people see the world.
 Planet is a global company with employees working remotely world wide and joining us from offices in San Francisco, Washington DC, Germany, Austria, Slovenia, and The Netherlands.
**About The Role**
 We are seeking an Applied Scientist to lead the mission concept design for our next\-generation satellite constellations. In this role, you will be working with the R\&amp;D team on the "future\-evolution" of Planet satellites. You will work at the intersection of deep physics and rapid engineering, developing novel ideas required to solve the industry’s most challenging optical, thermal, and communications problems.
 Join us in revolutionizing how complex space systems are conceptualized and deployed, moving from standard industry designs to high\-performance, novel architectures.
 This is a part\-time, remote position based in the United States. If located near an office, you are expected to work from that office 3 days per week.
**Impact You'll Own**
* Lead the "Phase 0" and "Phase A" architecture of new satellite missions, defining orbital parameters, constellation density, and system\-level performance requirements.
* Invent and patent novel solutions for optical payloads, active/passive thermal management, and advanced communication links (RF and Lasercom) to ensure competitive advantage.
* Build high\-fidelity, first\-principles simulations to perform rapid trade studies on mission feasibility and hardware\-software trade\-offs.
* Publish internal whitepapers and external patent applications to secure the company’s technological moat.
* Lead the technical contribution for external proposals for Planet’s Space Business.
**What You Bring**
* Master’s or Ph.D. in Aerospace Engineering, Applied Physics, Optical Sciences, or a related field.
* 12\+ years of experience in satellite system design, with a specific focus on constellation\-level engineering.
* Exceptional understanding of first\-principles physics, including thermodynamics, orbital mechanics, and optics.
* Proficiency in Python and C\+\+ for building custom multiphysics simulation tools.
* Solving hard engineering problems where thermal constraints directly conflict with optical or communication requirements.
* Hands\-on experience with industry\-standard analysis tools.
* Excellent communication skills to bridge the gap between theoretical research and flight\-hardware production.
**What Makes You Stand Out**
* Experience moving from a "blank sheet" concept to a breadboard or flight\-ready prototype in a high\-cadence environment.
**Application Deadline**
 April 11, 2026 at 11:59p PT
**EAR/ITAR Requirements**
*This position requires access to export\-controlled information, and as such, employment (or hiring of a contractor) is contingent upon the candidate’s ability to access all applicable export\-controlled information without additional export licensing being required by the Bureau of Industry and Security and/or the Directorate of Defense Trade Controls.*
**Benefits While Working At Planet**
*These offerings are dependent on employment type and geographical location, based upon applicable law or company policy.*
* Comprehensive Medical, Dental, and Vision plans
* Health Savings Account (HSA) with a company contribution
* Generous Paid Time Off in addition to holidays and company\-wide days off
* 16 Weeks of Paid Parental Leave
* Wellness Program and Employee Assistance Program (EAP)
* Home Office Reimbursement
* Monthly Phone and Internet Reimbursement
* Tuition Reimbursement and access to LinkedIn Learning
* Equity
* Commuter Benefits (if local to an office)
* Volunteering Paid Time Off
**Compensation**
 The US base salary range for this full\-time position at the commencement of employment is listed below. Additionally, this role might be eligible for discretionary short\-term and long\-term incentives (bonus and equity). The final salary range is determined by job related experience, skills and location. The range displays our typical hiring range for new hire salaries in US locations only. Your recruiter can share more about the specific salary range for your preferred location during the hiring process.
 New York City \+ California Salary Range
 $217,900—$272,400 USD
 San Francisco Salary Range
 $231,500—$289,400 USD
 US National Salary Range
 $203,300—$254,100 USD
**Why We Care So Much About Belonging.**
 We’re dedicated to helping the whole Planet, and to do that we must strive to represent all of it within each of our offices and on all of our teams. That’s why Planet is guided by an ultimate north star of Belonging—dreaming big as we approach our ongoing work. If this job intrigues you, but you’re thinking you might not have all the qualifications, please... do apply! At Planet, we are looking for well\-rounded people from around the world who can contribute to more ways than just what is listed in this job description. We don’t just fill positions, we aspire to fulfill people’s careers, most excited about folks who are motivated by our underlying humanitarian efforts. We are a few orbits around the sun before we get to where we want to be, so we hope you’re excited to come along for the ride.
**EEO Statement**
 Planet is committed to building a community where everyone belongs and we invite people from all backgrounds to apply. Planet is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Know Your Rights.
**Accommodations**
 Planet is an inclusive community and we know that everyone has their own needs. If you have a disability or special need that requires accommodation during the hiring process, please reach out to accommodations@planet.com or contact your recruiter with your request. Your message will be confidential and we will be happy to assist you.
**Privacy Policy** 
 : By clicking "Apply Now" at the top of this job posting, I acknowledge that I have read the Planet Data Privacy Notice for California Staff Members and Applicants, and hereby consent to the collection, processing, use, and storage of my personal information as described therein.
**Privacy Policy (European Applicants):** 
 By clicking "Apply Now" at the top of this job posting, I acknowledge that I have read the Candidate Privacy Notice GDPR Planet Labs Europe, and hereby consent to the collection, processing, use, and storage of my personal information as described therein.
**AI in Our Interviewing Process** 
 : Planet is committed to providing an exceptional interview experience for all candidates. We are currently exploring AI interviewing technologies to better focus on candidates and less on trying to capture notes. As such, with the candidate's consent, select interviews may be recorded and include a Planet AI Notetaker for transcription and summarization purposes. Should an interview involve use of AI interview technologies, the candidate will receive notification and have the ability to opt out both in advance and/or real\-time. Opting out will not affect one's candidacy.
**Candidate AI Policy** 
 : Planet embraces Artificial Intelligence (AI) tools, and we encourage its responsible use. We understand that candidates may use various resources, including AI tools, to
 *prepare* 
 for interviews and assessments. However,
 *during any live interview stage or when actively completing assessments for this position, the use of AI tools—e.g. Large Language Models (LLMs), deep fake technology, etc.—is strictly prohibited unless explicitly prompted by an interviewer or assessment instructions* 
 . If you are unsure about acceptable use, please contact your recruiter for clarification. If an AI tool or similar technology is desired as an accommodation, please contact accommodations@planet.com with your request for assistance. Your message will be confidential, and we will be happy to assist you. Violation of this policy may result in disqualification of your application.</t>
        </is>
      </c>
    </row>
    <row r="51">
      <c r="A51" t="inlineStr">
        <is>
          <t>li-4366369868</t>
        </is>
      </c>
      <c r="B51" t="inlineStr">
        <is>
          <t>Sr. AI/ML Engineer -Remote</t>
        </is>
      </c>
      <c r="C51" t="inlineStr">
        <is>
          <t>ConsultNet Technology Services and Solutions</t>
        </is>
      </c>
      <c r="D51" t="inlineStr">
        <is>
          <t>linkedin</t>
        </is>
      </c>
      <c r="E51">
        <f>HYPERLINK("https://www.linkedin.com/jobs/view/4366369868", "https://www.linkedin.com/jobs/view/4366369868")</f>
        <v/>
      </c>
      <c r="F51" t="inlineStr"/>
      <c r="G51" t="inlineStr">
        <is>
          <t>Rockland, MD</t>
        </is>
      </c>
      <c r="H51" t="inlineStr"/>
      <c r="I51" t="inlineStr">
        <is>
          <t>Title: Sr. AI/ML Engineer
 Location
 :
 Remote 
 Target Start Date
 :
 2/10/2026
 Type: Direct Hire 
 Pay
 Rate
 /
 Salary
 (Ranges OK)
 :
 $125,000\-$165,000
 Job Description
 :
**Overview**
 We are seeking a Senior Data Scientist to build and deploy production\-ready machine learning and generative AI solutions. This role focuses on developing intelligent systems using LLMs, agent\-based architectures, and scalable MLOps practices.
**Key Responsibilities** 
* Build, deploy, and optimize ML and generative AI solutions in production
* Develop Retrieval Augmented Generation (RAG) pipelines and AI agents
* Implement agent orchestration patterns (MCP, A2A) using LangChain and LangGraph
* Design MLOps pipelines for model training, deployment, monitoring, and feedback loops
* Collaborate with data engineering teams on data pipelines and features
* Mentor junior data scientists and contribute to AI best practices
**Required Experience** 
* 5 years in data science or machine learning
* Strong experience with LLMs, generative AI, and prompt/context engineering
* Hands\-on RAG and vector database experience
* Proficiency in Python, PyTorch and/or TensorFlow
* Solid MLOps experience (CI/CD, model versioning, monitoring)
* Experience deploying models on cloud platforms (AWS, Azure, or GCP)
* Strong communication and stakeholder engagement skills
**Preferred Experience** 
* Experience with OpenAI / Anthropic APIs
* Vector databases (Pinecone, Weaviate, Chroma)
* Large\-scale or distributed model deployment
* Open\-source ML/AI contributions
**Tech Stack**
 Python, SQL • PyTorch, TensorFlow, scikit\-learn • LangChain, LangGraph, Hugging Face
 Docker, Kubernetes, MLflow • AWS / Azure / GCP • Vector databases
 Bonus/Soft Skills
 :
* The team values adaptability, eagerness to learn, and excitement about AI/ML and GenAI.
* Company culture is collaborative and fast\-paced, with a focus on innovation.
* The team is currently using Snowflake and Azure, with professional services support for MLOps setup.
 Welcome to ConsultNet, a premier national provider of technology talent and solutions. Our expertise spans across project services, contract\-to\-hire, direct search, and managed services onshore, nearshore, and hybrid.
 For over 25 years, we have connected thousands of consultants with meaningful roles through a personal, communication\-driven approach, partnering with a diverse client base to build high\-performing teams and create lasting impact.
 Our comprehensive service offerings cover a wide range of technology and engineering positions across key markets nationwide. Learn more at
**www.consultnet.com**
 .
 We champion equality and inclusivity, proudly supporting an Equal Opportunity Employer policy. We welcome applicants regardless of Race, Color, Religion, Sex, Sexual Orientation, Gender Identity, National Origin, Age, Genetic Information, Disability, Protected Veteran Status, or any other status protected by law.</t>
        </is>
      </c>
    </row>
    <row r="52">
      <c r="A52" t="inlineStr">
        <is>
          <t>li-4343960572</t>
        </is>
      </c>
      <c r="B52" t="inlineStr">
        <is>
          <t>Applied Scientist - Robotics Controls</t>
        </is>
      </c>
      <c r="C52" t="inlineStr">
        <is>
          <t>Amazon</t>
        </is>
      </c>
      <c r="D52" t="inlineStr">
        <is>
          <t>linkedin</t>
        </is>
      </c>
      <c r="E52">
        <f>HYPERLINK("https://www.linkedin.com/jobs/view/4343960572", "https://www.linkedin.com/jobs/view/4343960572")</f>
        <v/>
      </c>
      <c r="F52" t="inlineStr"/>
      <c r="G52" t="inlineStr">
        <is>
          <t>North Reading, MA</t>
        </is>
      </c>
      <c r="H52" t="inlineStr"/>
      <c r="I52" t="inlineStr">
        <is>
          <t>**Description**
 At Amazon Robotics, we design advanced robotic systems capable of intelligent perception, learning, and action alongside humans, all on a large scale. Our goal is to develop robots that increase productivity and efficiency at the Amazon fulfillment centers while ensuring the safety of workers.
 We are seeking an Applied Scientist to develop innovative, scalable solutions in feedback control and state estimation for robotic systems, with a focus on contact\-rich manipulation tasks. In this role, you will formulate physics\-based models of robotic systems, perform analytical and numerical studies, and design control and estimation algorithms that integrate fundamental principles with data\-driven techniques. You will collaborate with a world\-class team of experts in perception, machine learning, motion planning, and feedback controls to innovate and develop solutions for complex real\-world problems.
 As part of your work, you will investigate applicable academic and industry research to develop, implement, and test solutions that support product features. You will also design and validate production designs. To succeed in this role, you should demonstrate a strong working knowledge of physical systems, a desire to learn from new challenges, and the problem\-solving and communication skills to work within a highly interactive and experienced team. Candidates must show a hands\-on passion for their work and the ability to communicate their ideas and concepts both verbally and visually.
 Key job responsibilities
* Research, design, implement, and evaluate feedback control, estimation, and motion\-planning algorithms, ensuring effective integration with perception, manipulation, and system\-level components.
* Develop experiments, simulations, and hardware prototypes to validate control algorithms, and optimization techniques in contact\-rich manipulation and other challenging scenarios.
* Collaborate with software engineering teams to enable scalable, real\-time, and maintainable implementations of algorithms in production systems.
* Partner with cross\-functional teams across hardware, systems engineering, science, and operations to transition algorithms from early prototyping to robust, production\-ready solutions.
* Engage with stakeholders at all levels to iterate on system design, define requirements, and drive integration of control and estimation capabilities into Amazon Robotics platforms.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 Medical, Dental, and Vision Coverage
* Maternity and Parental Leave Options
* Paid Time Off (PTO)
*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PhD, or Master's degree and 4\+ years of science, technology, engineering or related field experience
* Experience programming in Java, C\+\+, Python or related language
* Experience implementing algorithms using both toolkits and self\-developed code
**Preferred Qualifications**
* Demonstrated ability to innovate and deliver robust, scalable solutions for complex robotics problems in production environments.
* Deep expertise in developing force\-based and impedance/control strategies for contact\-rich manipulation.
* Experience with state\-estimation techniques, including classical observers, Kalman Filters, EKF/UKF, and Particle Filters.
* Experience modeling robotic or physical systems for simulation, as well as characterizing and validating system dynamics on hardware.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A3142811</t>
        </is>
      </c>
    </row>
    <row r="53">
      <c r="A53" t="inlineStr">
        <is>
          <t>li-4358202879</t>
        </is>
      </c>
      <c r="B53" t="inlineStr">
        <is>
          <t>Principal Applied Scientist - Microsoft 365 Copilot</t>
        </is>
      </c>
      <c r="C53" t="inlineStr">
        <is>
          <t>Microsoft</t>
        </is>
      </c>
      <c r="D53" t="inlineStr">
        <is>
          <t>linkedin</t>
        </is>
      </c>
      <c r="E53">
        <f>HYPERLINK("https://www.linkedin.com/jobs/view/4358202879", "https://www.linkedin.com/jobs/view/4358202879")</f>
        <v/>
      </c>
      <c r="F53" t="inlineStr"/>
      <c r="G53" t="inlineStr">
        <is>
          <t>Redmond, WA</t>
        </is>
      </c>
      <c r="H53" t="inlineStr"/>
      <c r="I53" t="inlineStr">
        <is>
          <t>**Overview**
 Come build the core of Microsoft Copilot for enterprise with
 **Microsoft Turing Team** 
 , where you'll join a collaborative group of applied scientists and engineers pushing the frontier of large language models (LLMs) to improve the productivity of hundreds of millions of users around the world.
 Our team is responsible for the core systems that power \[Microsoft 365 Copilot Chat](https://support.microsoft.com/en\-us/copilot\-microsoft365\-chat) delivering intelligence, quality, and transformative new features. We work at the intersection of research and engineering—advancing orchestrator reasoning, training next\-generation models, and shipping impactful, model\-driven experiences in Microsoft 365 Copilot.
 As a
 **Principal Applied Scientist \- Microsoft 365 Copilot** 
 , you will:
* Evolve our orchestrator to reason more effectively, respond faster, and support new capabilities in multi\-modality, agent\-based systems, and beyond
* Advance the state of the art in model training—including post\-training methods such as fine\-tuning and reinforcement learning, high\-quality data curation, and experimentation with frontier model training
* Build and deliver model\-driven features from concept to production—spanning model development, evaluation, metrics, and A/B testing
 Recent launches like \[Analyst Agent in Microsoft 365 Copilot \| Microsoft Community Hub](https://techcommunity.microsoft.com/blog/microsoft365copilotblog/analyst\-agent\-in\-microsoft\-365\-copilot/4397191\) showcase the breadth and depth of impact you’ll help drive across the stack.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Conduct research and development to push the boundaries of model training, evaluation, and quality assessment for AI solutions.
* Post\-train LLMs for enterprise scenarios M365 Copilot and on tenant data to enable task\-specific agents and solutions within the enterprise ecosystem.
* Collaborate with engineers and researchers to advance deep learning, natural language processing (NLP), multimodal models, and model optimization techniques.
* Measure, analyze, and report on model performance, quality, and impact using predictive analytics and statistical methodologies.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4\+ years of experience with end\-to\-end in a challenging technical problem domain (plan, design, execution, continuous release, and service operation).
* 4\+ years experience with shipping internet scale, low latency and high throughput systems AI products.
* 4\+ years experience with customer/End\-result/Metrics driven in design and development.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Publications at top conferences like ACL (Association for Computational Linguistics), EMNLP (Empirical Methods in Natural Language Processing), SIGKDD (Special Interest Group on Knowledge Discovery and Data Mining), AAAI (Association for the Advancement of Artificial Intelligence), WSDM (Web Search and Data Mining), COLING (International Conference on Computational Linguistics), WWW (World Wide Web Conference), NIPS (Neural Information Processing Systems), ICASSP (International Conference on Acoustics, Speech, and Signal Processing), etc.
 \#M365Core \#msturingjobs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4">
      <c r="A54" t="inlineStr">
        <is>
          <t>li-4356212765</t>
        </is>
      </c>
      <c r="B54" t="inlineStr">
        <is>
          <t>AI/ML Engineer (Entry Position)</t>
        </is>
      </c>
      <c r="C54" t="inlineStr">
        <is>
          <t>Pragmatike</t>
        </is>
      </c>
      <c r="D54" t="inlineStr">
        <is>
          <t>linkedin</t>
        </is>
      </c>
      <c r="E54">
        <f>HYPERLINK("https://www.linkedin.com/jobs/view/4356212765", "https://www.linkedin.com/jobs/view/4356212765")</f>
        <v/>
      </c>
      <c r="F54" t="inlineStr"/>
      <c r="G54" t="inlineStr">
        <is>
          <t>Cambridge, MA</t>
        </is>
      </c>
      <c r="H54" t="inlineStr"/>
      <c r="I54"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55">
      <c r="A55" t="inlineStr">
        <is>
          <t>li-4366612133</t>
        </is>
      </c>
      <c r="B55" t="inlineStr">
        <is>
          <t>Machine Learning Engineer</t>
        </is>
      </c>
      <c r="C55" t="inlineStr">
        <is>
          <t>Vilya</t>
        </is>
      </c>
      <c r="D55" t="inlineStr">
        <is>
          <t>linkedin</t>
        </is>
      </c>
      <c r="E55">
        <f>HYPERLINK("https://www.linkedin.com/jobs/view/4366612133", "https://www.linkedin.com/jobs/view/4366612133")</f>
        <v/>
      </c>
      <c r="F55" t="inlineStr"/>
      <c r="G55" t="inlineStr">
        <is>
          <t>Seattle, WA</t>
        </is>
      </c>
      <c r="H55" t="inlineStr"/>
      <c r="I55" t="inlineStr">
        <is>
          <t>Vilya is a computational biotechnology company creating a novel class of medicines to precisely target disease biology. We believe computational approaches are an integral, if not foundational, component of drug discovery and development.
 We are harnessing the power of our platform to go after previously impossible targets in an array of indications. Vilya’s ultimate goal is to solve some of the most challenging unmet medical needs that exist today.
 Our Vision: Harness a revolution in technology and biology to better human health.
 Our Mission: Build an independent, leading biotech company founded on intelligent drug design to cure the incurable.
 We think from atoms to bits – and everywhere in between; now, we are seeking a highly\-motivated, creative, and knowledgeable Machine Learning Engineer to help us build a highly\-scalable computational drug discovery platform.
 Vilya is a team\-first organization, and we believe onsite work is essential to how we collaborate, move quickly, and build a strong culture. This is an onsite position in our Seattle office. Join us and help make a difference for patients!
**Responsibilities**
* Develop and maintain the infrastructure to support machine learning workflows for drug discovery at scale.
* Implement and optimize algorithms for data processing, model training and model deployment.
* Collaborate with and support the computational scientists at Vilya to help build a world\-class computational macrocycle drug discovery pipeline.
* Participate in the development and enhancement of our software platform to ensure that our codebase is reliable, efficient, secure, and scalable.
**Basic Qualifications**
* 1\+ year of experience developing and maintaining ML pipelines
* Understanding of general software development concepts, including git, containers, testing, cloud computing, etc.
* Experience with modern deep learning frameworks, like PyTorch or JAX
* Experience with Python scientific computing tools, such as numpy, scipy, pandas, etc.
* Experience working with big data pipelines
* Experience working within Linux environments
* Ability to effectively communicate with a team of diverse backgrounds
* B.S. in computer science (or equivalent industry experience)
**Preferred Qualifications**
* A solid background in machine learning, including linear algebra, statistics, and calculus
* Experience with modern generative modeling frameworks, such as flow matching and diffusion
* Familiarity with techniques for modeling point\-clouds or graphs (GNNs, equivariant transformers, etc.)
* Familiarity with basic cheminformatics libraries and tools (RDKit, OpenBabel, PyMol, etc.)
* An interest in drug discovery and working with biochemical data
**Vilya Benefits**
* Opportunity to work in a disruptive startup with a talented, experienced, and dedicated team
* 401(k) plan with employer matching for contributions
* Stock options
* Excellent medical, dental, and vision coverage
* Open, flexible vacation policy
* Support to attend professional conferences meaningful to your career growth
* Monthly cell phone and internet stipend
* Monthly wellness and commuter stipend
 SALARY RANGE: $154,000–$174,000/year</t>
        </is>
      </c>
    </row>
    <row r="56">
      <c r="A56" t="inlineStr">
        <is>
          <t>li-4366020971</t>
        </is>
      </c>
      <c r="B56" t="inlineStr">
        <is>
          <t>Machine Learning Engineer - ML Data</t>
        </is>
      </c>
      <c r="C56" t="inlineStr">
        <is>
          <t>Apple</t>
        </is>
      </c>
      <c r="D56" t="inlineStr">
        <is>
          <t>linkedin</t>
        </is>
      </c>
      <c r="E56">
        <f>HYPERLINK("https://www.linkedin.com/jobs/view/4366020971", "https://www.linkedin.com/jobs/view/4366020971")</f>
        <v/>
      </c>
      <c r="F56" t="inlineStr"/>
      <c r="G56" t="inlineStr">
        <is>
          <t>New York, NY</t>
        </is>
      </c>
      <c r="H56" t="inlineStr"/>
      <c r="I56"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The ML Platform team is responsible for bringing numerous features to advertisers and consumers while simultaneously supporting scalable modeling and continuous experimentation by all Ads teams. As a key contributor to this team, you will design and develop secure and scalable back\-end systems. You will enjoy building high\-performing, elegant systems from the ground up, in close partnerships with various teams. You will also possess keen judgment in selecting technologies and building the right solution for the interesting challenges we get to tackle here. You will have the opportunity to define and refine architectures to meet the unique ad network challenges we must solve. You will play a meaningful role building machine learning products which deliver on Apple's privacy commitments and change the way advertising works with data. Join us and contribute to a culture that emphasizes reliability, simplicity, and scalability. You will join a team of world\-class machine learning engineers hungry to apply leading\-edge technologies to deliver extraordinary experiences to our customers. We are one team, nurturing each other’s growth and supporting each other in delivering for our customers!
**Minimum Qualifications**
* Experience writing mission\-critical code for production machine learning systems.
* Experience building production data services/pipelines using distributed processing systems like Spark.
* Experience with distributed systems (e.g Ray, Spark, Kubernetes).
* Experience working on distributed systems where scalability and performance are critical.
* Experience building AI/ML tooling and/or data infrastructure for AI/ML.
* Experience building and scaling cloud\-based architectures.
* Experience performance tuning \&amp; trouble\-shooting.
* Strong problem solving and debugging skills.
* Strong data modeling and data architecture skills.
* Pride in building automation and development tools.
* Familiarity with CI/CD tooling.
**Preferred Qualifications**
* PhD in Computer Science with 2\+ years contributing to production machine learning systems, or MS in CS with 4\+ years of engineering experience and 2\+ years contributing to production machine learning systems, or (c) BS in CS with 5\+ years of engineering experience and 2\+ years contributing to production machine learning systems.
* Ability to communicate effectively, both written and verbal, with technical and non\-technical multi\-functional teams
* Results oriented with a desire to work in a fast\-paced and collaborative work environment
* Experience building production machine learning models using frameworks like PyTorch, TensorFlow is highly desired
* Prior experience in advertising industry is a huge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7">
      <c r="A57" t="inlineStr">
        <is>
          <t>li-4366368796</t>
        </is>
      </c>
      <c r="B57" t="inlineStr">
        <is>
          <t>Machine Learning Engineer</t>
        </is>
      </c>
      <c r="C57" t="inlineStr">
        <is>
          <t>Red Hat</t>
        </is>
      </c>
      <c r="D57" t="inlineStr">
        <is>
          <t>linkedin</t>
        </is>
      </c>
      <c r="E57">
        <f>HYPERLINK("https://www.linkedin.com/jobs/view/4366368796", "https://www.linkedin.com/jobs/view/4366368796")</f>
        <v/>
      </c>
      <c r="F57">
        <f>HYPERLINK("https://www.wiraa.com/job-description/us9873A82168D38D9486D48B3DCC8D95A1?source=Linkedin&amp;urlHash=0Vyf", "https://www.wiraa.com/job-description/us9873A82168D38D9486D48B3DCC8D95A1?source=Linkedin&amp;urlHash=0Vyf")</f>
        <v/>
      </c>
      <c r="G57" t="inlineStr"/>
      <c r="H57" t="inlineStr"/>
      <c r="I57" t="inlineStr">
        <is>
          <t>**About The Company**
 Red Hat is a global leader in enterprise open\-source software solutions, renowned for its innovative approach to delivering high\-performing Linux, cloud, container, and Kubernetes technologies. With a presence spanning over 40 countries, Red Hat fosters a diverse, inclusive, and collaborative environment that encourages creativity and technical excellence. The company’s community\-powered model emphasizes transparency, open collaboration, and continuous innovation, making it a preferred employer for professionals passionate about open\-source technology and enterprise solutions. Red Hat’s commitment to empowering its employees and customers alike has established it as a trusted partner in digital transformation initiatives worldwide.
**About The Role**
 We are seeking a highly skilled Machine Learning Engineer to join our AI Inference Engineering team. In this role, you will focus on developing and optimizing distributed vLLM infrastructure within the llm\-d project. Your expertise will drive the advancement of scalable inference systems, leveraging Kubernetes\-native deployments and high\-performance computing techniques.
 You will play a pivotal role in architecting new features, leading open\-source community collaborations, and ensuring the stability and efficiency of our AI inference platform. This position offers an exciting opportunity to work at the forefront of AI deployment, collaborating with multidisciplinary teams to solve complex challenges in deep learning, distributed systems, and cloud\-native infrastructure. If you are passionate about open\-source innovation and eager to impact the future of AI, this is the role for you.
**Qualifications**
* Bachelor’s degree in Computer Science, Electrical Engineering, or a related field (or equivalent practical experience)
* Proficiency in Python, GoLang, and at least one of Rust, C, or C\+\+
* Experience with cloud\-native Kubernetes stacks, including Istio, Cilium, Envoy, and CNI
* Strong understanding of Layer 7 networking, HTTP/2, gRPC, API gateways, and reverse proxies
* Knowledge of serving runtime technologies for hosting large language models such as vLLM, SGLang, or TensorRT\-LLM
* Excellent communication skills, with the ability to collaborate effectively across technical and non\-technical teams
* Experience leading technical initiatives within global teams and delivering innovative solutions
* Autonomous work ethic and ability to thrive in fast\-paced environments
**Responsibilities**
* Architect and implement new features and solutions for Red Hat’s AI inference platform
* Lead and nurture an active upstream open\-source community around core projects
* Design, develop, and maintain distributed inference infrastructure utilizing Kubernetes APIs, operators, and Gateway Inference Extension API
* Develop system components in Go and/or Rust to integrate with vLLM and manage distributed inference workloads
* Create KV cache\-aware routing and scoring algorithms to optimize memory utilization and request distribution at scale
* Enhance resource utilization, fault tolerance, and overall stability of the inference stack
* Design and test inference optimization algorithms to improve performance
* Lead technical design discussions, propose innovative solutions, and address complex challenges
* Share technical knowledge and best practices with team members to foster continuous improvement
* Collaborate with product management and cross\-functional teams to analyze and clarify business requirements
* Mentor and coach engineers across distributed teams, providing timely code reviews and technical guidance
* Represent Red Hat AI in industry events, customer engagements, and open\-source communities
**Benefits**
* Comprehensive medical, dental, and vision coverage
* Flexible Spending Account (FSA) for healthcare and dependent care expenses
* Health Savings Account (HSA) for high\-deductible medical plans
* Retirement 401(k) plan with employer matching contributions
* Paid time off and holidays to support work\-life balance
* Paid parental leave for new parents
* Leave benefits including disability, family medical leave, and military leave
* Additional perks such as employee stock purchase plans, tuition reimbursement, transportation allowances, and employee assistance programs
 Equal Opportunity
 Red Hat is committed to fostering an inclusive and diverse workplace. We are proud to be an equal opportunity employer and do not discriminate based on race, color, religion, sex, sexual orientation, gender identity, national origin, age, veteran status, genetic information, physical or mental disability, or any other protected characteristic.</t>
        </is>
      </c>
    </row>
    <row r="58">
      <c r="A58" t="inlineStr">
        <is>
          <t>li-4366038056</t>
        </is>
      </c>
      <c r="B58" t="inlineStr">
        <is>
          <t>Machine Learning Engineer - ML Data</t>
        </is>
      </c>
      <c r="C58" t="inlineStr">
        <is>
          <t>Apple</t>
        </is>
      </c>
      <c r="D58" t="inlineStr">
        <is>
          <t>linkedin</t>
        </is>
      </c>
      <c r="E58">
        <f>HYPERLINK("https://www.linkedin.com/jobs/view/4366038056", "https://www.linkedin.com/jobs/view/4366038056")</f>
        <v/>
      </c>
      <c r="F58">
        <f>HYPERLINK("https://jobs.apple.com/en-us/details/200619875?board_id=17682&amp;urlHash=zSg8", "https://jobs.apple.com/en-us/details/200619875?board_id=17682&amp;urlHash=zSg8")</f>
        <v/>
      </c>
      <c r="G58" t="inlineStr">
        <is>
          <t>Cupertino, CA</t>
        </is>
      </c>
      <c r="H58" t="inlineStr"/>
      <c r="I58"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**Description**
 The ML Platform team is responsible for bringing numerous features to advertisers and consumers while simultaneously supporting scalable modeling and continuous experimentation by all Ads teams. As a key contributor to this team, you will design and develop secure and scalable back\-end systems. You will enjoy building high\-performing, elegant systems from the ground up, in close partnerships with various teams. You will also possess keen judgment in selecting technologies and building the right solution for the interesting challenges we get to tackle here. You will have the opportunity to define and refine architectures to meet the unique ad network challenges we must solve. You will play a meaningful role building machine learning products which deliver on Apple's privacy commitments and change the way advertising works with data. Join us and contribute to a culture that emphasizes reliability, simplicity, and scalability. You will join a team of world\-class machine learning engineers hungry to apply leading\-edge technologies to deliver extraordinary experiences to our customers. We are one team, nurturing each other’s growth and supporting each other in delivering for our customers!
**Minimum Qualifications**
* Experience writing mission\-critical code for production machine learning systems.
* Experience building production data services/pipelines using distributed processing systems like Spark.
* Experience with distributed systems (e.g Ray, Spark, Kubernetes).
* Experience working on distributed systems where scalability and performance are critical.
* Experience building AI/ML tooling and/or data infrastructure for AI/ML.
* Experience building and scaling cloud\-based architectures.
* Experience performance tuning \&amp; trouble\-shooting.
* Strong problem solving and debugging skills.
* Strong data modeling and data architecture skills.
* Pride in building automation and development tools.
* Familiarity with CI/CD tooling.
**Preferred Qualifications**
* PhD in Computer Science with 2\+ years contributing to production machine learning systems, or MS in CS with 4\+ years of engineering experience and 2\+ years contributing to production machine learning systems, or (c) BS in CS with 5\+ years of engineering experience and 2\+ years contributing to production machine learning systems.
* Ability to communicate effectively, both written and verbal, with technical and non\-technical multi\-functional teams
* Results oriented with a desire to work in a fast\-paced and collaborative work environment
* Experience building production machine learning models using frameworks like PyTorch, TensorFlow is highly desired
* Prior experience in advertising industry is a huge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59">
      <c r="A59" t="inlineStr">
        <is>
          <t>li-4366024889</t>
        </is>
      </c>
      <c r="B59" t="inlineStr">
        <is>
          <t>AIML - ML Engineer, Responsible AI</t>
        </is>
      </c>
      <c r="C59" t="inlineStr">
        <is>
          <t>Apple</t>
        </is>
      </c>
      <c r="D59" t="inlineStr">
        <is>
          <t>linkedin</t>
        </is>
      </c>
      <c r="E59">
        <f>HYPERLINK("https://www.linkedin.com/jobs/view/4366024889", "https://www.linkedin.com/jobs/view/4366024889")</f>
        <v/>
      </c>
      <c r="F59" t="inlineStr"/>
      <c r="G59" t="inlineStr">
        <is>
          <t>New York, NY</t>
        </is>
      </c>
      <c r="H59" t="inlineStr"/>
      <c r="I59" t="inlineStr">
        <is>
          <t>**Summary**
 Would you like to play a part in building the next generation of generative AI applications at Apple? We're looking for scientists and engineers to work on ambitious projects that will impact the future of Apple, our products, and the broader world.
 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
* Develop methods, models, and tools to interpret and explain failures in language and diffusion models
* Build and maintain human annotation and red teaming pipelines to assess quality and risk of various Apple products
* Prototype, implement, and evaluate new ML models and algorithms for red teaming LLMs
* Work with highly\-sensitive content with exposure to offensive and controversial content
**Minimum Qualifications**
* Strong engineering skills and experience in writing production\-quality code in Python, Swift or other programming languages
* Background in generative models, natural language processing, LLMs, or diffusion models
* Experience with failure analysis, quality engineering, or robustness analysis for AI/ML based features
* Experience working with crowd\-based annotations and human evaluations
* Experience working on explainability and interpretation of AI/ML models
**Preferred Qualifications**
* BS, MS or PhD in Computer Science, Machine Learning, or related fields or an equivalent qualification acquired through other avenues
* Proven track record of contributing to diverse teams in a collaborative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0">
      <c r="A60" t="inlineStr">
        <is>
          <t>li-4366376719</t>
        </is>
      </c>
      <c r="B60" t="inlineStr">
        <is>
          <t>ML Engineer</t>
        </is>
      </c>
      <c r="C60" t="inlineStr">
        <is>
          <t>Waymo</t>
        </is>
      </c>
      <c r="D60" t="inlineStr">
        <is>
          <t>linkedin</t>
        </is>
      </c>
      <c r="E60">
        <f>HYPERLINK("https://www.linkedin.com/jobs/view/4366376719", "https://www.linkedin.com/jobs/view/4366376719")</f>
        <v/>
      </c>
      <c r="F60">
        <f>HYPERLINK("https://www.wiraa.com/job-description/us0A33B49E37681602710C86D2BBE13BBB?source=Linkedin&amp;urlHash=arp5", "https://www.wiraa.com/job-description/us0A33B49E37681602710C86D2BBE13BBB?source=Linkedin&amp;urlHash=arp5")</f>
        <v/>
      </c>
      <c r="G60" t="inlineStr"/>
      <c r="H60" t="inlineStr"/>
      <c r="I60" t="inlineStr">
        <is>
          <t>**About The Company**
 Waymo is a pioneering autonomous driving technology company dedicated to transforming mobility and enhancing road safety. Originating from the Google Self\-Driving Car Project in 2009, Waymo has established itself as a leader in developing advanced autonomous vehicles. The company’s core mission is to become the world's most trusted driver by creating reliable, safe, and accessible autonomous transportation solutions. The Waymo Driver, known as The World's Most Experienced Driver™, powers Waymo’s fully autonomous ride\-hail service and is adaptable to various vehicle platforms and use cases. With over ten million rider\-only trips completed and autonomous driving experience exceeding 100 million miles on public roads across more than 15 U.S. states, Waymo continues to innovate and expand its impact on mobility and safety worldwide.
**About The Role**
 We are seeking a highly skilled and innovative Research Scientist to join our AI Foundations team. This role involves developing and extending cutting\-edge machine learning and robotics research to improve autonomous vehicle capabilities. You will collaborate with multidisciplinary teams to design, evaluate, and deploy advanced AI models that enhance the safety, realism, and robustness of embodied AI agents. This position offers a hybrid work schedule and reports directly to a Senior Research Scientist. The ideal candidate will have a strong background in machine learning, robotics, and software engineering, with a passion for solving complex challenges in autonomous driving technology. Your work will directly contribute to the development of evaluation methodologies, benchmarks, and large\-scale data pipelines that support the deployment of safe and reliable autonomous vehicles in diverse environments.
**Qualifications**
* Masters degree in Computer Science, Machine Learning, Robotics, or a related technical field, or equivalent practical experience
* Proficiency in Python programming
* Experience with modern deep learning frameworks such as PyTorch, JAX, or TensorFlow
* Previous work in industrial or research settings developing methodologies for ML model evaluation
* Strong understanding of machine learning concepts and evaluation techniques
**Responsibilities**
* Develop and extend innovative research in robotics and machine learning to enhance evaluation, safety, and realism of AI agents
* Collaborate across teams and organizations to implement disruptive and innovative technologies into production systems
* Work with state\-of\-the\-art Foundation Models to improve autonomous vehicle performance
* Define evaluation metrics and benchmarks to drive model development and assessment
* Implement and maintain large\-scale data processing and evaluation pipelines
* Contribute to research publications, open\-source projects, and internal documentation
* Participate in continuous learning and stay updated on emerging trends in AI and autonomous driving
**Benefits**
* Competitive salary range of $170,000—$216,000 USD, commensurate with experience and location
* Eligibility to participate in Waymo’s discretionary annual bonus program
* Equity incentive plan to align employee and company success
* Comprehensive health, dental, and vision insurance plans
* Generous paid time off and flexible work arrangements
* Opportunities for professional development and career growth
* Access to innovative projects in autonomous driving and AI research
 Equal Opportunity
 Waymo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t>
        </is>
      </c>
    </row>
    <row r="61">
      <c r="A61" t="inlineStr">
        <is>
          <t>li-4366031937</t>
        </is>
      </c>
      <c r="B61" t="inlineStr">
        <is>
          <t>AIML - Machine Learning Engineer, Batch processing team</t>
        </is>
      </c>
      <c r="C61" t="inlineStr">
        <is>
          <t>Apple</t>
        </is>
      </c>
      <c r="D61" t="inlineStr">
        <is>
          <t>linkedin</t>
        </is>
      </c>
      <c r="E61">
        <f>HYPERLINK("https://www.linkedin.com/jobs/view/4366031937", "https://www.linkedin.com/jobs/view/4366031937")</f>
        <v/>
      </c>
      <c r="F61" t="inlineStr"/>
      <c r="G61" t="inlineStr">
        <is>
          <t>Seattle, WA</t>
        </is>
      </c>
      <c r="H61" t="inlineStr"/>
      <c r="I61" t="inlineStr">
        <is>
          <t>**Summary**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 BS in a relevant field or equivalent experience
* Strong coding skills
* Strong background in computer science, algorithms, data structures and analytics.
* Fast learner, have a voracious and intrinsic desire to learn and fill in missing skills.
*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2">
      <c r="A62" t="inlineStr">
        <is>
          <t>li-4366014980</t>
        </is>
      </c>
      <c r="B62" t="inlineStr">
        <is>
          <t>AIML - Machine Learning Engineer, Batch processing team</t>
        </is>
      </c>
      <c r="C62" t="inlineStr">
        <is>
          <t>Apple</t>
        </is>
      </c>
      <c r="D62" t="inlineStr">
        <is>
          <t>linkedin</t>
        </is>
      </c>
      <c r="E62">
        <f>HYPERLINK("https://www.linkedin.com/jobs/view/4366014980", "https://www.linkedin.com/jobs/view/4366014980")</f>
        <v/>
      </c>
      <c r="F62">
        <f>HYPERLINK("https://jobs.apple.com/en-us/details/200618343?board_id=17682&amp;urlHash=uXah", "https://jobs.apple.com/en-us/details/200618343?board_id=17682&amp;urlHash=uXah")</f>
        <v/>
      </c>
      <c r="G62" t="inlineStr">
        <is>
          <t>San Francisco, CA</t>
        </is>
      </c>
      <c r="H62" t="inlineStr"/>
      <c r="I62" t="inlineStr">
        <is>
          <t>**Summary**
 Imagine what you could do here. At Apple, great ideas have a way of becoming great products, services, and customer experiences very quickly. Bring passion and dedication to your job and there’s no telling what you could accomplish.
 Do you want to make Siri and Apple products smarter for our users? The Information Intelligence teams are building groundbreaking technology for algorithmic search, machine learning, natural language processing, and artificial intelligence. The features we build are redefining how hundreds of millions of people use their computers and mobile devices to search and find what they are looking for. Our universal search engine powers search features across a variety of Apple products, including Siri, Spotlight, Safari, Messages and Lookup.
 As part of this group, you will develop the systems we use to evaluate the quality of our AI models and products. You’ll help us leverage a combination of human and automated methods to accelerate robust iteration and development of new models and product features.
**Description**
 We design and build infrastructures to support features that empowers billions of Apple users. As part of this group, you will develop the systems we use to evaluate the quality of our AI models and products. You’ll help us leverage a combination of human and automated methods to accelerate robust iteration and development of new models and product features. You will have opportunities to work cross functional with MLE, DS, Infra and others.
**Minimum Qualifications**
* BS in a relevant field or equivalent experience
* Strong coding skills
* Strong background in computer science, algorithms, data structures and analytics.
* Fast learner, have a voracious and intrinsic desire to learn and fill in missing skills.
* Excellent interpersonal skills able to work independently as well as in a team.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3">
      <c r="A63" t="inlineStr">
        <is>
          <t>li-4366050060</t>
        </is>
      </c>
      <c r="B63" t="inlineStr">
        <is>
          <t>AIML - ML Engineer, Responsible AI</t>
        </is>
      </c>
      <c r="C63" t="inlineStr">
        <is>
          <t>Apple</t>
        </is>
      </c>
      <c r="D63" t="inlineStr">
        <is>
          <t>linkedin</t>
        </is>
      </c>
      <c r="E63">
        <f>HYPERLINK("https://www.linkedin.com/jobs/view/4366050060", "https://www.linkedin.com/jobs/view/4366050060")</f>
        <v/>
      </c>
      <c r="F63" t="inlineStr"/>
      <c r="G63" t="inlineStr">
        <is>
          <t>San Francisco, CA</t>
        </is>
      </c>
      <c r="H63" t="inlineStr"/>
      <c r="I63" t="inlineStr">
        <is>
          <t>**Summary**
 Would you like to play a part in building the next generation of generative AI applications at Apple? We're looking for scientists and engineers to work on ambitious projects that will impact the future of Apple, our products, and the broader world.
 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
* Develop methods, models, and tools to interpret and explain failures in language and diffusion models
* Build and maintain human annotation and red teaming pipelines to assess quality and risk of various Apple products
* Prototype, implement, and evaluate new ML models and algorithms for red teaming LLMs
* Work with highly\-sensitive content with exposure to offensive and controversial content
**Minimum Qualifications**
* Strong engineering skills and experience in writing production\-quality code in Python, Swift or other programming languages
* Background in generative models, natural language processing, LLMs, or diffusion models
* Experience with failure analysis, quality engineering, or robustness analysis for AI/ML based features
* Experience working with crowd\-based annotations and human evaluations
* Experience working on explainability and interpretation of AI/ML models
**Preferred Qualifications**
* BS, MS or PhD in Computer Science, Machine Learning, or related fields or an equivalent qualification acquired through other avenues
* Proven track record of contributing to diverse teams in a collaborative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4">
      <c r="A64" t="inlineStr">
        <is>
          <t>li-4366023824</t>
        </is>
      </c>
      <c r="B64" t="inlineStr">
        <is>
          <t>AIML - ML Engineer, Responsible AI</t>
        </is>
      </c>
      <c r="C64" t="inlineStr">
        <is>
          <t>Apple</t>
        </is>
      </c>
      <c r="D64" t="inlineStr">
        <is>
          <t>linkedin</t>
        </is>
      </c>
      <c r="E64">
        <f>HYPERLINK("https://www.linkedin.com/jobs/view/4366023824", "https://www.linkedin.com/jobs/view/4366023824")</f>
        <v/>
      </c>
      <c r="F64" t="inlineStr"/>
      <c r="G64" t="inlineStr">
        <is>
          <t>Cupertino, CA</t>
        </is>
      </c>
      <c r="H64" t="inlineStr"/>
      <c r="I64" t="inlineStr">
        <is>
          <t>**Summary**
 Would you like to play a part in building the next generation of generative AI applications at Apple? We're looking for scientists and engineers to work on ambitious projects that will impact the future of Apple, our products, and the broader world.
 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
* Develop methods, models, and tools to interpret and explain failures in language and diffusion models
* Build and maintain human annotation and red teaming pipelines to assess quality and risk of various Apple products
* Prototype, implement, and evaluate new ML models and algorithms for red teaming LLMs
* Work with highly\-sensitive content with exposure to offensive and controversial content
**Minimum Qualifications**
* Strong engineering skills and experience in writing production\-quality code in Python, Swift or other programming languages
* Background in generative models, natural language processing, LLMs, or diffusion models
* Experience with failure analysis, quality engineering, or robustness analysis for AI/ML based features
* Experience working with crowd\-based annotations and human evaluations
* Experience working on explainability and interpretation of AI/ML models
**Preferred Qualifications**
* BS, MS or PhD in Computer Science, Machine Learning, or related fields or an equivalent qualification acquired through other avenues
* Proven track record of contributing to diverse teams in a collaborative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5">
      <c r="A65" t="inlineStr">
        <is>
          <t>li-4366028874</t>
        </is>
      </c>
      <c r="B65" t="inlineStr">
        <is>
          <t>AIML - ML Engineer, Responsible AI</t>
        </is>
      </c>
      <c r="C65" t="inlineStr">
        <is>
          <t>Apple</t>
        </is>
      </c>
      <c r="D65" t="inlineStr">
        <is>
          <t>linkedin</t>
        </is>
      </c>
      <c r="E65">
        <f>HYPERLINK("https://www.linkedin.com/jobs/view/4366028874", "https://www.linkedin.com/jobs/view/4366028874")</f>
        <v/>
      </c>
      <c r="F65">
        <f>HYPERLINK("https://jobs.apple.com/en-us/details/200635772?board_id=17682&amp;urlHash=Idp3", "https://jobs.apple.com/en-us/details/200635772?board_id=17682&amp;urlHash=Idp3")</f>
        <v/>
      </c>
      <c r="G65" t="inlineStr">
        <is>
          <t>San Francisco, CA</t>
        </is>
      </c>
      <c r="H65" t="inlineStr"/>
      <c r="I65" t="inlineStr">
        <is>
          <t>**Summary**
 Would you like to play a part in building the next generation of generative AI applications at Apple? We're looking for scientists and engineers to work on ambitious projects that will impact the future of Apple, our products, and the broader world.
 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
* Develop methods, models, and tools to interpret and explain failures in language and diffusion models
* Build and maintain human annotation and red teaming pipelines to assess quality and risk of various Apple products
* Prototype, implement, and evaluate new ML models and algorithms for red teaming LLMs
* Work with highly\-sensitive content with exposure to offensive and controversial content
**Minimum Qualifications**
* Strong engineering skills and experience in writing production\-quality code in Python, Swift or other programming languages
* Background in generative models, natural language processing, LLMs, or diffusion models
* Experience with failure analysis, quality engineering, or robustness analysis for AI/ML based features
* Experience working with crowd\-based annotations and human evaluations
* Experience working on explainability and interpretation of AI/ML models
**Preferred Qualifications**
* BS, MS or PhD in Computer Science, Machine Learning, or related fields or an equivalent qualification acquired through other avenues
* Proven track record of contributing to diverse teams in a collaborative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6">
      <c r="A66" t="inlineStr">
        <is>
          <t>li-4366021997</t>
        </is>
      </c>
      <c r="B66" t="inlineStr">
        <is>
          <t>AIML - Machine Learning Engineer, Foundation Models</t>
        </is>
      </c>
      <c r="C66" t="inlineStr">
        <is>
          <t>Apple</t>
        </is>
      </c>
      <c r="D66" t="inlineStr">
        <is>
          <t>linkedin</t>
        </is>
      </c>
      <c r="E66">
        <f>HYPERLINK("https://www.linkedin.com/jobs/view/4366021997", "https://www.linkedin.com/jobs/view/4366021997")</f>
        <v/>
      </c>
      <c r="F66" t="inlineStr"/>
      <c r="G66" t="inlineStr">
        <is>
          <t>New York, NY</t>
        </is>
      </c>
      <c r="H66" t="inlineStr"/>
      <c r="I66" t="inlineStr">
        <is>
          <t>**Summary**
 Apple is revolutionizing artificial intelligence by developing sophisticated foundation models that power intelligent features across our product ecosystem. We're seeking skilled Machine Learning Engineers to transform cutting\-edge research into scalable, production\-ready AI solutions.
 We are looking for engineers who are passionate about building systems that push the frontier of deep learning in terms of scaling, efficiency, and flexibility and delight millions of users in Apple products.
**Description**
 Apple Foundation Model Team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MLEs who are passionate about developing algorithms, techniques, and systems that push the frontier of deep learning and delight billions of users with Apple products powered by foundation models. We are looking for an exceptional Machine Learning Engineer to design, develop, and deploy foundation models that drive intelligent features across Apple's product portfolio. You will bridge the gap between research and production, transforming advanced AI concepts into robust, performant systems that enhance user experiences.
**Responsibilities**
* Design and implement scalable, reliable and high\-performance machine learning infrastructure for foundation models across text, image, speech, and multi\-modal domains
* Collaborate with other teams to productionize state\-of\-the\-art AI algorithms
* Optimize models for performance, efficiency, and on\-device intelligence
* Implement machine learning systems with stringent privacy and security requirements
* May also be required to manage a small team of engineers.
**Minimum Qualifications**
* MS or PhD in Computer Science, Machine Learning, or related technical field
* Expert\-level programming skills in Python
* Proficiency in machine learning frameworks such as Jax, PyTorch, TensorFlow
* Strong background in: Distributed training, Model optimization, and Machine learning infrastructure
* Experience with large\-scale model training and deployment
* Familiarity with: Kubernetes, Docker, Cloud platforms (AWS, GCP, Azure)
* Distributed computing frameworks
**Preferred Qualifications**
* Experience with foundation models and large language models
* Background in multi\-modal AI systems
* Demonstrated ability to transform research prototypes into production systems
* Published research or significant contributions to open\-source ML projects
* Understanding of on\-device machine learning techniques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7">
      <c r="A67" t="inlineStr">
        <is>
          <t>li-4366037303</t>
        </is>
      </c>
      <c r="B67" t="inlineStr">
        <is>
          <t>AIML - ML Engineer, Responsible AI</t>
        </is>
      </c>
      <c r="C67" t="inlineStr">
        <is>
          <t>Apple</t>
        </is>
      </c>
      <c r="D67" t="inlineStr">
        <is>
          <t>linkedin</t>
        </is>
      </c>
      <c r="E67">
        <f>HYPERLINK("https://www.linkedin.com/jobs/view/4366037303", "https://www.linkedin.com/jobs/view/4366037303")</f>
        <v/>
      </c>
      <c r="F67" t="inlineStr"/>
      <c r="G67" t="inlineStr">
        <is>
          <t>Cupertino, CA</t>
        </is>
      </c>
      <c r="H67" t="inlineStr"/>
      <c r="I67" t="inlineStr">
        <is>
          <t>**Summary**
 Would you like to play a part in building the next generation of generative AI applications at Apple? We're looking for scientists and engineers to work on ambitious projects that will impact the future of Apple, our products, and the broader world.
 In this role, you'll have the opportunity to tackle innovative problems in machine learning, particularly focused on generative AI. As a member of the Apple HCMI group, you will be working on Apple's generative models that will power a wide array of new features. Our team is currently working on large generative models for vision and language, with particular interest on safety, robustness, and uncertainty in models.
**Description**
* Develop models, tools, metrics, and datasets for assessing and evaluating the safety of generative models over the model deployment lifecycle
* Develop methods, models, and tools to interpret and explain failures in language and diffusion models
* Build and maintain human annotation and red teaming pipelines to assess quality and risk of various Apple products
* Prototype, implement, and evaluate new ML models and algorithms for red teaming LLMs
* Work with highly\-sensitive content with exposure to offensive and controversial content
**Minimum Qualifications**
* Strong engineering skills and experience in writing production\-quality code in Python, Swift or other programming languages
* Background in generative models, natural language processing, LLMs, or diffusion models
* Experience with failure analysis, quality engineering, or robustness analysis for AI/ML based features
* Experience working with crowd\-based annotations and human evaluations
* Experience working on explainability and interpretation of AI/ML models
**Preferred Qualifications**
* BS, MS or PhD in Computer Science, Machine Learning, or related fields or an equivalent qualification acquired through other avenues
* Proven track record of contributing to diverse teams in a collaborative environment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68">
      <c r="A68" t="inlineStr">
        <is>
          <t>li-4343675738</t>
        </is>
      </c>
      <c r="B68" t="inlineStr">
        <is>
          <t>Machine Learning Engineer</t>
        </is>
      </c>
      <c r="C68" t="inlineStr">
        <is>
          <t>PitchBook</t>
        </is>
      </c>
      <c r="D68" t="inlineStr">
        <is>
          <t>linkedin</t>
        </is>
      </c>
      <c r="E68">
        <f>HYPERLINK("https://www.linkedin.com/jobs/view/4343675738", "https://www.linkedin.com/jobs/view/4343675738")</f>
        <v/>
      </c>
      <c r="F68" t="inlineStr"/>
      <c r="G68" t="inlineStr">
        <is>
          <t>New York, NY</t>
        </is>
      </c>
      <c r="H68" t="inlineStr"/>
      <c r="I68" t="inlineStr">
        <is>
          <t>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Machine Learning Engineer (MLE) on the AI \&amp; ML (Insights) team, you will play a critical role in delivering AI\-powered features that extract meaningful insights from PitchBook’s wealth of structured and unstructured data including reports, news, and other textual content. This role requires deep technical expertise in advanced data analytics and machine learning, as well as a hands\-on approach to designing, building, and optimizing ML solutions that power user\-facing features on the PitchBook Platform.
 You will be deeply involved in the end\-to\-end development and operationalization of ML models, including their architecture, training, deployment, and ongoing maintenance. Your focus will span across natural language processing (NLP), generative AI (GenAI), large language models (LLMs), and scalable data systems. You will be expected to tackle complex technical challenges, contribute to architectural decisions, and collaborate closely with other engineers, data scientists, and product managers to ensure that your work aligns with business goals and AI/ML strategy.
 Your contributions will help unlock unique value for PitchBook customers by improving the speed, discoverability, quality, and quantity of insights available on the platform. This includes developing models that can infer meaning and structure from millions of discrete data sources and applying ML to enrich our datasets with predictive and generative intelligence.
**Primary Job Responsibilities**
* Deliver high\-impact AI and ML capabilities that drive insight generation on the PitchBook Platform. Ensure your work contributes to broader business goals and is aligned with the team's strategic priorities
* Provide hands\-on expertise in designing, building, and deploying AI/ML models and services with a focus on NLP, summarization, semantic search, classification, and prediction. Contribute to the development of scalable, high\-performance systems that meet production\-grade reliability and efficiency standards
* Contribute to a culture of technical excellence by sharing knowledge, pairing with teammates, and actively participating in code and design reviews. Provide situational guidance to junior engineers and contribute to team best practices
* Build and optimize models that leverage classifiers, transformers, LLMs, and other NLP techniques to generate meaningful insights from structured and unstructured data. Integrate these models into the broader AI/ML infrastructure in collaboration with partner teams
* Collaborate with engineering, product management, and data collection teams to ensure models are informed by high\-quality data and support strategic product goals
* Explore and experiment with emerging technologies, methodologies, and tools in the fields of GenAI, NLP, and search. Translate research findings into practical solutions that enhance PitchBook’s AI capabilities
* Contribute to best practices in model transparency, monitoring, evaluation, and compliance. Help maintain high standards of security, data integrity, and responsible AI use across your projects
* Participate in the technical evaluation of candidates and help onboard new team members by contributing to documentation, pairing, and knowledge\-sharing practices
* Apply principles from Agile, Lean, and Fast\-Flow methodologies to support efficient model development and deployment cycles
* Support the vision and values of the company through role modeling and encouraging desired behaviors
* Participate in various company initiatives and projects as requested
**Skills And Qualifications**
* Bachelor’s degree in Computer Science, Mathematics, Data Science, or related technical field, advanced degrees are preferred
* 2\+ years of experience in software engineering or machine learning engineering, with a strong focus on AI/ML applications in insight generation, summarization, semantic search, and prediction
* Demonstrated expertise in natural language processing (NLP) and machine learning, including hands\-on experience with classifiers, transformer models, large language models (LLMs), and widely used ML and data science libraries such as scikit\-learn, pandas, numpy, TensorFlow, and PyTorch
* Experience delivering production\-grade GenAI or LLM\-based systems with measurable business impact
* Familiarity with the LangChain ecosystem, including tools such as LangSmith and LangGraph, and experience using them in production environments is a strong plus
* Proficiency in building and maintaining scalable data pipelines and distributed systems using technologies such as Apache Kafka, Airflow, and cloud data platforms like Snowflake
* Strong programming skills in Python and SQL, with working knowledge of additional languages such as Java or Scala considered a plus
* Practical experience with cloud\-native development, containerization, and orchestration technologies such as Docker and Kubernetes
* Demonstrated ability to solve complex technical problems, contribute to architectural decisions, and deliver high\-performance, reliable solutions
* Excellent communication and collaboration skills, with experience working cross\-functionally with product managers, engineers, and data scientists in globally distributed teams
* Experience working in fast\-paced, data\-driven environments. Prior exposure to fintech or financial data platforms is a strong advantage
* Experience authoring research papers for peer\-reviewed AI/ML conferences (e.g., NeurIPS, ICML, ACL) and participating in the broader AI research community is strongly preferred
* Must be authorized to work in the United States without the need for visa sponsorship now or in the future
**Benefits \+ Compensation at PitchBook:**
 Physical Health
* Comprehensive health benefits
* Additional medical wellness incentives
* STD, LTD, AD\&amp;D, and life insurance
 Emotional Health
* Paid sabbatical program after four years
* Paid family and paternity leave
* Annual educational stipend
* Ability to apply for tuition reimbursement
* CFA exam stipend
* Robust training programs on industry and soft skills
* Employee assistance program
* Generous allotment of vacation days, sick days, and volunteer days
 Social Health
* Matching gifts program
* Employee resource groups
* Subsidized emergency childcare
* Dependent Care FSA
* Company\-wide events
* Employee referral bonus program
* Quarterly team building events
 Financial Health
* 401k match
* Shared ownership employee stock program
* Monthly transportation stipend
* Please be aware the above PitchBook benefit and perk offerings are subject to corresponding plan and policy documents and may change during the course of your employment.
**Compensation**
* Annual base salary: $125,000\-$180,000
* Target annual bonus percentage: 10%
**Working Conditions**
 At the heart of our company is a belief in the power of in\-person collaboration. Being together in the office fuels our creativity, strengthens our connections, and drives the innovation that sets us apart. Our culture is built on spontaneous moments—those hallway conversations, whiteboard brainstorms, and shared celebrations in each of our global offices—that simply can’t be replicated remotely. This role is expected to be in the office 5 days a week.
 The job conditions for this position are in a standard office setting. Employees in this position use PC and phone on an on\-going basis throughout the day. Limited corporate travel may be required to remote offices or other business meetings and events.
 We are excited to get to know you and your background. Concerned that you might not meet every requirement? We encourage you to still apply as you might be the right candidate for the role or other roles at PitchBook.</t>
        </is>
      </c>
    </row>
    <row r="69">
      <c r="A69" t="inlineStr">
        <is>
          <t>li-4366055027</t>
        </is>
      </c>
      <c r="B69" t="inlineStr">
        <is>
          <t>AIML - Machine Learning Engineer, Responsible AI</t>
        </is>
      </c>
      <c r="C69" t="inlineStr">
        <is>
          <t>Apple</t>
        </is>
      </c>
      <c r="D69" t="inlineStr">
        <is>
          <t>linkedin</t>
        </is>
      </c>
      <c r="E69">
        <f>HYPERLINK("https://www.linkedin.com/jobs/view/4366055027", "https://www.linkedin.com/jobs/view/4366055027")</f>
        <v/>
      </c>
      <c r="F69" t="inlineStr"/>
      <c r="G69" t="inlineStr">
        <is>
          <t>Seattle, WA</t>
        </is>
      </c>
      <c r="H69" t="inlineStr"/>
      <c r="I69" t="inlineStr">
        <is>
          <t>**Summary**
 Would you like to play a part in building the next generation of generative AI applications at Apple? We’re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Apple’s Responsible AI group you will be working on a wide array of new features and research in the generative AI space.
 Our team is currently interested in large generative models for vision and language, with particular interest on Responsible AI, safety, fairness, robustness, explainability, and uncertainty in models.
**Description**
 This role focuses on developing, carrying\-out, interpreting, and communicating pre\- and post\-ship evaluations of the safety of Apple Intelligence features. Both human grading and model\-based auto\-grading are thoughtfully leveraged to power these evaluations.
 Additionally, this role researches and develops auto\-grading methodology \&amp; infrastructure to benefit ongoing and future Apple Intelligence safety evaluations.
 Producing safety evaluations that uphold Apple’s Responsible AI values requires thoughtful data sampling, creation, and curation for evaluation datasets; high quality, detailed annotations and careful auto\-grading to assess feature performance; and mindful analysis to understand what the evaluation means for the user experience.
 This role heavily draws on applied data science, scientific investigation and interpretation, cross\-functional communication and collaboration, and metrics reporting and presentation.
**Responsibilities**
* Develop metrics for evaluation of safety and fairness risks inherent to generative AI features.
* Design datasets, identify data needs, and work on creative solutions, scaling and expanding data coverage through human and synthetic generation methods.
* Develop auto\-grading technologies and approaches for application in safety evaluations of generative AI features.
* Provide technical direction and expertise to team\-wide initiatives in safety auto\-grading.
* Use and implement data pipelines, and collaborate cross\-functionally to execute end\-to\-end safety evaluations.
* Work with highly\-sensitive content with exposure to offensive and controversial content.
**Minimum Qualifications**
* MS, or PhD in Computer Science, Machine Learning, Statistics, or related fields; or an equivalent qualification acquired through other avenues.
* Experience working with generative models for evaluation and/or product development, and up\-to\-date knowledge of common challenges and failures.
* Strong engineering skills and experience in writing production\-quality code in Python.
* Deep experience in foundation model\-based AI programming (i.e.: using DSPy for optimizing foundation model prompts, for example) and a drive to innovate in this space.
* Experience working with noisy, crowd\-based data labels and human evaluations.
**Preferred Qualifications**
* Experience working in the Responsible AI space.
* Prior scientific research and publication experience.
* Strong organizational and operational skills working with large, multi\-functional, and diverse teams.
* Curiosity about fairness and bias in generative AI systems, and a strong desire to help make the technology more equitable.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0">
      <c r="A70" t="inlineStr">
        <is>
          <t>li-4366050086</t>
        </is>
      </c>
      <c r="B70" t="inlineStr">
        <is>
          <t>Machine Learning Engineer, Vision Products Group</t>
        </is>
      </c>
      <c r="C70" t="inlineStr">
        <is>
          <t>Apple</t>
        </is>
      </c>
      <c r="D70" t="inlineStr">
        <is>
          <t>linkedin</t>
        </is>
      </c>
      <c r="E70">
        <f>HYPERLINK("https://www.linkedin.com/jobs/view/4366050086", "https://www.linkedin.com/jobs/view/4366050086")</f>
        <v/>
      </c>
      <c r="F70">
        <f>HYPERLINK("https://jobs.apple.com/en-us/details/200643241?board_id=17682&amp;urlHash=r25F", "https://jobs.apple.com/en-us/details/200643241?board_id=17682&amp;urlHash=r25F")</f>
        <v/>
      </c>
      <c r="G70" t="inlineStr">
        <is>
          <t>Los Angeles, CA</t>
        </is>
      </c>
      <c r="H70" t="inlineStr"/>
      <c r="I70" t="inlineStr">
        <is>
          <t>**Summary**
 AI is transforming how people interact with technology, and Apple is building the next generation of intelligent, privacy\-preserving experiences across its platforms. We’re looking for a Machine Learning Engineer to help prototype, build, and ship conversational and generative AI systems that feel deeply human, responsive, and trustworthy.
 In this role, you’ll work at the intersection of machine learning research and product engineering—rapidly iterating on new ideas, translating them into scalable systems, and partnering closely with cross\-functional teams to bring them to life. You’ll contribute to foundational capabilities that power conversational understanding, generation, personalization, and embodied interactions for Apple's Vision devices.
**Description**
 As a Machine Learning Engineer on our team, you will design, prototype, and deploy ML\-driven features that power conversational and generative experiences. You’ll work hands\-on with modern model architectures; ranging from large language and multimodal models to ranking and personalization system and integrate them into production frameworks used at scale.
 You’ll collaborate closely with researchers, product managers, designers, and platform engineers to align on problem definitions, iterate on solutions, and ship features that meet Apple’s standards for reliability, privacy, and delight. This role balances experimentation with execution: moving quickly when exploring new ideas, and rigorously when transitioning work into production.
**Responsibilities**
* Design and implement ML models and algorithms for conversational understanding, generation, and personalization
* Rapidly prototype and evaluate new model architectures, prompting strategies, and fine\-tuning approaches
* Translate research ideas into production\-ready systems, collaborating across teams to ensure smooth integration
* Contribute to end\-to\-end ML pipelines, from data exploration and model training to deployment and evaluation
* Write clean, maintainable, and well\-tested code that meets Apple’s production standards
* Participate in architecture discussions, design reviews, and peer code reviews
* Help shape technical direction and contribute to roadmaps for next\-generation AI capabilities
**Minimum Qualifications**
* Phd \+3yrs or MS \+ 5yrs relevant experience in related field (AIML, CS, EE etc.)
* Strong experience with deep learning, particularly in natural language processing and/or multimodal models
* Hands\-on experience with modern generative AI systems and computer vision models, including prompt design, fine\-tuning, and evaluation
* Familiarity with ranking, retrieval, and personalization algorithms
* Proficiency in Python and experience with ML frameworks such as PyTorch (TensorFlow a plus)
* Experience integrating ML models into production systems
* Strong communication skills and the ability to collaborate across disciplines
* Curiosity, pragmatism, and a product\-oriented mindset
**Preferred Qualifications**
* Experience with conversational AI systems or interactive ML\-driven experiences
* Exposure to multimodal or embodied AI systems (voice, animation, agents, or real\-time interaction)
* Familiarity with Apple platforms, frameworks, or ML infrastructure
* Evaluation based measurement expertise using eval frameworks to measure non\-deterministic experiences for consumer facing products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1">
      <c r="A71" t="inlineStr">
        <is>
          <t>li-4366050064</t>
        </is>
      </c>
      <c r="B71" t="inlineStr">
        <is>
          <t>Machine Learning Engineer, AiDP</t>
        </is>
      </c>
      <c r="C71" t="inlineStr">
        <is>
          <t>Apple</t>
        </is>
      </c>
      <c r="D71" t="inlineStr">
        <is>
          <t>linkedin</t>
        </is>
      </c>
      <c r="E71">
        <f>HYPERLINK("https://www.linkedin.com/jobs/view/4366050064", "https://www.linkedin.com/jobs/view/4366050064")</f>
        <v/>
      </c>
      <c r="F71" t="inlineStr"/>
      <c r="G71" t="inlineStr">
        <is>
          <t>Seattle, WA</t>
        </is>
      </c>
      <c r="H71" t="inlineStr"/>
      <c r="I71" t="inlineStr">
        <is>
          <t>**Summary**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Join Apple, and help us leave the world better than we found it. Imagine what you could do here! At Apple, new ideas have a way of becoming extraordinary products, services, and customer experiences very quickly. Bring passion and dedication to your job and there's no telling what you could accomplish. A passion for product ownership and track record will prove critical to success on our team. Be ready to make something extraordinary when here. Multifaceted, encouraging people and innovative, industry\-defining technologies are the norm at Apple. Would you like to work in a fast\-paced environment where your technical abilities will be challenged on a day to day basis? Join the AI \&amp; Data Platform (AiDP) team and empower Apple's business groups with cutting\-edge ML, data, and analytics solutions. This position is an extraordinary opportunity for a competent, experienced, and results\-oriented machine learning engineer to define and build some of the best\-in\-class machine learning platforms and products that drive business outcomes across Retail, iTunes, Marketing, and more.
**Description**
 Our Machine Learning Engineers work on building intelligent systems to democratize AI across a wide range of solutions within Apple. You will drive the development and deployment of state\-of\-the\-art AI models and systems that directly impact the capabilities and performance of Apple’s products and services. You will implement robust, scalable ML infrastructure, including data storage, processing, and model serving components, to support seamless integration of AI/ML models into production environments. You will develop novel feature engineering, data augmentation, prompt engineering and fine\-tuning frameworks that achieve optimal performance on specific tasks and domains. You will design and implement automated ML pipelines for data preprocessing, feature engineering, model training, hyper\-parameter tuning, and model evaluation, enabling rapid experimentation and iteration. You will also implement advanced model compression and optimization techniques to reduce the resource footprint of language models while preserving their performance. There are massive opportunities for you deliver impactful influences to Apple.
**Minimum Qualifications**
* Strong proficiency in programming languages like Java or Python
* Solid understanding of Data Structures and Algorithms.
* 4\+ years of machine learning engineering experience in feature engineering, model training, model serving, model monitoring, and model refresh management.
* 2\+ years experience working with NLP and GenAI frameworks (LangChain, LlamaIndex, etc.)
* Experience with cloud platforms (AWS, GCP) and containerization technologies (Docker, Kubernetes).
* Bachelors Computer Science or equivalent focus area
**Preferred Qualifications**
* Experience handling large\-scale datasets and data\-driven applications.
* Familiarity with embedding, retrieval algorithms, agents, data modeling for vector development graphs.
* Excellent communication and experience working with multi\-functional teams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2">
      <c r="A72" t="inlineStr">
        <is>
          <t>li-4366028889</t>
        </is>
      </c>
      <c r="B72" t="inlineStr">
        <is>
          <t>AIML - Machine Learning Engineer, Data and ML Innovation</t>
        </is>
      </c>
      <c r="C72" t="inlineStr">
        <is>
          <t>Apple</t>
        </is>
      </c>
      <c r="D72" t="inlineStr">
        <is>
          <t>linkedin</t>
        </is>
      </c>
      <c r="E72">
        <f>HYPERLINK("https://www.linkedin.com/jobs/view/4366028889", "https://www.linkedin.com/jobs/view/4366028889")</f>
        <v/>
      </c>
      <c r="F72" t="inlineStr"/>
      <c r="G72" t="inlineStr">
        <is>
          <t>Cupertino, CA</t>
        </is>
      </c>
      <c r="H72" t="inlineStr"/>
      <c r="I72" t="inlineStr">
        <is>
          <t>**Summary**
 As part of Apple's AI and Machine Learning org, we encourage and create groundbreaking technology for large\-scale ML systems, computer vision, natural language processing, and multi\-modal understanding and generation. The Data and Machine Learning Innovation (DMLI) team is looking for a passionate Machine Learning Engineer to explore new methods, challenge existing metrics or protocols, and develop new insightful practices that will change how we understand data and overcome real\-world ML challenges.
 As a team member, you will work on some of the most ambitious technical challenges in the field. Your role will involve collaborating closely with our machine learning researchers, engineers, and data scientists. Together, you will spearhead groundbreaking research initiatives and develop transformative products designed to build a significant impact for billions of users worldwide!
**Description**
 As a Machine Learning Engineer for LLM Agent and Reinforcement Learning, you will play a pivotal role in shaping the next generation of intelligent agent systems that power Apple Intelligence. You will develop advanced LLM\-based agents capable of reasoning, planning, and acting across multi\-turn tasks and tool\-use environments. Your work will directly influence Apple’s foundation models and agentic intelligence capabilities across products and platforms.
 You will collaborate with cross\-functional research and engineering teams to push the frontier of agent modeling, mid\-training, reinforcement learning, and system\-level orchestration. Your responsibilities will include designing innovative mid\-training and post\-training pipelines, scaling large\-scale synthetic data generation for agent learning, and improving end\-to\-end agent behaviors through data\-model co\-design. You will also have the opportunity to publish and present your work at top ML and AI research venues.
 Your work may span a variety of directions, including but not limited to:
* Develop and improve LLM\-based agent models that can plan, reason, and act across complex, multi\-turn tasks.
* Design mid\-training pipelines to enhance agentic capabilities such as tool\-use, reflection, and long\-horizon reasoning.
* Explore and implement reinforcement learning and feedback\-based fine\-tuning to align agent behaviors with human and system objectives.
* Build simulation and evaluation environments for measuring multi\-turn success rate, planning efficiency, and robustness of agent interactions.
* Develop scalable frameworks for synthetic agentic data generation, including user–assistant–tool trajectories, environment modeling, and self\-play.
* Collaborate with modeling, data, and infrastructure teams to integrate new training signals and improve overall system performance.
* Stay on top of cutting\-edge research in agentic LLMs, reasoning, tool\-use, mid\-training, and reinforcement learning.
**Minimum Qualifications**
* Strong background in machine learning, natural language processing, or reinforcement learning with a focus on LLM or agentic systems.
* Solid understanding of LLM training paradigms (pre\-training, mid\-training, RL, post\-training) and multi\-modal or tool\-use\-enhanced architectures.
* Excellent programming skills and experience with Python and modern deep learning frameworks (PyTorch, JAX, or equivalent).
* Ability to design, run, and analyze large\-scale training and evaluation experiments.
* M.S. in Computer Science, Machine Learning, Artificial Intelligence, or related fields.
**Preferred Qualifications**
* 3\+ years of hands\-on experience developing agentic LLMs, tool\-use systems, or RL\-based fine\-tuning pipelines.
* Experience in multi\-turn data generation, simulation environments, or agent evaluation frameworks.
* Deep familiarity with self\-improvement loops, reward modeling, or interactive reinforcement learning.
* Strong publication record in top\-tier venues (e.g., NeurIPS, ICLR, ICML, AAAI, ACL, EMNLP).
* Proven ability to work in collaborative, cross\-functional ML teams.
* Ph.D. in Machine Learning, NLP, Reinforcement Learning, or related disciplines.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3">
      <c r="A73" t="inlineStr">
        <is>
          <t>li-4366043099</t>
        </is>
      </c>
      <c r="B73" t="inlineStr">
        <is>
          <t>Machine Learning Engineer, Speech Products</t>
        </is>
      </c>
      <c r="C73" t="inlineStr">
        <is>
          <t>Apple</t>
        </is>
      </c>
      <c r="D73" t="inlineStr">
        <is>
          <t>linkedin</t>
        </is>
      </c>
      <c r="E73">
        <f>HYPERLINK("https://www.linkedin.com/jobs/view/4366043099", "https://www.linkedin.com/jobs/view/4366043099")</f>
        <v/>
      </c>
      <c r="F73" t="inlineStr"/>
      <c r="G73" t="inlineStr">
        <is>
          <t>San Francisco, CA</t>
        </is>
      </c>
      <c r="H73" t="inlineStr"/>
      <c r="I73" t="inlineStr">
        <is>
          <t>**Summary**
 We’re seeking engineers excited about applying machine learning to build and maintain the core ML products behind Apple’s speech technologies. You’ll join a highly technical, collaborative team of ML, software, and infrastructure experts to develop systems used by millions of people. This role offers the chance to work on impactful projects across Apple and to apply your ML, data science, and analytical skills to solve complex problems and deliver innovative user\-facing products.
**Description**
 Join a pivotal team that builds the automation and scalable infrastructure that carries Apple’s speech research into production for millions of users. We design and maintain the training and evaluation pipelines that enable rapid experimentation, robust model validation, and seamless deployment of next\-generation speech technologies.
 In this role, you will engineer and refine the systems that transform research ideas into reliable, production\-ready modeling workflows. You’ll improve automation, ensure high\-quality model behavior at scale, and create the frameworks that accelerate model development across the speech organization. Your work forms the backbone of Apple’s state\-of\-the\-art speech capabilities—powering technologies that reach our users around the world.
**Responsibilities**
* Build and maintain scalable pipelines for training and evaluating speech models for fast and reliable experimentation and for production
* Integrate new model architectures, training recipes, and evaluation methods into existing systems
* Monitor pipeline health and model performance, helping identify regressions or data issues
* Collaborate with modeling and infrastructure teams to improve reliability and efficiency
* Contribute to tooling that supports experiment tracking, reproducibility, and analysis
* Document workflows and follow best practices for ML software development
**Minimum Qualifications**
* Experience designing, building, and maintaining scalable ML pipelines for training, evaluation, and continuous monitoring.
* Strong software engineering skills, with proficiency in Python
* Solid understanding of core ML concepts, such as supervised/unsupervised learning, model evaluation, and performance analysis.
* Strong verbal and written communication skills
* Bachelor’s or graduate degree in Computer Science, Computer Engineering, or a related field, or equivalent experience
**Preferred Qualifications**
* Hands\-on experience with distributed compute and data systems (Spark, Ray)
* Working knowledge of speech/ASR/TTS concepts (audio features, tokenization, speech augmentation, alignment, evaluation metrics)
* Comfort working cross\-functionally with research scientists, data engineers, and product teams
**Pay \&amp; Benefits**
 At Apple, base pay is one part of our total compensation package and is determined within a range. This provides the opportunity to progress as you grow and develop within a role. The base pay range for this role is between $132,100 and $244,600,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4">
      <c r="A74" t="inlineStr">
        <is>
          <t>li-4366053721</t>
        </is>
      </c>
      <c r="B74" t="inlineStr">
        <is>
          <t>Machine Learning Engineer, AI Recommendation and Search</t>
        </is>
      </c>
      <c r="C74" t="inlineStr">
        <is>
          <t>hackajob</t>
        </is>
      </c>
      <c r="D74" t="inlineStr">
        <is>
          <t>linkedin</t>
        </is>
      </c>
      <c r="E74">
        <f>HYPERLINK("https://www.linkedin.com/jobs/view/4366053721", "https://www.linkedin.com/jobs/view/4366053721")</f>
        <v/>
      </c>
      <c r="F74" t="inlineStr"/>
      <c r="G74" t="inlineStr">
        <is>
          <t>Philadelphia, PA</t>
        </is>
      </c>
      <c r="H74" t="inlineStr"/>
      <c r="I74"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****Job Description****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**Education**
 Bachelor's Degree
 While possessing the stated degree is preferred, Comcast also may consider applicants who hold some combination of coursework and experience, or who have extensive related professional experience.
****Relevant Work Experience****
 5\-7\+ Years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Model Development; Code Development; Python (Programming Language); Communication; Machine Learning Operations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75">
      <c r="A75" t="inlineStr">
        <is>
          <t>li-4366033932</t>
        </is>
      </c>
      <c r="B75" t="inlineStr">
        <is>
          <t>AIML - Machine Learning Engineer, Foundation Models</t>
        </is>
      </c>
      <c r="C75" t="inlineStr">
        <is>
          <t>Apple</t>
        </is>
      </c>
      <c r="D75" t="inlineStr">
        <is>
          <t>linkedin</t>
        </is>
      </c>
      <c r="E75">
        <f>HYPERLINK("https://www.linkedin.com/jobs/view/4366033932", "https://www.linkedin.com/jobs/view/4366033932")</f>
        <v/>
      </c>
      <c r="F75">
        <f>HYPERLINK("https://jobs.apple.com/en-us/details/200605291?board_id=17682&amp;urlHash=L4Qm", "https://jobs.apple.com/en-us/details/200605291?board_id=17682&amp;urlHash=L4Qm")</f>
        <v/>
      </c>
      <c r="G75" t="inlineStr">
        <is>
          <t>San Francisco, CA</t>
        </is>
      </c>
      <c r="H75" t="inlineStr"/>
      <c r="I75" t="inlineStr">
        <is>
          <t>**Summary**
 Do you feel you think differently, you are eager to break status quo, are bold and ambitious, aren’t afraid to take risks and are passionate to build the best of class technology. If yes, what better place to be at and do this than Apple? At Apple, “we think different, we push the boundaries of computing and intelligence. We build products that bring smile to people’s face”.
 Foundation Model Infrastructure team, within Machine Learning Platform Technologies organization is the back\-bone of Apple Intelligence. It builds frameworks, services and tools that power the largest Apple foundation models on servers. Our Infrastructure powers a wide gamut of services at Apple including Apple Search, Apple Music, AppleTV, AppStore, iMessages, Photos \&amp; Camera, Spotlight, Safari, Siri and upcoming ever exciting Apple products serving millions of queries every day with incredible low latencies, drawing every ounce of compute from our hardware.
 As part of this group, you will get a chance to bring Intelligence to billions of users across the world. You will have an opportunity to make a difference in life of people. You will have a chance to work on optimizing billions of parameter languge and vision and speech models using state of the art technologies and make it run at scale of Apple.
**Description**
 Work along side Foundation Model Research team to optimize inference for cutting edge model architectures.
 Work closely with product teams to build Production grade solutions to launch models serving millions of customers in real time.
 Build tools to understand bottlenecks in Inference for different hardwares and use cases.
 Mentor and guide engineers in the organization.
**Minimum Qualifications**
* 5\+ years of experience leading and driving complex, ambiguous projects.
* Have experience with high throughput services particularly at supercomputing scale.
* Proficient with running applications on Cloud (AWS / Azure or equivalent) using Kubernetes, Docker etc.
* Familiar with GPU programming concepts using CUDA.
* Familiar with one of the popular ML Frameworks like Pytorch, Tensorflow.
**Preferred Qualifications**
* Proficient in building and maintaining systems written in modern languages (eg: Golang, python)
* Familiar with fundamental Deep Learning architectures such as Transformers, Encoder/Decoder models.
* Familiarity with Nvidia TensorRT\-LLM, vLLM, DeepSpeed, Nvidia Triton Server etc.
* Experience writing custom CUDA kernels using CUDA or OpenAI Triton.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6">
      <c r="A76" t="inlineStr">
        <is>
          <t>li-4366056024</t>
        </is>
      </c>
      <c r="B76" t="inlineStr">
        <is>
          <t>AIML - Machine Learning Engineer- Health AI</t>
        </is>
      </c>
      <c r="C76" t="inlineStr">
        <is>
          <t>Apple</t>
        </is>
      </c>
      <c r="D76" t="inlineStr">
        <is>
          <t>linkedin</t>
        </is>
      </c>
      <c r="E76">
        <f>HYPERLINK("https://www.linkedin.com/jobs/view/4366056024", "https://www.linkedin.com/jobs/view/4366056024")</f>
        <v/>
      </c>
      <c r="F76" t="inlineStr"/>
      <c r="G76" t="inlineStr">
        <is>
          <t>Santa Clara, CA</t>
        </is>
      </c>
      <c r="H76" t="inlineStr"/>
      <c r="I76" t="inlineStr">
        <is>
          <t>**Summary**
 The Health AI team is at the forefront of machine learning and health science at Apple. We are a close\-knit team of highly accomplished, deeply technical research scientists, software engineers and machine learning engineers passionate about delivering innovative technologies that impact millions of users. We are looking for a senior engineer passionate about solving real\-world problems in the health domain that make a difference in our customers' lives.
**Description**
 In this role, you will use your skills and experience in ML and deep learning to design, implement, tune and evaluate machine learning models and algorithms to solve ambitious problems involving unique data and objectives including state of the art generative AI models and tools. The successful candidate should possess excellent interpersonal skills and ability to work multi\-functionally to apply novel research at the intersection of Health and ML into customer features.
**Minimum Qualifications**
* \- 10\+ years of overall software development experience
* \- 5\+ years experience in hands\-on experience in state\-of\-the\-art machine learning and deep learning as applied to large\-scale datasets
* \- Strong background in generative models, natural language processing, and large language models
* \- Proficiency working with large scale models using modern machine learning packages (e.g. TensorFlow, PyTorch, Jax, Huggingface)
* \- Experience in leading a team and track record of multi\-functional collaboration to deliver customer\-facing features in production
* \- MS/Ph.D. in Computer Science, Machine Learning, or related fields or equivalent qualification.
**Preferred Qualifications**
* PhD preferred
* Ability to thrive in fast\-paced environment, deal with uncertainty, and adapt to new and changing requirements
* Proven track record of contributing to diverse teams in a collaborative environment
* A passion for building outstanding and innovative products. This position involves a wide variety of interdisciplinary skills
**Pay \&amp; Benefits**
 At Apple, base pay is one part of our total compensation package and is determined within a range. This provides the opportunity to progress as you grow and develop within a role. The base pay range for this role is between $201,300 and $367,400,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7">
      <c r="A77" t="inlineStr">
        <is>
          <t>li-4366071294</t>
        </is>
      </c>
      <c r="B77" t="inlineStr">
        <is>
          <t>Machine Learning Engineer</t>
        </is>
      </c>
      <c r="C77" t="inlineStr">
        <is>
          <t>FutureTech Recruitment</t>
        </is>
      </c>
      <c r="D77" t="inlineStr">
        <is>
          <t>linkedin</t>
        </is>
      </c>
      <c r="E77">
        <f>HYPERLINK("https://www.linkedin.com/jobs/view/4366071294", "https://www.linkedin.com/jobs/view/4366071294")</f>
        <v/>
      </c>
      <c r="F77" t="inlineStr"/>
      <c r="G77" t="inlineStr">
        <is>
          <t>San Francisco, CA</t>
        </is>
      </c>
      <c r="H77" t="inlineStr"/>
      <c r="I77" t="inlineStr">
        <is>
          <t>**Founding AI Engineer** 
**Onsite / Hybrid (4–5x per week) \- San Francisco** 
**$225k–$300k base \+ equity** 
 FutureTech Recruitment is partnered with a stealth AI FinTech startup building an AI\-native platform designed to make financial advisors dramatically more effective. The company is tackling outdated, manual workflows in wealth management with production\-grade AI systems, backed by top\-tier investors and operators with deep domain expertise.
 They’re hiring a Founding AI Engineer
 to own and evolve the AI capabilities of the platform from first principles.
**Responsibilities** 
* Evolve the multi\-agent system that powers the platform, from architecture through production deployment
* Own AI capabilities end\-to\-end, driving development of the core product
* Partner closely with founders, designers, and financial advisors to shape product direction and user experience
* Design and build production AI agent systems that enable advisors to tailor portfolios for thousands of clients
* Lead development of multi\-agent orchestration, tool\-calling infrastructure, and evaluation frameworks
* Build and maintain systems for state management, observability, and explainability to ensure reliability, transparency, and auditability
**Requirements** 
* 2\+ years of experience in backend or full\-stack software engineering, operating systems in production
* Strong focus on building and shipping production AI / ML systems
* Proven ability to rapidly iterate on complex systems in an early\-stage environment
* Proficient in Python and TypeScript
* Experience using React in production environments
* Actively uses AI coding tools to significantly increase development velocity
* Experience in financial services, particularly wealth or asset management, is a strong plus
* Interest or experience with agentic / multi\-agent AI systems preferred
**Why join?** 
* Help democratise sophisticated wealth management so millions can build wealth
* Define and lead from pre\-product to true scale as part of the founding team
* Backed by Tier 1 investors, with founder track record including a successful exit
 Interested in building the future of AI\-powered wealth management from the ground up? Click Apply Now!</t>
        </is>
      </c>
    </row>
    <row r="78">
      <c r="A78" t="inlineStr">
        <is>
          <t>li-4366040086</t>
        </is>
      </c>
      <c r="B78" t="inlineStr">
        <is>
          <t>AIML- Machine Learning Engineer, Machine Learning Platform Technologies</t>
        </is>
      </c>
      <c r="C78" t="inlineStr">
        <is>
          <t>Apple</t>
        </is>
      </c>
      <c r="D78" t="inlineStr">
        <is>
          <t>linkedin</t>
        </is>
      </c>
      <c r="E78">
        <f>HYPERLINK("https://www.linkedin.com/jobs/view/4366040086", "https://www.linkedin.com/jobs/view/4366040086")</f>
        <v/>
      </c>
      <c r="F78">
        <f>HYPERLINK("https://jobs.apple.com/en-us/details/200616600?board_id=17682&amp;urlHash=iv1E", "https://jobs.apple.com/en-us/details/200616600?board_id=17682&amp;urlHash=iv1E")</f>
        <v/>
      </c>
      <c r="G78" t="inlineStr">
        <is>
          <t>Santa Clara, CA</t>
        </is>
      </c>
      <c r="H78" t="inlineStr"/>
      <c r="I78" t="inlineStr">
        <is>
          <t>**Summary**
 Imagine what you could do here. At Apple, great ideas have a way of becoming great products, services, and customer experiences very quickly. Bring passion and dedication to your job and there’s no telling what you could accomplish.
 Do you want to make Apple products more intelligent for our users? The Information Intelligence Infrastructure team is building groundbreaking technology for search, natural language processing, artificial intelligence and machine learning. Our infrastructure is the back\-bone of Apple Intelligence. It powers the largest Apple foundation models on servers and a wide gamut of services at Apple including Apple Search, Apple Music, AppleTV, AppStore, iMessages, Photos \&amp; Camera, Spotlight, Safari, Siri and upcoming ever exciting Apple products serving millions of queries every day with incredible low latencies, drawing every ounce of compute from our hardware.
**Description**
 Build the dataset intelligence layer behind Apple\-scale foundation models: data mining, information extraction, dataset curation, and evaluation signal that helps models improve faster with less compute. You’ll operate at petabyte/trillion\-record scale and partner directly with foundation model researchers to turn model failures into targeted data interventions. form the backbone of Apple’s search and foundation model platforms.
 As part of this team, you will own services, pipeline end\-to\-end—from initial design and architecture, through implementation, deployment, and long\-term operation. You’ll collaborate closely with Foundation Model research teams to optimize for cutting\-edge model quality improvements.
**Responsibilities**
* Design scalable data mining \+ information extraction systems over trillions of records to produce training corpora and high\-signal subsets.
* Build data quality loops \- automatic filtering, algorithmic selection, and apply strategies tied to model evaluation outcomes.
* Partner with Foundation model research to curate datasets for new architectures; ship production solutions powering real products.
* Design, build, and operate large\-scale distributed services that power Apple’s search and foundation model platforms.
* Build and evolve petabyte\-scale data pipelines and feature pipelines and serve models.
* Define and uphold SLAs for critical services \&amp; pipelines , driving reliability, performance, and capacity planning for billions of daily requests.
* Collaborate with cross\-functional partners (research, engineering, program management, privacy, security) to design solutions that meet user, business, and regulatory requirements.
* Improve the overall engineering quality bar through technical reviews, mentoring, documentation, and best practices in testing and observability.
**Minimum Qualifications**
* PhD or MS in ML/CS or related with 10\+ years of experience.
* Strong ML/DL development \+ evaluation experience; strong coding in Python/Scala/Java; large\-scale data processing.
* Proficiency in at least one modern programming language Python, Go, or Scala, with a focus on writing robust, maintainable code.
* Proficiency in at least one popular ML framework such as PyTorch, TensorFlow, JAX and an understanding of how ML/AI systems are deployed in production.
* Familiarity with cloud \- Kubernetes, GCP, AWS, Object stores.
* Excellent collaboration and communication skills; able to work independently and cross\-functionally with research, product, and operations teams.
**Preferred Qualifications**
* Experience with training\-data curation, synthetic data strategies, or evaluation dataset filtering / subset selection.
* MLOps from research prototype → production.
* Familiarity with large\-model serving/optimization stacks (TensorRT\-LLM, vLLM, Triton)
* Experience with data\-intensive systems (e.g., large\-scale data pipelines, feature generation, Dataflow, Spark, Airflow, Dataflow).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79">
      <c r="A79" t="inlineStr">
        <is>
          <t>li-4366079587</t>
        </is>
      </c>
      <c r="B79" t="inlineStr">
        <is>
          <t>Machine Learning Engineer - Insurance AI</t>
        </is>
      </c>
      <c r="C79" t="inlineStr">
        <is>
          <t>ChatGPT Jobs</t>
        </is>
      </c>
      <c r="D79" t="inlineStr">
        <is>
          <t>linkedin</t>
        </is>
      </c>
      <c r="E79">
        <f>HYPERLINK("https://www.linkedin.com/jobs/view/4366079587", "https://www.linkedin.com/jobs/view/4366079587")</f>
        <v/>
      </c>
      <c r="F79" t="inlineStr"/>
      <c r="G79" t="inlineStr">
        <is>
          <t>El Segundo, CA</t>
        </is>
      </c>
      <c r="H79" t="inlineStr"/>
      <c r="I79" t="inlineStr">
        <is>
          <t>**Job Description**
 Machine Learning Engineer \- Insurance AI
**Company:** 
 Nearmap
**Location:** 
 Carlsbad, CA (On\-site, Remote)
**Salary:** 
 $118\.80K \- $142\.60K/yr (Estimated pay)
**Type:** 
 Full\-time
**Posted:** 
 13 hours ago
**Job Description**
 We're looking for a Machine Learning Engineer to join our Insurance AI team. You'll be the engineering backbone for our Data Scientists, building and maintaining the ML infrastructure that turns models into reliable, scalable products.
 Your job is to extend, adapt, and maintain that infrastructure for US\-specific use cases. You'll work closely with Data Scientists in the US and ML Engineers in Australia, acting as the technical bridge that keeps both teams moving fast.
 What You'll Do
 You'll own the ML engineering function for the US Insurance AI team. That means building data and model pipelines, integrating with internal and external APIs, and making sure our Data Scientists have the tools they need to ship models to production. You'll collaborate daily with our Sydney AICV team to leverage shared infrastructure and contribute improvements back.
 Day to day, you'll write Python, wrangle data pipelines, debug production issues, and translate Data Scientist requirements into working systems. You'll use AWS, work with cloud\-native technologies, and operate within an established MLOps framework.
 Key Responsibilities
* Build and maintain ML pipelines for data ingestion, feature processing, model training, deployment, and monitoring in AWS
* Extend and adapt existing tooling from our Sydney AICV team for US Insurance AI use cases
* Develop and support internal tools and frameworks that streamline experimentation and improve delivery speed
* Integrate internal and external APIs to connect datasets, models, and services
* Partner with Data Scientists to understand their workflow needs and translate them into scalable technical solutions
* Ensure infrastructure supports rapid experimentation while maintaining reliability, security, and scalability
* Collaborate with Technical Product Managers, API engineers, and platform teams to deploy models in production
* Contribute to a shared codebase through feature branches, pull requests, and code reviews
**Qualifications**
**You'll need:**
* 2\-4 years as a Machine Learning Engineer or ML\-focused Software Engineer
* Strong Python skills with a track record of writing clean, tested, production\-grade code
* Hands\-on experience with ML libraries like PyTorch, scikit\-learn, and pandas
* Experience building and maintaining ML pipelines in production environments
* Solid SQL skills and familiarity with data engineering tools (Airflow, Spark, or dbt)
* The ability to jump into an existing codebase, understand it, and extend it
* Clear communication skills and comfort working across time zones
****It Would Be Great If You Also Have:****
* AWS experience (S3, EC2, ECS, or similar)
* Experience consuming and integrating REST APIs at scale
* Docker and containerisation experience
* MLOps experience including CI/CD and model monitoring
* Familiarity with geospatial or aerial imagery data
* Experience with pipeline orchestration tools like Ray, Kubeflow, or Flyte
 You're mid\-career and self\-sufficient. You don't need someone looking over your shoulder, but you also know when to ask questions. You'd rather build on a solid foundation than start from scratch just to put your stamp on something. You communicate clearly, collaborate well with remote teams, and care about shipping things that actually work.
**To help us get to know the real you:** 
 In your application, tell us about a specific ML pipeline you've built or maintained and one thing you learned from it. Skip the AI\-generated cover letters. We want to hear your voice.
 Additional Information
 Nearmap takes a holistic approach to our employees' emotional, physical and financial wellness. Some of our current benefits include:
* Quarterly wellbeing day off \- Four additional days off a year as your "YOU" days
* Company\-sponsored volunteering days to give back.
* Generous parental leave policies for growing families.
* Access to LinkedIn Learning for continuous growth.
* Discounted Health Insurance plans.
* Monthly technology allowance.
* Annual flu vaccinations and skin checks.
* A Nearmap subscription (naturally!).
 We move fast and work smart; often wearing multiple hats. We adapted to remote working with ease and are continually looking at ways to improve. We're proud of our inclusive, supportive culture, and maintain a safe environment where everyone feels a sense of belonging and can be themselves.</t>
        </is>
      </c>
    </row>
    <row r="80">
      <c r="A80" t="inlineStr">
        <is>
          <t>li-4356242688</t>
        </is>
      </c>
      <c r="B80" t="inlineStr">
        <is>
          <t>Machine Learning Engineer/Scientist I - Early Career 2025 University Grad</t>
        </is>
      </c>
      <c r="C80" t="inlineStr">
        <is>
          <t>Blue Origin</t>
        </is>
      </c>
      <c r="D80" t="inlineStr">
        <is>
          <t>linkedin</t>
        </is>
      </c>
      <c r="E80">
        <f>HYPERLINK("https://www.linkedin.com/jobs/view/4356242688", "https://www.linkedin.com/jobs/view/4356242688")</f>
        <v/>
      </c>
      <c r="F80" t="inlineStr"/>
      <c r="G80" t="inlineStr"/>
      <c r="H80" t="inlineStr"/>
      <c r="I80" t="inlineStr">
        <is>
          <t>**Application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We are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Join us to develop innovative AI models for our Rocket Factory with a collaborative team. We are looking for someone with deep technical expertise that is interested in positively impacting safe human spaceflight. If you are a passionate and high agency individual (have energy to independently drive initiatives, fix problems and improve status quo), we would love to hear from you.
**Primary locations:**
 We prioritize placing early career engineers in locations where they can be co\-located with their team and the relevant hardware they support. The primary locations for this role are listed below. Please indicate in the application where you would be willing to be located.
* Kent, WA
**What You Can Expect**
* Specialized early career development opportunities and mentorship during your first year.
* Meaningful work! You’ll be contributing directly to top company goals.
**Responsibilities Include But Are Not Limited To**
* Based upon your desired career path, projects may include the core AI team within the Enterprise Technology group, you will be instrumental in improving the manufacturing processes of space crafts. By helping build novel AI systems that harnesses multimodal information from disparate sources and automatically transforming them, your work will assist manufacturing engineers in our factories, and make them more efficient, reduce latency, and increase velocity of launches. Specific duties are subject to our business unit objectives. Some examples include:
* Design experiments, hypotheses and rigorously benchmark solutions
+ Conduct literature review to identify relevant datasets, models and tools to prototype and improve AI systems in production
+ Develop techniques for data preprocessing, extraction, and synthetic generation
+ Deploy algorithms by creating docker images, spinning up containers, creating endpoints and microservices
+ Document your findings and present to stakeholders
**Basic Qualifications**
* Able to start working full\-time by the end of 2025\.
* BS in Computer Science or relevant (earned within the last year or by Fall 2025\).
* Machine Learning
+ Bachelors or Masters with relevant course work \- Linear algebra, Statistics, NLP, and Computer Vision
+ 2\+ years of experience coding \- Python and AI frameworks (TensorFlow/ PyTorch)
+ Background in Deep Learning \- vision\-language models (VLMs), transformers, training LoRA adapters, model distillation, and fine\-tuning
+ Strong mathematical foundations \- linear algebra, calculus, statistics
+ Ability to curate large\-scale multimodal datasets \- data preprocessing and generation of a variety of datasets (synthetic and human\-labeled)
+ Experience with ML libraries and tools – pandas, torchvision, NLTK, spaCy, diffusers, vllm, transformers, DSPy, Ray, LangGraph, DeepSpeed etc.)
+ Designing machine learning experiments – understanding and improving model behaviors and proposing solutions for generalization/interpretability
+ Familiarity with reinforcement learning principles.
+ Understanding of AI ethics and responsible AI development practices
* Distributed Systems
+ Expertise with GPU optimization and Cloud platforms (AWS, Azure)
+ Experience with container orchestration tools (Docker, Kubernetes)
+ CI/CD pipeline implementation and management
+ Systems architecture design for AI applications
* Ability to earn trust, maintain positive and professional relationships, and contribute to a culture of inclusion
* Ability to work independently and as part of a team on rapid development programs.
* Relevant internship/co\-op and academic project experience that demonstrate development of both technical skills as well as leadership qualities.
* Self\-driven with the ability to seek out requirements with minimal direction.
* Strong written, verbal, communication, and interpersonal skills.
* Passion for Blue’s Mission with a strong desire to continuously learn and improve.
**Desired Qualifications**
* Advanced degree (MS or higher) in Computer Science, Software Engineering, or a related field.
* 1\+ years of experience in the industry working on real\-world data and building AI systems
* Prompt and context engineering \- experience with implementation of Retrieval\-Augmented Generation (RAG)
* Proficiency in generative model architectures \- GANs, VAEs, Diffusion Models
* Experience with post\-training techniques \- instruction tuning, preference modeling, or RLHF
* Experience with 3D modeling and building multi\-agentic workflows
* Demonstrate concrete achievements from ML projects that involve building multimodal algorithms for some of the following tasks: segmentation, object detection, classification, question and answering and so on
* Interest or experience in test\-time/inference scaling
* Research publications in machine learning conferences, journals and/or open\-source contribution
**How To Stand Out**
* We value a wide variety of backgrounds—even beyond aerospace! Experience in tech, automotive, energy, defense, or other high\-reliability fields is great.
* Share your internship, co\-op, project, and research experiences in your resume. List programming languages, tools, or relevant coursework.
**Compensation Range For**
 WA applicants is $110,623\.00 \- $154,871\.85
**Other Site Ranges May Differ**
**Culture Statement**
 Don’t meet all desired requirements? Studies have shown that some people are less likely to apply to jobs unless they meet every single desired qualification. At Blue Origin, we are dedicated to building an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**Background Check**
* Required for all positions: Blue’s Standard Background Check
* Required for Certain Job Profiles: Defense Biometric Identification System (DBIDS) background check if at any time the role requires one to be on a military installation
* Required for Certain Job Profiles: Drivers who operate Commercial Motor Vehicles with a Gross Vehicle Weight (GVW), Gross Vehicle Weight Rating (GVWR) or combination of power unit and trailer that meets or exceeds 10,001 lbs. and/or transports placardable amounts of hazardous materials by ground in any vehicle on a public road while in commerce, may be subject to additional Federal Motor Carrier Safety Regulations including: Driver Qualification Files, Medical Certification (obtained before onboarding), Road Test, Hours of Service, Drug and Alcohol Testing (CDL drivers only), vehicle inspection requirements, CDL requirements (if applicable) and hazardous materials transportation/shipping training.
* Required for certain Job Profiles: Ability to obtain and maintain Merchant Mariner Credential, which includes pre\-employment and random drug testing as well as DOT physical
**Benefits**
* Benefits include: Medical, dental, vision, basic and supplemental life insurance, paid parental leave, short and long\-term disability, 401(k) with a company match of up to 5%, and an Education Support Program.
* Paid Time Off: Up to four (4\) weeks per year based on weekly scheduled hours, and up to 14 company\-paid holidays.
* Dependent on role type and job level, employees may be eligible for benefits and bonuses based on the company's intent to reward individual contributions and enable them to share in the company's results, or other factors at the company's sole discretion. Bonus amounts and eligibility are not guaranteed and subject to change and cancellation. Please check with your recruiter for more details.
**Equal Employment Opportunity**
 Blue Origin is proud to be an Equal Opportunity/Affirmative Action Employer and is committed to attracting, retaining, and developing a highly qualified and dedicated work force. Blue Origin hires and promotes people on the basis of their qualifications, performance, and abilities. We support the establishment and maintenance of a workplace that fosters trust, equality, and teamwork. We provide all qualified applicants for employment and employees with equal opportunities for hire, promotion, and other terms and conditions of employment, regardless of their race, color, religion, sex,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“Know Your Rights,”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Please note this is a publicly managed inbox. Please do not include any personal medical information in your request.
**California Applicant Privacy Notice**
 If you are a California resident, please reference the CA Applicant Privacy Notice here.</t>
        </is>
      </c>
    </row>
    <row r="81">
      <c r="A81" t="inlineStr">
        <is>
          <t>li-4366039000</t>
        </is>
      </c>
      <c r="B81" t="inlineStr">
        <is>
          <t>AIML - Machine Learning Engineer, Foundation Models</t>
        </is>
      </c>
      <c r="C81" t="inlineStr">
        <is>
          <t>Apple</t>
        </is>
      </c>
      <c r="D81" t="inlineStr">
        <is>
          <t>linkedin</t>
        </is>
      </c>
      <c r="E81">
        <f>HYPERLINK("https://www.linkedin.com/jobs/view/4366039000", "https://www.linkedin.com/jobs/view/4366039000")</f>
        <v/>
      </c>
      <c r="F81" t="inlineStr"/>
      <c r="G81" t="inlineStr">
        <is>
          <t>Seattle, WA</t>
        </is>
      </c>
      <c r="H81" t="inlineStr"/>
      <c r="I81" t="inlineStr">
        <is>
          <t>**Summary**
 Apple is revolutionizing artificial intelligence by developing sophisticated foundation models that power intelligent features across our product ecosystem. We're seeking skilled Machine Learning Engineers to transform cutting\-edge research into scalable, production\-ready AI solutions.
 We are looking for engineers who are passionate about building systems that push the frontier of deep learning in terms of scaling, efficiency, and flexibility and delight millions of users in Apple products.
**Description**
 Apple Foundation Model Team are a group of engineers and researchers responsible for building foundation models at Apple. We build infrastructure, datasets, and models with fundamental general capabilities such as understanding and generation of text, images, speech, videos, and other modalities and apply these models to Apple products. We are looking for MLEs who are passionate about developing algorithms, techniques, and systems that push the frontier of deep learning and delight billions of users with Apple products powered by foundation models. We are looking for an exceptional Machine Learning Engineer to design, develop, and deploy foundation models that drive intelligent features across Apple's product portfolio. You will bridge the gap between research and production, transforming advanced AI concepts into robust, performant systems that enhance user experiences.
**Responsibilities**
* Design and implement scalable, reliable and high\-performance machine learning infrastructure for foundation models across text, image, speech, and multi\-modal domains
* Collaborate with other teams to productionize state\-of\-the\-art AI algorithms
* Optimize models for performance, efficiency, and on\-device intelligence
* Implement machine learning systems with stringent privacy and security requirements
* May also be required to manage a small team of engineers.
**Minimum Qualifications**
* MS or PhD in Computer Science, Machine Learning, or related technical field
* Expert\-level programming skills in Python
* Proficiency in machine learning frameworks such as Jax, PyTorch, TensorFlow
* Strong background in: Distributed training, Model optimization, and Machine learning infrastructure
* Experience with large\-scale model training and deployment
* Familiarity with: Kubernetes, Docker, Cloud platforms (AWS, GCP, Azure)
* Distributed computing frameworks
**Preferred Qualifications**
* Experience with foundation models and large language models
* Background in multi\-modal AI systems
* Demonstrated ability to transform research prototypes into production systems
* Published research or significant contributions to open\-source ML projects
* Understanding of on\-device machine learning techniques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2">
      <c r="A82" t="inlineStr">
        <is>
          <t>li-4366061862</t>
        </is>
      </c>
      <c r="B82" t="inlineStr">
        <is>
          <t>Machine Learning Engineer, AI Recommendation and Search</t>
        </is>
      </c>
      <c r="C82" t="inlineStr">
        <is>
          <t>ChatGPT Jobs</t>
        </is>
      </c>
      <c r="D82" t="inlineStr">
        <is>
          <t>linkedin</t>
        </is>
      </c>
      <c r="E82">
        <f>HYPERLINK("https://www.linkedin.com/jobs/view/4366061862", "https://www.linkedin.com/jobs/view/4366061862")</f>
        <v/>
      </c>
      <c r="F82" t="inlineStr"/>
      <c r="G82" t="inlineStr">
        <is>
          <t>Philadelphia, PA</t>
        </is>
      </c>
      <c r="H82" t="inlineStr"/>
      <c r="I82" t="inlineStr">
        <is>
          <t>**Job Description**
 Machine Learning Engineer, AI Recommendation and Search
**Company:** 
 Comcast
**Location:** 
 Philadelphia, PA
**Job Type:** 
 Full\-time, On\-site, Remote
**Job Summary**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**Skills**
* Code Development
* Communication
* Machine Learning Model Development
* Machine Learning Operations
* Python (Programming Language)
**Education**
* Bachelor's DegreeWhile possessing the stated degree is preferred, Comcast also may consider applicants who hold some combination of coursework and experience, or who have extensive related professional experience.
**Relevant Work Experience**
* 5\-7 Years</t>
        </is>
      </c>
    </row>
    <row r="83">
      <c r="A83" t="inlineStr">
        <is>
          <t>li-4366067685</t>
        </is>
      </c>
      <c r="B83" t="inlineStr">
        <is>
          <t>Machine Learning Engineer (LLMs / AI)</t>
        </is>
      </c>
      <c r="C83" t="inlineStr">
        <is>
          <t>ChatGPT Jobs</t>
        </is>
      </c>
      <c r="D83" t="inlineStr">
        <is>
          <t>linkedin</t>
        </is>
      </c>
      <c r="E83">
        <f>HYPERLINK("https://www.linkedin.com/jobs/view/4366067685", "https://www.linkedin.com/jobs/view/4366067685")</f>
        <v/>
      </c>
      <c r="F83" t="inlineStr"/>
      <c r="G83" t="inlineStr">
        <is>
          <t>Charleston, WV</t>
        </is>
      </c>
      <c r="H83" t="inlineStr"/>
      <c r="I83" t="inlineStr">
        <is>
          <t>**Job Description**
 Machine Learning Engineer (LLMs / AI)
 ghSMART \- Charleston, WV
* Remote
 Full\-time
 Posted 10 hours ago
**Job Description**
**Who We Are**
 ghSMART is a premier leadership advisory firm trusted by CEOs, boards, and investors. We partner with many of the world’s most influential leaders and organizations to build winning leadership teams and amplify positive impact.
**What You’ll Do**
 As a Machine Learning \&amp; Data Engineer, you will leverage ghSMART’s extensive, structured leadership dataset to build advanced AI solutions/agents and create new RAG‑based solutions. You’ll contribute to the evolution of our ghSMART Leadership Intelligence Platform, help drive research initiatives, and collaborate with academic partners. You will also support both data engineering and AI engineering efforts.
**Responsibilities**
* Design, build, and extend ML models (LLMs and traditional ML) that deliver high\-accuracy insights from ghSMART’s structured leadership dataset
* Develop RAG\-based agents and algorithms to unlock novel leadership insights from our research database.
* Integrate advanced solutions and AI Agents into the Leadership Intelligence Platform.
* Optimize data pipelines and workflows to ensure robust, efficient data ingestion, transformation, and model serving across engineering teams.
* Collaborate on research with academic partners and contribute to publications and thought leadership by validating findings with rigorous methods.
 You Bring
* 5\+ years of ML engineering experience building and shipping large\-scale models and systems.
* Hands\-on expertise with RAG frameworks and LLMs, including designing retrieval strategies, prompt orchestration, evaluation, and deployment at scale.
* Strong data engineering fundamentals across pipelines, data quality, and feature engineering to support reliable ML workflows.
* Security and privacy mindset, with experience applying best practices to protect sensitive data in ML systems.
* Collaborative, remote\-first working style with clear communication and ownership.
**Why join ghSMART?**
**Meaningful Impact Everyday:** 
 We believe leadership is the greatest force for good.
**Exceptional team, grounded in generosity:** 
 We have a team of extraordinary people united by excellence, humility, and a shared purpose.
**Freedom to Shape a Career with Purpose:** 
 You have the power to shape a career that aligns with your purpose.
**Have your voice and talents recognized** 
 . We are a flat organization that values proactivity and ability over bureaucracy and tenure.
**Compensation**
 You should reasonably expect a base salary of $160,000 \- $175,000\. In addition, we offer an annual discretionary performance bonus.
 \_
 \_ghSMART is an Equal Opportunity Employer committed to fostering an inclusive and diverse workplace across all of our global locations.\_</t>
        </is>
      </c>
    </row>
    <row r="84">
      <c r="A84" t="inlineStr">
        <is>
          <t>li-4298404706</t>
        </is>
      </c>
      <c r="B84" t="inlineStr">
        <is>
          <t>Machine Learning Engineer, Identity Product</t>
        </is>
      </c>
      <c r="C84" t="inlineStr">
        <is>
          <t>Stripe</t>
        </is>
      </c>
      <c r="D84" t="inlineStr">
        <is>
          <t>linkedin</t>
        </is>
      </c>
      <c r="E84">
        <f>HYPERLINK("https://www.linkedin.com/jobs/view/4298404706", "https://www.linkedin.com/jobs/view/4298404706")</f>
        <v/>
      </c>
      <c r="F84">
        <f>HYPERLINK("https://stripe.com/jobs/listing/machine-learning-engineer-identity-product/6363655?gh_src=73vnei&amp;urlHash=Zzq5", "https://stripe.com/jobs/listing/machine-learning-engineer-identity-product/6363655?gh_src=73vnei&amp;urlHash=Zzq5")</f>
        <v/>
      </c>
      <c r="G84" t="inlineStr">
        <is>
          <t>Seattle, WA</t>
        </is>
      </c>
      <c r="H84" t="inlineStr"/>
      <c r="I8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Machine Learning at Stripe
 Machine learning is an integral part of almost every service at Stripe. Key products and use\-cases powered by ML at Stripe include merchant and transaction risk, payments optimization and personalization, identity verification, and merchant data analytics and insights. We are also using the latest generative AI technologies to re\-imagine product experiences, and are developing AI Assistants both for our customers and to make Stripes more productive across Support, Marketing, Sales, and Engineering roles within the company.
 Stripe handles over $1T in payments volume per year, which is roughly 1% of the world’s GDP. We process petabytes of financial data using our ML platform to build features, train models, and deploy them to production. We use a combination of highly scalable and explainable models such as linear/logistic regression and random forests, along with the latest deep neural networks from transformers to LLMs. Some of our latest innovations have been around figuring out how best to bring transformers and LLMs to improve existing models and enable entirely new product ideas that are only made possible by GenAI. Stripe’s ML models serve millions of users daily and reduce financial risk, increase payment success rate, and grow the GDP of the internet. We work on challenging problems with large business impact, and seek to foster creativity and innovation.
**About The Team**
 Before Stripe, every growing internet platform had a payments team. Today, every growing internet platform has an Identity team to verify trustworthiness of a user. Identity verification is a core piece of economic infrastructure for online businesses that enables businesses to digitally verify the user’s Identity (through ID document, Passport, DL) for fraud, regulatory and trust \&amp; safety purposes. At Stripe, we're building the future of identity verification and trust in the digital economy.
 Why Stripe Identity?
* Be part of a team that's building a product with the potential to transform how trust is established in the digital world
* Work on challenging technical problems at a global scale
* Contribute to a product that will serve diverse industries, from fintech to e\-commerce and beyond
* Opportunity to shape the future of digital identity and fraud prevention
 We leverage ML to serve real\-time predictions as part of Stripe’s payment infrastructure and risk controls. We own Identity end\-to\-end, operating lightning fast world\-scale services and cutting\-edge ML models. We’re looking for people with a strong background or interest in building successful products while keeping user first perspective, who have the ability to deal with ambiguity, exquisite attention to detail and who are comfortable learning new technologies and systems.
 What you’ll do
 We are looking for Machine Learning Engineers to own the end\-to\-end lifecycle of applied ML model development and deployment in service of consumer facing product Identity. You will work closely with software engineers, machine learning engineers (MLE), data scientists (DS), and ML platform infrastructure teams to design, build, deploy, and operate Stripe’s ML\-powered decisioning systems, including improving existing ML models and developing new ML solutions.
**Responsibilities**
* Design and deploy new models using tools (such as Spark, Presto, XGBoost, Tensorflow, PyTorch) and iteratively improve verification and fraud models to protect millions of users from fraud
* Integrate new signals into ML pipelines, derive new ML features, and build workflows to make this process fast
* Integrate new models and behaviors into Stripe’s core payment flow
* Propose and implement innovative product ideas to reduce costs and combat fraud at Stripe
* Collaborate and execute projects cross\-functionally with the data science, product management, infrastructure, and risk teams
 Who you are
 We’re looking for someone who meets the minimum requirements to be considered for the role. If you meet these requirements, you are encouraged to apply. The preferred qualifications are a bonus, not a requirement.
**Minimum Requirements**
* 6\+ years of industry experience building and shipping ML systems in production
* Proficient with ML libraries and frameworks such as PyTorch, TensorFlow, XGBoost, as well as Spark
* Knowledge of various ML algorithms and model architectures
* Hands\-on experience in designing, training, and evaluating machine learning models
* Experience performing analysis, including querying data, defining metrics, or slicing and dicing data to model performance and business metrics
**Preferred Qualifications**
* MS/PhD degree in ML/AI or related field (e.g. math, physics, statistics)
* Experience with DNNs including the latest architectures such as transformers and LLMs
* Experience working in Java or Ruby codebases
* Proven track record of building and deploying ML systems that have effectively solved ambiguous business problems
* Experience in adversarial domains such as Payments, Fraud, Trust, or Safety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85">
      <c r="A85" t="inlineStr">
        <is>
          <t>li-4366026987</t>
        </is>
      </c>
      <c r="B85" t="inlineStr">
        <is>
          <t>AIML - Machine Learning Engineer, Answers, Knowledge &amp; Information (AKI)</t>
        </is>
      </c>
      <c r="C85" t="inlineStr">
        <is>
          <t>Apple</t>
        </is>
      </c>
      <c r="D85" t="inlineStr">
        <is>
          <t>linkedin</t>
        </is>
      </c>
      <c r="E85">
        <f>HYPERLINK("https://www.linkedin.com/jobs/view/4366026987", "https://www.linkedin.com/jobs/view/4366026987")</f>
        <v/>
      </c>
      <c r="F85" t="inlineStr"/>
      <c r="G85" t="inlineStr">
        <is>
          <t>Santa Clara, CA</t>
        </is>
      </c>
      <c r="H85" t="inlineStr"/>
      <c r="I85" t="inlineStr">
        <is>
          <t>**Summary**
 Do you want to make Siri and Apple products smarter for our users? The Answers, Knowledge \&amp; Information team is redefining how hundreds of millions of people use their devices to get information. We are an Applied ML team pushing the limits on realtime augmented information retrieval and generation, information safety and search technologies, while also responsible for a few user facing production services. We are part of a wider effort to power information across a variety of Apple products – including Siri, Spotlight, Safari, Messages, Lookup, and more.
**Description**
 As a member of our fast\-paced group, you’ll have the unique and rewarding opportunity to shape upcoming products from Apple. Our team includes a diversity of backgrounds from applied machine learning engineers with a focus on ML and LLM to experienced distributed systems engineers. As such, we are looking for candidates with applied machine learning experience and strong software engineering skills.
 You will be using and improving upon the latest advancements in machine learning and software engineering to understand user queries and intents, retrieve and rank documents and generate helpful answers and work on horizontal areas on data generation, evaluation and safety.
**Minimum Qualifications**
* BS in Computer Science, Artificial Intelligence, Machine Learning, Information Retrieval, Data Science or related field or equivalent work experience
* 5\+ years of industry related experience, working in collaborative environments
* Experience with using: PyTorch, TensorFlow, or JAX for training and deploying deep learning models
* Understanding product requirements then translating them into modeling tasks and engineering tasks
* Proficient in at least two programming languages such as: C/C\+\+, Go, Python, Java
**Preferred Qualifications**
* Advance degree in Computer Science, Artificial Intelligence, Machine Learning, Information Retrieval, Data Science or related field or equivalent work experience
* Analyzing search ranking and relevance requirements issues and opportunities
* Building machine\-learned models for search relevance ranking query understanding and questioning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6">
      <c r="A86" t="inlineStr">
        <is>
          <t>li-4366636180</t>
        </is>
      </c>
      <c r="B86" t="inlineStr">
        <is>
          <t>Generative AI Engineer</t>
        </is>
      </c>
      <c r="C86" t="inlineStr">
        <is>
          <t>Regard</t>
        </is>
      </c>
      <c r="D86" t="inlineStr">
        <is>
          <t>linkedin</t>
        </is>
      </c>
      <c r="E86">
        <f>HYPERLINK("https://www.linkedin.com/jobs/view/4366636180", "https://www.linkedin.com/jobs/view/4366636180")</f>
        <v/>
      </c>
      <c r="F86" t="inlineStr"/>
      <c r="G86" t="inlineStr">
        <is>
          <t>San Francisco, CA</t>
        </is>
      </c>
      <c r="H86" t="inlineStr"/>
      <c r="I86" t="inlineStr">
        <is>
          <t>As a Generative AI Engineer at Regard, you’ll work across the full lifecycle of developing and deploying AI\-driven features, from ideation and design to prototyping, implementation, evaluation, and iteration. You’ll collaborate closely with product and clinical teams to build systems that transform medical records into structured insights and clinician\-ready documentation.
 Your work will center on applying modern LLMs to extract, summarize, normalize, and generate clinical information from diverse electronic health record (EHR) data sources. This includes developing robust pipelines, running model and prompt\-engineering experiments, integrating models into production services, and ensuring outputs remain factual, safe, and clinically aligned.
 You’ll directly contribute to high\-priority product initiatives, shape new AI capabilities, and advance our LLM platform. Your work will have a tangible impact on how clinicians understand patient data and how healthcare organizations improve care quality.
**About Regard**
 Our mission is to bring world\-class healthcare to everyone. Regard is an AI\-powered Proactive Documentation platform that advances how care is delivered by reviewing all patient data in the EHR to recommend diagnoses and surface clinical evidence. Regard drafts a note even before the physician sees the patient, enabling an approach that gets documentation right at the point of care \- we call it Proactive Documentation. This improves quality of care, reduces physician burden, and improves hospital finances. We are excited by challenges, mission\-oriented work, and meaningful relationships. We work closely with some of the top health systems in the country and are leading the change that healthcare \- one of the largest and most inefficient industries in the world \- needs. We want you to join us.
**Our Tech Stack:**
* Frontend: TypeScript, React
* Backend: Python, PostgreSQL, Redis, AWS
* AI: OpenAI, Anthropic, Langfuse
**Responsibilities:**
* Build and refine LLM\-powered systems to extract structured medical concepts, diagnoses, medications, labs, and timelines from unstructured records
* Develop generation pipelines that produce clinically accurate drafts of notes (H\&amp;P, progress notes, discharge summaries, etc.) from factual inputs
* Design, prototype, and evaluate prompts, agent workflows, and retrieval\-augmented generation (RAG) components
* Benchmark LLM systems to evaluate new models and audit accuracy
* Optimize inference cost, latency, and throughput through batching, caching, and model\-selection strategies
**Qualifications:**
* BS in Computer Science or equivalent experience
* 3\+ years of professional experience with software development in one or more programming languages (Python preferred)
* 1\+ years of professional experience building generative AI products, such as RAGs, agents and chatbots
* Able to participate in on\-call operational support for their areas of responsibility
* Able to travel up to 4 weeks a year for company co\-working and/or retreat weeks
* Strong verbal and written communication skills
**Preferred Qualifications:**
* Familiarity with vector databases and embeddings generation
* Experience working on a mature enterprise SaaS technology product
* Exposure to startup and/or high growth environments
**Hybrid Work \| Location \| Work Authorization**
* For this role, Regard is currently only considering candidates who are authorized to work in the US without visa sponsorship, and are within the New York City metro area, San Francisco Bay Area, or Los Angeles
* We expect our Engineers to be in the office on Tuesdays and Thursdays. We may request more frequent in\-office work during the onboarding period
* We will provide relocation assistance to anyone who does not already reside in the NYC metro area
* We prefer hiring people within commuting distance of our offices because we value getting together in person regularly
* For those who enjoy working from the office on a more regular basis, we offer catered lunches and other fun perks
* Additionally, hybrid employees have the flexibility to work from locations outside of their home office from up to 6 weeks per year
**Comp \| Perks \| Benefits**
* Eligible for equity
* 99% employer paid health benefits (Medical, Dental, and Vision) \+ One Medical subscription
* 18 PTO days/yr \+ 1 week holiday break
* Monthly health \&amp; wellness budget
* Company\-sponsored team retreat \+ social events
* A sabbatical program
 Our goal at Regard is to provide and maintain a work environment that fosters mutual respect, professionalism and cooperation. Regard is proud to be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We celebrate diversity and are proud of our supportive, inclusive workplace.
 All candidates must successfully complete a background check as part of the hiring process.
 At Regard, we carefully consider a wide range of factors when determining compensation, including your skills, qualifications, location, and experience. We expect the base salary range for this position to be $170,000 to $240,000\. This is subject to change and may be modified in the future. We encourage all interested candidates to apply.</t>
        </is>
      </c>
    </row>
    <row r="87">
      <c r="A87" t="inlineStr">
        <is>
          <t>li-4279935670</t>
        </is>
      </c>
      <c r="B87" t="inlineStr">
        <is>
          <t>Machine Learning Engineer, Payments ML Accelerator</t>
        </is>
      </c>
      <c r="C87" t="inlineStr">
        <is>
          <t>Stripe</t>
        </is>
      </c>
      <c r="D87" t="inlineStr">
        <is>
          <t>linkedin</t>
        </is>
      </c>
      <c r="E87">
        <f>HYPERLINK("https://www.linkedin.com/jobs/view/4279935670", "https://www.linkedin.com/jobs/view/4279935670")</f>
        <v/>
      </c>
      <c r="F87" t="inlineStr"/>
      <c r="G87" t="inlineStr">
        <is>
          <t>New York, United States</t>
        </is>
      </c>
      <c r="H87" t="inlineStr"/>
      <c r="I87" t="inlineStr">
        <is>
          <t>**About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Payments ML Accelerator team is developing foundational ML capabilities that drive innovation across Stripe's payment products. We build deep learning models that tackle Stripe's most complex payment challenges \- from fraud detection to authorization optimization \- and deliver measurable business impact. Our work combines advanced ML techniques with large\-scale data infrastructure to enable rapid experimentation and seamless deployment of AI\-powered solutions. As a central ML innovation hub, we work closely with product teams to identify high\-impact opportunities and implement scalable solutions that can be leveraged across the organization.
**What You'll Do**
 As a machine learning engineer on our team, you’ll develop advanced ML solutions that directly impact Stripe’s payment products and core business metrics. Your role will span the entire ML lifecycle, from research and experimentation to production deployment.
 You’ll work on high\-leverage problems that require innovation in modeling, optimization, and system design. Where possible, you’ll look beyond point solutions \- designing approaches and architectures that are reusable, extensible, and serve as foundation models for future capabilities.
 The role demands strong technical judgment, deep knowledge of modern ML methods, and the ability to translate ideas into systems that deliver measurable impact. You’ll partner with product and engineering teams to identify opportunities where ML can move the needle today while setting Stripe up for long\-term success.
**Responsibilities**
* Design and deploy deep learning architectures and foundation models to address problems across key payment entities such as merchants, issuers, or customers
* Identify high\-impact opportunities, and drive the long\-term ML roadmap through well\-scoped high\-leverage initiatives
* Architect generalizable ML workflows to enable rapid scaling and optimized online performance
* Deploy ML models online and ensure operational stability
* Experiment with advanced ML solutions in the industry and ideate on product applications
* Explore cutting\-edge ML techniques and evaluate their potential to solve business problems
* Work closely with ML infrastructure teams to shape new platform capabilities
**Who You Are**
 We are looking for ML Engineers who are passionate about using ML to improve products and delight customers. You have experience developing streaming feature pipelines, building ML models, and deploying them to production, even if it involves making substantial changes to backend code. You are comfortable with ambiguity, love to take initiative, and have a bias towards action.
**Minimum Requirements**
* Minimum 7 years of industry experience doing end\-to\-end ML development on a machine learning team and bringing ML models to production
* Proficient in Python, Scala, and Spark
* Proficient in deep learning and LLM/foundation models
**Preferred Qualifications**
* MS/PhD degree in quantitative field or ML/AI (e.g. computer science, math, physics, statistics)
* Knowledge about how to manipulate data to perform analysis, including querying data, defining metrics, or slicing and dicing data to evaluate a hypothesis
* Experience evaluating niche and upcoming ML solutions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$212,000 \- $318,000\.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88">
      <c r="A88" t="inlineStr">
        <is>
          <t>li-4366049034</t>
        </is>
      </c>
      <c r="B88" t="inlineStr">
        <is>
          <t>Senior Machine Learning Engineer</t>
        </is>
      </c>
      <c r="C88" t="inlineStr">
        <is>
          <t>Apple</t>
        </is>
      </c>
      <c r="D88" t="inlineStr">
        <is>
          <t>linkedin</t>
        </is>
      </c>
      <c r="E88">
        <f>HYPERLINK("https://www.linkedin.com/jobs/view/4366049034", "https://www.linkedin.com/jobs/view/4366049034")</f>
        <v/>
      </c>
      <c r="F88" t="inlineStr"/>
      <c r="G88" t="inlineStr">
        <is>
          <t>Cupertino, CA</t>
        </is>
      </c>
      <c r="H88" t="inlineStr"/>
      <c r="I88" t="inlineStr">
        <is>
          <t>**Summary**
 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\&amp;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
**Responsibilities**
* Collaborate with other MLEs to build scalable, production\-ready ML solutions, taking algorithms from initial concept through to deployment.
* Give to the ongoing improvement of our ML infrastructure and tooling.
* Engage in continuous learning and development, staying up\-to\-date with the latest advances in machine learning and software engineering.
* Mentor junior MLEs on the team to ensure best practices are followed.
**Minimum Qualifications**
* Bachelorʼs degree in Computer Science, Statistics, Mathematics with equivalent experience.
* 5\+ years of related experience building high throughput scalable applications or building machine learning models.
* Proficiency in one or more object\-oriented programming languages such as Python, Java, C\+\+ and experience building distributed systems.
* Experience building data processing pipelines and large scale machine learning systems with experience in big data technologies like Spark, SQL, Snowflake/Hadoop, etc.
* Skilled in communication, problem solving, critical thinking Attention to detail, data accuracy and quality of output.
**Preferred Qualifications**
* PhD or Graduate degree with research/work experience using data science techniques (including but not limited to Computer Science, Statistics, Mathematics, etc).
* Experience in Recommender Systems, Personalization, Search, Computational Advertising or Natural Language Processing including RAG based Generative AI and transformer architecture.
* Skilled in communication, problem solving, critical thinking.
* Experience using Deep Learning, Bandits, Probabilistic Graphical Models, or Reinforcement Learning in real applications a plus.
* Experience with Spark, TensorFlow, Keras, and PyTorch a plus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89">
      <c r="A89" t="inlineStr">
        <is>
          <t>li-4366393196</t>
        </is>
      </c>
      <c r="B89" t="inlineStr">
        <is>
          <t>Software Engineer / ML Engineer</t>
        </is>
      </c>
      <c r="C89" t="inlineStr">
        <is>
          <t>Selby Jennings</t>
        </is>
      </c>
      <c r="D89" t="inlineStr">
        <is>
          <t>linkedin</t>
        </is>
      </c>
      <c r="E89">
        <f>HYPERLINK("https://www.linkedin.com/jobs/view/4366393196", "https://www.linkedin.com/jobs/view/4366393196")</f>
        <v/>
      </c>
      <c r="F89" t="inlineStr"/>
      <c r="G89" t="inlineStr">
        <is>
          <t>San Jose, CA</t>
        </is>
      </c>
      <c r="H89" t="inlineStr"/>
      <c r="I89" t="inlineStr">
        <is>
          <t>**Software Engineer / Machine Learning Engineer** 
**Fintech Startup (San Jose, CA)** 
 Full\-Time, On\-Site
**About the Company:** 
 We're an ambitious fintech building modern financial products powered by deep technical rigor, strong engineering fundamentals, and data‑driven automation. Our team comes from
 **top** 
 technology and financial institutions, and we're backed by leading investors. We move quickly, sweat the details, and operate with the belief that technology can dramatically improve financial access and efficiency for millions of people.
 We're hiring Machine Learning Engineers and Software Engineers who want to own complex systems end‑to‑end: architecture, modeling, infrastructure, experimentation, product flows, and everything in between. You'll drive projects from idea → implementation → iteration, working across tightly coupled engineering, product, and data teams \- often times working directly with executives.
 You'll be a strong fit if you enjoy solving hard problems, navigating ambiguity, and operating in an environment where speed, detail‑orientation, and technical depth matter equally.
**What You'll Work On:** 
 You'll have the opportunity to build across both ML or core software surfaces, including:
 Machine Learning \&amp; Data
* Predictive and decision‑making models across risk assessment, personalization, relevance, onboarding, user lifecycle, and automation
* Data pipelines, ML infrastructure, and systems for experimentation, model deployment, monitoring, and continuous retraining
* Automated processes that reduce manual back‑office workflows and streamline operational tasks
 Software Engineering \&amp; Product Systems
* Consumer‑facing flows with high reliability, low latency, and graceful degradation in poor network environments
* Core backend services, distributed systems, APIs, and platform components that enable new product expansion
* Internal tooling and infrastructure enabling teams to scale operationally and technically
* Growth, activation, and engagement systems that support product adoption and user success
 Cross‑Functional
* Strategic discussions informing product direction, user experience, business logic, and technical architecture
* Deep exploration of product‑domain details\-legal, operational, technical, or data‑related\-where precision matters
* Culture‑building: early engineers play an outsized role in shaping standards, processes, and norms for the company
**Qualifications:** 
* 2\-6 years of full\-time experience, post\-graduation, in software or machine learning engineering
* Have led / heavily impacted technically complex projects with multiple moving parts and cross‑functional stakeholders
* Have experience across disparate systems: distributed systems, compilers, OS‑level components, ML pipelines, or large‑scale production systems
* Ramp up quickly in new environments, codebases, or problem domains with minimal guidance
* Enjoy ambiguity and want to help define the solution rather than simply execute it
* Value depth and craftsmanship\-understanding systems at the most granular level when needed
* Thrive in collaborative, fast‑paced environments where everyone contributes to product, architecture, and strategy
* Enjoy diving into challenging problems and view them as opportunities for rapid personal growth
 Have career spikes such as:
* Return offers from competitive internships
* Early or fast promotions
* Recognition for impact or exceptional performance
* Come from
 **big tech firm** 
 or top\-tier engineering orgs
* Studied and received a degree at
 **Top 25** 
 Computer Science or related program
**Tech Stack (but not limited to)** 
* Python / C\+\+
* Kubernetes
* Typescript
* PostgreSQL
* Cloud infrastructure (AWS)
 Apply now if you check these boxes and join a startup that is going to revolutionize their space!
 \*No contractors\*</t>
        </is>
      </c>
    </row>
    <row r="90">
      <c r="A90" t="inlineStr">
        <is>
          <t>li-4366034991</t>
        </is>
      </c>
      <c r="B90" t="inlineStr">
        <is>
          <t>AIML- Machine Learning Engineer, Machine Learning Platform Technologies</t>
        </is>
      </c>
      <c r="C90" t="inlineStr">
        <is>
          <t>Apple</t>
        </is>
      </c>
      <c r="D90" t="inlineStr">
        <is>
          <t>linkedin</t>
        </is>
      </c>
      <c r="E90">
        <f>HYPERLINK("https://www.linkedin.com/jobs/view/4366034991", "https://www.linkedin.com/jobs/view/4366034991")</f>
        <v/>
      </c>
      <c r="F90" t="inlineStr"/>
      <c r="G90" t="inlineStr">
        <is>
          <t>Seattle, WA</t>
        </is>
      </c>
      <c r="H90" t="inlineStr"/>
      <c r="I90" t="inlineStr">
        <is>
          <t>**Summary**
 Imagine what you could do here. At Apple, great ideas have a way of becoming great products, services, and customer experiences very quickly. Bring passion and dedication to your job and there’s no telling what you could accomplish.
 Do you want to make Apple products more intelligent for our users? The Information Intelligence Infrastructure team is building groundbreaking technology for search, natural language processing, artificial intelligence and machine learning. Our infrastructure is the back\-bone of Apple Intelligence. It powers the largest Apple foundation models on servers and a wide gamut of services at Apple including Apple Search, Apple Music, AppleTV, AppStore, iMessages, Photos \&amp; Camera, Spotlight, Safari, Siri and upcoming ever exciting Apple products serving millions of queries every day with incredible low latencies, drawing every ounce of compute from our hardware.
**Description**
 Build the dataset intelligence layer behind Apple\-scale foundation models: data mining, information extraction, dataset curation, and evaluation signal that helps models improve faster with less compute. You’ll operate at petabyte/trillion\-record scale and partner directly with foundation model researchers to turn model failures into targeted data interventions. form the backbone of Apple’s search and foundation model platforms.
 As part of this team, you will own services, pipeline end\-to\-end—from initial design and architecture, through implementation, deployment, and long\-term operation. You’ll collaborate closely with Foundation Model research teams to optimize for cutting\-edge model quality improvements.
**Responsibilities**
* Design scalable data mining \+ information extraction systems over trillions of records to produce training corpora and high\-signal subsets.
* Build data quality loops \- automatic filtering, algorithmic selection, and apply strategies tied to model evaluation outcomes.
* Partner with Foundation model research to curate datasets for new architectures; ship production solutions powering real products.
* Design, build, and operate large\-scale distributed services that power Apple’s search and foundation model platforms.
* Build and evolve petabyte\-scale data pipelines and feature pipelines and serve models.
* Define and uphold SLAs for critical services \&amp; pipelines , driving reliability, performance, and capacity planning for billions of daily requests.
* Collaborate with cross\-functional partners (research, engineering, program management, privacy, security) to design solutions that meet user, business, and regulatory requirements.
* Improve the overall engineering quality bar through technical reviews, mentoring, documentation, and best practices in testing and observability.
**Minimum Qualifications**
* PhD or MS in ML/CS or related with 10\+ years of experience.
* Strong ML/DL development \+ evaluation experience; strong coding in Python/Scala/Java; large\-scale data processing.
* Proficiency in at least one modern programming language Python, Go, or Scala, with a focus on writing robust, maintainable code.
* Proficiency in at least one popular ML framework such as PyTorch, TensorFlow, JAX and an understanding of how ML/AI systems are deployed in production.
* Familiarity with cloud \- Kubernetes, GCP, AWS, Object stores.
* Excellent collaboration and communication skills; able to work independently and cross\-functionally with research, product, and operations teams.
**Preferred Qualifications**
* Experience with training\-data curation, synthetic data strategies, or evaluation dataset filtering / subset selection.
* MLOps from research prototype → production.
* Familiarity with large\-model serving/optimization stacks (TensorRT\-LLM, vLLM, Triton)
* Experience with data\-intensive systems (e.g., large\-scale data pipelines, feature generation, Dataflow, Spark, Airflow, Dataflow).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1">
      <c r="A91" t="inlineStr">
        <is>
          <t>li-4366050025</t>
        </is>
      </c>
      <c r="B91" t="inlineStr">
        <is>
          <t>AIML - Senior Applied Machine Learning Engineer, ML Lifecycle (MLPT)</t>
        </is>
      </c>
      <c r="C91" t="inlineStr">
        <is>
          <t>Apple</t>
        </is>
      </c>
      <c r="D91" t="inlineStr">
        <is>
          <t>linkedin</t>
        </is>
      </c>
      <c r="E91">
        <f>HYPERLINK("https://www.linkedin.com/jobs/view/4366050025", "https://www.linkedin.com/jobs/view/4366050025")</f>
        <v/>
      </c>
      <c r="F91">
        <f>HYPERLINK("https://jobs.apple.com/en-us/details/200629489?board_id=17682&amp;urlHash=XCmN", "https://jobs.apple.com/en-us/details/200629489?board_id=17682&amp;urlHash=XCmN")</f>
        <v/>
      </c>
      <c r="G91" t="inlineStr">
        <is>
          <t>Seattle, WA</t>
        </is>
      </c>
      <c r="H91" t="inlineStr"/>
      <c r="I91" t="inlineStr">
        <is>
          <t>**Summary**
 We’re building the foundation for intelligent, adaptive AI systems from multi\-agent platforms and RAG pipelines to advanced evaluation and reasoning frameworks. We’re looking for a Senior Applied ML Engineer to design, build, and scale machine learning systems that power next\-generation AI applications. In this role, you’ll work at the intersection of machine learning, software engineering, helping develop foundational components that enable AI systems to perceive, reason, and act in dynamic, real\-world contexts. You’ll be part of a high\-impact team shaping how we build, evaluate, and deploy intelligent systems at scale. This is a hands\-on individual contributor role ideal for an engineer who thrives in ambiguity, moves seamlessly between prototyping and production, and is excited to push the frontier of applied AI through practical, elegant engineering.
**Description**
 As a Senior Applied Machine Learning Engineer, you will:
* Design and implement core systems that enable scalable development and deployment of AI applications including agent platforms, RAG frameworks, and adaptive ML services.
* Build reusable infrastructure for model training, evaluation, and inference emphasizing observability, reproducibility, and modularity.
* Collaborate cross\-functionally with product, infra, and research teams to translate AI concepts into production\-ready systems.
* Develop intelligent tooling for data processing, simulation, and experimentation to accelerate applied AI innovation.
* Contribute to architectural direction for our broader AI ecosystem designing for flexibility across future projects.
* Prototype new capabilities using large language models, retrieval systems, and agentic workflows.
* Partner with infrastructure and product teams to operationalize new AI capabilities
 You’ll help bridge research and engineering bringing rigor, scalability, and real\-world validation to the way we build intelligent systems.
**Minimum Qualifications**
* 7\+ years of experience in ML engineering, software engineering or applied AI roles
* Solid understanding of machine learning fundamentals, especially around large models, embeddings, and retrieval systems
* Proven experience building production\-grade ML systems or intelligent data\-driven products
* Strong background in distributed systems, APIs, and scalable data/compute infrastructure
* Hands\-on experience with ML frameworks such as PyTorch, TensorFlow, or JAX
* Strong communication, documentation, and collaboration skills
**Preferred Qualifications**
* Experience with LLM\-based systems, RAG pipelines, or AI agent frameworks
* Familiarity with MLOps tools (e.g., MLflow, Weights \&amp; Biases, Ray, Airflow)
* Knowledge of evaluation methodologies for generative or agentic AI
* Background in simulation systems, reinforcement learning, or continuous learning
* Experience with data\-centric AI data curation, labeling, and feedback loops
* Proven ability to move between research\-driven prototyping and production\-scale engineering
* Enthusiasm for emerging areas like multimodal AI, reasoning agents, and AI safety evaluation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2">
      <c r="A92" t="inlineStr">
        <is>
          <t>li-4247960316</t>
        </is>
      </c>
      <c r="B92" t="inlineStr">
        <is>
          <t>Biomedical Machine Learning Engineer</t>
        </is>
      </c>
      <c r="C92" t="inlineStr">
        <is>
          <t>Analog Devices</t>
        </is>
      </c>
      <c r="D92" t="inlineStr">
        <is>
          <t>linkedin</t>
        </is>
      </c>
      <c r="E92">
        <f>HYPERLINK("https://www.linkedin.com/jobs/view/4247960316", "https://www.linkedin.com/jobs/view/4247960316")</f>
        <v/>
      </c>
      <c r="F92" t="inlineStr"/>
      <c r="G92" t="inlineStr">
        <is>
          <t>Wilmington, MA</t>
        </is>
      </c>
      <c r="H92" t="inlineStr"/>
      <c r="I92" t="inlineStr">
        <is>
          <t>**About Analog Devices**
 Analog Devices, Inc. (NASDAQ: ADI ) is a global semiconductor leader that bridges the physical and digital worlds to enable breakthroughs at the Intelligent Edge. ADI combines analog, digital, and software technologies into solutions that help drive advancements in digitized factories, mobility, and digital healthcare, combat climate change, and reliably connect humans and the world. With revenue of more than $9 billion in FY24 and approximately 24,000 people globally, ADI ensures today's innovators stay Ahead of What's Possible™. Learn more at www.analog.com and on LinkedIn and Twitter (X).
 Analog Devices (NASDAQ: ADI) designs and manufactures semiconductor products and solutions. We enable our customers to interpret the world around us by intelligently bridging the physical and digital worlds with unmatched technologies that sense, measure, and connect. Analog Devices is a world leader in the design, manufacture, and marketing of a broad portfolio of high\-performance analog, mixed\-signal, and digital signal processing (DSP) integrated circuits (ICs) used in virtually all types of electronic equipment. Since our inception in 1965, we have focused on solving the engineering challenges associated with signal processing in electronic equipment. Used by over 100,000 customers worldwide, our signal processing products play a fundamental role in converting, conditioning, and processing real\-world phenomena such as temperature, pressure, sound, light, speed, and motion into electrical signals to be used in a wide array of electronic devices. We focus on key strategic markets where our signal processing technology is often a critical differentiator in our customers' products, namely the industrial, automotive, communications, and consumer markets.
**Analog Devices, Inc.** 
 is looking for a
 **Biomedical Machine Learning Engineer** 
 to join our Medical Products Group in
 **Wilmington, Massachusetts.** 
 As a
 **Biomedical Machine Learning Engineer** 
 in ADI's medical products group, this position will be responsible for developing a machine/statistical learning algorithm and analyzing the clinical data to help build core competency of clinical insights for ADI’s medical products’ chronic disease management solutions. The successful candidate will work in a fast\-paced, global team of software/hardware/system engineers, user experience designers as well as third\-party stakeholders to deliver clinical\-grade end medical products.
**Essential Duties And Responsibilities**
* Develop a machine/statistical learning algorithm/model to solve problems in healthcare with clinical insights and interpretation.
* Analyze and manage a large volume of clinical data to expand understanding in chronic disease management.
* Define, and assess the opportunities to adapt advanced machine learning models to address customer needs in the regulated healthcare industry.
* Engage with multi\-disciplinary teams of software/hardware systems/firmware and business/marketing to continue to develop and improve the medical system.
* Support satisfying regulatory and quality requirements as a medical device manufacturing company.
**Minimum Qualifications**
* Bachelor’s degree in computer science or statistics with versatile machine learning experiences or equivalent.
* Strong background in data science and statistics with preferred research experience with statistical analysis on a large volume of data
* Solid understanding in medical physiology.
* Efficient communication and presentation skills for external stakeholders of medical professionals as well as the internal development team with various disciplines.
**Additional Desirable Skills, Knowledges And Abilities**
* Experience of software development in the cloud environment such as AWS, GCP Azure and etc.
* Experience in engaging with medical professionals.
* Working knowledges of various programming languages (Python, MATLAB, C/C\+\+, and etc.)
* Being able to work in a fast\-paced work environment.
*For positions requiring access to technical data, Analog Devices, Inc. may have to obtain export licensing approval from the U.S. Department of Commerce \- Bureau of Industry and Security and/or the U.S. Department of State \- Directorate of Defense Trade Controls. As such, applicants for this position – except US Citizens, US Permanent Residents, and protected individuals as defined by 8 U.S.C. 1324b(a)(3\) – may have to go through an export licensing review process.*
*Analog Devices is an equal opportunity employer. We foster a culture where everyone has an opportunity to succeed regardless of their race, color, religion, age, ancestry, national origin, social or ethnic origin, sex, sexual orientation, gender, gender identity, gender expression, marital status, pregnancy, parental status, disability, medical condition, genetic information, military or veteran status, union membership, and political affiliation, or any other legally protected group.*
*EEO is the Law: Notice of Applicant Rights Under the Law.*
 Job Req Type: Experienced
 Required Travel: Yes, 10% of the time
 Shift Type: 1st Shift/Days
 The expected wage range for a new hire into this position is $108,800 to $149,600\.
* Actual wage offered may vary depending on work location, experience, education, training, external market data, internal pay equity, or other bona fide factors.
* This position qualifies for a discretionary performance\-based bonus which is based on personal and company factors.
* This position includes medical, vision and dental coverage, 401k, paid vacation, holidays, and sick time, and other benefits.</t>
        </is>
      </c>
    </row>
    <row r="93">
      <c r="A93" t="inlineStr">
        <is>
          <t>li-4326356989</t>
        </is>
      </c>
      <c r="B93" t="inlineStr">
        <is>
          <t>Machine Learning Engineer</t>
        </is>
      </c>
      <c r="C93" t="inlineStr">
        <is>
          <t>Recruiting from Scratch</t>
        </is>
      </c>
      <c r="D93" t="inlineStr">
        <is>
          <t>linkedin</t>
        </is>
      </c>
      <c r="E93">
        <f>HYPERLINK("https://www.linkedin.com/jobs/view/4326356989", "https://www.linkedin.com/jobs/view/4326356989")</f>
        <v/>
      </c>
      <c r="F93" t="inlineStr"/>
      <c r="G93" t="inlineStr">
        <is>
          <t>San Francisco, CA</t>
        </is>
      </c>
      <c r="H93" t="inlineStr"/>
      <c r="I93" t="inlineStr">
        <is>
          <t>**About the Company** 
 We are training models that predict how well someone will perform on a job better than a human can. We use our platform to source, vet, and onboard expert contractors who help train AI models in a wide variety of domains. Our technology is so effective it’s used by all of the top 5 AI labs.
 We scaled from $1\-500M in revenue run rate in the last 17 months, making us the fastest growing company in the world. Our growth is accelerating. We averaged 11% week over week growth in July, 18% WoW growth in August, and 19% WoW growth in September. The team is small and we remain profitable because we can’t hire great people as quickly as revenue is growing."
**About the Role** 
 As a Machine Learning Engineer, you’ll be a key contributor to the backbone of our core product: models and systems that power talent discovery, evaluation, and trust. From fraud detection to candidate\-job matching to performance prediction, your work will directly impact how companies find talent and how people land their next opportunity.
 This role blends generalist backend engineering with applied machine learning and statistical modeling. You’ll work across the stack: designing and deploying models, building scalable infrastructure, and collaborating with product and operations teams to solve real\-world problems.
**What You’ll Work On** 
* Researching, training, and deploying ML models in production (e.g., fraud/cheating detection, candidate engagement and conversion prediction, search/recommendation).
* Building backend infrastructure and APIs to serve ML models at scale.
* Collaborating with product engineers, sourcing/operations, and other teams to align models with business impact.
* Running experiments, analyzing results, and iterating quickly to improve model and product performance.
* Wearing multiple hats, sometimes data scientist, sometimes backend engineer, always problem solver.
**What We’re Looking For** 
* Strong background in backend engineering (Python/Django or similar).
* Solid foundation in machine learning and statistics; experience applying ML in production.
* Comfort with ambiguity and a willingness to work across domains.
* Familiarity with LLMs, search/recommendation systems, or classification models is a bonus.
* Above all: a strong generalist engineer with the curiosity and rigor to tackle diverse problems.
**Why Join Us** 
* Work on high\-impact problems at the intersection of ML and talent discovery.
* Own projects end\-to\-end in a fast\-moving, high\-autonomy environment.
* Collaborate with a team of versatile engineers who are comfortable wearing many hats.
* Contribute to a mission of empowering a billion people to find their next job.
**Compensation** 
* Base cash compensation $130\-400k
* Generous equity grant
* $20K relocation bonus
* $10K housing bonus
* $1K/month food stipend
* Free Equinox membership
* Health insurance
**Who is Recruiting from Scratch:** 
 Recruiting from Scratch is a premier talent firm that focuses on placing the best product managers, software, and hardware talent at innovative companies. Our team is 100% remote and we work with teams across the United States to help them hire. We work with companies funded by the best investors including Sequoia Capital, Lightspeed Ventures, Tiger Global Management, A16Z, Accel, DFJ, and more.</t>
        </is>
      </c>
    </row>
    <row r="94">
      <c r="A94" t="inlineStr">
        <is>
          <t>li-4366041037</t>
        </is>
      </c>
      <c r="B94" t="inlineStr">
        <is>
          <t>AIML - Sr. Machine Learning Engineer - ML Platform Technologies (MLPT)</t>
        </is>
      </c>
      <c r="C94" t="inlineStr">
        <is>
          <t>Apple</t>
        </is>
      </c>
      <c r="D94" t="inlineStr">
        <is>
          <t>linkedin</t>
        </is>
      </c>
      <c r="E94">
        <f>HYPERLINK("https://www.linkedin.com/jobs/view/4366041037", "https://www.linkedin.com/jobs/view/4366041037")</f>
        <v/>
      </c>
      <c r="F94">
        <f>HYPERLINK("https://jobs.apple.com/en-us/details/200621001?board_id=17682&amp;urlHash=QRDP", "https://jobs.apple.com/en-us/details/200621001?board_id=17682&amp;urlHash=QRDP")</f>
        <v/>
      </c>
      <c r="G94" t="inlineStr">
        <is>
          <t>Seattle, WA</t>
        </is>
      </c>
      <c r="H94" t="inlineStr"/>
      <c r="I94" t="inlineStr">
        <is>
          <t>**Summary**
 Join us in enabling the next generation of intelligent experiences in Apple’s products and services with the latest advancements in Generative AI and Large Language Models!
 We are looking for a very experienced, machine learning engineer, who has also worked in ML infrastructure. Ideally, you should have experience with shipping intelligent features, end\-to\-end, and from idea to production. You should also have experience in building ML infrastructure to enable others to iterate faster and expertise in certain ML domains (preferably in Gen AI and LLM). You will help find novel solutions for our ML problems and collaborate with all ML teams at Apple to optimize our platform.
 Are you ready to impact billions of our users?
**Description**
 You'll be part of Apple’s internal Machine Learning Platform group that enables ML teams to iterate their projects faster, from: data engineering, labeling, training, online and offline evaluation, experimentation and more.
 Bring your expertise to help us define and build the next set of features (given the new challenges in the latest advancement of generative AI and large language models). You will also partner closely with our customer and other internal partner ML teams cross the company to help further adopt and apply our platform, gain feedback and iterate our products (services, SDK and web UI) to be more user friendly and scalable.
**Minimum Qualifications**
* A minimum of 3 years as tech lead
* 8 years of proven experience in machine learning related software engineering, such as: product, infrastructure, frameworks or tools
* Strong expertise in machine learning domains, such as: CV, NLP, recommender systems, Gen AI or LLMs (preferred)
* Proficient in ML training and deployment frameworks, like: Tensorflow, PyTorch, Faster Transformer, TensorRT, vLLM
* Proficient in cloud computing and data processing infrastructure and tools: Kubernetes, Ray, PySpark, SQL
* Ability to clearly and concisely communicate technical and architectural problems, while working with partners to iteratively find solutions
* Bachelors in Computer Science, related field or equivalent experience
**Preferred Qualifications**
* Advance degree
* Strong expertise in machine learning domains, such as: CV, NLP, recommender systems, Gen AI or LLMs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5">
      <c r="A95" t="inlineStr">
        <is>
          <t>li-4366042021</t>
        </is>
      </c>
      <c r="B95" t="inlineStr">
        <is>
          <t>AIML - ML Engineer, Safety Human Evaluation</t>
        </is>
      </c>
      <c r="C95" t="inlineStr">
        <is>
          <t>Apple</t>
        </is>
      </c>
      <c r="D95" t="inlineStr">
        <is>
          <t>linkedin</t>
        </is>
      </c>
      <c r="E95">
        <f>HYPERLINK("https://www.linkedin.com/jobs/view/4366042021", "https://www.linkedin.com/jobs/view/4366042021")</f>
        <v/>
      </c>
      <c r="F95" t="inlineStr"/>
      <c r="G95" t="inlineStr">
        <is>
          <t>Seattle, WA</t>
        </is>
      </c>
      <c r="H95" t="inlineStr"/>
      <c r="I95" t="inlineStr">
        <is>
          <t>**Summary**
 Join Us in Shaping the Future of Generative AI at Apple!
 Would you like to play a part in building the next generation of generative AI applications at Apple? We are looking for Machine Learning Engineers to work on ambitious projects that will impact the future of Apple, our products, and the broader world. This role is directed at assessing, quantifying, and improving the safety and inclusivity of Apple’s Generative\-AI powered features and products.
 In this role you’ll have the opportunity to tackle innovative problems in machine learning, particularly focused on large language models for text generation, diffusion models for image generation, and mixed model systems for multimodal applications. As a member of the Apple HCMI/Responsible AI group, you will be working on Apple's generative models that will power a wide array of new features, as well as longer term research in the generative AI space. Our team is currently interested in large generative models for vision and language, with particular interest on Responsible AI, safety, fairness, robustness, explainability, and uncertainty in models.
**Description**
 Apple Intelligence is powered by thoughtful data sampling, creation, and curation; high quality, detailed annotations; and application of these data to evaluate and mitigate safety concerns of new generative AI features. This role heavily draws on applied data science, scientific investigation and interpretation, cross\-functional communication and collaboration, and metrics reporting and presentation to stakeholders \&amp; decision\-makers. Responsibilities include:
* Develop metrics for evaluation of safety and fairness risks inherent to generative models and Gen\-AI features
* Design datasets, identify data needs, and work on creative solutions, scaling and expanding data coverage through human and synthetic generation methods
* Develop sampling strategies and combine human annotation with auto\-grading to deliver high\-quality, high\-confidence insights at a fast pace and large scale
* Use and implement data pipelines, and collaborate cross\-functionally to execute end\-to\-end safety evaluations
* Distill project findings into recommendations for product engineering teams and safety policy development
* Develop ML\-based enhancements to red teaming, model evaluation, and other processes to improve the quality of Apple Intelligence’s user\-facing products
* Work with highly\-sensitive content with exposure to offensive and controversial content
**Minimum Qualifications**
* MS or PhD in Computer Science, Linguistics, Cognitive Science, HCI, Psychology, Mathematics, Physics, or a similar science or technology field with a strong basis in scientific data collection and analysis \+ at least 4 years of relevant work experience, or BA/BS with 8\+ years of relevant work experience
* Experience gathering and analyzing language data, image data, and/or multi\-modal data, including LLM\-generated data
* Strong experience designing human annotation projects, writing guidelines, and dealing with highly multi\-labeled, nuanced, and often conflicting data
* Proficiency in data science, machine learning, analytics, and programming with Python \&amp; Pandas; strong experience with one or more plotting \&amp; visualization libraries
* Ability to collaborate with team members to prioritize competing projects, set and maintain a schedule for milestones and project completions, and communicate with all levels of team members as well as external stakeholders
* Strong skills for rigorous model quality metrics development; interpretation of experiments and evaluations; and presentation to executives
**Preferred Qualifications**
* Experience working in the Responsible AI space
* Curiosity about fairness and bias in generative AI systems, and a strong desire to help make the technology more equitable
* Prior scientific research and publication experience
* Experience working with generative models for evaluation and/or product development, and up\-to\-date knowledge of common challenges and failures
* Proven track record of contributing to diverse teams in a collaborative environment
* A passion for building outstanding and innovative products. This position involves a wide variety of interdisciplinary skills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6">
      <c r="A96" t="inlineStr">
        <is>
          <t>li-4366084041</t>
        </is>
      </c>
      <c r="B96" t="inlineStr">
        <is>
          <t>Machine Learning Engineer</t>
        </is>
      </c>
      <c r="C96" t="inlineStr">
        <is>
          <t>ChatGPT Jobs</t>
        </is>
      </c>
      <c r="D96" t="inlineStr">
        <is>
          <t>linkedin</t>
        </is>
      </c>
      <c r="E96">
        <f>HYPERLINK("https://www.linkedin.com/jobs/view/4366084041", "https://www.linkedin.com/jobs/view/4366084041")</f>
        <v/>
      </c>
      <c r="F96">
        <f>HYPERLINK("https://chatgpt-jobs.com/job/machine-learning-engineer-northwestern-mutual-life-insurance-company-3184&amp;urlHash=M9vM", "https://chatgpt-jobs.com/job/machine-learning-engineer-northwestern-mutual-life-insurance-company-3184&amp;urlHash=M9vM")</f>
        <v/>
      </c>
      <c r="G96" t="inlineStr">
        <is>
          <t>Milwaukee, WI</t>
        </is>
      </c>
      <c r="H96" t="inlineStr"/>
      <c r="I96" t="inlineStr">
        <is>
          <t>**Job Description**
 Machine Learning Engineer
 Northwestern Mutual Life Insurance Company
 Milwaukee, WI
* On\-site, Remote
 $108\.85K \- $202\.15K/yr
 Full\-time
 Posted 5 hours ago
**Job Description**
 The Artificial Intelligence Engineer is responsible for advancing the state of security at Northwestern Mutual by leveraging Large Language Models, modern frameworks, and industry best practices. The candidate will be part of a small team focused on rapidly iterating on new ideas to demonstrate the value of AI within NM's security space. Candidates should be experienced in Python and modern DevOps practices to deliver metrics\-driven results.
**In This Role, The Candidate Can Expect To**
* Engineer machine learning solutions with a focus on automation using Python, AWS, and GitLab to reduce manual and repetitive tasks.
* Implement and maintain pipelines and software dependencies for model delivery.
* Develop monitoring and performance telemetry to ensure expected capabilities.
* Monitor, assess, and recommend tactical and strategic initiatives based on new and emerging threats posing risks to our environments.
* Stay apprised of current and emerging machine learning frameworks, models, and MLOps best practices.
**The Ideal Candidate Is**
* Passionate about DevOps and machine learning.
* A standout colleague who enjoys collaborating with cross\-functional teams.
* A great communicator (written and verbal) with the ability to articulate complex topics clearly and concisely.
* Someone who employs a flexible and constructive approach when solving problems.
* Continuously looking for opportunities to improve processes and capabilities.
* Proficient with development and scripting languages, with Python preferred.
* Experienced working with application and engineering teams.
* A self\-directed individual contributor.
 Bring your best! Here's what this role needs:
* Bachelor's degree, Associate's degree, or equivalent experience with an emphasis in Cybersecurity, Computer Science, Computer Engineering, Software Engineering, MIS, or a related field.
* 2\-4\+ years of experience in software engineering or DevOps engineering.
* Knowledge of DevOps and automation practices and architectures.
* Understanding of Object\-Oriented Programming (OOP) and familiarity with common Python and machine learning libraries.
* Experience with AWS technologies (Lambda, Step Functions, S3, Redshift, DynamoDB, etc.).
* Experience with CI/CD pipelines to automate application and infrastructure code deployments.
**Skills You Have**
* Cloud Security (NM) \- Creates a set of policies, technologies, applications, and controls across the cloud ecosystem to protect virtualized IP, data, and the cloud computing infrastructure.
* Analytical Thinking: Organizes and compares various aspects of a situation to comprehend and identify key or underlying complex issues through the use of quantitative data and analysis; leverages strong business acumen, problem\-solving, and interpersonal skills to think critically about situations from multiple perspectives and consistently seeks ways to improve processes.
* Software Development (NM) \- Creates and maintains applications, frameworks, and other software components via designing, programming, testing, and bug fixing; writes and maintains source code for all processes in the software development life cycle and facilitates the automation and orchestration of disparate systems. Leverage TDD (Test Driven Development) and BDD (Behavior Driven Development) methodologies to ensure unit, integration, and end\-to\-end testing with appropriate level of coverage is met.
* Scripting \&amp; Integration (NM) \- Applies scripting knowledge to automate and integrate different transactional systems to carry out a task or automation; uses systems that facilitate or automate one or more business application solutions, including records maintenance, inventory management, process analytics, and general admin.
* Engineering Expertise \&amp; Practices (NM) \- Applies specialized experiences in different facets of engineering, including data, applications, cyber, systems, operations, product, security, and testing, along with technical aptitude to adapt new expertise as they become relevant through an understanding of underlying engineering principles.
**Compensation Range**
 Pay Range \- Start: $94,640\.00
 Pay Range \- End: $175,760\.00
**Geographic Specific Pay Structure**
 Structure 110: $104,090\.00 USD \- $193,310\.00 USD
 Structure 115: $108,850\.00 USD \- $202,150\.00 USD</t>
        </is>
      </c>
    </row>
    <row r="97">
      <c r="A97" t="inlineStr">
        <is>
          <t>li-4330274819</t>
        </is>
      </c>
      <c r="B97" t="inlineStr">
        <is>
          <t>Senior Machine Learning Engineer</t>
        </is>
      </c>
      <c r="C97" t="inlineStr">
        <is>
          <t>Kerry Search Partners</t>
        </is>
      </c>
      <c r="D97" t="inlineStr">
        <is>
          <t>linkedin</t>
        </is>
      </c>
      <c r="E97">
        <f>HYPERLINK("https://www.linkedin.com/jobs/view/4330274819", "https://www.linkedin.com/jobs/view/4330274819")</f>
        <v/>
      </c>
      <c r="F97" t="inlineStr"/>
      <c r="G97" t="inlineStr"/>
      <c r="H97" t="inlineStr"/>
      <c r="I97" t="inlineStr">
        <is>
          <t>**ML Ops Engineer**
**Job Overview** 
 We are a global leader in the semiconductor manufacturing ecosystem, driving the technology behind virtually every electronic device in the world. Our innovations power the production of laptops, smartphones, VR devices, smart cars, and more. At the forefront of technological advancement, we invest heavily in research and development, fostering an environment where innovation thrives. Our teams of engineers, data scientists, and problem\-solvers tackle the toughest challenges, ensuring no two days are the same.
**Group/Division** 
 The Information Technology team plays a critical role in supporting the organization’s global operations. IT connects people, processes, and technology to enhance business growth and employee productivity. By focusing on user empowerment and process excellence, IT helps unlock the full potential of advanced technology to drive operational success.
**The Opportunity** 
 We are building a
 **core Generative AI platform** 
 to enable internal engineering, IT, and business teams to rapidly prototype and deploy GenAI applications. This role is
 **not application development** 
 —it is about designing, building, and operating the
 **foundational AI platform** 
 that others will consume.
 The platform will support
 **both on\-premises GPU infrastructure and cloud environments** 
 , with Kubernetes at its core. You’ll work on everything from GPU provisioning and LLM deployment to vector databases, security, and reliability—owning the platform end to end.
**What You’ll Be Working On** 
* Build and operate a
 **GenAI platform** 
 that supports internal products such as AI assistants and engineering tooling
* Design and maintain
 **Kubernetes\-based AI infrastructure** 
 running on
 **on\-prem GPU clusters** 
 and cloud environments
* Configure and manage
 **LLMs** 
 (e.g., open\-source models such as LLaMA variants) for enterprise use
* Deploy and operate
 **vector databases** 
 to support retrieval\-augmented generation (RAG) workflows
* Ensure
 **high availability, scalability, and efficient GPU utilization** 
 across expensive compute environments
* Partner closely with ML engineers and application teams who will
 **build on top of the platform you create**
* Implement
 **secure, compliant, and observable** 
 infrastructure suitable for enterprise adoption
* Leverage
 **Linux and open\-source tooling** 
 to optimize performance in high\-performance computing (HPC) environments
**Key Technical Requirements** 
* Strong
 **Linux systems background** 
 (on\-prem experience is essential)
* Deep experience with
 **Kubernetes** 
 as a core platform (deploying, operating, troubleshooting)
* Hands\-on experience building or operating
 **AI/ML platforms** 
 (not just consuming them)
* Experience configuring and managing
 **GPU infrastructure** 
 for AI/ML workloads
* Familiarity with
 **LLMs, GenAI infrastructure, and vector databases**
* Exposure to
 **HPC environments** 
 and high\-throughput workloads
* Experience operating platforms across
 **on\-prem, cloud, or hybrid** 
 environments
**Nice to Have** 
* Experience deploying open\-source GenAI tooling
* Understanding of cost optimization and scheduling for GPU\-heavy workloads
* Experience supporting internal platform consumers at scale
**Why This Role** 
* Build a
 **foundational GenAI platform from the ground up**
* Work on
 **real, production GenAI systems** 
 , not demos or experiments
* High ownership, high impact, and deep technical challenges
* Exposure to both
 **on\-prem GPU infrastructure and cloud GenAI workloads**</t>
        </is>
      </c>
    </row>
    <row r="98">
      <c r="A98" t="inlineStr">
        <is>
          <t>li-4366045073</t>
        </is>
      </c>
      <c r="B98" t="inlineStr">
        <is>
          <t>Senior/Staff Applied ML Engineer – AI/ML Evaluation &amp; Simulation</t>
        </is>
      </c>
      <c r="C98" t="inlineStr">
        <is>
          <t>Apple</t>
        </is>
      </c>
      <c r="D98" t="inlineStr">
        <is>
          <t>linkedin</t>
        </is>
      </c>
      <c r="E98">
        <f>HYPERLINK("https://www.linkedin.com/jobs/view/4366045073", "https://www.linkedin.com/jobs/view/4366045073")</f>
        <v/>
      </c>
      <c r="F98" t="inlineStr"/>
      <c r="G98" t="inlineStr">
        <is>
          <t>San Francisco, CA</t>
        </is>
      </c>
      <c r="H98" t="inlineStr"/>
      <c r="I98" t="inlineStr">
        <is>
          <t>**Summary**
 We're building the next generation of AI evaluation systems — and we're looking for a
 hands\-on engineer who can bridge ML, software, and product to make AI systems more
 measurable, testable, and trustworthy.
 We’re part of the AI/ML Evaluation organization, seeking a Senior or Staff\-level Applied
 ML Engineer with strong software engineering skills and a solid understanding of
 machine learning. In this hands\-on role, you’ll help design and build intelligent systems
 that simulate complex interactions (including agentic workflows powered by LLMs),
 develop tools for extracting structured insights, and create robust evaluation datasets.
 You’ll also contribute to building scalable platforms for simulation and behavior analysis.
 This role sits at the intersection of ML, engineering, and product — ideal for someone
 passionate about bringing clarity and rigor to real\-world AI performance.
**Description**
 We’re looking for a pragmatic engineer who thrives at the intersection of machine
 learning and software development — capable of building robust, scalable systems that
 support evaluation and development of advanced AI capabilities, including large
 language models and agentic behaviors.
 A successful candidate is comfortable navigating ML, systems, and product domains.
 You bring strong software engineering fundamentals, experience building and
 maintaining end\-to\-end pipelines, and a practical understanding of how to evaluate AI
 systems in real\-world contexts. You’re curious about how LLMs behave in interactive or
 agentic settings, thoughtful about evaluation design, and eager to build tools that
 improve visibility and trust in AI. Above all, you enjoy collaborating across disciplines
 and bringing structure to complex, evolving problems.
**Responsibilities**
* Design and implement systems that simulate user\-like interactions and workflows,
* Build tools and infrastructure to generate, manage, and analyze evaluation data
* Develop scalable pipelines to extract structured insights from simulation outputs
* Collaborate with scientists and engineers to instrument and assess model
* performance
* Engineer reusable, testable components for experimentation and evaluation workflows
* Help define and operationalize success metrics aligned with product and research
* goals
**Minimum Qualifications**
* 8\+ years of experience in software engineering, ML engineering, or applied ML roles
* Proficiency in Python or another modern programming language (e.g., Java, Go, Swift)
* Experience building and maintaining production\-grade systems
* Solid understanding of machine learning concepts, especially LLMs and their
* applications
* Excellent communication and collaboration skills with cross\-functional partners
**Preferred Qualifications**
* Experience working on AI evaluation systems, LLM\-based simulations, or agentic AI
* frameworks
* Background in building tools for data analysis, model evaluation, or synthetic data
* generation
* Familiarity with metrics instrumentation and observability in ML systems
* Experience designing pipelines for AI/ML workflows
* Exposure to applied research, generative models, or real\-time systems
* Understanding of how model quality connects to product outcomes and user
* experience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9">
      <c r="A99" t="inlineStr">
        <is>
          <t>li-4366060951</t>
        </is>
      </c>
      <c r="B99" t="inlineStr">
        <is>
          <t>Principal AI Engineer</t>
        </is>
      </c>
      <c r="C99" t="inlineStr">
        <is>
          <t>Brooksource</t>
        </is>
      </c>
      <c r="D99" t="inlineStr">
        <is>
          <t>linkedin</t>
        </is>
      </c>
      <c r="E99">
        <f>HYPERLINK("https://www.linkedin.com/jobs/view/4366060951", "https://www.linkedin.com/jobs/view/4366060951")</f>
        <v/>
      </c>
      <c r="F99" t="inlineStr"/>
      <c r="G99" t="inlineStr"/>
      <c r="H99" t="inlineStr"/>
      <c r="I99" t="inlineStr">
        <is>
          <t>**Our Fortune 1000 Credit Services clients is looking for a Principal AI Engineer to join their team.** 
**Title:** 
 Principal AI Engineer, Agentic Engineering
**Location:** 
 Hybrid (in\-office Tues–Thurs)
**Sponsorship:** 
 This position does not offer immigration sponsorship (current or future), including F\-1 STEM OPT extension support.
**What You’ll Do** 
* Define the strategic roadmap for GitHub Copilot as a first\-class internal product.
* Architect systems for Copilot’s invocation, context retrieval, and action execution using custom tools.
* Design and manage the Model Context Protocol (MCP) toolset to integrate Copilot with platforms like ServiceNow, Atlassian, DataDog, and GCP.
* Engineer scalable context strategies, shaping Copilot’s persona and behavior through centralized, version\-controlled instructions.
* Design, test, and refine prompts and contextual frameworks to maximize agent accuracy and reliability.
* Establish KPIs, observability stacks, and security safeguards, including human\-in\-the\-loop frameworks and RBAC permissions.
* Deliver cloud\-native, microservice\-based solutions aligned with secure SDLC practices.
* Mentor engineers, build strong technical teams, and foster collaboration across product, business, and sales partners.
* Troubleshoot production issues under pressure, ensuring compliance with QE, DevSec, and FinOps KPIs.
* Partner with architects and SRE leads on technical direction, documentation, and architecture decisions.
* Present complex technical concepts clearly to diverse stakeholders.
**What You’ll Need** 
* Bachelor’s degree in Computer Science or equivalent experience.
* 7\+ years in software engineering with Java, SpringBoot, TypeScript/JavaScript, HTML, CSS.
* 7\+ years designing cloud\-native solutions and microservices (Java, SpringBoot, GCP SDKs, Kubernetes).
* 3\+ years of GitHub Copilot expertise.
* 3–5\+ years architecting intelligent agent systems integrated with LLMs.
* Hands\-on experience with GitHub Actions, Jenkins CI/CD, Helm Charts, Terraform, and infrastructure\-as\-code.
* Strong troubleshooting, communication, and leadership skills.
**What Could Set You Apart** 
* Mastery of the GitHub ecosystem (Actions, Apps, APIs, webhooks).
* Senior\-level proficiency in Python, Go, or Node.js..
* Deep expertise in RESTful API design, MCP specification, and SaaS integrations.
* Advanced cloud\-native knowledge (GCP, Kubernetes, IAM).
* Experience with event\-driven architectures, RAG systems, and pragmatic agent orchestration.
* Applied LLM expertise with tool\-use and function\-calling paradigms.
 This role is ideal for a visionary engineer who thrives at the intersection of AI, cloud\-native systems, and agentic orchestration.</t>
        </is>
      </c>
    </row>
    <row r="100">
      <c r="A100" t="inlineStr">
        <is>
          <t>li-4366061841</t>
        </is>
      </c>
      <c r="B100" t="inlineStr">
        <is>
          <t>Senior AI Engineer</t>
        </is>
      </c>
      <c r="C100" t="inlineStr">
        <is>
          <t>ChatGPT Jobs</t>
        </is>
      </c>
      <c r="D100" t="inlineStr">
        <is>
          <t>linkedin</t>
        </is>
      </c>
      <c r="E100">
        <f>HYPERLINK("https://www.linkedin.com/jobs/view/4366061841", "https://www.linkedin.com/jobs/view/4366061841")</f>
        <v/>
      </c>
      <c r="F100">
        <f>HYPERLINK("https://chatgpt-jobs.com/job/senior-ai-engineer-clearbridge-investments-3208&amp;urlHash=0pYN", "https://chatgpt-jobs.com/job/senior-ai-engineer-clearbridge-investments-3208&amp;urlHash=0pYN")</f>
        <v/>
      </c>
      <c r="G100" t="inlineStr">
        <is>
          <t>New York, NY</t>
        </is>
      </c>
      <c r="H100" t="inlineStr"/>
      <c r="I100" t="inlineStr">
        <is>
          <t>**Job Description**
 Senior AI Engineer
**Company:** 
 ClearBridge Investments
**Location:** 
 New York, NY (On\-site, Remote)
**Salary:** 
 $114\.30K \- $157K/yr (Estimated pay)
**Job Type:** 
 Full\-time
**Benefits:** 
 Medical, Retirement, PTO
**Posted:** 
 12 hours ago
**Job Description**
**Senior AI Engineer, Business Solutions**
 ClearBridge Investments is seeking a Senior AI Engineer to join our New York City\-based Technology team to design, build, and productionize AI systems that materially improve investment and enterprise workflows. This role is hands\-on. You will prototype quickly, harden what works, and decide when to build with APIs, extend our enterprise AI platforms, or buy from vendors. You will integrate ChatGPT Enterprise, Perplexity Enterprise, Microsoft Copilot, and Wand.ai with our Microsoft\-centric stack, enforce governance, and deliver measurable outcomes for research, portfolio operations, client reporting, distribution, and support teams. Location is New York City hybrid.
**Key Senior Business Engineer Responsibilities**
* Ship AI features and internal applications from discovery to POC to production with clear success criteria and telemetry.
* Architect LLM solutions including retrieval augmented generation, tool use, agentic flows, and structured output pipelines.
* Integrate and govern ChatGPT Enterprise, Perplexity Enterprise, and Wand.ai. Implement SSO and SCIM, usage analytics, cost controls, and data scoping.
* Own build versus buy. Run vendor pilots, compare to internal builds, quantify TCO, lock in risk, compliance posture, and speed to value. Present recommendations and rollout plans.
* Implement LLMOps. Version prompts and configs, stand up evaluation datasets and harnesses, run offline and online tests, monitor latency, quality, safety, and cost, and maintain rollback strategies.
* Engineer reliable retrieval over access\-controlled content. Design chunking, embeddings, reranking, and output validation aligned to entitlements, PII, retention, and audit needs.
* Convert low code prototypes into maintainable services where appropriate. Keep core logic in tested code with APIs, workers, and queues.
* Partner with stakeholders to frame problems, map processes, and quantify ROI. Produce concise design docs, run demos, and publish runbooks.
* Collaborate with security, risk, and compliance to define guardrails, incident playbooks, and monitoring for prompt injection and data leakage.
* Coordinate with developers, QA, and UAT to move solutions through environments with CI and automated checks.
**Qualifications**
 Required
* 7 to 10 years in software or ML engineering shipping production systems, including 2 or more years building with LLMs in production.
* Strong coding in Python or TypeScript. Experience with APIs, workers, queues, and event driven services.
* Proven integrations with enterprise AI platforms. Expertise in SSO, SCIM, tenant isolation, data scoping, usage analytics, and cost management.
* LLM solution patterns. Retrieval design, chunking, embeddings, reranking, tool calling, structured output validation, and evaluation.
* Azure fluency. Azure OpenAI, Copilot Studio, App Services or AKS, identity and access, Key Vault, storage, networking basics.
* Data skills. SQL and pragmatic data engineering for operational systems.
* Excellent communication. Ability to run discovery, write sharp specs, and present tradeoffs to senior stakeholders.
**Preferred**
* Asset management or broader financial services experience.
* Microsoft ecosystem experience. Power Platform, Copilot Studio, Graph, Teams, SharePoint.
* Vector databases such as Azure AI Search, Redis, Pinecone, or pgvector.
* Orchestration tools such as Semantic Kernel, LangChain, guidance libraries, or simple custom state machines.
* Frontend for internal tools. React or Power Apps.
* Familiarity with process mining and business process optimization.
 Familiar With the Following Tools
* Microsoft Power Platform including Power Apps, Power Automate, Dataverse, and Power BI.
* OpenAI ecosystem including ChatGPT Enterprise, Azure OpenAI, GPT APIs, and Custom GPTs.
* Perplexity Enterprise and Wand.ai for research and workflow acceleration.
* Copilot Studio, AI Builder, Azure Bot Framework, REST APIs.
* Microsoft 365 stack including Teams, SharePoint, Azure App Services, Azure identity and access.
* Jira Cloud and the Atlassian suite for workflow automation, dashboards, and ticketing.
* Optional tools for delivery velocity. Figma, Whimsical, Miro for UI mockups, Postman, SQL, and Python for testing and data operations.
**Total Rewards**
 Our employees have access to a competitive and valuable set of Total Rewards. Our Total Rewards include:
* Health, wellness and risk benefits to protect employees and their families
* Retirement savings, stock purchase and other incentive programs to help employees plan for the future
* Holiday, paid\-time\-off and other employee programs that support work\-life balance
* Support for pursuing certifications, external education and degree programs
* Learning, development and career advancement opportunities
* Ways to get involved in, and give back to, our communities, including paid time off for volunteering and charitable donation matching
 The salary range for this position is targeted for $170,000 to $230,000 plus discretionary bonus. Base pay offered may vary depending on job related knowledge, skills, and experience.
 ClearBridge is an Equal Opportunity Employer.</t>
        </is>
      </c>
    </row>
    <row r="101">
      <c r="A101" t="inlineStr">
        <is>
          <t>li-4366056221</t>
        </is>
      </c>
      <c r="B101" t="inlineStr">
        <is>
          <t>AI / ML engineer  - Remote</t>
        </is>
      </c>
      <c r="C101" t="inlineStr">
        <is>
          <t>Jobs via Dice</t>
        </is>
      </c>
      <c r="D101" t="inlineStr">
        <is>
          <t>linkedin</t>
        </is>
      </c>
      <c r="E101">
        <f>HYPERLINK("https://www.linkedin.com/jobs/view/4366056221", "https://www.linkedin.com/jobs/view/4366056221")</f>
        <v/>
      </c>
      <c r="F101" t="inlineStr"/>
      <c r="G101" t="inlineStr"/>
      <c r="H101" t="inlineStr"/>
      <c r="I101" t="inlineStr">
        <is>
          <t>Dice is the leading career destination for tech experts at every stage of their careers. Our client, Zuven Technologies Inc, is seeking the following. Apply via Dice today!
 Hello,
 Position: AI / ML engineer
 Contract \- W2
 REMOTE
* Python
* Lang chain
* Lang graph
* MCP
* A2A experience
* Complex production work experience
* Highlight on what was done using lang chain and lang graph \- resume summary highlight Project \- in detail experience of lang chain and lang graph
 Thanks \&amp; Regards,
 Navya Maddineni
 Senior Technical Recruiter
 Mobile:
 Email:</t>
        </is>
      </c>
    </row>
    <row r="102">
      <c r="A102" t="inlineStr">
        <is>
          <t>li-4366079612</t>
        </is>
      </c>
      <c r="B102" t="inlineStr">
        <is>
          <t>Principal Machine Learning Engineer</t>
        </is>
      </c>
      <c r="C102" t="inlineStr">
        <is>
          <t>ChatGPT Jobs</t>
        </is>
      </c>
      <c r="D102" t="inlineStr">
        <is>
          <t>linkedin</t>
        </is>
      </c>
      <c r="E102">
        <f>HYPERLINK("https://www.linkedin.com/jobs/view/4366079612", "https://www.linkedin.com/jobs/view/4366079612")</f>
        <v/>
      </c>
      <c r="F102" t="inlineStr"/>
      <c r="G102" t="inlineStr">
        <is>
          <t>Tucson, AZ</t>
        </is>
      </c>
      <c r="H102" t="inlineStr"/>
      <c r="I102" t="inlineStr">
        <is>
          <t>**Job Description**
 Principal Machine Learning Engineer
 SAIC, Tucson, AZ
* Remote
 Full\-time
**Description**
 SAIC is seeking a highly motivated Principal Machine Learning Engineer to join our team of professionals providing technical and program support for the V\-22 aircraft.
 The Principal Machine Learning Engineer understands complex problems, develops solutions, and makes predictions based on collection and analysis which are then interpreted and communicated to assist with making informed organizational decisions. This individual will use statistical techniques and machine learning algorithms to identify patterns within large amounts of structured and unstructured data, build predictive models, and develop data\-driven solutions. The ideal candidate will utilize their data expertise and apply leadership and analytical skills to the mission, contributing to its success.
**Job Duties**
* Design and implement models and algorithms to support program objectives in detecting maintenance and readiness trends and issues.
* Analyze and integrate data from various sensor modalities and enterprise data sources in logistics, maintenance, and supply
* Develop scalable data pipelines and orchestrate workflows using
* Write efficient code, typically in Python, and shell scripts for deployment and automation tasks.
* Work in a Linux development environment, emphasizing scripting, debugging, and system\-level operations.
* Collaborate with cross\-functional teams including ML engineers, software developers, and systems integrators.
**Qualifications**
**REQUIREMENTS:**
* Bachelors in in Computer Science, Data Science, Engineering, Mathematics, Statistics, or a related STEM field and nine (9\) years or more of experience in of AI/ML experience in defense or intelligence environments; Master's degree and seven (7\) years or more of experience.
* U.S. Citizenship required.
* No dual citizenship.
* Must have an Active Secret clearance to start
* Six (6\) or more years of experience and a strong background in Machine Learning and Computer Vision, including classical techniques and deep learning\-based approaches.
* Practical experience working with defense programs and an understanding of program requirements and milestones
* Hands\-on experience with computer vision libraries such as OpenCV, PyTorch, TensorFlow, etc.
* Comfortable operating in Linux environments for development and deployment tasks.
**Desired Skills**
* Proficiency in containerization and orchestration tools (e.g., Docker, Kubernetes) for scalable deployment.
* Understanding ML Ops practices including CI/CD pipelines, model versioning, and automated retraining.
* Experience with real\-time systems and latency\-sensitive applications
* Prior work with defense, maritime, or aerospace systems
 Target salary range: $160,001 \- $200,000</t>
        </is>
      </c>
    </row>
    <row r="103">
      <c r="A103" t="inlineStr">
        <is>
          <t>li-4366071644</t>
        </is>
      </c>
      <c r="B103" t="inlineStr">
        <is>
          <t>Senior Machine Learning Engineer, Ads Research</t>
        </is>
      </c>
      <c r="C103" t="inlineStr">
        <is>
          <t>ChatGPT Jobs</t>
        </is>
      </c>
      <c r="D103" t="inlineStr">
        <is>
          <t>linkedin</t>
        </is>
      </c>
      <c r="E103">
        <f>HYPERLINK("https://www.linkedin.com/jobs/view/4366071644", "https://www.linkedin.com/jobs/view/4366071644")</f>
        <v/>
      </c>
      <c r="F103">
        <f>HYPERLINK("https://chatgpt-jobs.com/job/senior-machine-learning-engineer-ads-research-disney-entertainment-and-espn-product-technology-3176&amp;urlHash=Kq4g", "https://chatgpt-jobs.com/job/senior-machine-learning-engineer-ads-research-disney-entertainment-and-espn-product-technology-3176&amp;urlHash=Kq4g")</f>
        <v/>
      </c>
      <c r="G103" t="inlineStr">
        <is>
          <t>Santa Monica, CA</t>
        </is>
      </c>
      <c r="H103" t="inlineStr"/>
      <c r="I103" t="inlineStr">
        <is>
          <t>**Job Description**
 Senior Machine Learning Engineer, Ads Research
 Disney Entertainment and ESPN Product \&amp; Technology
 Seattle, WA
* Remote
 $148\.70K \- $199\.40K/yr
 Full\-time
 Posted 11 hours ago
**Job Description**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Ad Platforms organization within Disney Entertainment and ESPN Technology is fully responsible for building, enhancing and maintaining the high\-performance, distributed, microservice\-based Advertising Platform across all of Disney online properties, including Hulu and ESPN\+. We build and maintain proprietary technology, ranging from ad serving and ad delivery, campaign management, reporting as well as all the integrations internal and external that come with evolving and maintaining a best\-in\-class video advertising business.
 Our mission is to advance AI and machine learning capabilities across Ad Platform by delivering scalable, high impact AI/ML and data science solutions that enhance Ad decisioning, forecasting, experimentation and Ad experience. We are seeking a Lead Machine Learning Engineer to join this innovative team. This role offers a unique leadership opportunity for an experienced ML engineer who thrives at the intersection of technical excellence, strategic impact, and cross\-functional collaboration.
**What You’ll Do**
* Drive innovation and apply state of the art AI and machine learning across advertising domains, including inventory forecasting, ad experience, ad pacing, pricing, targeting, and efficient ad delivery.
* Invent and iterate on novel solutions to complex advertising challenges with rapid prototyping and deployment cycles.
* Design, build, and scale robust ML systems that power core ad platform capabilities
* Champion engineering excellence through best practices in code quality, system design, and operational reliability.
* Mentor and support junior engineers, fostering a culture of continuous learning and technical growth.
**What To Bring**
* Bachelor's in computer science or equivalent experience
* Minimum 5 years of hands\-on experience developing and deploying large\-scale machine learning systems.
* Strong knowledge of AI/ML technologies, mathematics and statistics.
* Excellent communication, collaboration skills, and a strong teamwork ethic with both technical and non\-technical audiences
* Strong foundations in algorithms, data structures, and numerical optimization with experience in programming languages such as Python (primary), Java and SQL
* Familiarity with tools and frameworks such as TensorFlow, Pytorch, Hugging libraries etc
* Proven proficiency in deep learning methodologies, including recurrent and sequence\-based models.
* Hands\-on experience with transformer architectures (e.g., BERT, GPT, ViT) for natural language and vision tasks.
* Strong understanding of multimodal embedding techniques for integrating text, image, audio, and structured data.
* Experience with LLM models such as GPT models, Claude, Gemini, Llama, etc.
* Strong grasp of LLM evaluation methodologies, experience with RAG architectures.
* A proven track record of thriving in a fast\-paced, data\-driven, and collaborative work environment is required.
**NICE\-TO\-HAVES**
* Experience in digital video advertising or digital marketing domain.
* Experience with forecasting models
* MS or PhD(preferred) in computer science or equivalent experience.
**Location** 
 : Seattle / Santa Monica
 \#DISNEYTECH
 The hiring range for this position in Los Angeles, CA area is $141,900 to $190,300 per year and in Seattle, WA is $148,700 \- $199,400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04">
      <c r="A104" t="inlineStr">
        <is>
          <t>li-4358332381</t>
        </is>
      </c>
      <c r="B104" t="inlineStr">
        <is>
          <t>Staff AI Engineer</t>
        </is>
      </c>
      <c r="C104" t="inlineStr">
        <is>
          <t>Intuit</t>
        </is>
      </c>
      <c r="D104" t="inlineStr">
        <is>
          <t>linkedin</t>
        </is>
      </c>
      <c r="E104">
        <f>HYPERLINK("https://www.linkedin.com/jobs/view/4358332381", "https://www.linkedin.com/jobs/view/4358332381")</f>
        <v/>
      </c>
      <c r="F104">
        <f>HYPERLINK("https://dsp.prng.co/u0LKzLb&amp;urlHash=Vdn2", "https://dsp.prng.co/u0LKzLb&amp;urlHash=Vdn2")</f>
        <v/>
      </c>
      <c r="G104" t="inlineStr">
        <is>
          <t>Mountain View, CA</t>
        </is>
      </c>
      <c r="H104" t="inlineStr"/>
      <c r="I104" t="inlineStr">
        <is>
          <t>**Overview**
 In this role, you'll be embedded inside a vibrant team of AI scientists and engineers. You'll be expected to help conceive, code, and deploy AI models \&amp; generative AI agentic systems at scale using the latest industry tools
 Important skills include data pipeline development, prompt engineering, model fine\-tuning, retrieval\-augmented generation (RAG), and developing robust evaluation metrics.
**Responsibilities**
* Work with AI scientists and engineers to design and implement agentic systems
* Discover data sources, get access to them, import them, clean them up, and prepare them for model training and fine\-tuning
* Work with AI scientists to develop and refine data pipelines, building robust systems for fine\-tuning, serving, and deploying AI models
* Partner with data scientists and researchers to understand, implement, refine, and design advanced AI and generative model architectures \[adapted from: 9].
* Run regular A/B tests, gather data, perform statistical analysis, and draw conclusions on the impact of your AI solutions .
* Work cross\-functionally with product managers, data scientists, and product engineers, and communicate results to peers and leaders.
* Explore new advancements in the generative AI landscape to determine how they might connect with the customer benefits we wish to deliver
**Qualifications**
* BS, MS, or PhD degree in Computer Science or related field, or equivalent practical experience.
* 6\+ years of experience.
* Knowledgeable with AI/ML tools and frameworks (i.e., Python, Hugging Face (Transformers, PEFT), Numpy, Pandas, PyTorch, TensorFlow, LangChain, LlamaIndex, Spark)
* Deep knowledge of generative AI techniques (i.e., Large Language Models (LLMs), RAG, fine\-tuning (LoRA, QLoRA), multi\-modal models, and vector databases)
* Understand machine learning principles (training, validation, etc.)
* Knowledge of data query and data processing tools (i.e. SQL)
* Computer science fundamentals: data structures, algorithms, performance complexity, and implications of computer architecture on software performance (e.g., I/O and memory tuning)
* Software engineering fundamentals: version control systems (i.e. Git, Github) and workflows, and ability to write production\-ready code
* Experience deploying highly scalable software supporting millions or more users
* Experience with GPU acceleration (i.e. CUDA and cuDNN)
* Experience with integrating applications and platforms with cloud technologies (i.e. AWS and GCP)
* Strong oral and written communication skills. Ability to conduct meetings and make professional presentations, and to explain complex concepts and technical material to non\-technical users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$ 197,000\- 266,500</t>
        </is>
      </c>
    </row>
    <row r="105">
      <c r="A105" t="inlineStr">
        <is>
          <t>li-4366084072</t>
        </is>
      </c>
      <c r="B105" t="inlineStr">
        <is>
          <t>Principal Machine Learning Engineer</t>
        </is>
      </c>
      <c r="C105" t="inlineStr">
        <is>
          <t>ChatGPT Jobs</t>
        </is>
      </c>
      <c r="D105" t="inlineStr">
        <is>
          <t>linkedin</t>
        </is>
      </c>
      <c r="E105">
        <f>HYPERLINK("https://www.linkedin.com/jobs/view/4366084072", "https://www.linkedin.com/jobs/view/4366084072")</f>
        <v/>
      </c>
      <c r="F105">
        <f>HYPERLINK("https://chatgpt-jobs.com/job/principal-machine-learning-engineer-redhat-3013&amp;urlHash=mwE2", "https://chatgpt-jobs.com/job/principal-machine-learning-engineer-redhat-3013&amp;urlHash=mwE2")</f>
        <v/>
      </c>
      <c r="G105" t="inlineStr">
        <is>
          <t>Boston, MA</t>
        </is>
      </c>
      <c r="H105" t="inlineStr"/>
      <c r="I105" t="inlineStr">
        <is>
          <t>**Job Description**
 Principal Machine Learning Engineer
**Company:** 
 Redhat
**Location:** 
 Boston, MA
* On\-site, Remote
**Salary:** 
 $189\.60K \- $312\.73K/yr
**Type:** 
 Full\-time
**Benefits:** 
 Medical, Dental, Vision, Retirement, PTO
**Job Summary**
 Red Hat is seeking a Principal Machine Learning Engineer to join our AI Inference team, focused on bringing open\-source LLMs and vLLM to enterprises. The role involves developing and optimizing deep learning software, implementing model compression algorithms, and productizing deep learning research.
**What You Will Do**
* Contribute to the design, development, and testing of various inference optimization algorithms in vLLM and related projects.
* Create and manage inference serving deployment pipelines.
* Benchmark, profile, and evaluate different parallelizations, quantization and sparsification approaches.
* Participate in technical design discussions and provide innovative solutions.
* Stay up\-to\-date with the latest advancements in open source LLM model architecture and Inference parallelizations/optimizations techniques.
* Stay up\-to\-date of latest CPU and GPU hardware architecture and features to boost AI inference performance.
* Give thoughtful and prompt code reviews.
* Mentor and guide other engineers.
* Continuous collaboration with internal and external open source committers and contributors.
**What You Will Bring**
* Strong understanding of machine learning and deep learning fundamentals.
* Experience with tensor math libraries such as PyTorch and NumPy.
* Strong programming skills with Python based machine learning solutions.
* Ability to develop and implement research ideas and algorithms.
* Experience with mathematical software, especially linear algebra.
* Understanding of Linear Algebra, Gradients, Probability, and Graph Theory.
* Strong communications skills with both technical and non\-technical team members.
* BS, or MS in computer science or computer engineering or a related field. A PhD in a ML related domain is considered a strong plus.
**Pay Transparency**
 Red Hat determines compensation based on factors including job location, experience, skills, training, market value, and internal pay equity. The salary range for this position is $189,600\.00 \- $312,730\.00\.</t>
        </is>
      </c>
    </row>
    <row r="106">
      <c r="A106" t="inlineStr">
        <is>
          <t>li-4362556689</t>
        </is>
      </c>
      <c r="B106" t="inlineStr">
        <is>
          <t>Applied AI Engineer</t>
        </is>
      </c>
      <c r="C106" t="inlineStr">
        <is>
          <t>Recruiting from Scratch</t>
        </is>
      </c>
      <c r="D106" t="inlineStr">
        <is>
          <t>linkedin</t>
        </is>
      </c>
      <c r="E106">
        <f>HYPERLINK("https://www.linkedin.com/jobs/view/4362556689", "https://www.linkedin.com/jobs/view/4362556689")</f>
        <v/>
      </c>
      <c r="F106" t="inlineStr"/>
      <c r="G106" t="inlineStr">
        <is>
          <t>New York, United States</t>
        </is>
      </c>
      <c r="H106" t="inlineStr"/>
      <c r="I106"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**Job Title:** 
 Applied AI Engineer
**Location:** 
 New York City (In\-office)
**Employment Type:** 
 Full\-time
**Salary:** 
 $210,000 – $230,000
**Company Overview** 
 We are an AI\-native health insurance startup rebuilding healthcare from the ground up. Today’s healthcare experience is expensive, confusing, and often so frustrating that people delay care. Our mission is to change that by creating a proactive, technology\-driven health plan that helps people navigate care, understand costs, and avoid financial fear.
 Our platform delivers continuous, personalized support for members—helping with benefits navigation, appointment scheduling, care decisions, and proactive health outreach. Backed by top\-tier investors and led by a deeply technical founding team, we are scaling quickly, covering tens of thousands of members and seeing strong demand across employers, brokers, and partners.
**Role** 
 As an
 **Applied AI Engineer** 
 , you will own the end\-to\-end development of AI\-native product experiences that redefine how people interact with their healthcare. This is a
 **high\-ownership, product\-facing role** 
 where you’ll ship production AI systems used daily by real users.
 You’ll work at the intersection of
 **LLMs, product engineering, and complex healthcare workflows** 
 , building systems that reason, act, and scale in production.
**What You’ll Work On** 
* **AI\-Powered Care Triage:** 
 Build intelligent experiences that help users understand symptoms and navigate to the right level of care (ER, Urgent Care, Primary Care), preventing unnecessary visits and reducing out\-of\-pocket costs.
* **Always\-On Care Partner:** 
 Develop conversational AI that helps users understand lab results, diagnoses, and treatment plans—providing 24/7 support with clarity and empathy.
* **Proactive Health Engine:** 
 Create systems that analyze claims and behavioral data to drive personalized outreach for screenings, medication adherence, and preventive care.
* **Core AI Platform:** 
 Advance internal AI capabilities across prompt orchestration, context engineering, retrieval systems, agent workflows, and evaluation frameworks.
**Qualifications required** 
* Experience shipping
 **production AI\-powered products** 
 end\-to\-end
* Strong product mindset with a track record of owning
 **0→1 features**
* Hands\-on experience building
 **LLM\-powered applications** 
 in production
* Strong backend experience with
 **Python** 
 and relational databases (
 **Postgres** 
 )
* Experience designing
 **LLM agents** 
 , workflows, or autonomous systems
* Pragmatic approach to
 **LLM safety, reliability, and evaluation** 
 (guardrails, red\-teaming, latency/cost tradeoffs)
* Comfortable operating in
 **fast\-paced, early\-stage environments** 
 with high ownership
* Fluency using
 **AI\-assisted engineering tools** 
 (e.g., Cursor, Copilot)
**Nice to Have** 
* Experience with
 **TypeScript and React**
* Familiarity deploying AI workloads on
 **AWS or similar cloud platforms**
* Background in healthcare, fintech, insurance, or other regulated domains
**What We Offer** 
* High ownership and autonomy from day one
* Direct responsibility for core AI product experiences
* A mission\-driven team working on meaningful, real\-world problems
* Close collaboration with product, engineering, and leadership
* Competitive compensation and meaningful equity
* Benefits including:
* 100% paid health insurance
* Free lunches in the office
* Commuter benefits
* Team offsites and retreats
**Compensation** 
* **Base Salary:** 
 $210,000 – $230,000
* **Additional:** 
 Performance bonus \+ equity
* Final compensation determined by experience, skill level, and interview performance
**Why This Role** 
* Build AI systems that materially improve people’s lives
* Work on real, complex problems—not demos or research prototypes
* Join early at a company with strong traction, clear momentum, and long\-term upside
* Apply frontier AI to healthcare instead of ads or engagement metrics
* Be part of a high\-velocity, ambitious, and collaborative in\-office team</t>
        </is>
      </c>
    </row>
    <row r="107">
      <c r="A107" t="inlineStr">
        <is>
          <t>li-4366604031</t>
        </is>
      </c>
      <c r="B107" t="inlineStr">
        <is>
          <t>Senior Machine Learning Engineer</t>
        </is>
      </c>
      <c r="C107" t="inlineStr">
        <is>
          <t>Capital One</t>
        </is>
      </c>
      <c r="D107" t="inlineStr">
        <is>
          <t>linkedin</t>
        </is>
      </c>
      <c r="E107">
        <f>HYPERLINK("https://www.linkedin.com/jobs/view/4366604031", "https://www.linkedin.com/jobs/view/4366604031")</f>
        <v/>
      </c>
      <c r="F107" t="inlineStr"/>
      <c r="G107" t="inlineStr">
        <is>
          <t>McLean, VA</t>
        </is>
      </c>
      <c r="H107" t="inlineStr"/>
      <c r="I107"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Machine Learning Engineer
 New York, NY: $176,500 \- $201,400 for Senior Machine Learning Engineer
 Plano, TX: $147,100 \- $167,900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08">
      <c r="A108" t="inlineStr">
        <is>
          <t>li-4366041280</t>
        </is>
      </c>
      <c r="B108" t="inlineStr">
        <is>
          <t>GEN AI Engineer</t>
        </is>
      </c>
      <c r="C108" t="inlineStr">
        <is>
          <t>Jobs via Dice</t>
        </is>
      </c>
      <c r="D108" t="inlineStr">
        <is>
          <t>linkedin</t>
        </is>
      </c>
      <c r="E108">
        <f>HYPERLINK("https://www.linkedin.com/jobs/view/4366041280", "https://www.linkedin.com/jobs/view/4366041280")</f>
        <v/>
      </c>
      <c r="F108">
        <f>HYPERLINK("https://click.appcast.io/t/nEs5X23BoeR6l9axPIeNahvrtKzk4tbCO7O3hXikt14=&amp;urlHash=awGm", "https://click.appcast.io/t/nEs5X23BoeR6l9axPIeNahvrtKzk4tbCO7O3hXikt14=&amp;urlHash=awGm")</f>
        <v/>
      </c>
      <c r="G108" t="inlineStr">
        <is>
          <t>Sunnyvale, CA</t>
        </is>
      </c>
      <c r="H108" t="inlineStr"/>
      <c r="I108" t="inlineStr">
        <is>
          <t>Dice is the leading career destination for tech experts at every stage of their careers. Our client, ASCII Group LLC, is seeking the following. Apply via Dice today!
 Hi,
**The following requirement is open with our client.**
**Client : TCS**
**Title** 
**: GEN AI Engineer**
**Location : Sunnyvale, CA Hybrid**
**Duration : 6\+Months**
**Relevant Experience (in Yrs.) : 10\+**
**Detailed Job Description \&amp; Must Have Skills**
* 8\-15 years of experience in implementing AI/ML models in enterprise systems
* In\-depth understanding of AI/ML concepts, including supervised and unsupervised learning, deep learning, anomaly detection, and large language models (Gemini, GPT etc).
* Experience leading and working with Agentic AI Frameworks (Langchain, Langraph, CrewAI)
* Proficiency in Python and experience with relevant libraries and frameworks (Pandas, Numpy, TensorFlow etc.)
* At least 5 years of relevant experience in design, development, and deployment of conversational bots
* Experience working with Observability tools like Prometheus, Splunk, Datadog \&amp; Grafana.
* Experience in NLP (Natural Language Processing) \&amp; NLU (Natural Language Understanding), ML (Machine Learning), Conversational AI
* Integrate bot systems seamlessly with backend systems, databases, and APIs to facilitate smooth data exchange and interactions.
* Experience with web services integration
* Excellent troubleshooting and analytical skills in a complex, distributed environment.
* Excellent communication, presentation and collaboration skills.
* Self\-starter with ability to work independently
**Must skills:**
* GEN AI Engineer
* Python, AI/ML
* Agentic AI, NLP, NLU
* Prometheus, Splunk, Datadog \&amp; Grafana
 Thanks \&amp; regards,
 Naga Babu
 Technical Recruiter
 ASCII Group, LLC
 Office:
 Mail ID: \|</t>
        </is>
      </c>
    </row>
    <row r="109">
      <c r="A109" t="inlineStr">
        <is>
          <t>li-4366053229</t>
        </is>
      </c>
      <c r="B109" t="inlineStr">
        <is>
          <t>AI/ML Engineer (Python, Azure Cloud)- W2 only</t>
        </is>
      </c>
      <c r="C109" t="inlineStr">
        <is>
          <t>Jobs via Dice</t>
        </is>
      </c>
      <c r="D109" t="inlineStr">
        <is>
          <t>linkedin</t>
        </is>
      </c>
      <c r="E109">
        <f>HYPERLINK("https://www.linkedin.com/jobs/view/4366053229", "https://www.linkedin.com/jobs/view/4366053229")</f>
        <v/>
      </c>
      <c r="F109">
        <f>HYPERLINK("https://click.appcast.io/t/Sy6XVoJg2ncT5lGyLTgb516idGHp8cVXEtUI3Koq0WY=&amp;urlHash=TusG", "https://click.appcast.io/t/Sy6XVoJg2ncT5lGyLTgb516idGHp8cVXEtUI3Koq0WY=&amp;urlHash=TusG")</f>
        <v/>
      </c>
      <c r="G109" t="inlineStr"/>
      <c r="H109" t="inlineStr"/>
      <c r="I109" t="inlineStr">
        <is>
          <t>Dice is the leading career destination for tech experts at every stage of their careers. Our client, Everest Global Solutions, is seeking the following. Apply via Dice today!
**Job Title: AI / ML Engineer (Python, Azure)**
**Employment Type:** 
 Contract / Full\-Time
**Start:** 
 Immediate
**Location:** 
 Remote
**Experience: 12\+**
**Job Description**
 We are looking for experienced
 **AI / Machine Learning Engineers** 
 with strong
 **Python development** 
 skills and hands\-on experience in
 **Azure Cloud** 
 . The ideal candidate will have a solid background in building, training, and deploying machine learning models in enterprise environments and working closely with data engineering and cloud teams.
 This role will focus on designing scalable AI/ML solutions and supporting end\-to\-end model development and deployment using Microsoft Azure services.
**Key Responsibilities**
* Design, develop, and deploy AI/ML models using Python.
* Build and optimize machine learning pipelines for training, testing, and inference.
* Work with structured and unstructured data to create predictive and analytical models.
* Deploy ML solutions on Azure Cloud using services such as Azure ML, Azure Data Factory, and Azure Databricks.
* Collaborate with data engineers, architects, and business stakeholders to translate requirements into AI\-driven solutions.
* Monitor model performance and continuously improve accuracy and scalability.
* Ensure best practices for security, performance, and cost optimization in cloud\-based ML solutions.
**Required Skills \&amp; Qualifications**
* Strong experience in AI / Machine Learning concepts and implementations.
* Proficiency in Python (NumPy, Pandas, Scikit\-learn, TensorFlow, PyTorch, etc.).
* Hands\-on experience with Azure Cloud and Azure AI/ML services.
* Experience with data preprocessing, feature engineering, and model evaluation.
* Understanding of MLOps concepts, CI/CD pipelines, and model deployment.
* Strong analytical, problem\-solving, and communication skills.
**Nice to Have**
* Experience with Azure Databricks, Azure Synapse, or Data Factory.
* Knowledge of Deep Learning, NLP, or Computer Vision use cases.
* Exposure to DevOps/MLOps tools (Docker, Kubernetes, MLflow).
* Prior experience working in enterprise or large\-scale environments.</t>
        </is>
      </c>
    </row>
    <row r="110">
      <c r="A110" t="inlineStr">
        <is>
          <t>li-4321335008</t>
        </is>
      </c>
      <c r="B110" t="inlineStr">
        <is>
          <t>Senior Machine Learning Engineer, Listing Integrity</t>
        </is>
      </c>
      <c r="C110" t="inlineStr">
        <is>
          <t>Jobs via Dice</t>
        </is>
      </c>
      <c r="D110" t="inlineStr">
        <is>
          <t>linkedin</t>
        </is>
      </c>
      <c r="E110">
        <f>HYPERLINK("https://www.linkedin.com/jobs/view/4321335008", "https://www.linkedin.com/jobs/view/4321335008")</f>
        <v/>
      </c>
      <c r="F110" t="inlineStr"/>
      <c r="G110" t="inlineStr"/>
      <c r="H110" t="inlineStr"/>
      <c r="I11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Imagine getting off a long international flight, standing in the freezing rain, attempting to contact your Airbnb host, only to realize that they are not responding because the Airbnb that you booked was not real. The Listing Integrity team's ultimate goal is to prevent experiences like this by proactively detecting and removing fraudulent listings (Homes, Experiences, and Services) so that guests can search and book on Airbnb with confidence. The team uses data drive heuristics, machine learning models, and customer service operations in order to accomplish this goal.
**The Difference You Will Make:**
 As a Senior Machine Learning Engineer on the Listing Integrity team, you will be working with data scientists, designers, product managers, and customer service operations to innovate new ways we can stop bad actors in the ever evolving fraudulent listing creation and financial losses associated with it by collaborating across team boundaries.
 On this team, you must have the curiosity to dig deep into various end to end systems in order to understand how and where the fraud occurs. Your curiosity will be rewarded with finding projects that have outsized impacts on decreasing fraud losses and protecting Airbnb users from bad experiences while on vacation.
**A Typical Day:**
* Work with large scale structured and unstructured data, build and continuously improve cutting edge Machine Learning models for Airbnb product, business and operational use cases.
* Working together with a wide variety of business functions to stop fraud attacks in real time.
* Collaborate with Data Scientists and other Machine Learning Engineers across trust to come up with the best modeling strategy and approach to defending against fake listings.
* Work collaboratively with cross\-functional partners including software engineers, product managers, operations and data scientists, identify opportunities for business impact, understand, refine, and prioritize requirements for fraud detection and mitigation.
* Hands\-on develop, productionize, and operate Machine Learning models and pipelines at scale, including both batch and real\-time use cases. Examples include: ML models to detect Fake Listing creation attempts.
**Your Expertise:**
* 5\+ years of industry experience in applied Machine Learning, inclusive MS or PhD in relevant fields
* Passion for building user\-facing products or large backend systems.
* Strong programming (Scala / Python / Java/ C\+\+ or equivalent) and data engineering skills
* Deep understanding of Machine Learning best practices (eg. training/serving skew minimization, A/B test, feature engineering, feature/model selection), algorithms (eg. gradient boosted trees, neural networks/deep learning, optimization) and domains (eg. natural language processing, computer vision, personalization and recommendation, anomaly detection)
* Experience with 3 or more of these technologies: Tensorflow, PyTorch, Kubernetes, Spark, Airflow (or equivalent), Kafka (or equivalent), data warehouse (eg. Hive)
* Industry experience building end\-to\-end Machine Learning infrastructure and/or building and productionizing Machine Learning models
* Exposure to architectural patterns of a large, high\-scale software applications (e.g., well\-designed APIs, high volume data pipelines, efficient algorithms, models)
* Experience with the Trust and Risk domain is a plus.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111">
      <c r="A111" t="inlineStr">
        <is>
          <t>li-4366393350</t>
        </is>
      </c>
      <c r="B111" t="inlineStr">
        <is>
          <t>Senior Agentic AI Engineer</t>
        </is>
      </c>
      <c r="C111" t="inlineStr">
        <is>
          <t>Rockwell Automation</t>
        </is>
      </c>
      <c r="D111" t="inlineStr">
        <is>
          <t>linkedin</t>
        </is>
      </c>
      <c r="E111">
        <f>HYPERLINK("https://www.linkedin.com/jobs/view/4366393350", "https://www.linkedin.com/jobs/view/4366393350")</f>
        <v/>
      </c>
      <c r="F111">
        <f>HYPERLINK("https://rockwellautomation.wd1.myworkdayjobs.com/External_Rockwell_Automation/job/Milwaukee-Wisconsin-United-States/Senior-Agentic-AI-Engineer_R25-9056?source=LinkedIn&amp;urlHash=LlFG", "https://rockwellautomation.wd1.myworkdayjobs.com/External_Rockwell_Automation/job/Milwaukee-Wisconsin-United-States/Senior-Agentic-AI-Engineer_R25-9056?source=LinkedIn&amp;urlHash=LlFG")</f>
        <v/>
      </c>
      <c r="G111" t="inlineStr">
        <is>
          <t>Mayfield Heights, OH</t>
        </is>
      </c>
      <c r="H111" t="inlineStr"/>
      <c r="I111"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**Senior Agentic AI Engineer**
****Job Description****
 Rockwell Automation is looking for an experienced
 **Agentic AI Engineer** 
 to serve as a technical leader within our Data Science and Innovation Organization. This role is crucial for executing our enterprise AI vision by architecting, implementing, and deploying sophisticated Generative AI and Agentic AI solutions. We are looking for someone who is specialized in Generative AI. This specialization includes RAG pipelines, agentic frameworks, and LLM implementation. You have a proven track record of leading high\-impact projects, optimizing ML systems for performance, and building robust MLOps infrastructure in cloud\-native environments.
 You will report to the Director MLE and Data Science Innovation.
****Key Responsibilities****
 Agentic Framework Development involves designing, engineering, and deploying production\-ready multi\-agent systems and services. These systems and services utilize modern frameworks such as Microsoft Semantic Kernel, Azure AI Foundry Agents, or Google Agent Development Kit (ADK).
****Generative AI Pipeline Engineering (RAG):****
 Architect and implement scalable end\-to\-end Retrieval\-Augmented Generation (RAG) pipelines. These pipelines include data ingestion, document processing, and embedding generation, such as using Azure OpenAI embeddings or Gemini embeddings. Additionally, they involve integration with vector and NoSQL databases.
**Azure MLOps and Deployment:** 
 Lead the development of robust MLOps infrastructure for AI systems, leveraging Azure Machine Learning (AML) or Kubeflow for pipeline orchestration, alongside Docker for containerization. Deploy and manage scalable inference services on server less platforms like Azure Container Apps or Google Cloud Run.
**Performance Optimization:** 
 Optimize model serving layers and high\-throughput data processing pipelines, employing advanced libraries (e.g., Polars) to ensure ultra\-low latency and efficient resource utilization across the cloud environment.
**System Architecture \&amp; Security:** 
 involves designing and implementing secure system architectures for all new AI products. These architectures ensure strict compliance with enterprise\-wide data governance and security policies through mechanisms such as PII filtering and guarded conversation frameworks.
**Infrastructure Automation \&amp; CI/CD:** 
 Use
 **Terraform** 
 for provisioning and manage Azure infrastructure\-as\-code. Implement centralized observability (logging and alerting) to support automated and reproducible Continuous Integration/Continuous Deployment (CI/CD) pipelines.
****The Essentials \- You Will Have****
* Bachelor's Degree in Relevant Field
* Legal authorization to work in the U.S. We will not sponsor individuals for employment visas, now or in the future, for this job opening.
****The Preferred \- You Might Also Have:****
* Typically requires a minimum of 8 of relevant professional experience, with a focus on AI/ML Engineering and Agentic AI product development.
* Master of Science in Business Analytics, Data Science, or a similar quantitative discipline.
* Expert\-level proficiency in Python and SQL.
* Hands\-on experience developing and deploying Generative AI solutions, RAG pipelines, and multi\-agent frameworks, regardless of the underlying cloud vendor.
* Experience with major cloud platforms, specifically Microsoft Azure, Aws, or Google Cloud Platform (GCP).
* Worked on core MLOps and orchestration tools, including Docker, Airflow, and Kubeflow/Azure Machine Learning (AML).The
* Worked with vector search platforms like Azure Cosmos DB for PostgreSQL, Redis, Azure AI Search, or pgvector/Mongo Atlas.
* Familiarity with advanced statistical modeling techniques such as Causal Inference or Matrix Factorization.
* Experience optimizing large\-scale data processing using libraries like Polars.
* Familiarity with Scaled Agile Framework (SAFe) methodologies.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**This position is part of a job family. Experience will be the determining factor for position level and compensation.**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12">
      <c r="A112" t="inlineStr">
        <is>
          <t>li-4321383519</t>
        </is>
      </c>
      <c r="B112" t="inlineStr">
        <is>
          <t>Senior Machine Learning Engineer - Ads</t>
        </is>
      </c>
      <c r="C112" t="inlineStr">
        <is>
          <t>Jobs via Dice</t>
        </is>
      </c>
      <c r="D112" t="inlineStr">
        <is>
          <t>linkedin</t>
        </is>
      </c>
      <c r="E112">
        <f>HYPERLINK("https://www.linkedin.com/jobs/view/4321383519", "https://www.linkedin.com/jobs/view/4321383519")</f>
        <v/>
      </c>
      <c r="F112" t="inlineStr"/>
      <c r="G112" t="inlineStr">
        <is>
          <t>New York, NY</t>
        </is>
      </c>
      <c r="H112" t="inlineStr"/>
      <c r="I112" t="inlineStr">
        <is>
          <t>**About The Role**
 The Ads Machine Learning (Ads ML) team at Uber is responsible for providing relevant ad recommendations to the users across the different applications within the Uber ecosystem. We focus on building a deep understanding of both user and merchant behavior to generate accurate ML signals that enhance the Ads auction system providing accurate pricing for our advertisers. Our goal is to maximize the benefits for both users and merchants within Uber's Ads distribution system.
 You will directly impact Uber's Ads systems by defining and executing the Ads ML roadmap, with a focus on enabling and accelerating large\-scale improvements to our recommendation and auction systems. Developing relevant, robust, and observable ad recommendations is crucial to Uber's fast growing Ads Business strategy, making this a highly impactful role.
**\\\\\-\\\\\-\\\\\-\\\\\- What the Candidate Will Do \-\-\-\-**
* Design and implement machine learning models and algorithms to optimize ad recommendations and auction mechanisms.
* Develop and maintain scalable ML pipelines and data infrastructure to support real\-time and batch processing of large\-scale datasets.
* Apply advanced statistical and machine learning techniques to generate insights and improve the effectiveness of ad targeting and delivery.
* Collaborate with data scientists and engineers to build and refine predictive models that enhance user engagement and merchant benefits.
* Conduct rigorous experimentation and A/B testing to validate model performance and iterate on improvements.
* Define success metrics and develop dashboards to monitor and visualize the performance of ML models in production.
* Work closely with cross\-functional teams, including Product, Engineering, and Data Science, to translate business requirements into ML solutions.
* Mentor and provide technical guidance to junior ML engineers and data scientists.
* Stay up\-to\-date with the latest research and advancements in machine learning, recommendation systems, and ad auction techniques.
**\\\\\-\\\\\-\\\\\-\\\\\- Basic Qualifications \-\-\-\-**
* Bachelor's degree or equivalent experience in Computer Science, Computer Engineering, Data Science, ML, Statistics, or other quantitative fields.
* Proven experience with designing and implementing machine learning models in production environments.
* Proficiency in using Python for developing ML models and handling large\-scale data sets.
* Solid understanding of SQL and experience using it in a production environment.
* Strong grasp of Big Data architecture and experience with ETL frameworks and platforms.
* Hands\-on experience with building batch data pipelines using technologies like Spark or other map\-reduce frameworks.
* Expertise in experimental design and analysis, including A/B testing, exploratory data analysis, and statistical analysis.
* Experience with data visualization tools and creating insightful dashboards.
* Proficiency with methodologies such as sampling, statistical estimates, and descriptive statistics.
* Ability to synthesize complex data analyses into clear and actionable insights to influence product direction.
* Experience with recommendation systems.
* Fast learner with a passion for solving complex problems and asking thoughtful questions to ensure effective solutions.
* Strong communication skills to engage with technical, non\-technical, and executive audiences effectively.
* Commitment to seeking and providing timely feedback to drive continuous improvement.
**\\\\\-\\\\\-\\\\\-\\\\\- Preferred Qualifications \-\-\-\-**
* 5 years of industry experience as an ML engineer or equivalent.
* Expertise in building sophisticated systems and knowledge of Hadoop\-related technologies such as HDFS, Kafka, Hive, and Presto.
* Experience managing projects across large, ambiguous scopes and driving initiatives in a fast\-moving, cross\-functional environment.
* Experience with enabling production\-scale and maintaining large ML models.
* Experience in one or more object\-oriented programming languages (e.g. Python, Go, Java, C\+\+).
* Experience with REST APIs and Distributed Messaging / Kafka.
* Familiarity with recommendation systems and modern ad auction techniques.
* Experience with ad auctioning systems.
* Experience with state\-of\-the\-art deep learning techniques.
* Advanced degree (Ph.D. or M.S.) in Data Science, ML, or related disciplines.
 For New York, NY\-based roles: The base salary range for this role is USD$202,000 per year \- USD$224,000 per year.
 For San Francisco,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113">
      <c r="A113" t="inlineStr">
        <is>
          <t>li-4366604073</t>
        </is>
      </c>
      <c r="B113" t="inlineStr">
        <is>
          <t>Senior Agentic AI Engineer</t>
        </is>
      </c>
      <c r="C113" t="inlineStr">
        <is>
          <t>Rockwell Automation</t>
        </is>
      </c>
      <c r="D113" t="inlineStr">
        <is>
          <t>linkedin</t>
        </is>
      </c>
      <c r="E113">
        <f>HYPERLINK("https://www.linkedin.com/jobs/view/4366604073", "https://www.linkedin.com/jobs/view/4366604073")</f>
        <v/>
      </c>
      <c r="F113">
        <f>HYPERLINK("https://rockwellautomation.wd1.myworkdayjobs.com/External_Rockwell_Automation/job/Milwaukee-Wisconsin-United-States/Senior-Agentic-AI-Engineer_R25-9056?source=LinkedIn&amp;urlHash=LlFG", "https://rockwellautomation.wd1.myworkdayjobs.com/External_Rockwell_Automation/job/Milwaukee-Wisconsin-United-States/Senior-Agentic-AI-Engineer_R25-9056?source=LinkedIn&amp;urlHash=LlFG")</f>
        <v/>
      </c>
      <c r="G113" t="inlineStr">
        <is>
          <t>Milwaukee, WI</t>
        </is>
      </c>
      <c r="H113" t="inlineStr"/>
      <c r="I113"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**Senior Agentic AI Engineer**
****Job Description****
 Rockwell Automation is looking for an experienced
 **Agentic AI Engineer** 
 to serve as a technical leader within our Data Science and Innovation Organization. This role is crucial for executing our enterprise AI vision by architecting, implementing, and deploying sophisticated Generative AI and Agentic AI solutions. We are looking for someone who is specialized in Generative AI. This specialization includes RAG pipelines, agentic frameworks, and LLM implementation. You have a proven track record of leading high\-impact projects, optimizing ML systems for performance, and building robust MLOps infrastructure in cloud\-native environments.
 You will report to the Director MLE and Data Science Innovation.
****Key Responsibilities****
 Agentic Framework Development involves designing, engineering, and deploying production\-ready multi\-agent systems and services. These systems and services utilize modern frameworks such as Microsoft Semantic Kernel, Azure AI Foundry Agents, or Google Agent Development Kit (ADK).
****Generative AI Pipeline Engineering (RAG):****
 Architect and implement scalable end\-to\-end Retrieval\-Augmented Generation (RAG) pipelines. These pipelines include data ingestion, document processing, and embedding generation, such as using Azure OpenAI embeddings or Gemini embeddings. Additionally, they involve integration with vector and NoSQL databases.
**Azure MLOps and Deployment:** 
 Lead the development of robust MLOps infrastructure for AI systems, leveraging Azure Machine Learning (AML) or Kubeflow for pipeline orchestration, alongside Docker for containerization. Deploy and manage scalable inference services on server less platforms like Azure Container Apps or Google Cloud Run.
**Performance Optimization:** 
 Optimize model serving layers and high\-throughput data processing pipelines, employing advanced libraries (e.g., Polars) to ensure ultra\-low latency and efficient resource utilization across the cloud environment.
**System Architecture \&amp; Security:** 
 involves designing and implementing secure system architectures for all new AI products. These architectures ensure strict compliance with enterprise\-wide data governance and security policies through mechanisms such as PII filtering and guarded conversation frameworks.
**Infrastructure Automation \&amp; CI/CD:** 
 Use
 **Terraform** 
 for provisioning and manage Azure infrastructure\-as\-code. Implement centralized observability (logging and alerting) to support automated and reproducible Continuous Integration/Continuous Deployment (CI/CD) pipelines.
****The Essentials \- You Will Have****
* Bachelor's Degree in Relevant Field
* Legal authorization to work in the U.S. We will not sponsor individuals for employment visas, now or in the future, for this job opening.
****The Preferred \- You Might Also Have:****
* Typically requires a minimum of 8 of relevant professional experience, with a focus on AI/ML Engineering and Agentic AI product development.
* Master of Science in Business Analytics, Data Science, or a similar quantitative discipline.
* Expert\-level proficiency in Python and SQL.
* Hands\-on experience developing and deploying Generative AI solutions, RAG pipelines, and multi\-agent frameworks, regardless of the underlying cloud vendor.
* Experience with major cloud platforms, specifically Microsoft Azure, Aws, or Google Cloud Platform (GCP).
* Worked on core MLOps and orchestration tools, including Docker, Airflow, and Kubeflow/Azure Machine Learning (AML).The
* Worked with vector search platforms like Azure Cosmos DB for PostgreSQL, Redis, Azure AI Search, or pgvector/Mongo Atlas.
* Familiarity with advanced statistical modeling techniques such as Causal Inference or Matrix Factorization.
* Experience optimizing large\-scale data processing using libraries like Polars.
* Familiarity with Scaled Agile Framework (SAFe) methodologies.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**This position is part of a job family. Experience will be the determining factor for position level and compensation.**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14">
      <c r="A114" t="inlineStr">
        <is>
          <t>li-4366040043</t>
        </is>
      </c>
      <c r="B114" t="inlineStr">
        <is>
          <t>macOS ML Engineer</t>
        </is>
      </c>
      <c r="C114" t="inlineStr">
        <is>
          <t>Apple</t>
        </is>
      </c>
      <c r="D114" t="inlineStr">
        <is>
          <t>linkedin</t>
        </is>
      </c>
      <c r="E114">
        <f>HYPERLINK("https://www.linkedin.com/jobs/view/4366040043", "https://www.linkedin.com/jobs/view/4366040043")</f>
        <v/>
      </c>
      <c r="F114">
        <f>HYPERLINK("https://jobs.apple.com/en-us/details/200623701?board_id=17682&amp;urlHash=8C9r", "https://jobs.apple.com/en-us/details/200623701?board_id=17682&amp;urlHash=8C9r")</f>
        <v/>
      </c>
      <c r="G114" t="inlineStr">
        <is>
          <t>Sunnyvale, CA</t>
        </is>
      </c>
      <c r="H114" t="inlineStr"/>
      <c r="I114" t="inlineStr">
        <is>
          <t>**Summary**
 The Information Security Machine Learning (ISML) team is revolutionizing Apple’s security services by using machine learning to harness patterns and insights from vast amounts of data to predict, detect, and respond to threats; transforming reactive security into autonomous protection. The ISML team is responsible for improving security services with applied science, developing long term autonomous security solutions with cutting edge research, as well as building and deploying models and infrastructure to support machine learning security solutions.
 We're looking for a passionate and highly skilled macOS engineer to join our team and build the foundation for autonomous security on Apple devices. This role requires a deep understanding of the macOS environment and a proven ability to develop and deploy high\-performance applications.
**Description**
 As a macOS ML Engineer, you will build the fundamental software, libraries, tools, and test suites to support autonomous security on Apple devices.
 You will develop the software and integrations to make on device security machine learning successful. As part of this process, you will define the architectures and services of autonomous security on\-device, including OS interfaces and autonomous security capabilities. You will collaborate with Core OS, security, and services partners across Apple to deliver high reliability, high performance device frameworks and services.
 You will adapt the intelligence, models, and research developed by the team to run on macOS. Development and deployment of autonomous security on macOS needs to balance privacy, rigor, visibility, performance, and impact. In this role, you need to have skills and knowledge across a blend of macOS development best\-practices, systems and software engineering, and embedded systems development.
 Day to day, you will use Apple internal tools and platforms, third party cloud, and local hardware to test and deploy software, frameworks, and ML models to target current macOS and future macOS releases.
**Minimum Qualifications**
* Bachelor’s or Master’s degree in Computer Science, Electrical Engineering, Machine Learning, or related field.
* 3\+ years of experience developing system software, services, applications, or frameworks for macOS or Linux.
* Solid programming skills in at least one of the following programming languages: Swift, Objective\-C, C/C\+\+, Rust with strong attention to detail
* System level programming and debugging experience such as efficient file I/O, memory management, and concurrency.
* Experience with on\-device ML frameworks (Core ML, Win ML, ONNX, TF Lite or ExecuTorch)
* Experience with API design and software architecture.
* Demonstrated experience working cross\-organization
**Preferred Qualifications**
* Knowledge of general ML Framework implementation (Jax, PyTorch, or TensorFlow)
* Experience with continuous software monitoring and distributed systems.
* Experience with endpoint sensing, telemetry, or on\-device stream processing.
* Understanding of MLOps practices including model validation, versioning, monitoring, and deployment in high\-security environments.
* Background in cybersecurity, malware analysis, digital forensics, or red/blue teaming.
* Experience with CoreML, including porting models to run on macOS, utilizing the CoreML runtime, and deploying models using the Neural Engine or GPU.
**Pay \&amp; Benefits**
 At Apple, base pay is one part of our total compensation package and is determined within a range. This provides the opportunity to progress as you grow and develop within a role. The base pay range for this role is between $171,600 and $302,200,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5">
      <c r="A115" t="inlineStr">
        <is>
          <t>li-4366058008</t>
        </is>
      </c>
      <c r="B115" t="inlineStr">
        <is>
          <t>Senior Computer Vision and Machine Learning Engineer, Creativity Apps</t>
        </is>
      </c>
      <c r="C115" t="inlineStr">
        <is>
          <t>Apple</t>
        </is>
      </c>
      <c r="D115" t="inlineStr">
        <is>
          <t>linkedin</t>
        </is>
      </c>
      <c r="E115">
        <f>HYPERLINK("https://www.linkedin.com/jobs/view/4366058008", "https://www.linkedin.com/jobs/view/4366058008")</f>
        <v/>
      </c>
      <c r="F115" t="inlineStr"/>
      <c r="G115" t="inlineStr">
        <is>
          <t>Seattle, WA</t>
        </is>
      </c>
      <c r="H115" t="inlineStr"/>
      <c r="I115" t="inlineStr">
        <is>
          <t>**Summary**
 At Apple, new ideas have a way of becoming phenomenal products, services, and customer experiences very quickly! The Creativity Apps team needs your help shaping the next generation of creative editing tools by working on pioneering technologies to surprise and delight pros and enthusiasts alike.
 As a Senior Computer Vision \&amp; Machine Learning Engineer, you will work alongside our world\-class creatives, designers, and engineers to help innovate in the creative space in ways that only Apple can. This is a highly visible, highly impactful opportunity!
**Description**
 We are hiring a software engineer to work on a new initiative that will push the boundary of what's possible in the field of Generative AI. The ideal candidate will have deep knowledge in computational photography and multi\-modal image editing. This position requires a self\-motivated individual with excellent interpersonal skills to effectively collaborate with all levels of the organization.
**Responsibilities**
* Incubate state\-of\-the\-art machine learning algorithms and demonstrate their applicability to Apple's products
* Take ownership of the full lifecycle of machine learning models, from large distributed training and validation to efficient inference at scale
* Design data pipelines in partnership with collection, curation and evaluation teams to ensure suitable model inputs
* Communicate the latest research developments in image generation to help drive the long\-term product roadmap
* Partner with cross\-functional teams to bring experimental models and proof\-of\-concept features to next\-generation products
**Minimum Qualifications**
* MS or PhD in Computer Science, Machine Learning or related field, and 5\+ years of significant industry experience delivering products using state\-of\-the\-art computational photography and machine learning technologies.
* Extensive knowledge in theory and practice of machine learning and deep learning techniques, particularly diffusion models, variational auto\-encoders and transformers.
* Experience delivering customer\-facing products with computer vision, computational photography or generative AI features.
* Hands\-on experience building, training, evaluating, and deploying diffusion, transformer and Generative Adversarial Network based models, or related methods.
* Experience contributing to large codebases while delivering high\-quality software at scale.
* Strong programming skills in high\-level languages like Python and one of the deep learning toolkits such as PyTorch, JAX, or TensorFlow.
* Ability to collaborate effectively across organizations and drive alignment in large cross\-functional projects.
* Ability to concisely communicate with audiences of different backgrounds, from non\-technical individuals to experts in the field.
* Committed to encouraging an open and inclusive work environment.
**Preferred Qualifications**
* Experience optimizing models and algorithms that run efficiently on resource\-constrained platforms is a plus.
* Experience with flow matching and multi\-modal conditioning for generative modeling is a plus.
* Familiarity with 3D reconstruction techniques from single or multiple images, particularly ML\-based methods, is a plus.
* Knowledge of and keen interest in the art and science of photography and aesthetics.
* Publications at major conferences (CVPR, ICCV, ECCV, NeurIPS, ICML, ICLR) is a plus.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2026-01-27T23:37:14Z</dcterms:created>
  <dcterms:modified xsi:type="dcterms:W3CDTF">2026-01-27T23:37:14Z</dcterms:modified>
</cp:coreProperties>
</file>