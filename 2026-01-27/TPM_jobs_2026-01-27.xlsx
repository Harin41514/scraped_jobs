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in-1572d66f19af7364</t>
        </is>
      </c>
      <c r="B2" t="inlineStr">
        <is>
          <t>Manufacturing Product Manager</t>
        </is>
      </c>
      <c r="C2" t="inlineStr">
        <is>
          <t>Val-Matic Valve &amp; Mfg. Corp.</t>
        </is>
      </c>
      <c r="D2" t="inlineStr">
        <is>
          <t>indeed</t>
        </is>
      </c>
      <c r="E2" t="inlineStr"/>
      <c r="F2" t="inlineStr"/>
      <c r="G2" t="inlineStr">
        <is>
          <t>Elmhurst, IL, US</t>
        </is>
      </c>
      <c r="H2" s="2" t="n">
        <v>46049</v>
      </c>
      <c r="I2" t="inlineStr">
        <is>
          <t>Since 1966, Val\-Matic Valve has been delivering products and services that are essential in providing clean water and other fluids to industries and homes around the world. Today, Val\-Matic manufactures nine types of air valves and is the leading supplier of air valves in North America. As a subsidiary of A.Y. McDonald Industries, our company is family owned and privately operated. If you’re looking for a job that leaves you feeling fulfilled and valued, then look no further than Val\-Matic Valve.
**Summary**
The Product Manager is a key member of the Sales and Customer Service Team and is responsible for management of all aspects of their product lines to include product development, new product requests, pricing, literature, marketing videos and competitive analysis. Additionally, this position will be responsible for lowering overall cost by minimizing SKU's, reducing MOH and working with purchasing on cost price points and setting the correct forecast for product lines.
**Responsibilities**
* Act as liaison between all departments on all issues pertaining to our product line such as develop programs to maintain overall profitability and sales growth of product line.
* Become SME and determine best new product introduction opportunities and provide needed information and justification of these introductions.
* Constantly evaluate competitive products in all markets and recommend product line changes, improvements, and introductions as necessary.
* Support new product roadmap with support of Manufacturing Engineers.
* Develop, evaluate, and improve use cases and develop supporting case studies.
* Work with other managers and supervisors to develop product training and position new product offerings to fit into Val\-Matic’s product portfolio.
* Ensure product issues are addressed, and process improvements are implemented and documented.
* Recommend product design changes to improve manufacturability and improve quality while reducing cost.
* Provides technical support to Sales and Customer Service Teams.
* Advises management of needs in areas of control.
**Required Qualifications**
* Bachelor’s degree in Engineering, Data Science, Statistics or Marketing Analytics from a four\-year College or University or
* 5\-10 years related experience and/or training
* Experience in product design, analysis, development and technical management
* Strong career prospects in automation or advanced manufacturing
**Physical Requirements**
The physical demands described here are representative of those that must be met by a co\-worker to successfully perform the essential functions of this job. Reasonable accommodation may be made to enable individuals with disabilities to perform the essential functions.
While performing the duties of this Job, the co\-worker is regularly required to talk or hear. Co\-worker is frequently required to stand and walk. The co\-worker is occasionally required to sit; use hands to finger, handle, or feel; reach with hands and arms and climb or balance.
**Wages**
$90,000 \- $105,000
**Benefits**
Benefits include major medical (BCBS), Delta dental and vision, company sponsored basic life insurance and short\-term disability. Voluntary life insurance, accidental death and dismemberment, and long\-term disability available. Competitive 401(k) with company matching, generous PTO, 10 paid holidays, and company giveaways, family picnics, and more!
A pre\-employment Background Check and 6 panel (no THC) Drug screen required.
Val\-Matic is an equal opportunity employer.</t>
        </is>
      </c>
    </row>
    <row r="3">
      <c r="A3" t="inlineStr">
        <is>
          <t>in-8018d858add21750</t>
        </is>
      </c>
      <c r="B3" t="inlineStr">
        <is>
          <t>Program Manager Residential</t>
        </is>
      </c>
      <c r="C3" t="inlineStr">
        <is>
          <t>Dungarvin</t>
        </is>
      </c>
      <c r="D3" t="inlineStr">
        <is>
          <t>indeed</t>
        </is>
      </c>
      <c r="E3" t="inlineStr"/>
      <c r="F3" t="inlineStr"/>
      <c r="G3" t="inlineStr">
        <is>
          <t>Brooklyn Park, MN, US</t>
        </is>
      </c>
      <c r="H3" s="2" t="n">
        <v>46049</v>
      </c>
      <c r="I3" t="inlineStr">
        <is>
          <t>**Company Description** **A Little About Us**
At Dungarvin, we are more than a national provider of support services—we are a mission\-driven organization rooted in respect, inclusion, and person\-centered care. Since 1976, we have been committed to enhancing the quality of life for individuals with intellectual and developmental disabilities, including those with mental health, behavioral, and complex medical needs.
**Dungarvin’s mission is simple yet powerful: respecting and responding to the choices of people in need of supports.** This mission guides everything we do—from the way we build individualized service plans to how we engage with families, teams, and communities. We believe each person deserves to direct their own life, and we work to ensure their voices are heard and honored.
Operating across fifteen states, our team members—from direct support professionals to administrative staff—share a common purpose: to empower people with disabilities to live meaningful lives, on their own terms. Through Medicaid and Community Support Waivers, we deliver flexible, high\-quality services tailored to each individual’s goals, values, and aspirations.
Join our Dungarvin family and help us make a lasting impact—one person, one voice, one choice at a time.
Embrace the opportunity to positively impact someone’s life!
* Starting Salary $52,000\.00 \- $53,430\.00 annually \*Listed salary range is based on experience level and may vary depending on an individuals skills and qualifications.
* $5,000\.00 retention bonus
* Medical, Vision and Dental Insurance for eligible employees
* Supplemental Insurance
* Flex Spending and HSA Accounts for eligible employees.
* Pet Insurance
* Life Insurance
* 401K with up to 3% employer matching after one year with eligibility requirements
* Paid Time Off
* PTO Donation
* Growth and Development Opportunities
* Employee Referral Program
* Scheduled pay increases
* Employee Assistance Program
* Dedicated training department with paid training
Note: Current employees of Dungarvin are not eligible for the sign\-on bonus associated with this position.
 **Job Description**  
The **Program Manager** is responsible for coordination and management of the daily operations of the overall services. The two priority areas of responsibility include ensuring orientation and ongoing training of staff and ensuring all aspects of the program are developed, implemented, coordinated, and monitored to the highest degree possible. The Program Manager should have direct communication and access to the director and all supervisors within the organization.
 **Qualifications**  
* 2 years of lead experience in the human services field
* Must qualify as a Designated Coordinator
* Must have basic computer skills, good decision\-making skills, time management and communication skills and be responsible, mature and flexible.
* Valid driver's license with acceptable driving record
* Current auto liability insurance with reliable transportation
* Valid driver license with an acceptable driving record
**Additional Information**  
At Dungarvin, diversity and inclusion are a part of what makes our organization strong. Together, we can continue to work towards an inclusive culture that supports our employees and persons served. Dungarvin is an affirmative action and equal opportunity employer
1/27
\#DMNFLMJ</t>
        </is>
      </c>
    </row>
    <row r="4">
      <c r="A4" t="inlineStr">
        <is>
          <t>in-912f45b5a08307d4</t>
        </is>
      </c>
      <c r="B4" t="inlineStr">
        <is>
          <t>Product Manager, Patient Engagement (EHR- Dermatology)</t>
        </is>
      </c>
      <c r="C4" t="inlineStr">
        <is>
          <t>EZDERM, LLC</t>
        </is>
      </c>
      <c r="D4" t="inlineStr">
        <is>
          <t>indeed</t>
        </is>
      </c>
      <c r="E4" t="inlineStr"/>
      <c r="F4" t="inlineStr"/>
      <c r="G4" t="inlineStr">
        <is>
          <t>Remote, US</t>
        </is>
      </c>
      <c r="H4" s="2" t="n">
        <v>46049</v>
      </c>
      <c r="I4" t="inlineStr">
        <is>
          <t>**Preferred location is southeast US (FL, GA, NC, SC, TN)**
**The position is remote but may involve up to 35% domestic and international (Serbia) travel.**
**Overview**  
Ezderm is seeking a Product Manager for Patient Engagement to join our team. Reporting to the VP of Product, you will be responsible for leading the future of our patient\-facing solutions, focusing on how we build integrated engagement tools and identifying the strategic investments we should make next. You’ll work with our clients, end\-users, and cross\-functional teams across the organization to gather the insights needed to build innovative software, manage complex telecommunications compliance, and help grow Ezderm’s footprint in the dermatology industry.
**Main Responsibilities:** 
* **Product Strategy \&amp; Discovery:** Lead market discovery, build customer advisory groups, and define the roadmap for messaging, scheduling, and portal solutions.
* **UX \&amp; Quality Stewardship:** Act as the final authority on UX approval and User Acceptance Testing (UAT) to ensure a seamless, high\-end patient journey.
* **Global Collaboration:** Work closely with our engineering teams in Europe and market\-facing teams in North America to ensure features are deeply integrated and market\-ready.
* **Beta \&amp; Pilot Management:** Lead and oversee beta programs and pilot phases, gathering direct feedback from early adopters to ensure the product is refined and ready for wide\-scale release.
* **KPI Management:** Create, track, and report on Key Performance Indicators (KPIs) to measure product health, adoption rates, and the impact of engagement features on operational efficiency.
* **Go\-To\-Market \&amp; Enablement:** Partner with Sales, Marketing, and Training teams to develop value propositions, competitive positioning, and the toolkits needed to successfully launch products and drive adoption.
* **Compliance \&amp; Partner Management:** Manage the regulatory landscape (TCPA, CAN\-SPAM, 10DLC) and maintain relationships with communication infrastructure partners.
**Qualifications:**
* 3\+ years of Product Management experience in HealthTech or similar software environments.
* Proven ability to manage product delivery and ensure compliance with industry and federal regulations (such as HIPAA or telecommunications standards) through proactive research and application.
* Strong ability to lead discovery and validation efforts, turning complex ideas into clear requirements and successful go\-to\-market strategies.
* Ability to translate technical or regulatory requirements into simple, value\-driven language for both internal stakeholders and clinical customers.
* Understanding of the patient journey and the importance of digital engagement in modern healthcare.
* Familiarity with Agile/Scrum methodologies.
* Excellent communication (verbal and written), interpersonal, collaboration, and relationship\-building skills.
* Strong critical thinking, prioritization, and organizational skills; ability to integrate clinical and technical knowledge.
**Additional Information:**
**Work Environment:** Position requires occasional travel by car and/or plane. Otherwise, normal office working conditions remotely..
**Position Type and Expected Working Hours:** Expected working hours during normal business hours of approximately 8:00am \- 5:00pm EST Monday through Friday, subject to change at your Manager’s discretion.
**Travel:** Travel up to 30% domestically and internationally which requires a valid driver’s license and passport.
**Physical Demands:** Bending, sitting, and standing for long periods of time. May require lifting objects weighing up to 20 lbs. as needed. Driving required occasionally..
Job Type: Full\-time
Benefits:
* 401(k)
* Dental insurance
* Flexible schedule
* Health insurance
* Paid time off
* Vision insurance
Work Location: Remote</t>
        </is>
      </c>
    </row>
    <row r="5">
      <c r="A5" t="inlineStr">
        <is>
          <t>in-e7e72bd95b6181a1</t>
        </is>
      </c>
      <c r="B5" t="inlineStr">
        <is>
          <t>Senior Program Manager</t>
        </is>
      </c>
      <c r="C5" t="inlineStr">
        <is>
          <t>BD</t>
        </is>
      </c>
      <c r="D5" t="inlineStr">
        <is>
          <t>indeed</t>
        </is>
      </c>
      <c r="E5" t="inlineStr"/>
      <c r="F5" t="inlineStr"/>
      <c r="G5" t="inlineStr">
        <is>
          <t>San Diego, CA, US</t>
        </is>
      </c>
      <c r="H5" s="2" t="n">
        <v>46048</v>
      </c>
      <c r="I5"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**Key Responsibilities**
* Leads complex sustaining programs and projects for the reagents platform, ensuring business continuity and long\-term product reliability.
* Drives initiatives focused on quality improvements, product enhancements, and cost optimization to maintain competitiveness and compliance.
* Facilitates decision\-making for projects with multiple dependencies, balancing technical, operational, and business priorities.
* Manages cross\-functional and multi\-site teams, ensuring alignment and collaboration across R\&amp;D, manufacturing, quality, and regulatory functions.
* Defines program priorities and resource needs, negotiating resourcing plans to meet timelines and deliverables.
* Influences stakeholders at all levels to secure commitment and resolve challenges impacting sustaining activities.
* Establishes and maintains effective communication channels across teams and leadership, providing clear updates and actionable insights.
* Leads planning and execution for sustaining projects, ensuring clarity of requirements, schedules, and adherence to quality and regulatory standards.
* Owns adherence to budgets, timelines, and performance metrics for projects aimed at improving reliability and reducing costs.
* Mentors and guides program managers and team leads, fostering collaboration and continuous improvement.
* Drives risk management strategies and leads cross\-functional problem\-solving to mitigate risks impacting product availability or compliance.
* Facilitates technical and design reviews, constructively challenging assumptions and enabling innovative solutions for sustaining activities.
* Serves as a subject matter expert in sustaining program management, influencing best practices and organizational standards.
**Basic Qualifications**
* Bachelor of Science (BS) degree in a science or engineering field with 8\+ years of progressive experience managing complex projects and programs within the Biotech/IVD or Medical Device industry, including reagent\-related platforms.
* Proven track record of leading large\-scale, multi\-site programs in a matrixed organization, requiring advanced influence management and stakeholder engagement skills.
* Expert\-level decision\-making ability – skilled at negotiating priorities across multiple functional areas and making timely decisions under risk and uncertainty.
* Strong understanding of Biotech/IVD or Medical Device product development and global regulatory registration processes and requirements, with solid knowledge of product lifecycle management (PLM) in regulated environments.
* Demonstrated ability to drive cross\-functional alignment and lead teams through ambiguity, ensuring delivery of business\-critical sustaining initiatives.
* Self\-starter, detail\-oriented, committed, results\-driven, and recognized as a collaborative leader.
* Advanced understanding of program and project management standards, principles, and methodologies, with experience applying them to complex, regulated environments.
* Highly proficient with MS Project, Power BI, Excel, PowerPoint, and Teams, with the ability to lead executive\-level presentations and data\-driven discussions.
**Preferred Qualifications**
* Master’s degree or equivalent in science, engineering, or business.
* PMP Certification or equivalent advanced project/program management credential.
* Deep knowledge of IVD Medical Device Regulations, Biotech Product Development Process, and Operations.
* Demonstrated success in managing sustaining programs focused on quality improvements, cost reduction, and lifecycle management.
* Experience with reagent manufacturing or sustaining activities in a regulated environment (IVD, biotech).
* Ability to influence at all levels of the organization, including senior leadership, and navigate complex decision\-making processes.
* Experience with SAP and enterprise resource planning systems is a plus.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CA \- San Diego (BDB)**Additional Locations**
========================
USA CA \- Milpitas 135**Work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$137,100\.00 \- $226,300\.00 USD Annual</t>
        </is>
      </c>
    </row>
    <row r="6">
      <c r="A6" t="inlineStr">
        <is>
          <t>in-aff3614f28bbdd7f</t>
        </is>
      </c>
      <c r="B6" t="inlineStr">
        <is>
          <t>Technical Program Manager III, Global Hardware Quality and Reliability</t>
        </is>
      </c>
      <c r="C6" t="inlineStr">
        <is>
          <t>Google</t>
        </is>
      </c>
      <c r="D6" t="inlineStr">
        <is>
          <t>indeed</t>
        </is>
      </c>
      <c r="E6" t="inlineStr"/>
      <c r="F6" t="inlineStr"/>
      <c r="G6" t="inlineStr">
        <is>
          <t>Sunnyvale, CA, US</t>
        </is>
      </c>
      <c r="H6" s="2" t="n">
        <v>46048</v>
      </c>
      <c r="I6" t="inlineStr">
        <is>
          <t>### **Minimum qualifications:**
* Bachelor's degree in a technical field, or equivalent practical experience.
* 5 years of experience in program management.
* Experience in hardware product quality, machine learning, compute or storage.
* Experience working with Fiber and Copper, networking and data center cabling.
### **Preferred qualifications:**
* Master's degree in Electrical, Mechanical, or Software Engineering.
* 5 years of experience managing cross\-functional or cross\-team projects.
* Experience working with structured cabling.
* Experience working in data center operations.
**About the job**
-----------------
The Global Hardware and Reliability team inspires people and organizations to be a change agent for improving Google data center hardware deployments, builds, and quality.  
We are seeking a Technical Program Manager to drive Google Data Center machine and rack infrastructure quality through managing New Product Introduction Deployments, Builds, and Quality, and assure continuous improvements in Quality from Development through Full Production Entry.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schedules and requirements in support of overall program quality and reliability.
* Collaborate with product and data center quality engineers, in coordination with Development Engineering, in the achievement of quality and reliability.
* Lead data analysis efforts to track trends and identify quality/reliability escapes and set quality goals.
* Program Manage data center technicians, engineering, and manufacturing quality engineers.
* Partner with Supply Chain, Logistics, Data Center Operations, Reliability and Product and Supplier Quality teams in support of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in-990b8949d9e930db</t>
        </is>
      </c>
      <c r="B7" t="inlineStr">
        <is>
          <t>Lead Senior Program Manager, Public Sector Compliance Delivery</t>
        </is>
      </c>
      <c r="C7" t="inlineStr">
        <is>
          <t>Google</t>
        </is>
      </c>
      <c r="D7" t="inlineStr">
        <is>
          <t>indeed</t>
        </is>
      </c>
      <c r="E7" t="inlineStr"/>
      <c r="F7" t="inlineStr"/>
      <c r="G7" t="inlineStr">
        <is>
          <t>Reston, VA, US</t>
        </is>
      </c>
      <c r="H7" s="2" t="n">
        <v>46048</v>
      </c>
      <c r="I7" t="inlineStr">
        <is>
          <t>### **Minimum qualifications:**
* Bachelor's degree or equivalent practical experience.
* 8 years of experience in program or project management.
* 8 years of experience in compliance, information security, IT audit, or risk management.
* 5 years of experience in a leadership role.
* Experience in AI and people management.
* Experience in compliance, stakeholder management, reporting, and risk analysis.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To help governments and government customers meet their Google Cloud compliance goals, Cloud CISO Public Sector builds on Google Cloud's core privacy and security measures, adding support for public sector\-specific requirements. To do this, we unblock and maintain business by improving program and control maturity, workflow design, program structure, control standardization, and compliance oversight. We serve as a trusted advisor to the business by ensuring that public sector risk exposure is transparent and approved. We promote the growth of Google Cloud’s Public Sector business by driving accountability, consistency, efficiency and governance.
The Cloud CISO Public Sector team is part of the CISO Risk and Compliance organization. The Risk and Compliance team supports Google Cloud by managing risks, ensuring accountability, defining and enforcing compliance standards, monitoring controls, and collaborating with stakeholders to meet evolving security, privacy and compliance requirements.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large, complex, cross\-organizational strategic compliance programs with measurable business impact, aligned with company\-level OKRs.
* Cultivate trusted partnerships both internally (e.g. with product, engineering, sales, compliance, policy, and legal teams) and externally with Google Cloud regulators and public sector procurement agencies along with government and industry partners.
* Lead a team to apply technical acumen to evaluate and analyze Google Cloud public sector compliance obligations, including by completing gap analyses and compliance readiness risk assessments.
* Use problem solving skills and ability to translate ambiguous problems into actionable analysis and artifacts.
* Lead a team to articulate and document Google Cloud public sector compliance for both external public sector oversight entities and to internal product, engineering, and sales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in-4c05f842822db453</t>
        </is>
      </c>
      <c r="B8" t="inlineStr">
        <is>
          <t>Technical Program Manager, Network Operations</t>
        </is>
      </c>
      <c r="C8" t="inlineStr">
        <is>
          <t>Google</t>
        </is>
      </c>
      <c r="D8" t="inlineStr">
        <is>
          <t>indeed</t>
        </is>
      </c>
      <c r="E8" t="inlineStr"/>
      <c r="F8" t="inlineStr"/>
      <c r="G8" t="inlineStr">
        <is>
          <t>New York, NY, US</t>
        </is>
      </c>
      <c r="H8" s="2" t="n">
        <v>46048</v>
      </c>
      <c r="I8" t="inlineStr">
        <is>
          <t>Note: By applying to this position you will have an opportunity to share your preferred working location from the following: **New York, NY, USA; San Diego, CA, USA**.### **Minimum qualifications:**
* Bachelor's degree in a technical field, or equivalent practical experience.
* 5 years of experience in program management.
* Experience with customer engagement, customer\-facing, network design, network connectivity, teamwork, process capability, reporting, technology sales and operational support systems.
### **Preferred qualifications:**
* 5 years of experience managing cross\-functional or cross\-team projects.
* Experience with network configuration and operational analysis.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Regional Network Service Management Lead is a strategic player\-coach role within the newly established Global Submarine Networks (GSN) operating organization. This position is the foundational architect for how GSN moves from infrastructure construction to service delivery and management operating models.
In this role, you will design the build\-to\-operate and service\-to\-handover frameworks, ensuring that as new subsea cable systems reach commercial acceptance, they are seamlessly integrated into a governed, compliant, and customer\-centric operational model. This role requires a hybrid expertise in telecommunications (Subsea/Optical) and IT Service Management (ITIL/Enterprise IT).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in-7e6870bfcad861d6</t>
        </is>
      </c>
      <c r="B9" t="inlineStr">
        <is>
          <t>Senior Program Manager, Commercial Partnerships, Advanced Energy Technologies</t>
        </is>
      </c>
      <c r="C9" t="inlineStr">
        <is>
          <t>Google</t>
        </is>
      </c>
      <c r="D9" t="inlineStr">
        <is>
          <t>indeed</t>
        </is>
      </c>
      <c r="E9" t="inlineStr"/>
      <c r="F9" t="inlineStr"/>
      <c r="G9" t="inlineStr">
        <is>
          <t>New York, NY, US</t>
        </is>
      </c>
      <c r="H9" s="2" t="n">
        <v>46048</v>
      </c>
      <c r="I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Seattle, WA, USA; San Francisco, CA, USA**.### **Minimum qualifications:**
* Bachelor's degree in Engineering, Business, Economics, a related field, or equivalent practical experience.
* 8 years of experience in program management.
* 5 years of experience in energy project development, commercial negotiations, or business development for infrastructure, power generation, data center projects, or related industries.
* Experience developing and negotiating energy or infrastructure partnerships (e.g., Power Purchase Agreements (PPAs) or utility interconnection agreements).
* Experience with energy technologies, such as next\-generation geothermal, advanced nuclear, energy storage (batteries or non\-electrochemical), and decarbonization solutions (e.g., carbon capture).
* Experience managing cross\-functional programs.
### **Preferred qualifications:**
* 8 years of experience in the power generation, utility, or data center industry in distributed or onsite energy resources.
* Experience in programmatically scaling commercial models and partnerships for new or emerging technologies.
* Ability to develop and negotiate energy partnerships (e.g., Power Purchase Agreements) with developers, utilities, or government entities across international markets.
**About the job**
-----------------
The Google Advanced Energy Technologies team is seeking an experienced and entrepreneurial Program Manager for Commercial Advanced Energy Partnerships. In this critical role, you will be instrumental in securing the strategic partnerships and commercial agreements to bring advanced energy technologies and new deployment approaches to meet Google's global data center energy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evaluate, and prioritize attractive commercial partners, project opportunities, and innovative deployment models for advanced energy solutions to meet Google's data center clean energy needs.
* Lead negotiations for a variety of complex agreements, including offtake, joint development agreements, and investments related to advanced energy projects.
* Drive alignment and buy\-in with internal and external stakeholders to secure project approvals and investment.
* Maintain up\-to\-date knowledge of the advanced energy landscape, including emerging technologies such as next\-generation geothermal, nuclear, energy storage, and carbon capture, translating technical advancements into viable commercial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in-1a482d8a79fa1a56</t>
        </is>
      </c>
      <c r="B10" t="inlineStr">
        <is>
          <t>Senior Program Manager, Commercial Partnerships, Advanced Energy Technologies</t>
        </is>
      </c>
      <c r="C10" t="inlineStr">
        <is>
          <t>Google</t>
        </is>
      </c>
      <c r="D10" t="inlineStr">
        <is>
          <t>indeed</t>
        </is>
      </c>
      <c r="E10" t="inlineStr"/>
      <c r="F10" t="inlineStr"/>
      <c r="G10" t="inlineStr">
        <is>
          <t>Seattle, WA, US</t>
        </is>
      </c>
      <c r="H10" s="2" t="n">
        <v>46048</v>
      </c>
      <c r="I1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Seattle, WA, USA; San Francisco, CA, USA**.### **Minimum qualifications:**
* Bachelor's degree in Engineering, Business, Economics, a related field, or equivalent practical experience.
* 8 years of experience in program management.
* 5 years of experience in energy project development, commercial negotiations, or business development for infrastructure, power generation, data center projects, or related industries.
* Experience developing and negotiating energy or infrastructure partnerships (e.g., Power Purchase Agreements (PPAs) or utility interconnection agreements).
* Experience with energy technologies, such as next\-generation geothermal, advanced nuclear, energy storage (batteries or non\-electrochemical), and decarbonization solutions (e.g., carbon capture).
* Experience managing cross\-functional programs.
### **Preferred qualifications:**
* 8 years of experience in the power generation, utility, or data center industry in distributed or onsite energy resources.
* Experience in programmatically scaling commercial models and partnerships for new or emerging technologies.
* Ability to develop and negotiate energy partnerships (e.g., Power Purchase Agreements) with developers, utilities, or government entities across international markets.
**About the job**
-----------------
The Google Advanced Energy Technologies team is seeking an experienced and entrepreneurial Program Manager for Commercial Advanced Energy Partnerships. In this critical role, you will be instrumental in securing the strategic partnerships and commercial agreements to bring advanced energy technologies and new deployment approaches to meet Google's global data center energy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evaluate, and prioritize attractive commercial partners, project opportunities, and innovative deployment models for advanced energy solutions to meet Google's data center clean energy needs.
* Lead negotiations for a variety of complex agreements, including offtake, joint development agreements, and investments related to advanced energy projects.
* Drive alignment and buy\-in with internal and external stakeholders to secure project approvals and investment.
* Maintain up\-to\-date knowledge of the advanced energy landscape, including emerging technologies such as next\-generation geothermal, nuclear, energy storage, and carbon capture, translating technical advancements into viable commercial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in-654cac02f3fde450</t>
        </is>
      </c>
      <c r="B11" t="inlineStr">
        <is>
          <t>Technical Program Manager, Network Operations</t>
        </is>
      </c>
      <c r="C11" t="inlineStr">
        <is>
          <t>Google</t>
        </is>
      </c>
      <c r="D11" t="inlineStr">
        <is>
          <t>indeed</t>
        </is>
      </c>
      <c r="E11" t="inlineStr"/>
      <c r="F11" t="inlineStr"/>
      <c r="G11" t="inlineStr">
        <is>
          <t>San Diego, CA, US</t>
        </is>
      </c>
      <c r="H11" s="2" t="n">
        <v>46048</v>
      </c>
      <c r="I11" t="inlineStr">
        <is>
          <t>Note: By applying to this position you will have an opportunity to share your preferred working location from the following: **New York, NY, USA; San Diego, CA, USA**.### **Minimum qualifications:**
* Bachelor's degree in a technical field, or equivalent practical experience.
* 5 years of experience in program management.
* Experience with customer engagement, customer\-facing, network design, network connectivity, teamwork, process capability, reporting, technology sales and operational support systems.
### **Preferred qualifications:**
* 5 years of experience managing cross\-functional or cross\-team projects.
* Experience with network configuration and operational analysis.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Regional Network Service Management Lead is a strategic player\-coach role within the newly established Global Submarine Networks (GSN) operating organization. This position is the foundational architect for how GSN moves from infrastructure construction to service delivery and management operating models.
In this role, you will design the build\-to\-operate and service\-to\-handover frameworks, ensuring that as new subsea cable systems reach commercial acceptance, they are seamlessly integrated into a governed, compliant, and customer\-centric operational model. This role requires a hybrid expertise in telecommunications (Subsea/Optical) and IT Service Management (ITIL/Enterprise IT).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in-9d002b315a20f790</t>
        </is>
      </c>
      <c r="B12" t="inlineStr">
        <is>
          <t>Senior Program Manager, Commercial Partnerships, Advanced Energy Technologies</t>
        </is>
      </c>
      <c r="C12" t="inlineStr">
        <is>
          <t>Google</t>
        </is>
      </c>
      <c r="D12" t="inlineStr">
        <is>
          <t>indeed</t>
        </is>
      </c>
      <c r="E12" t="inlineStr"/>
      <c r="F12" t="inlineStr"/>
      <c r="G12" t="inlineStr">
        <is>
          <t>San Francisco, CA, US</t>
        </is>
      </c>
      <c r="H12" s="2" t="n">
        <v>46048</v>
      </c>
      <c r="I1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Seattle, WA, USA; San Francisco, CA, USA**.### **Minimum qualifications:**
* Bachelor's degree in Engineering, Business, Economics, a related field, or equivalent practical experience.
* 8 years of experience in program management.
* 5 years of experience in energy project development, commercial negotiations, or business development for infrastructure, power generation, data center projects, or related industries.
* Experience developing and negotiating energy or infrastructure partnerships (e.g., Power Purchase Agreements (PPAs) or utility interconnection agreements).
* Experience with energy technologies, such as next\-generation geothermal, advanced nuclear, energy storage (batteries or non\-electrochemical), and decarbonization solutions (e.g., carbon capture).
* Experience managing cross\-functional programs.
### **Preferred qualifications:**
* 8 years of experience in the power generation, utility, or data center industry in distributed or onsite energy resources.
* Experience in programmatically scaling commercial models and partnerships for new or emerging technologies.
* Ability to develop and negotiate energy partnerships (e.g., Power Purchase Agreements) with developers, utilities, or government entities across international markets.
**About the job**
-----------------
The Google Advanced Energy Technologies team is seeking an experienced and entrepreneurial Program Manager for Commercial Advanced Energy Partnerships. In this critical role, you will be instrumental in securing the strategic partnerships and commercial agreements to bring advanced energy technologies and new deployment approaches to meet Google's global data center energy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evaluate, and prioritize attractive commercial partners, project opportunities, and innovative deployment models for advanced energy solutions to meet Google's data center clean energy needs.
* Lead negotiations for a variety of complex agreements, including offtake, joint development agreements, and investments related to advanced energy projects.
* Drive alignment and buy\-in with internal and external stakeholders to secure project approvals and investment.
* Maintain up\-to\-date knowledge of the advanced energy landscape, including emerging technologies such as next\-generation geothermal, nuclear, energy storage, and carbon capture, translating technical advancements into viable commercial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in-8d56e68bd0a942fb</t>
        </is>
      </c>
      <c r="B13" t="inlineStr">
        <is>
          <t>Senior Program Manager, Commercial Partnerships, Advanced Energy Technologies</t>
        </is>
      </c>
      <c r="C13" t="inlineStr">
        <is>
          <t>Google</t>
        </is>
      </c>
      <c r="D13" t="inlineStr">
        <is>
          <t>indeed</t>
        </is>
      </c>
      <c r="E13" t="inlineStr"/>
      <c r="F13" t="inlineStr"/>
      <c r="G13" t="inlineStr">
        <is>
          <t>Mountain View, CA, US</t>
        </is>
      </c>
      <c r="H13" s="2" t="n">
        <v>46048</v>
      </c>
      <c r="I1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Seattle, WA, USA; San Francisco, CA, USA**.### **Minimum qualifications:**
* Bachelor's degree in Engineering, Business, Economics, a related field, or equivalent practical experience.
* 8 years of experience in program management.
* 5 years of experience in energy project development, commercial negotiations, or business development for infrastructure, power generation, data center projects, or related industries.
* Experience developing and negotiating energy or infrastructure partnerships (e.g., Power Purchase Agreements (PPAs) or utility interconnection agreements).
* Experience with energy technologies, such as next\-generation geothermal, advanced nuclear, energy storage (batteries or non\-electrochemical), and decarbonization solutions (e.g., carbon capture).
* Experience managing cross\-functional programs.
### **Preferred qualifications:**
* 8 years of experience in the power generation, utility, or data center industry in distributed or onsite energy resources.
* Experience in programmatically scaling commercial models and partnerships for new or emerging technologies.
* Ability to develop and negotiate energy partnerships (e.g., Power Purchase Agreements) with developers, utilities, or government entities across international markets.
**About the job**
-----------------
The Google Advanced Energy Technologies team is seeking an experienced and entrepreneurial Program Manager for Commercial Advanced Energy Partnerships. In this critical role, you will be instrumental in securing the strategic partnerships and commercial agreements to bring advanced energy technologies and new deployment approaches to meet Google's global data center energy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evaluate, and prioritize attractive commercial partners, project opportunities, and innovative deployment models for advanced energy solutions to meet Google's data center clean energy needs.
* Lead negotiations for a variety of complex agreements, including offtake, joint development agreements, and investments related to advanced energy projects.
* Drive alignment and buy\-in with internal and external stakeholders to secure project approvals and investment.
* Maintain up\-to\-date knowledge of the advanced energy landscape, including emerging technologies such as next\-generation geothermal, nuclear, energy storage, and carbon capture, translating technical advancements into viable commercial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in-5b39f18aa3f62775</t>
        </is>
      </c>
      <c r="B14" t="inlineStr">
        <is>
          <t>Technical Program Manager, SLED, Google Public Sector</t>
        </is>
      </c>
      <c r="C14" t="inlineStr">
        <is>
          <t>Google</t>
        </is>
      </c>
      <c r="D14" t="inlineStr">
        <is>
          <t>indeed</t>
        </is>
      </c>
      <c r="E14" t="inlineStr"/>
      <c r="F14" t="inlineStr"/>
      <c r="G14" t="inlineStr">
        <is>
          <t>Cambridge, MA, US</t>
        </is>
      </c>
      <c r="H14" s="2" t="n">
        <v>46048</v>
      </c>
      <c r="I14" t="inlineStr">
        <is>
          <t>Note: By applying to this position you will have an opportunity to share your preferred working location from the following: **New York, NY, USA; Cambridge, MA, USA; Reston, VA, USA**.### **Minimum qualifications:**
* Bachelor's degree in a technical field, or equivalent practical experience.
* 5 years of experience in program management.
* Experience delivering digital transformation projects to organizations.
### **Preferred qualifications:**
* Certification in Google Cloud Platform (GCP) and Project Management Professional (PMP).
* 5 years of experience managing cross\-functional or cross\-team projects.
* Experience working with new and emerging technologies, methodologies, and solutions in the cloud and broader enterprise technology transformation space.
* Experience leading the full business cycle for complex professional services engagements.
* Experience building relationships with government officials and C\-level stakeholders by developing a strong understanding of the customer business and managing in\-depth, data\-driven insights.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SLED East team is a high\-performing, integrated team within GPS services, focused on delivering comprehensive, security\-centric solutions to our State, Local, and Education (SLED) public sector customers in the East. We partner closely with our Go\-To\-Market teams and work collaboratively with state, local, and education entities to understand their unique challenges. By breaking down silos and leveraging our collective expertise, we activate technology across the complete Google Cloud solution set, empowering these organizations to achieve their mission\-critical objectives while maintaining the highest standards of data security, creating long\-term value and trust within their communities.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strategy, planning, and successful delivery of technical transformation engagements for Google's strategic public sector customers in the East region, overseeing execution across technical teams and partners.
* Serve as a strategic partner to the Go\-to\-Market team, leading the full business cycle for professional services engagements by proactively identifying customer challenges and needs to position Google Cloud products and solutions and drive account growth.
* Provide thought leadership, consulting, and technical outlook for customer engagements and the program portfolio, collaborating with Google's cross\-functional executives and key technical leaders to oversee solution planning and deployment, evaluate technical data, and lead technical decision\-making to ensure sound technical direction and excellence.
* Define the scope of projects and develop, execute, or manage project plans for supported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in-d24f2ff04fcae7a6</t>
        </is>
      </c>
      <c r="B15" t="inlineStr">
        <is>
          <t>Technical Program Manager, SLED, Google Public Sector</t>
        </is>
      </c>
      <c r="C15" t="inlineStr">
        <is>
          <t>Google</t>
        </is>
      </c>
      <c r="D15" t="inlineStr">
        <is>
          <t>indeed</t>
        </is>
      </c>
      <c r="E15" t="inlineStr"/>
      <c r="F15" t="inlineStr"/>
      <c r="G15" t="inlineStr">
        <is>
          <t>Reston, VA, US</t>
        </is>
      </c>
      <c r="H15" s="2" t="n">
        <v>46048</v>
      </c>
      <c r="I15" t="inlineStr">
        <is>
          <t>Note: By applying to this position you will have an opportunity to share your preferred working location from the following: **New York, NY, USA; Cambridge, MA, USA; Reston, VA, USA**.### **Minimum qualifications:**
* Bachelor's degree in a technical field, or equivalent practical experience.
* 5 years of experience in program management.
* Experience delivering digital transformation projects to organizations.
### **Preferred qualifications:**
* Certification in Google Cloud Platform (GCP) and Project Management Professional (PMP).
* 5 years of experience managing cross\-functional or cross\-team projects.
* Experience working with new and emerging technologies, methodologies, and solutions in the cloud and broader enterprise technology transformation space.
* Experience leading the full business cycle for complex professional services engagements.
* Experience building relationships with government officials and C\-level stakeholders by developing a strong understanding of the customer business and managing in\-depth, data\-driven insights.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SLED East team is a high\-performing, integrated team within GPS services, focused on delivering comprehensive, security\-centric solutions to our State, Local, and Education (SLED) public sector customers in the East. We partner closely with our Go\-To\-Market teams and work collaboratively with state, local, and education entities to understand their unique challenges. By breaking down silos and leveraging our collective expertise, we activate technology across the complete Google Cloud solution set, empowering these organizations to achieve their mission\-critical objectives while maintaining the highest standards of data security, creating long\-term value and trust within their communities.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strategy, planning, and successful delivery of technical transformation engagements for Google's strategic public sector customers in the East region, overseeing execution across technical teams and partners.
* Serve as a strategic partner to the Go\-to\-Market team, leading the full business cycle for professional services engagements by proactively identifying customer challenges and needs to position Google Cloud products and solutions and drive account growth.
* Provide thought leadership, consulting, and technical outlook for customer engagements and the program portfolio, collaborating with Google's cross\-functional executives and key technical leaders to oversee solution planning and deployment, evaluate technical data, and lead technical decision\-making to ensure sound technical direction and excellence.
* Define the scope of projects and develop, execute, or manage project plans for supported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in-b2080f07eac1bfac</t>
        </is>
      </c>
      <c r="B16" t="inlineStr">
        <is>
          <t>Technical Program Manager, SLED, Google Public Sector</t>
        </is>
      </c>
      <c r="C16" t="inlineStr">
        <is>
          <t>Google</t>
        </is>
      </c>
      <c r="D16" t="inlineStr">
        <is>
          <t>indeed</t>
        </is>
      </c>
      <c r="E16" t="inlineStr"/>
      <c r="F16" t="inlineStr"/>
      <c r="G16" t="inlineStr">
        <is>
          <t>New York, NY, US</t>
        </is>
      </c>
      <c r="H16" s="2" t="n">
        <v>46048</v>
      </c>
      <c r="I16" t="inlineStr">
        <is>
          <t>Note: By applying to this position you will have an opportunity to share your preferred working location from the following: **New York, NY, USA; Cambridge, MA, USA; Reston, VA, USA**.### **Minimum qualifications:**
* Bachelor's degree in a technical field, or equivalent practical experience.
* 5 years of experience in program management.
* Experience delivering digital transformation projects to organizations.
### **Preferred qualifications:**
* Certification in Google Cloud Platform (GCP) and Project Management Professional (PMP).
* 5 years of experience managing cross\-functional or cross\-team projects.
* Experience working with new and emerging technologies, methodologies, and solutions in the cloud and broader enterprise technology transformation space.
* Experience leading the full business cycle for complex professional services engagements.
* Experience building relationships with government officials and C\-level stakeholders by developing a strong understanding of the customer business and managing in\-depth, data\-driven insights.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SLED East team is a high\-performing, integrated team within GPS services, focused on delivering comprehensive, security\-centric solutions to our State, Local, and Education (SLED) public sector customers in the East. We partner closely with our Go\-To\-Market teams and work collaboratively with state, local, and education entities to understand their unique challenges. By breaking down silos and leveraging our collective expertise, we activate technology across the complete Google Cloud solution set, empowering these organizations to achieve their mission\-critical objectives while maintaining the highest standards of data security, creating long\-term value and trust within their communities.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strategy, planning, and successful delivery of technical transformation engagements for Google's strategic public sector customers in the East region, overseeing execution across technical teams and partners.
* Serve as a strategic partner to the Go\-to\-Market team, leading the full business cycle for professional services engagements by proactively identifying customer challenges and needs to position Google Cloud products and solutions and drive account growth.
* Provide thought leadership, consulting, and technical outlook for customer engagements and the program portfolio, collaborating with Google's cross\-functional executives and key technical leaders to oversee solution planning and deployment, evaluate technical data, and lead technical decision\-making to ensure sound technical direction and excellence.
* Define the scope of projects and develop, execute, or manage project plans for supported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in-185133c47997f75a</t>
        </is>
      </c>
      <c r="B17" t="inlineStr">
        <is>
          <t>Senior Technical Program Manager, Data Cloud, BigQuery</t>
        </is>
      </c>
      <c r="C17" t="inlineStr">
        <is>
          <t>Google</t>
        </is>
      </c>
      <c r="D17" t="inlineStr">
        <is>
          <t>indeed</t>
        </is>
      </c>
      <c r="E17" t="inlineStr"/>
      <c r="F17" t="inlineStr"/>
      <c r="G17" t="inlineStr">
        <is>
          <t>Sunnyvale, CA, US</t>
        </is>
      </c>
      <c r="H17" s="2" t="n">
        <v>46048</v>
      </c>
      <c r="I1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with stakeholder management.
* Experience working with data analytics.
* Experience with portfolio management.
### **Preferred qualifications:**
* 10 years of experience in program management.
* Experience running large cross\-organization programs.
* Ability to exercise technical judgment and demonstrate an understanding of infrastructure/systems.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Data Cloud consisting of products across Data Analytics and Database and is one of the fastest growing areas in Google Cloud, with a portfolio of leading products in databases, data analytics, data transformation and visualization. Our area is building infrastructure and products for customers to drive insights and intelligence from their data. We are on a path to unleash numerous data and Artificial Intelligence (AI) related products including agentic applications. Join us at this pivotal juncture to build the future of Data and AI in Google Cloud Platform (GCP).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the goal and direction for multiple programs by outlining goals and objectives, evaluating and running multiple projects, organizing cross\-project work within the program, and defining program controls/ governance/standards.
* Drive consistency between cloud processes and central processes. Bring visibility and strengthen communication across the teams.
* Enable execution across multiple teams and drive delivery across the complete portfolio of cloud products and solutions.
* Engage with engineering directors, product leaders and other Technical Program Manager (TPM) groups, to streamline processes, simplify execution, manage Objectives and Key Results (OKRs), release on time, bring tooling for efficiencies and help the teams you are engaged with in execution.
* Lead and mentor project staff and team members.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in-736d651f84d6877f</t>
        </is>
      </c>
      <c r="B18" t="inlineStr">
        <is>
          <t>Senior Technical Program Manager, Data Cloud, BigQuery</t>
        </is>
      </c>
      <c r="C18" t="inlineStr">
        <is>
          <t>Google</t>
        </is>
      </c>
      <c r="D18" t="inlineStr">
        <is>
          <t>indeed</t>
        </is>
      </c>
      <c r="E18" t="inlineStr"/>
      <c r="F18" t="inlineStr"/>
      <c r="G18" t="inlineStr">
        <is>
          <t>Kirkland, WA, US</t>
        </is>
      </c>
      <c r="H18" s="2" t="n">
        <v>46048</v>
      </c>
      <c r="I1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with stakeholder management.
* Experience working with data analytics.
* Experience with portfolio management.
### **Preferred qualifications:**
* 10 years of experience in program management.
* Experience running large cross\-organization programs.
* Ability to exercise technical judgment and demonstrate an understanding of infrastructure/systems.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Data Cloud consisting of products across Data Analytics and Database and is one of the fastest growing areas in Google Cloud, with a portfolio of leading products in databases, data analytics, data transformation and visualization. Our area is building infrastructure and products for customers to drive insights and intelligence from their data. We are on a path to unleash numerous data and Artificial Intelligence (AI) related products including agentic applications. Join us at this pivotal juncture to build the future of Data and AI in Google Cloud Platform (GCP).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the goal and direction for multiple programs by outlining goals and objectives, evaluating and running multiple projects, organizing cross\-project work within the program, and defining program controls/ governance/standards.
* Drive consistency between cloud processes and central processes. Bring visibility and strengthen communication across the teams.
* Enable execution across multiple teams and drive delivery across the complete portfolio of cloud products and solutions.
* Engage with engineering directors, product leaders and other Technical Program Manager (TPM) groups, to streamline processes, simplify execution, manage Objectives and Key Results (OKRs), release on time, bring tooling for efficiencies and help the teams you are engaged with in execution.
* Lead and mentor project staff and team members.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in-de5b37e9e27e0613</t>
        </is>
      </c>
      <c r="B19" t="inlineStr">
        <is>
          <t>Technical Program Manager II, Geospatial Network Infrastructure, Google Networking</t>
        </is>
      </c>
      <c r="C19" t="inlineStr">
        <is>
          <t>Google</t>
        </is>
      </c>
      <c r="D19" t="inlineStr">
        <is>
          <t>indeed</t>
        </is>
      </c>
      <c r="E19" t="inlineStr"/>
      <c r="F19" t="inlineStr"/>
      <c r="G19" t="inlineStr">
        <is>
          <t>Reston, VA, US</t>
        </is>
      </c>
      <c r="H19" s="2" t="n">
        <v>46048</v>
      </c>
      <c r="I19" t="inlineStr">
        <is>
          <t>The application window will be open until at least February 3, 2026\. This opportunity will remain online based on business needs which may be before or after the specified date.  
Note: By applying to this position you will have an opportunity to share your preferred working location from the following: **Reston, VA, USA; Atlanta, GA, USA; Addison, TX, USA; Thornton, CO, USA**.### **Minimum qualifications:**
* Bachelor's degree in a technical field, or equivalent practical experience.
* 2 years of experience in program management.
* Experience with geospatial network data and fiber route mapping (e.g., fiber optic pathing, route analysis, or working with KML/KMZ formats).
* Experience with inside and outside plant (ISP/OSP) fiber optic network infrastructure (e.g., fiber splicing, cable installation, or hardware termination panels).
### **Preferred qualifications:**
* 2 years of experience managing cross\-functional or cross\-team projects.
* Experience working cross\-functionally to design and build scalable construction, installation, and support processes.
* Experience utilizing existing systems and processes to manage optimization.
* Knowledge of optical communications networking.
* Ability to travel as needed.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responsible for the accurate planning of Google's fiber optic network infrastructure within our network inventory system. You will take high\-level network plans and translate them into detailed, geo\-spatially accurate fiber routes, types, and connectivity. Your work is critical in providing downstream teams, including network acquisition, fiber delivery, and transport deployment, with well\-defined and buildable network paths.
In this role, you will use your strong technical judgment in optical networking, fiber routing, and meticulous attention to detail in managing network inventory data. You will work closely with network planners on the same team, serving as the primary implementer of the detailed path design and the first point of contact for technical considerations arising from the high\-level plan from cross\-functional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vendor\-provided terrestrial fiber routes are accurately and completely represented in our internal fiber inventory system.
* Model and validate proper fiber entrance paths and points of entry into Google campuses and other facilities, consistent with the planned network architecture.
* Research and align specific available or planned vendor fiber routes, ensuring route resilience, and documenting the detailed end\-to\-end path.
* Stitch together various fiber assets (cables, splices, panels) to create contiguous, accurate end\-to\-end network paths that reflect the design intent.
* Apply network principles to OSP (Outside Plant) and ISP (Inside Plant) fiber routing to minimize single points of failure, making informed technical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in-45287c61572c6a7f</t>
        </is>
      </c>
      <c r="B20" t="inlineStr">
        <is>
          <t>Technical Program Manager II, Geospatial Network Infrastructure, Google Networking</t>
        </is>
      </c>
      <c r="C20" t="inlineStr">
        <is>
          <t>Google</t>
        </is>
      </c>
      <c r="D20" t="inlineStr">
        <is>
          <t>indeed</t>
        </is>
      </c>
      <c r="E20" t="inlineStr"/>
      <c r="F20" t="inlineStr"/>
      <c r="G20" t="inlineStr">
        <is>
          <t>Thornton, CO, US</t>
        </is>
      </c>
      <c r="H20" s="2" t="n">
        <v>46048</v>
      </c>
      <c r="I20" t="inlineStr">
        <is>
          <t>The application window will be open until at least February 3, 2026\. This opportunity will remain online based on business needs which may be before or after the specified date.  
Note: By applying to this position you will have an opportunity to share your preferred working location from the following: **Reston, VA, USA; Atlanta, GA, USA; Addison, TX, USA; Thornton, CO, USA**.### **Minimum qualifications:**
* Bachelor's degree in a technical field, or equivalent practical experience.
* 2 years of experience in program management.
* Experience with geospatial network data and fiber route mapping (e.g., fiber optic pathing, route analysis, or working with KML/KMZ formats).
* Experience with inside and outside plant (ISP/OSP) fiber optic network infrastructure (e.g., fiber splicing, cable installation, or hardware termination panels).
### **Preferred qualifications:**
* 2 years of experience managing cross\-functional or cross\-team projects.
* Experience working cross\-functionally to design and build scalable construction, installation, and support processes.
* Experience utilizing existing systems and processes to manage optimization.
* Knowledge of optical communications networking.
* Ability to travel as needed.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responsible for the accurate planning of Google's fiber optic network infrastructure within our network inventory system. You will take high\-level network plans and translate them into detailed, geo\-spatially accurate fiber routes, types, and connectivity. Your work is critical in providing downstream teams, including network acquisition, fiber delivery, and transport deployment, with well\-defined and buildable network paths.
In this role, you will use your strong technical judgment in optical networking, fiber routing, and meticulous attention to detail in managing network inventory data. You will work closely with network planners on the same team, serving as the primary implementer of the detailed path design and the first point of contact for technical considerations arising from the high\-level plan from cross\-functional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vendor\-provided terrestrial fiber routes are accurately and completely represented in our internal fiber inventory system.
* Model and validate proper fiber entrance paths and points of entry into Google campuses and other facilities, consistent with the planned network architecture.
* Research and align specific available or planned vendor fiber routes, ensuring route resilience, and documenting the detailed end\-to\-end path.
* Stitch together various fiber assets (cables, splices, panels) to create contiguous, accurate end\-to\-end network paths that reflect the design intent.
* Apply network principles to OSP (Outside Plant) and ISP (Inside Plant) fiber routing to minimize single points of failure, making informed technical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in-57030b01c7be2dae</t>
        </is>
      </c>
      <c r="B21" t="inlineStr">
        <is>
          <t>Technical Program Manager II, Geospatial Network Infrastructure, Google Networking</t>
        </is>
      </c>
      <c r="C21" t="inlineStr">
        <is>
          <t>Google</t>
        </is>
      </c>
      <c r="D21" t="inlineStr">
        <is>
          <t>indeed</t>
        </is>
      </c>
      <c r="E21" t="inlineStr"/>
      <c r="F21" t="inlineStr"/>
      <c r="G21" t="inlineStr">
        <is>
          <t>Atlanta, GA, US</t>
        </is>
      </c>
      <c r="H21" s="2" t="n">
        <v>46048</v>
      </c>
      <c r="I21" t="inlineStr">
        <is>
          <t>The application window will be open until at least February 3, 2026\. This opportunity will remain online based on business needs which may be before or after the specified date.  
Note: By applying to this position you will have an opportunity to share your preferred working location from the following: **Reston, VA, USA; Atlanta, GA, USA; Addison, TX, USA; Thornton, CO, USA**.### **Minimum qualifications:**
* Bachelor's degree in a technical field, or equivalent practical experience.
* 2 years of experience in program management.
* Experience with geospatial network data and fiber route mapping (e.g., fiber optic pathing, route analysis, or working with KML/KMZ formats).
* Experience with inside and outside plant (ISP/OSP) fiber optic network infrastructure (e.g., fiber splicing, cable installation, or hardware termination panels).
### **Preferred qualifications:**
* 2 years of experience managing cross\-functional or cross\-team projects.
* Experience working cross\-functionally to design and build scalable construction, installation, and support processes.
* Experience utilizing existing systems and processes to manage optimization.
* Knowledge of optical communications networking.
* Ability to travel as needed.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responsible for the accurate planning of Google's fiber optic network infrastructure within our network inventory system. You will take high\-level network plans and translate them into detailed, geo\-spatially accurate fiber routes, types, and connectivity. Your work is critical in providing downstream teams, including network acquisition, fiber delivery, and transport deployment, with well\-defined and buildable network paths.
In this role, you will use your strong technical judgment in optical networking, fiber routing, and meticulous attention to detail in managing network inventory data. You will work closely with network planners on the same team, serving as the primary implementer of the detailed path design and the first point of contact for technical considerations arising from the high\-level plan from cross\-functional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vendor\-provided terrestrial fiber routes are accurately and completely represented in our internal fiber inventory system.
* Model and validate proper fiber entrance paths and points of entry into Google campuses and other facilities, consistent with the planned network architecture.
* Research and align specific available or planned vendor fiber routes, ensuring route resilience, and documenting the detailed end\-to\-end path.
* Stitch together various fiber assets (cables, splices, panels) to create contiguous, accurate end\-to\-end network paths that reflect the design intent.
* Apply network principles to OSP (Outside Plant) and ISP (Inside Plant) fiber routing to minimize single points of failure, making informed technical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in-476d2ce15747b339</t>
        </is>
      </c>
      <c r="B22" t="inlineStr">
        <is>
          <t>Technical Program Manager II, Geospatial Network Infrastructure, Google Networking</t>
        </is>
      </c>
      <c r="C22" t="inlineStr">
        <is>
          <t>Google</t>
        </is>
      </c>
      <c r="D22" t="inlineStr">
        <is>
          <t>indeed</t>
        </is>
      </c>
      <c r="E22" t="inlineStr"/>
      <c r="F22" t="inlineStr"/>
      <c r="G22" t="inlineStr">
        <is>
          <t>Addison, TX, US</t>
        </is>
      </c>
      <c r="H22" s="2" t="n">
        <v>46048</v>
      </c>
      <c r="I22" t="inlineStr">
        <is>
          <t>The application window will be open until at least February 3, 2026\. This opportunity will remain online based on business needs which may be before or after the specified date.  
Note: By applying to this position you will have an opportunity to share your preferred working location from the following: **Reston, VA, USA; Atlanta, GA, USA; Addison, TX, USA; Thornton, CO, USA**.### **Minimum qualifications:**
* Bachelor's degree in a technical field, or equivalent practical experience.
* 2 years of experience in program management.
* Experience with geospatial network data and fiber route mapping (e.g., fiber optic pathing, route analysis, or working with KML/KMZ formats).
* Experience with inside and outside plant (ISP/OSP) fiber optic network infrastructure (e.g., fiber splicing, cable installation, or hardware termination panels).
### **Preferred qualifications:**
* 2 years of experience managing cross\-functional or cross\-team projects.
* Experience working cross\-functionally to design and build scalable construction, installation, and support processes.
* Experience utilizing existing systems and processes to manage optimization.
* Knowledge of optical communications networking.
* Ability to travel as needed.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responsible for the accurate planning of Google's fiber optic network infrastructure within our network inventory system. You will take high\-level network plans and translate them into detailed, geo\-spatially accurate fiber routes, types, and connectivity. Your work is critical in providing downstream teams, including network acquisition, fiber delivery, and transport deployment, with well\-defined and buildable network paths.
In this role, you will use your strong technical judgment in optical networking, fiber routing, and meticulous attention to detail in managing network inventory data. You will work closely with network planners on the same team, serving as the primary implementer of the detailed path design and the first point of contact for technical considerations arising from the high\-level plan from cross\-functional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vendor\-provided terrestrial fiber routes are accurately and completely represented in our internal fiber inventory system.
* Model and validate proper fiber entrance paths and points of entry into Google campuses and other facilities, consistent with the planned network architecture.
* Research and align specific available or planned vendor fiber routes, ensuring route resilience, and documenting the detailed end\-to\-end path.
* Stitch together various fiber assets (cables, splices, panels) to create contiguous, accurate end\-to\-end network paths that reflect the design intent.
* Apply network principles to OSP (Outside Plant) and ISP (Inside Plant) fiber routing to minimize single points of failure, making informed technical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in-3cf49f4385a9eb5c</t>
        </is>
      </c>
      <c r="B23" t="inlineStr">
        <is>
          <t>Legal Program Manager, Google Cloud</t>
        </is>
      </c>
      <c r="C23" t="inlineStr">
        <is>
          <t>Google</t>
        </is>
      </c>
      <c r="D23" t="inlineStr">
        <is>
          <t>indeed</t>
        </is>
      </c>
      <c r="E23" t="inlineStr"/>
      <c r="F23" t="inlineStr"/>
      <c r="G23" t="inlineStr">
        <is>
          <t>Atlanta, GA, US</t>
        </is>
      </c>
      <c r="H23" s="2" t="n">
        <v>46048</v>
      </c>
      <c r="I2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Chicago, IL, USA; Seattle, WA, USA; Washington D.C., DC, USA**.### **Minimum qualifications:**
* Bachelor's degree or equivalent practical experience.
* 3 years of experience in program or project management.
* 3 years of experience with legal agreements, operations, analytics, or a related field.
### **Preferred qualifications:**
* Master's degree, MBA, JD or other advanced degree.
* Experience in agreement management, managing operational cadences and implementing technology based solutions in a corporate legal environment.
* Experience in a high\-growth technology or consulting environment, and communicating and collaborating effectively across teams and time zones with competing priorities.
* Experience using data to inform operational decisions, with the ability to determine and communicate risks, benefits, and gaps in analysis.
* Ability to pay attention to detail, ensuring work products are completed thoroughly and precisely.
* Ability to organize and prioritize constantly changing demands and multiple projects simultaneously.
**About the job**
-----------------
The Cloud Legal Project Management Office (PMO) is the operational engine that powers Google Cloud Legal and in turn supports Cloud's growth at scale. We transform complexity into clarity by building the frameworks, tools and systems that allow our global legal teams to operate efficiently and effectively at scale.
Working in the Cloud Legal PMO is a unique opportunity to sit at the center of a global legal operations organization. You aren’t just a spectator to growth, you are the architect of the systems that make it possible.
As a Cloud Legal Program Manager, you support complex, multi\-disciplinary projects that empower our legal teams to support Cloud’s growth at scale. You design and maintain the operational rhythms that keep our global teams aligned. You plan requirements with internal stakeholders and usher projects through their complete lifecycle, ensuring that our contracting and legal workflows are streamlined and efficient. This includes managing project schedules, identifying process bottlenecks, and clearly communicating efficiency gains and risks to stakeholders.
You’re equally at home explaining operational metrics and scaling strategies to team members as you are discussing workflow automation and tool integration needs with systems architects and tech enablement teams. You manage projects of various size and scope, identifying future opportunities for automation, improving resource allocation, and driving the operational infrastructure required to help Cloud Legal operate efficiently and sustainably. In addition to supporting new projects and opportunities to scale, you will support established work streams including scaled contracting and template support.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projects from design to implementation to improve global workflow consistency. Build automated, self\-sustaining legal support models that reduce review times and support business scale.
* Manage legal operations for Cloud Legal teams globally, including Product, Technical Infrastructure, Public Sector, and Go\-to\-Market.
* Support established business processes to ensure Cloud Legal executes contracting obligations at scale. Create playbooks, training materials, and guidance for legal support across Cloud business units.
* Maintain knowledge repositories and best practice frameworks for legal staff. Use data to identify efficiencies and improve legal support models.
* Coordinate with Cloud and Legal stakeholders to ensure legal operations align with business objectives. Use feedback from cross\-functional teams to improve commercial legal processes and policies.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in-ba21783e704b1136</t>
        </is>
      </c>
      <c r="B24" t="inlineStr">
        <is>
          <t>Legal Program Manager, Google Cloud</t>
        </is>
      </c>
      <c r="C24" t="inlineStr">
        <is>
          <t>Google</t>
        </is>
      </c>
      <c r="D24" t="inlineStr">
        <is>
          <t>indeed</t>
        </is>
      </c>
      <c r="E24" t="inlineStr"/>
      <c r="F24" t="inlineStr"/>
      <c r="G24" t="inlineStr">
        <is>
          <t>Austin, TX, US</t>
        </is>
      </c>
      <c r="H24" s="2" t="n">
        <v>46048</v>
      </c>
      <c r="I2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Chicago, IL, USA; Seattle, WA, USA; Washington D.C., DC, USA**.### **Minimum qualifications:**
* Bachelor's degree or equivalent practical experience.
* 3 years of experience in program or project management.
* 3 years of experience with legal agreements, operations, analytics, or a related field.
### **Preferred qualifications:**
* Master's degree, MBA, JD or other advanced degree.
* Experience in agreement management, managing operational cadences and implementing technology based solutions in a corporate legal environment.
* Experience in a high\-growth technology or consulting environment, and communicating and collaborating effectively across teams and time zones with competing priorities.
* Experience using data to inform operational decisions, with the ability to determine and communicate risks, benefits, and gaps in analysis.
* Ability to pay attention to detail, ensuring work products are completed thoroughly and precisely.
* Ability to organize and prioritize constantly changing demands and multiple projects simultaneously.
**About the job**
-----------------
The Cloud Legal Project Management Office (PMO) is the operational engine that powers Google Cloud Legal and in turn supports Cloud's growth at scale. We transform complexity into clarity by building the frameworks, tools and systems that allow our global legal teams to operate efficiently and effectively at scale.
Working in the Cloud Legal PMO is a unique opportunity to sit at the center of a global legal operations organization. You aren’t just a spectator to growth, you are the architect of the systems that make it possible.
As a Cloud Legal Program Manager, you support complex, multi\-disciplinary projects that empower our legal teams to support Cloud’s growth at scale. You design and maintain the operational rhythms that keep our global teams aligned. You plan requirements with internal stakeholders and usher projects through their complete lifecycle, ensuring that our contracting and legal workflows are streamlined and efficient. This includes managing project schedules, identifying process bottlenecks, and clearly communicating efficiency gains and risks to stakeholders.
You’re equally at home explaining operational metrics and scaling strategies to team members as you are discussing workflow automation and tool integration needs with systems architects and tech enablement teams. You manage projects of various size and scope, identifying future opportunities for automation, improving resource allocation, and driving the operational infrastructure required to help Cloud Legal operate efficiently and sustainably. In addition to supporting new projects and opportunities to scale, you will support established work streams including scaled contracting and template support.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projects from design to implementation to improve global workflow consistency. Build automated, self\-sustaining legal support models that reduce review times and support business scale.
* Manage legal operations for Cloud Legal teams globally, including Product, Technical Infrastructure, Public Sector, and Go\-to\-Market.
* Support established business processes to ensure Cloud Legal executes contracting obligations at scale. Create playbooks, training materials, and guidance for legal support across Cloud business units.
* Maintain knowledge repositories and best practice frameworks for legal staff. Use data to identify efficiencies and improve legal support models.
* Coordinate with Cloud and Legal stakeholders to ensure legal operations align with business objectives. Use feedback from cross\-functional teams to improve commercial legal processes and policies.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in-379013b1a7c82d85</t>
        </is>
      </c>
      <c r="B25" t="inlineStr">
        <is>
          <t>Legal Program Manager, Google Cloud</t>
        </is>
      </c>
      <c r="C25" t="inlineStr">
        <is>
          <t>Google</t>
        </is>
      </c>
      <c r="D25" t="inlineStr">
        <is>
          <t>indeed</t>
        </is>
      </c>
      <c r="E25" t="inlineStr"/>
      <c r="F25" t="inlineStr"/>
      <c r="G25" t="inlineStr">
        <is>
          <t>Chicago, IL, US</t>
        </is>
      </c>
      <c r="H25" s="2" t="n">
        <v>46048</v>
      </c>
      <c r="I2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Chicago, IL, USA; Seattle, WA, USA; Washington D.C., DC, USA**.### **Minimum qualifications:**
* Bachelor's degree or equivalent practical experience.
* 3 years of experience in program or project management.
* 3 years of experience with legal agreements, operations, analytics, or a related field.
### **Preferred qualifications:**
* Master's degree, MBA, JD or other advanced degree.
* Experience in agreement management, managing operational cadences and implementing technology based solutions in a corporate legal environment.
* Experience in a high\-growth technology or consulting environment, and communicating and collaborating effectively across teams and time zones with competing priorities.
* Experience using data to inform operational decisions, with the ability to determine and communicate risks, benefits, and gaps in analysis.
* Ability to pay attention to detail, ensuring work products are completed thoroughly and precisely.
* Ability to organize and prioritize constantly changing demands and multiple projects simultaneously.
**About the job**
-----------------
The Cloud Legal Project Management Office (PMO) is the operational engine that powers Google Cloud Legal and in turn supports Cloud's growth at scale. We transform complexity into clarity by building the frameworks, tools and systems that allow our global legal teams to operate efficiently and effectively at scale.
Working in the Cloud Legal PMO is a unique opportunity to sit at the center of a global legal operations organization. You aren’t just a spectator to growth, you are the architect of the systems that make it possible.
As a Cloud Legal Program Manager, you support complex, multi\-disciplinary projects that empower our legal teams to support Cloud’s growth at scale. You design and maintain the operational rhythms that keep our global teams aligned. You plan requirements with internal stakeholders and usher projects through their complete lifecycle, ensuring that our contracting and legal workflows are streamlined and efficient. This includes managing project schedules, identifying process bottlenecks, and clearly communicating efficiency gains and risks to stakeholders.
You’re equally at home explaining operational metrics and scaling strategies to team members as you are discussing workflow automation and tool integration needs with systems architects and tech enablement teams. You manage projects of various size and scope, identifying future opportunities for automation, improving resource allocation, and driving the operational infrastructure required to help Cloud Legal operate efficiently and sustainably. In addition to supporting new projects and opportunities to scale, you will support established work streams including scaled contracting and template support.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projects from design to implementation to improve global workflow consistency. Build automated, self\-sustaining legal support models that reduce review times and support business scale.
* Manage legal operations for Cloud Legal teams globally, including Product, Technical Infrastructure, Public Sector, and Go\-to\-Market.
* Support established business processes to ensure Cloud Legal executes contracting obligations at scale. Create playbooks, training materials, and guidance for legal support across Cloud business units.
* Maintain knowledge repositories and best practice frameworks for legal staff. Use data to identify efficiencies and improve legal support models.
* Coordinate with Cloud and Legal stakeholders to ensure legal operations align with business objectives. Use feedback from cross\-functional teams to improve commercial legal processes and policies.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in-98e2d8cdaa9218a4</t>
        </is>
      </c>
      <c r="B26" t="inlineStr">
        <is>
          <t>Legal Program Manager, Google Cloud</t>
        </is>
      </c>
      <c r="C26" t="inlineStr">
        <is>
          <t>Google</t>
        </is>
      </c>
      <c r="D26" t="inlineStr">
        <is>
          <t>indeed</t>
        </is>
      </c>
      <c r="E26" t="inlineStr"/>
      <c r="F26" t="inlineStr"/>
      <c r="G26" t="inlineStr">
        <is>
          <t>Seattle, WA, US</t>
        </is>
      </c>
      <c r="H26" s="2" t="n">
        <v>46048</v>
      </c>
      <c r="I2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Chicago, IL, USA; Seattle, WA, USA; Washington D.C., DC, USA**.### **Minimum qualifications:**
* Bachelor's degree or equivalent practical experience.
* 3 years of experience in program or project management.
* 3 years of experience with legal agreements, operations, analytics, or a related field.
### **Preferred qualifications:**
* Master's degree, MBA, JD or other advanced degree.
* Experience in agreement management, managing operational cadences and implementing technology based solutions in a corporate legal environment.
* Experience in a high\-growth technology or consulting environment, and communicating and collaborating effectively across teams and time zones with competing priorities.
* Experience using data to inform operational decisions, with the ability to determine and communicate risks, benefits, and gaps in analysis.
* Ability to pay attention to detail, ensuring work products are completed thoroughly and precisely.
* Ability to organize and prioritize constantly changing demands and multiple projects simultaneously.
**About the job**
-----------------
The Cloud Legal Project Management Office (PMO) is the operational engine that powers Google Cloud Legal and in turn supports Cloud's growth at scale. We transform complexity into clarity by building the frameworks, tools and systems that allow our global legal teams to operate efficiently and effectively at scale.
Working in the Cloud Legal PMO is a unique opportunity to sit at the center of a global legal operations organization. You aren’t just a spectator to growth, you are the architect of the systems that make it possible.
As a Cloud Legal Program Manager, you support complex, multi\-disciplinary projects that empower our legal teams to support Cloud’s growth at scale. You design and maintain the operational rhythms that keep our global teams aligned. You plan requirements with internal stakeholders and usher projects through their complete lifecycle, ensuring that our contracting and legal workflows are streamlined and efficient. This includes managing project schedules, identifying process bottlenecks, and clearly communicating efficiency gains and risks to stakeholders.
You’re equally at home explaining operational metrics and scaling strategies to team members as you are discussing workflow automation and tool integration needs with systems architects and tech enablement teams. You manage projects of various size and scope, identifying future opportunities for automation, improving resource allocation, and driving the operational infrastructure required to help Cloud Legal operate efficiently and sustainably. In addition to supporting new projects and opportunities to scale, you will support established work streams including scaled contracting and template support.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projects from design to implementation to improve global workflow consistency. Build automated, self\-sustaining legal support models that reduce review times and support business scale.
* Manage legal operations for Cloud Legal teams globally, including Product, Technical Infrastructure, Public Sector, and Go\-to\-Market.
* Support established business processes to ensure Cloud Legal executes contracting obligations at scale. Create playbooks, training materials, and guidance for legal support across Cloud business units.
* Maintain knowledge repositories and best practice frameworks for legal staff. Use data to identify efficiencies and improve legal support models.
* Coordinate with Cloud and Legal stakeholders to ensure legal operations align with business objectives. Use feedback from cross\-functional teams to improve commercial legal processes and policies.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in-6036c847d59d26f9</t>
        </is>
      </c>
      <c r="B27" t="inlineStr">
        <is>
          <t>Legal Program Manager, Google Cloud</t>
        </is>
      </c>
      <c r="C27" t="inlineStr">
        <is>
          <t>Google</t>
        </is>
      </c>
      <c r="D27" t="inlineStr">
        <is>
          <t>indeed</t>
        </is>
      </c>
      <c r="E27" t="inlineStr"/>
      <c r="F27" t="inlineStr"/>
      <c r="G27" t="inlineStr">
        <is>
          <t>Washington, DC, US</t>
        </is>
      </c>
      <c r="H27" s="2" t="n">
        <v>46048</v>
      </c>
      <c r="I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Chicago, IL, USA; Seattle, WA, USA; Washington D.C., DC, USA**.### **Minimum qualifications:**
* Bachelor's degree or equivalent practical experience.
* 3 years of experience in program or project management.
* 3 years of experience with legal agreements, operations, analytics, or a related field.
### **Preferred qualifications:**
* Master's degree, MBA, JD or other advanced degree.
* Experience in agreement management, managing operational cadences and implementing technology based solutions in a corporate legal environment.
* Experience in a high\-growth technology or consulting environment, and communicating and collaborating effectively across teams and time zones with competing priorities.
* Experience using data to inform operational decisions, with the ability to determine and communicate risks, benefits, and gaps in analysis.
* Ability to pay attention to detail, ensuring work products are completed thoroughly and precisely.
* Ability to organize and prioritize constantly changing demands and multiple projects simultaneously.
**About the job**
-----------------
The Cloud Legal Project Management Office (PMO) is the operational engine that powers Google Cloud Legal and in turn supports Cloud's growth at scale. We transform complexity into clarity by building the frameworks, tools and systems that allow our global legal teams to operate efficiently and effectively at scale.
Working in the Cloud Legal PMO is a unique opportunity to sit at the center of a global legal operations organization. You aren’t just a spectator to growth, you are the architect of the systems that make it possible.
As a Cloud Legal Program Manager, you support complex, multi\-disciplinary projects that empower our legal teams to support Cloud’s growth at scale. You design and maintain the operational rhythms that keep our global teams aligned. You plan requirements with internal stakeholders and usher projects through their complete lifecycle, ensuring that our contracting and legal workflows are streamlined and efficient. This includes managing project schedules, identifying process bottlenecks, and clearly communicating efficiency gains and risks to stakeholders.
You’re equally at home explaining operational metrics and scaling strategies to team members as you are discussing workflow automation and tool integration needs with systems architects and tech enablement teams. You manage projects of various size and scope, identifying future opportunities for automation, improving resource allocation, and driving the operational infrastructure required to help Cloud Legal operate efficiently and sustainably. In addition to supporting new projects and opportunities to scale, you will support established work streams including scaled contracting and template support.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projects from design to implementation to improve global workflow consistency. Build automated, self\-sustaining legal support models that reduce review times and support business scale.
* Manage legal operations for Cloud Legal teams globally, including Product, Technical Infrastructure, Public Sector, and Go\-to\-Market.
* Support established business processes to ensure Cloud Legal executes contracting obligations at scale. Create playbooks, training materials, and guidance for legal support across Cloud business units.
* Maintain knowledge repositories and best practice frameworks for legal staff. Use data to identify efficiencies and improve legal support models.
* Coordinate with Cloud and Legal stakeholders to ensure legal operations align with business objectives. Use feedback from cross\-functional teams to improve commercial legal processes and policies.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in-a6b292d0f57b8045</t>
        </is>
      </c>
      <c r="B28" t="inlineStr">
        <is>
          <t>Senior Technical Program Manager, Supply Strategy and Portfolio Planning</t>
        </is>
      </c>
      <c r="C28" t="inlineStr">
        <is>
          <t>Google</t>
        </is>
      </c>
      <c r="D28" t="inlineStr">
        <is>
          <t>indeed</t>
        </is>
      </c>
      <c r="E28" t="inlineStr"/>
      <c r="F28" t="inlineStr"/>
      <c r="G28" t="inlineStr">
        <is>
          <t>Kirkland, WA, US</t>
        </is>
      </c>
      <c r="H28" s="2" t="n">
        <v>46048</v>
      </c>
      <c r="I2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10 years of experience in program management.
* 10 years of experience in the design, planning, or optimization of data center Infrastructure.
### **Preferred qualifications:**
* Bachelor's degree in a quantitative field.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
      <c r="A29" t="inlineStr">
        <is>
          <t>in-f66dfa99348e4446</t>
        </is>
      </c>
      <c r="B29" t="inlineStr">
        <is>
          <t>Senior Technical Program Manager, Supply Strategy and Portfolio Planning</t>
        </is>
      </c>
      <c r="C29" t="inlineStr">
        <is>
          <t>Google</t>
        </is>
      </c>
      <c r="D29" t="inlineStr">
        <is>
          <t>indeed</t>
        </is>
      </c>
      <c r="E29" t="inlineStr"/>
      <c r="F29" t="inlineStr"/>
      <c r="G29" t="inlineStr">
        <is>
          <t>Sunnyvale, CA, US</t>
        </is>
      </c>
      <c r="H29" s="2" t="n">
        <v>46048</v>
      </c>
      <c r="I2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10 years of experience in program management.
* 10 years of experience in the design, planning, or optimization of data center Infrastructure.
### **Preferred qualifications:**
* Bachelor's degree in a quantitative field.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
      <c r="A30" t="inlineStr">
        <is>
          <t>in-b3211329fea788d5</t>
        </is>
      </c>
      <c r="B30" t="inlineStr">
        <is>
          <t>Senior Technical Program Manager, Supply Strategy and Portfolio Planning</t>
        </is>
      </c>
      <c r="C30" t="inlineStr">
        <is>
          <t>Google</t>
        </is>
      </c>
      <c r="D30" t="inlineStr">
        <is>
          <t>indeed</t>
        </is>
      </c>
      <c r="E30" t="inlineStr"/>
      <c r="F30" t="inlineStr"/>
      <c r="G30" t="inlineStr">
        <is>
          <t>San Francisco, CA, US</t>
        </is>
      </c>
      <c r="H30" s="2" t="n">
        <v>46048</v>
      </c>
      <c r="I3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10 years of experience in program management.
* 10 years of experience in the design, planning, or optimization of data center Infrastructure.
### **Preferred qualifications:**
* Bachelor's degree in a quantitative field.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in-05f37032f04d0d68</t>
        </is>
      </c>
      <c r="B31" t="inlineStr">
        <is>
          <t>Senior Technical Program Manager, Supply Strategy and Portfolio Planning</t>
        </is>
      </c>
      <c r="C31" t="inlineStr">
        <is>
          <t>Google</t>
        </is>
      </c>
      <c r="D31" t="inlineStr">
        <is>
          <t>indeed</t>
        </is>
      </c>
      <c r="E31" t="inlineStr"/>
      <c r="F31" t="inlineStr"/>
      <c r="G31" t="inlineStr">
        <is>
          <t>Atlanta, GA, US</t>
        </is>
      </c>
      <c r="H31" s="2" t="n">
        <v>46048</v>
      </c>
      <c r="I3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10 years of experience in program management.
* 10 years of experience in the design, planning, or optimization of data center Infrastructure.
### **Preferred qualifications:**
* Bachelor's degree in a quantitative field.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in-2c9fa8a5fbb92a5e</t>
        </is>
      </c>
      <c r="B32" t="inlineStr">
        <is>
          <t>Technical Program Manager, Supply Strategy and Portfolio Planning</t>
        </is>
      </c>
      <c r="C32" t="inlineStr">
        <is>
          <t>Google</t>
        </is>
      </c>
      <c r="D32" t="inlineStr">
        <is>
          <t>indeed</t>
        </is>
      </c>
      <c r="E32" t="inlineStr"/>
      <c r="F32" t="inlineStr"/>
      <c r="G32" t="inlineStr">
        <is>
          <t>Atlanta, GA, US</t>
        </is>
      </c>
      <c r="H32" s="2" t="n">
        <v>46048</v>
      </c>
      <c r="I3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5 years of experience in program management.
* Experience developing data\-driven models and insights.
### **Preferred qualifications:**
* Bachelor's degree in a quantitative field.
* 5 years of experience managing cross\-functional or cross\-team projects.
* Experience in demand forecast and release management.
* Experience in data management, establishing best practices and validation.
* Experience in infrastructure planning (data center or networking).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develop models for location strategy given land, energy and networking constraints. Understand business trade\-offs and translate to input and modeling requirements. Produce and maintain model results with explainability and traceability.
* Analyze multitudes of data sources reflecting various layers of demand granularities across data centers and networking stacks. Design data validation, integrity and governance policies.
* Drive execution of scalable models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in-7f598d2eb2495faa</t>
        </is>
      </c>
      <c r="B33" t="inlineStr">
        <is>
          <t>Technical Program Manager, Supply Strategy and Portfolio Planning</t>
        </is>
      </c>
      <c r="C33" t="inlineStr">
        <is>
          <t>Google</t>
        </is>
      </c>
      <c r="D33" t="inlineStr">
        <is>
          <t>indeed</t>
        </is>
      </c>
      <c r="E33" t="inlineStr"/>
      <c r="F33" t="inlineStr"/>
      <c r="G33" t="inlineStr">
        <is>
          <t>Sunnyvale, CA, US</t>
        </is>
      </c>
      <c r="H33" s="2" t="n">
        <v>46048</v>
      </c>
      <c r="I3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5 years of experience in program management.
* Experience developing data\-driven models and insights.
### **Preferred qualifications:**
* Bachelor's degree in a quantitative field.
* 5 years of experience managing cross\-functional or cross\-team projects.
* Experience in demand forecast and release management.
* Experience in data management, establishing best practices and validation.
* Experience in infrastructure planning (data center or networking).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develop models for location strategy given land, energy and networking constraints. Understand business trade\-offs and translate to input and modeling requirements. Produce and maintain model results with explainability and traceability.
* Analyze multitudes of data sources reflecting various layers of demand granularities across data centers and networking stacks. Design data validation, integrity and governance policies.
* Drive execution of scalable models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in-ed6887660e464497</t>
        </is>
      </c>
      <c r="B34" t="inlineStr">
        <is>
          <t>Technical Program Manager, Supply Strategy and Portfolio Planning</t>
        </is>
      </c>
      <c r="C34" t="inlineStr">
        <is>
          <t>Google</t>
        </is>
      </c>
      <c r="D34" t="inlineStr">
        <is>
          <t>indeed</t>
        </is>
      </c>
      <c r="E34" t="inlineStr"/>
      <c r="F34" t="inlineStr"/>
      <c r="G34" t="inlineStr">
        <is>
          <t>San Francisco, CA, US</t>
        </is>
      </c>
      <c r="H34" s="2" t="n">
        <v>46048</v>
      </c>
      <c r="I3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5 years of experience in program management.
* Experience developing data\-driven models and insights.
### **Preferred qualifications:**
* Bachelor's degree in a quantitative field.
* 5 years of experience managing cross\-functional or cross\-team projects.
* Experience in demand forecast and release management.
* Experience in data management, establishing best practices and validation.
* Experience in infrastructure planning (data center or networking).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develop models for location strategy given land, energy and networking constraints. Understand business trade\-offs and translate to input and modeling requirements. Produce and maintain model results with explainability and traceability.
* Analyze multitudes of data sources reflecting various layers of demand granularities across data centers and networking stacks. Design data validation, integrity and governance policies.
* Drive execution of scalable models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in-5d751a31f471398c</t>
        </is>
      </c>
      <c r="B35" t="inlineStr">
        <is>
          <t>Technical Program Manager, Supply Strategy and Portfolio Planning</t>
        </is>
      </c>
      <c r="C35" t="inlineStr">
        <is>
          <t>Google</t>
        </is>
      </c>
      <c r="D35" t="inlineStr">
        <is>
          <t>indeed</t>
        </is>
      </c>
      <c r="E35" t="inlineStr"/>
      <c r="F35" t="inlineStr"/>
      <c r="G35" t="inlineStr">
        <is>
          <t>Kirkland, WA, US</t>
        </is>
      </c>
      <c r="H35" s="2" t="n">
        <v>46048</v>
      </c>
      <c r="I3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Kirkland, WA, USA; San Francisco, CA, USA**.### **Minimum qualifications:**
* Bachelor's degree in a technical field, or equivalent practical experience.
* 5 years of experience in program management.
* Experience developing data\-driven models and insights.
### **Preferred qualifications:**
* Bachelor's degree in a quantitative field.
* 5 years of experience managing cross\-functional or cross\-team projects.
* Experience in demand forecast and release management.
* Experience in data management, establishing best practices and validation.
* Experience in infrastructure planning (data center or networking).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develop models for location strategy given land, energy and networking constraints. Understand business trade\-offs and translate to input and modeling requirements. Produce and maintain model results with explainability and traceability.
* Analyze multitudes of data sources reflecting various layers of demand granularities across data centers and networking stacks. Design data validation, integrity and governance policies.
* Drive execution of scalable models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in-39b35e8490bc7669</t>
        </is>
      </c>
      <c r="B36" t="inlineStr">
        <is>
          <t>Senior Technical Program Manager, Memory</t>
        </is>
      </c>
      <c r="C36" t="inlineStr">
        <is>
          <t>Google</t>
        </is>
      </c>
      <c r="D36" t="inlineStr">
        <is>
          <t>indeed</t>
        </is>
      </c>
      <c r="E36" t="inlineStr"/>
      <c r="F36" t="inlineStr"/>
      <c r="G36" t="inlineStr">
        <is>
          <t>Kirkland, WA, US</t>
        </is>
      </c>
      <c r="H36" s="2" t="n">
        <v>46048</v>
      </c>
      <c r="I3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Austin, TX, USA; Kirkland, WA, USA**.### **Minimum qualifications:**
* Bachelor's degree in Business, Engineering, Supply Chain Management, or a related field, or equivalent practical experience.
* 10 years of experience in technical program management, sourcing, or engineering within the memory or semiconductor industry.
* Experience with memory manufacturing processes, test flows, and industry\-standard quality frameworks.
* Experience managing product life\-cycles, from silicon design/sourcing to system\-level integration.
### **Preferred qualifications:**
* Master’s degree or PhD in a technical field.
* Knowledge of the memory industry landscape, including technologies, global capacity trends, and key supplier ecosystems.
* Ability to influence C\-suite leadership both internally and at external supplier organizations with excellent communication skills.
* Ability to lead root cause analysis for silicon\-to\-system reliability failures with advanced technical judgment.
* Ability to track record of leading multidisciplinary programs through significant ambiguity to deliver measurable business impact.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Senior Technical Program Manager for Memory, you will direct a portfolio of programs that secure and integrate Google’s memory technologies from silicon to the rack. You will be a recognized authority on the memory industry landscape, navigating global capacity trends and managing the life\-cycle of memory integration across Google’s global infrastructure. In this role, you will bridge the gap between commercial strategy and technical execution. You will partner with key suppliers to drive technical roadmaps, oversee manufacturing test flows, and lead the resolution of complex reliability failures from system\-level down to the silicon source. You will navigate ambiguity to drive proactive excellence in memory quality and performance, ensuring Google’s infrastructure scales effectively to meet the demands of AI and cloud computing.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Direct a multidisciplinary program portfolio for memory technology, defining strategies that accelerate business impact and align with Google’s long\-term infrastructure OKRs.
* Influence supplier technical and commercial strategies at the executive level, leveraging deep industry relationships to secure capacity and drive innovation in memory technologies.
* Lead cross\-functional teams to identify and solve systemic memory\-related reliability failures; govern the development of technical roadmaps and white papers to drive engineering excellence.
* Establish and optimize manufacturing test flows and quality standards across the memory supply chain to ensure product excellence.
* Build alliances with executive stakeholders across Engineering, Supply Chain, and Finance to reconcile priorities and land resource plans.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in-d12811ae3d65090d</t>
        </is>
      </c>
      <c r="B37" t="inlineStr">
        <is>
          <t>Senior Software Product Manager</t>
        </is>
      </c>
      <c r="C37" t="inlineStr">
        <is>
          <t>AvalonBay Communities</t>
        </is>
      </c>
      <c r="D37" t="inlineStr">
        <is>
          <t>indeed</t>
        </is>
      </c>
      <c r="E37" t="inlineStr"/>
      <c r="F37" t="inlineStr"/>
      <c r="G37" t="inlineStr">
        <is>
          <t>Arlington, VA, US</t>
        </is>
      </c>
      <c r="H37" s="2" t="n">
        <v>46048</v>
      </c>
      <c r="I37" t="inlineStr">
        <is>
          <t>**Overview**
AvalonBay Communities, Inc., an equity REIT, has a long\-term track record of developing, redeveloping, acquiring and managing distinctive apartment homes in some of the best U.S. markets, and delivering outsized, risk\-adjusted returns to shareholders. With equal parts experience and vision, we’ve established a leadership position rooted in our purpose of creating a better way to live and that is always focused on building value for the long term.  
Creating a better way to live is the purpose that binds AvalonBay associates. We take that purpose seriously and expect you will as well. By focusing on collaboration, innovation, and taking ownership of our choices and actions, we act in ways that focus on creating value for our customers, investors and associates. Your positive, professional, and consistent personal interactions make AvalonBay a great place to work.
**The Role**
We’re looking for a **Sr.** **Workday HRIS Manager** to lead the strategy, optimization, and governance of our Workday HCM \&amp; PATTs platform. In this role, you’ll serve as the functional owner of Workday, partnering closely with HR, IT, Payroll, Finance, and external vendors to ensure our platform is stable, scalable, compliant, and continuously improving. If you’re a hands‑on Workday expert who loves building solutions, leading change, and shaping how HR technology supports a growing organization, we’d love to meet you.
**What You’ll Do:**
**Workday Platform Ownership**
* Own Workday HCM and related modules including Core HCM, Recruiting, Talent, Learning, Compensation, Absence, Benefits, and PATTs (US Payroll, Absence, Time Tracking \&amp; Scheduling)
* Maintain system health, data integrity, audit readiness, and manage twice‑yearly Workday releases
* Partner with HR leadership to translate business needs into scalable, future‑proof Workday solutions
**Configuration \&amp; Business Process Design**
* Design, configure, test, and deploy Workday business processes, eligibility and condition rules, validations, notifications, and calculated fields
* Lead configuration for key lifecycle events (hire, job change, termination, compensation actions)
* Ensure system configuration aligns with security, compliance, and internal controls
**Security \&amp; Data Governance**
* Manage Workday security roles, domains, and business process security
* Conduct regular audits and access reviews.
* Ensure compliance with SOX, data privacy, and security requirements
**Reporting \&amp; Analytics**
* Oversee development of standard, advanced, and matrix reports.
* Partner with HR and business leaders to define KPIs and dashboard requirements
* Support data extracts, EIBs, and downstream integrations
**Release \&amp; Change Management**
* Lead impact assessments, testing, and deployment of Workday’s semi‑annual releases
* Partner with vendors and internal teams on regression testing cycles
* Own communication, documentation, and training for new functionality
**Integrations \&amp; Vendor Management**
* Support and troubleshoot inbound/outbound integrations (benefits, payroll, background checks, LMS, etc.)
* Collaborate with IT on integration monitoring and issue resolution.
* Manage AMS partners, Workday support tickets, and vendor relationships
**Team Leadership**
* Lead and mentor HRIS analysts/administrators
* Set team priorities, performance goals, and development plans
* Establish HRIS operating models and intake/triage processes
**What You Bring**
**Required Qualifications**
* 6–10\+ years of HRIS experience with strong, hands‑on Workday expertise
* 3\+ years leading Workday configuration and production support.
* Deep knowledge of Workday HCM \&amp; PATTs business processes, security framework, domains, calculated fields, and reporting
* Experience supporting medium‑enterprise organizations (3,000\+ employees preferred)
* Strong stakeholder engagement, communication, and relationship\-building skills
**Preferred Qualifications**
* Workday certifications (HCM, PATTs, Security, Reporting, Recruiting, etc.)
* Experience leading Workday implementations or major module rollouts
* Exposure to Payroll, Benefits, or Finance integrations
**How AvalonBay Supports You**
We know that our teams are the beating heart of our success and we’re committed to showing our appreciation.
We offer:
Comprehensive benefits — health, dental and vision, 401(k) with company match, paid vacation and holidays, tuition reimbursement, an employee stock purchase plan and more. Click on Benefits (https://jobs.avalonbay.com/benefits) for information.
Growth based on achievement and promotion from within.
Associate recognition (a company\-wide recognition program that celebrates associate efforts and successes in contributing to the overall success of the organization – including destination awards, ‘AvalonBay’s Very Best’ recognition program and others!).
A 20% discount on our incredible apartment homes.
A culture built on purpose and our core values \- A Commitment to Integrity, A Spirit of Caring, and A Focus on Continuous Improvement.
**Additional Info**
AvalonBay is proud to be an equal opportunity employer and is committed to an inclusive and diverse work environment free of discrimination and harassment. We believe that in order to achieve our purpose of creating a better way to live, we must recruit, develop and retain associates with a wide range of backgrounds, experiences and perspectives and create an environment that encourages all voices to be heard, understood and appreciated. With this we know we can do great things.
AvalonBay makes employment decisions without regard to a person’s race, ethnicity, color, religion, sex, national origin, sexual orientation, gender identity, pregnancy (including childbirth, lactation or related medical conditions), age, physical or mental disability, genetic information (including characteristics or testing), citizenship status, military or veteran status, or any other status protected by the law.
For California residents, if you elect to apply to AvalonBay you accept the AvalonBay California Personnel Privacy Notice (https://www.avaloncommunities.com/california\-personnel\-privacy\-notice/)</t>
        </is>
      </c>
    </row>
    <row r="38">
      <c r="A38" t="inlineStr">
        <is>
          <t>in-88bef2c3647f1f42</t>
        </is>
      </c>
      <c r="B38" t="inlineStr">
        <is>
          <t>Senior Data Platform Product Manager</t>
        </is>
      </c>
      <c r="C38" t="inlineStr">
        <is>
          <t>Charles Schwab</t>
        </is>
      </c>
      <c r="D38" t="inlineStr">
        <is>
          <t>indeed</t>
        </is>
      </c>
      <c r="E38" t="inlineStr"/>
      <c r="F38" t="inlineStr"/>
      <c r="G38" t="inlineStr">
        <is>
          <t>Austin, TX, US</t>
        </is>
      </c>
      <c r="H38" s="2" t="n">
        <v>46048</v>
      </c>
      <c r="I38"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 are seeking a Senior Product Manager (individual contributor), to join the Data Platform Product Management team and guide the growth and adoption of Schwab data platforms. Our mandate is leading the planning, growth, and usage of data\-intensive platforms and products, powered with integrated data and applied insights, fueling business objectives.  
The ideal candidate will possess a blend of business and technical savvy; the ability to understand the business needs and translate them to many product teams. You must be hands\-on, be able to work with both technical and business partners to get into the details and clearly refine requirements and keep work moving in a timely manner. Project management experience, attention to detail, clear communication and organization are highly valued skills for this role.
**What you’ll be responsible for:**  
You are responsible for supporting our team of SMEs through planning and execution throughout the Product Lifecycle, including gathering and prioritizing business requirements, facilitating business design sessions, and working closely with stakeholders to understand progress, risk, issues, and decisions made across the program. The Senior Product Manager’s job also includes preparing material for and supporting the facilitation of quarterly planning, roadmaps and maintaining JIRA and Confluence. Additionally, you will also be assigned a data platform to support as a Subject Matter Expert, enabling your business partners advance their data needs. **What you’ll do:**
* You will guide and craft the data platform vision, strategy, and roadmap which aligns to client needs and business goals. This will involve articulating key features, attributes, and User Experience (UX) needed to increase ROI and customer satisfaction of the platform
* As a functional and technical Subject Matter Expert (SME), you will deeply understand the business problems the platform is intended to solve and guide and influence key stakeholders to make the platform better and easier to manage
* Taking a user\-centric approach you will guide platform development and feature prioritization and craft and manage an actionable roadmap
* Facilitate ongoing planning working sessions, refinement meetings and other critical planning meetings that lead to decision making and alignment
* Collect business requirements, develop user stories, define acceptance criteria, and coordinate business acceptance testing
* Be an effective communicator, with ability to highlight the challenges we are solving for, articulate the target state, and help stakeholders navigate the obstacles to be crossed
* Support value measurement and adoption metrics to communicate the business impact of the platform
* Influence structure and routines for our organization that improves our overall operating model through planning and resource orchestration
* Ensure proper hygiene of our JIRA backlog, create reports and visuals that represent progress and status of refinement, design and delivery
* Independently forge and strengthen relationships with partners and peers through ongoing one\-on\-ones and working sessions to resolve open issues
**What you have**
-----------------
 **Required Qualifications*** 5\+ years of work experience, including 3\+ years of product management experience  
	+ Bachelor’s degree
	+ Documented experience with JIRA, Confluence and project management tools
	+ Demonstrated collaborative style, with ability to lead and influence diverse teams
	+ Strong communication skills and with high\-level of comfort leading meetings and facilitating very active working sessions, especially with business and technology partners present
	+ Ability to navigate ambiguity in a fast\-paced environment while introducing structure and frameworks for problem\-solving
	+ Excellent collaborator who thrives on working with others in a matrixed organizational environment
 **Preferred Qualifications**  
Active listener who can synthesize many details and is not afraid to “go into the weeds” to solve problems  
Self\-starter mindset with a willingness to jump in and learn, make quick decisions, and pivot towards better solutions when needed  
Flexible and comfortable with change as business and organization is undergoing transformation**What’s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9">
      <c r="A39" t="inlineStr">
        <is>
          <t>in-cd8689e1566349d8</t>
        </is>
      </c>
      <c r="B39" t="inlineStr">
        <is>
          <t>Staff Technical Program Manager, Tech Strategy &amp; Planning</t>
        </is>
      </c>
      <c r="C39" t="inlineStr">
        <is>
          <t>Intuit</t>
        </is>
      </c>
      <c r="D39" t="inlineStr">
        <is>
          <t>indeed</t>
        </is>
      </c>
      <c r="E39" t="inlineStr"/>
      <c r="F39" t="inlineStr"/>
      <c r="G39" t="inlineStr">
        <is>
          <t>Mountain View, CA, US</t>
        </is>
      </c>
      <c r="H39" s="2" t="n">
        <v>46048</v>
      </c>
      <c r="I39" t="inlineStr">
        <is>
          <t>Category Program Management \&amp; Business Operations
Location Mountain View, California; Mountain View, California
Job ID 19245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PDX Tech Strategy \&amp; Planning is a high\-performing team responsible for driving operational excellence, running PDX’s operating mechanisms, and ensuring clarity and alignment across the organization. We partner closely with Tech Communications and Strategic Narratives to deliver effective communication, learning experiences, and a consistent PDX employee journey.
We are seeking a **Staff Business Operations Manager with a focus on Communications and Learning \&amp; Development** to lead execution of PDX’s internal communication channels, accelerate organizational learning, and support major PDX\-wide events and operating rhythms. This role blends strong program management, exceptional communication skills, and a passion for org acceleration—playing a critical role in keeping PDX informed, aligned, skilled, and growing.
 **Responsibilities**
**Internal Communications \&amp; Channels**
* Own execution and maintenance of PDX internal communication channels, including Slack channels, the PDX website, resource libraries, and org charts.
* Translate complex operational, technical, or performance information into clear, concise internal communications for broad PDX audiences.
* Partner closely with Tech Communications and Strategic Narratives to ensure content quality, alignment, and connection to broader Tech/Intuit communications.
 **Learning \&amp; Development (Org Acceleration)**
* Design, implement, and manage internal learning and development programs for PDX employees that support onboarding, operational excellence, and ongoing skill development.
* Drive learning \&amp; growth initiatives, including mentorship programs, manager community offerings, and customer empathy events (guest speakers, trainings, workshops).
* Accelerate AI adoption across PDX by integrating AI tools, education, and workflows into communication and learning programs.
* Support builder culture onboarding by creating clear pathways for new hires to understand PDX, how we operate, and how to contribute quickly and effectively.
 **Operating Mechanisms \&amp; Program Management**
* Support communication planning and delivery for PDX\-wide events such as All Teams Meetings, Global Engineering Days, Excellence Awards, and SLT/ELT engagements.
* Drive communication and learning workback plans across PDX operating mechanisms by coordinating with TPMs, People \&amp; Culture, EABPs, and cross\-functional partners.
* Lead and support operational programs end\-to\-end, including defining objectives, managing timelines, preparing materials, and coordinating stakeholders.
* Support PDX community initiatives focused on connection, growth, and engagement (e.g., Manager Community, People \&amp; Culture initiatives, onboarding experiences).
 **Continuous Improvement \&amp; AI Enablement**
* Monitor communication and learning program effectiveness and contribute to continuous improvement of processes, tools, and delivery.
* Leverage GenAI tools to streamline content creation, enhance communication workflows, support training development, and accelerate the speed of information flow across PDX.
 **Qualifications**
**Required**
* 6–8\+ years of experience in Business Operations, Program Management, Internal Communications, Learning \&amp; Development, or similar roles.
* Proven experience managing internal communication channels at scale.
* Experience designing or supporting training, onboarding, or capability\-building programs.
* Excellent written and verbal communication skills, with the ability to simplify complex information.
* Strong program management skills with experience owning workback plans, cadences, and cross\-functional coordination.
* Experience operating in matrixed environments with multiple stakeholder groups.
* Strong analytical and organizational skills with a bias for action.
 **Preferred**
* Experience within PDX, Intuit, or within a large technical organization.
* Familiarity with Slack Canvas, microsites, and enterprise communication platforms.
* Experience preparing content for leaders and large\-audience internal events.
* Experience supporting or managing learning and development initiatives, manager enablement, or technical onboarding programs.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40">
      <c r="A40" t="inlineStr">
        <is>
          <t>in-c62ddeae5e6802df</t>
        </is>
      </c>
      <c r="B40" t="inlineStr">
        <is>
          <t>SAS Program Manager</t>
        </is>
      </c>
      <c r="C40" t="inlineStr">
        <is>
          <t>International Rescue Committee</t>
        </is>
      </c>
      <c r="D40" t="inlineStr">
        <is>
          <t>indeed</t>
        </is>
      </c>
      <c r="E40" t="inlineStr"/>
      <c r="F40" t="inlineStr"/>
      <c r="G40" t="inlineStr">
        <is>
          <t>Dallas, TX, US</t>
        </is>
      </c>
      <c r="H40" s="2" t="n">
        <v>46048</v>
      </c>
      <c r="I40"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 communities. A force for humanity, IRC employees deliver lasting impact by restoring safety, dignity and hope to millions. If you're a solutions\-driven, passionate change\-maker, come join us in positively impacting the lives of millions of people world\-wide for a better future.
IRC Dallas’ health and wellness programming has grown significantly over the past several years. Further developing services that enhance the health and well\-being of refugee and immigrant communities is part of the office’s strategic vision. The SAS Program Manager will manage IRC Dallas’ Social Adjustment Services, and SOR programs. As programs expand, additional programs may be added. Responsibilities will include staff management and support, program management, grants management, grant writing, project design and development, strategic planning, partner relationship management, monitoring and evaluation, and all aspects of program management in collaboration with program teams. This position reports to the Deputy Director of programs.
**Major Responsibilities:**
**Program Management:**
* Manage multiple health and wellness programs and projects
* Ensure health and wellness programs provide culturally and linguistically appropriate services while promoting well\-being and independence
* Support programming in the areas of Health Empowerment, Access and Education, Community Gardens and Produce Stands, Nutrition and Food Security, Refugee Elders, Special Needs Case Management, COVID\-19 Response and Vaccine Outreach, Mental Health, Wellness and Well\-being, and others as needed
* Identify service gaps and develop and implement programming to address gaps
* Manage multiple federal, state, local, and private grants and funding streams
* In collaboration with program coordinators and finance department, develop and manage all assigned budgets including monthly review of Budget vs. Actuals (revenue and expense activity), match objectives, and financial reporting to funders
* Ensure accurate, high quality data tracking and accurate, timely reporting for
Health and Wellness programs
* Develop and review program reports and collect statistics and developments for evaluation, tracking and reporting purposes and to ensure compliance with funded objectives and donor requirements
* Implement monitoring and evaluation activities to assess program activities, document accomplishments, identify promising practices and lessons learned, and respond to participant and community feedback and needs
* Ensure smooth and functional operation of Health and Wellness programs maintaining efficient systems and ensuring delivery of quality services
**Staff Support \&amp; Supervision:**
* Provide direct support to program supervisors and coordinator, and other positions created through program development
* Utilize IRC’s People Management Standards including regular team and individual meetings, clear expectations, effective feedback, and responsive support
* Ensure program staff engage in training on trauma\-informed approach and other relevant professional development and work to incorporate trauma\-informed approach into service delivery, workload management, and staff supervision and support
* Provide mentorship and support to staff around professional development, workload management, trauma\-informed approach, and staff wellness
* Cultivate an environment of teamwork through regular program meetings and on\-going training
* Conduct mid\-year and annual performance management evaluations
**Program Development:**
* Identify unmet needs, design programming, and develop funding to address gaps in services in response to staff, participant, and community feedback
* Responsible for seeking opportunities to maintain and expand Health and Wellness programming and developing high quality funding proposals in collaboration with program and development staff
* Work collaboratively with current and future funding partners
* Maintain and develop relationships with funders and other partners who contribute donated services, time, funds, and goods to support Health and Wellness programs
* Expand services and resources available to communities served including professional services, in\-kind donations, and volunteer time through engagement with donors and providers
**Leadership:**
* Organize and participate in annual planning activities for SAS and other related programs including developing and defining a vision and strategy in collaboration with program teams
* In conjunction with other Program Managers take ownership of relevant strategic objectives, provide guidance and oversight to the appropriate objectives in the IRC Dallas Strategic Action Plan
* Act as a member of IRC Dallas Senior Management Team
* Work with IRC Dallas Senior Management Team, program leads and other staff, and ensure a good working relationship with all internal departments/programs in the design and coordination of new programming, provision of services, development activities, public relations materials, events and media communications
* Participate in all staff meetings, staff development activities, and fully engage as a member of the IRC Dallas team
* Comply with all policies, procedures, and protocols of the agency
* Other duties as assigned
**Job Requirements:**
* Relevant degree or equivalent professional experience
* Minimum of 3\+ years of related professional experience in the areas of Program Management; Grant Management; Grant Compliance; Social Services; Mental Health Services; Public Health; Food Security; Humanitarian Relief; Staff Supervision; Grant Writing/Development; Donor Relations; etc.
* Holistic understanding of refugee and immigrant health and wellness, particularly health trends, issues, challenges, and appropriate interventions
* In\-depth knowledge of health, mental health, wellness, refugee and immigrant services, trauma\-informed approach, and understanding of participant and community perspectives and needs
* Experience providing support to staff and understanding of staff well\-being, managing workload, professional boundaries, setting clear expectations, and providing direct feedback
* Program management, leadership, and training experience
* Experience engaging with and providing services to diverse populations
* English proficiency, both spoken and written, and professional proficiency in language(s) of local immigrant and refugee communities (i.e., Arabic, Dari, Kinyarwanda, Pashto, Somali, Spanish, Swahili, Ukrainian, etc.) preferred
* Public speaking experience and ability to professionally represent IRC and its mission
* Strong organizational skills including detail oriented, prioritizing, planning, and effective time management
* Experience working with and ability to interact with diverse groups of people
* Ability to work independently to ensure proactive, quality performance of duties, as well as ability to work as part of a team
* Computer skills, particularly knowledge of Word, Excel, and all Microsoft Office applications
* Must be comfortable in a fast\-paced, multicultural environment
* Access to reliable transportation to travel throughout the service delivery area
**Working Environment:**
* Standard, professional office environment (currently hybrid)
* May require occasional weekend and /or evening work.
**Compensation: (** *Pay Range: $75,000 \-75,000* **)** Posted pay ranges apply to US\-based candidates. Ranges are based on various factors including the labor market, job type, internal equity, and budget. Exact offers are calibrated by work location, individual candidate experience and skills relative to the defined job requirements.  
**PROFESSIONAL STANDARDS**
All International Rescue Committee workers must adhere to the core values and principles outlined in IRC Way \- Standards for Professional Conduct . Our Standards are Integrity, Service, Equality and Accountability. In accordance with these values, the IRC operates and enforces policies on Safeguarding , Conflicts of Interest, Fiscal Integrity, and Reporting Wrongdoing and Protection from Retaliation. IRC is committed to take all necessary preventive measures and create an environment where people feel safe, and to take all necessary actions and corrective measures when harm occurs. IRC builds teams of professionals who promote critical reflection, power sharing, debate, and objectivity to deliver the best possible services to our clients.
Cookies: https://careers.rescue.org/us/en/cookiesettings
Compensation: Posted pay ranges apply to US\-based candidates. Ranges are based on various factors including the labor market, job type, internal equity, and budget. Exact offers are calibrated by work location, individual candidate experience and skills relative to the defined job requirements.
US Benefits: We offer a comprehensive and highly competitive set of benefits. In the US, these include: 10 sick days, 10 US holidays, 20\-25 paid time off days depending on role and tenure, medical insurance starting at $163 per month, dental starting at $6\.50 per month, and vision starting at $5 per month, FSA for healthcare and commuter costs, a 403b retirement savings plans with immediately vested matching, disability \&amp; life insurance, and an Employee Assistance Program which is available to our staff and their families to support counseling and care in times of crisis and mental health struggles.
Equal Opportunity Employer: IRC is an Equal Opportunity Employer. IRC considers all applicants on the basis of merit without regard to race, sex, color, national origin, religion, sexual orientation, age, marital status, veteran status, disability or any other characteristic protected by applicable law.
\#li\-1</t>
        </is>
      </c>
    </row>
    <row r="41">
      <c r="A41" t="inlineStr">
        <is>
          <t>in-97c7cfa499c288d3</t>
        </is>
      </c>
      <c r="B41" t="inlineStr">
        <is>
          <t>Product Manager - Dropship</t>
        </is>
      </c>
      <c r="C41" t="inlineStr">
        <is>
          <t>Staples</t>
        </is>
      </c>
      <c r="D41" t="inlineStr">
        <is>
          <t>indeed</t>
        </is>
      </c>
      <c r="E41" t="inlineStr"/>
      <c r="F41" t="inlineStr"/>
      <c r="G41" t="inlineStr">
        <is>
          <t>Framingham, MA, US</t>
        </is>
      </c>
      <c r="H41" s="2" t="n">
        <v>46048</v>
      </c>
      <c r="I41"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 Own the product vision and roadmap for dropship capabilities, including supplier onboarding, product setup, order transmission, inventory updates, and delivery‑to‑completion tracking across third‑party partners.
* Partner closely with supply chain, fulfillment, vendor management, and engineering teams to define and prioritize integrations between external supplier platforms and Staples systems\- ensuring reliable, scalable dropship operations without direct ownership of fulfillment centers.
* Define and measure dropship performance metrics, building product capabilities that provide visibility into supplier performance, order accuracy, lead times, and customer experience, and using those insights to drive continuous improvement.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Prior experience working with dropship platforms such as Rithum (ChannelAdvisor) or Mirakl, including supplier onboarding, catalog ingestion, order routing, inventory synchronization, or performance monitoring.
* Background in integration‑driven product environments, with hands‑on experience partnering with engineering teams to deliver complex, multi‑system workflows (APIs, third‑party platforms, service‑to‑service integrations), without needing to write or review code.
* Demonstrated success operating in ambiguous problem spaces, where requirements are not fully defined upfront\-able to break down complex vendor, product, and operational challenges into clear product outcomes and incremental solutions.
 **We Offer:**
* Inclusive culture with associate\-led Business Resource Groups
* 22 days of PTO and Holiday Schedule (7 observed paid holidays \+ 1 floating holiday)
* Online and Retail Discounts, Company Match 401(k), Physical and Mental Health Wellness programs, and more!
It is unlawful in Massachusetts to require or administer a lie detector test as a condition of employment or continued employment. An employer who violates this law shall be subject to criminal penalties and civil liability.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42">
      <c r="A42" t="inlineStr">
        <is>
          <t>in-46edc93e34abb188</t>
        </is>
      </c>
      <c r="B42" t="inlineStr">
        <is>
          <t>Staff Technical Program Manager</t>
        </is>
      </c>
      <c r="C42" t="inlineStr">
        <is>
          <t>Intuit</t>
        </is>
      </c>
      <c r="D42" t="inlineStr">
        <is>
          <t>indeed</t>
        </is>
      </c>
      <c r="E42" t="inlineStr"/>
      <c r="F42" t="inlineStr"/>
      <c r="G42" t="inlineStr">
        <is>
          <t>Mountain View, CA, US</t>
        </is>
      </c>
      <c r="H42" s="2" t="n">
        <v>46048</v>
      </c>
      <c r="I42" t="inlineStr">
        <is>
          <t>**Overview**
------------
Come join the Intuit Platform \&amp; Development Xceleration Group (PDX) Program Management Ofce, as a Staff Technical Program Manager, Tech Buy Strategy. The PDX PMO’s team supports the Intuit Chief Architect and their mission is to accelerate the outcomes of the PDX organization by defining the overall Intuit Tech strategy and executing on large horizontal initiatives and technology priorities across multiple teams across Intuit.  
This role will execute processes for making build vs buy decisions; ensure 3P technology choices align to Intuit’s selection principles; and conduct consistent tech diligence and integration planning for renewals and new contracts. This role will also partner with key stakeholders to ensure that strategic and critical third parties are aligned to Intuit’s tech strategies and are delivering the most important work to innovate for our customers. **Responsibilities**
* Drive technical due diligence and integration planning for key strategic and critical third party or open source technologies including preparing and presenting formal reports and readouts. Establish a process for recording decisions and accountable owners.
* Establish a scalable process for onboarding and maintaining key strategic and critical third party or open source technologies in City Map in partnership with the enterprise architecture team. Mapping of third party products and services to City Map capabilities and owners for enabling decisions that align with Intuit’s tech strategy.
* Develop 3rd party strategic alignment program structure and drive program operating rhythm with in partnership with cross functional teams across Intuit Tech Ecosystem and Global Business Solutions
* Drive creation of roadmaps and execution plans for tech strategy alignment and continuous improvement with key strategic vendors
* Develop the overall vendor performance management strategy, including incident and escalation management, ensuring vendor SLA commitments are meeting Intuit’s business needs
* Collaborate with key stakeholders in executive teams, architecture and product development teams across Tech Ecosystem; and various cross\-functional teams across Intuit to drive program outcomes.
* Prepare regular status reports and dashboards to drive understanding of current initiatives and hold both internal teams and third parties accountable to milestones and deliverables
* Prepare agenda and key talking points to support executive leadership meetings with third parties
 **Qualifications**
* 8\+ years of experience in top tier technology strategy and consulting, or experience in developing strategy for large scale SaaS and Cloud hosting vendors
* Significant exposure to senior leaders, experience in leading operating rhythms with senior tech leaders, driving alignment, building consensus on tech strategy decisions
* Domain knowledge of building and operating high availability, high performance, reliable and robust platform architectures
* Understanding of cloud hosting technologies like AWS and GCP is preferable
* Strong understanding of contractual SLAs, performance tracking and reporting
* Passion to quickly learn new technology spaces like Generative AI, Blockchain, CyberSecurity, DevOps, Edge Computing, etc.
* Strong proficiency in standing up portfolio and program frameworks for complex, multi\-company initiatives
* Ability to drive technology strategy development including role for build vs buy, core vs context, etc.
* Deep understanding of partner management and how to drive partners for high performance
* Proven ability to quickly earn the trust of sponsors and key stakeholders; mobilize and motivate teams; set direction and approach; resolve conflict; deliver tough messages with grace; execute with limited information and ambiguity; adapt to and manage change quickly
* Thrive in a culture of ownership, delivery, and innovation.
* Ability to traverse both vertically and horizontally in a large organization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  
Southern California $ 165,500\- 224,000</t>
        </is>
      </c>
    </row>
    <row r="43">
      <c r="A43" t="inlineStr">
        <is>
          <t>in-59127c1c160f02d0</t>
        </is>
      </c>
      <c r="B43" t="inlineStr">
        <is>
          <t>Product Manager</t>
        </is>
      </c>
      <c r="C43" t="inlineStr">
        <is>
          <t>CommScope</t>
        </is>
      </c>
      <c r="D43" t="inlineStr">
        <is>
          <t>indeed</t>
        </is>
      </c>
      <c r="E43" t="inlineStr"/>
      <c r="F43" t="inlineStr"/>
      <c r="G43" t="inlineStr">
        <is>
          <t>Richardson, TX, US</t>
        </is>
      </c>
      <c r="H43" s="2" t="n">
        <v>46048</v>
      </c>
      <c r="I43" t="inlineStr">
        <is>
          <t>Due to our continued growth and customer demand, we are currently recruiting for a Product Manager located in Claremont, NC, Apex, NC, Shakopee, MN or El Paso, TX.
How You’ll Help Us Connect the World:
The Product Manager is responsible for the profitable growth of a defined product line with the Broadband business unit. Responsibilities include product line strategy, pricing, profitability, and marketing. In addition to classic product management functions, the individual will successfully manage new product introduction to market. The position has cross\-functional responsibility working with Sales, Engineering, Operations, Marketing, and Customer Service. The position requires the individual to function effectively in a team environment, providing both vision and leadership.
 **DUTIES \&amp; RESPONSIBILITES:**
* Manage the product life cycle of your respective portfolio.
* Manage the financial performance for the product line, including revenue attainment and margin.
* Responsible for new product launch including defining requirements, establishing pricing, and marketing collateral. Works closely with other functional teams to appropriately prioritize and staff the initiatives to support a new product launch.
* Advise operations on product demand information including forecast and timing.
* Define and execute the product lines short\- and long\-term strategy with input from key stakeholders. Participates in technology and product roadmap development to identify new and/or growth opportunities.
* Research competitive products and uncover customer needs by attending trade shows, monitoring market\-specific publications and social media, and communicating regularly with the sales teams.
* Evaluate product performance relative to market and recommend changes to reduce cost, improve lead\-time, improve product performance, and revise promotional strategies.
* Supports sales calls, quotes, bid preparations, and product loads in appropriate systems.
 **QUALIFICATIONS**:
* Bachelor’s degree, MBA preferred
* 1–2 years of relevant experience, including product management, product development, or technical internships in the telecom, networking, or connectivity space
* High level of proficiency with Excel and PowerPoint
* Creative problem solver with demonstrated ability to diagnose issues, evaluate alternatives, and propose data\-driven solutions
* Ability to work and drive alignment within cross\-functional teams, including engineering, operations, sales, and marketing
* Strong verbal and written communication skills with proven track record to communicate effectively in a technical environment and to non\-technical audiences
* Ability to travel up to 20%\-30% of the time, including customer visits, manufacturing sites, and industry events
 **You Will Excite Us If You Have:**
* Experience working with outside plant (OSP) fiber closures, connectors, cable assemblies, or other fiber optic products
* Knowledge of FTTX network design, deployment practices, and construction methods
* Familiarity with business finance, including product costing, margin analysis, and P\&amp;L fundamentals
* Data analytics experience, with the ability to identify patterns, derive insights, and support decisions with quantitative justification
 **Perks \&amp; Benefits:** The candidate will be rewarded with a comprehensive benefits package, including paid vacation, medical, dental, and vision plans, life and accidental death insurance, a 401(k) plan, and participation in the Company’s Annual Incentive Plan.
**What happens after you apply:** Learn how to prepare yourself for the next steps in our hiring process by visiting https://careers.commscope.com/how\-we\-hire.</t>
        </is>
      </c>
    </row>
    <row r="44">
      <c r="A44" t="inlineStr">
        <is>
          <t>in-45ed99dc5a4a6d47</t>
        </is>
      </c>
      <c r="B44" t="inlineStr">
        <is>
          <t>Program Manager – Registered Cardiac Sonographer Training Program</t>
        </is>
      </c>
      <c r="C44" t="inlineStr">
        <is>
          <t>Dartmouth Health</t>
        </is>
      </c>
      <c r="D44" t="inlineStr">
        <is>
          <t>indeed</t>
        </is>
      </c>
      <c r="E44" t="inlineStr"/>
      <c r="F44" t="inlineStr"/>
      <c r="G44" t="inlineStr">
        <is>
          <t>Lebanon, NH, US</t>
        </is>
      </c>
      <c r="H44" s="2" t="n">
        <v>46048</v>
      </c>
      <c r="I44" t="inlineStr">
        <is>
          <t>**Overview**
This position is located onsite in Lebanon, NH.
The Dartmouth Health Benefit's package starts on the first day of employment.
Link to the DH Benefit's package:
https://ww.flipsnack.com/enroll/2025\-dhmc\-and\-clinics\-staff\-benefits\-brochure/full\-view.html \[flipsnack.com]  
The Registered Cardiac Sonographer Program Manager is responsible for delivery of the Dartmouth Health Career Institute (DHCI) Cardiac Sonography Training Program. This includes organization, administration, budgeting, planning, program and student evaluation, coordination of the instructional team, clinical partnerships, continuous review, compliance and tracking of overall program outcomes. The Program Manager is responsible for recordkeeping in accordance with the Department of Labor, Department of Education, CAAHEP and the NH Imaging Board, monitoring competency reporting; and regularly meeting one\-on\-one with trainees to monitor progress and provide coaching. **Responsibilities*** Manages the organization, administration, continuous review, planning, development, general effectiveness of the program and provides actionable information to Workforce Development colleagues and leadership in Dartmouth Health’s Cardiology department.
* Leads design and development of didactic and clinical curricula to align with the competency outcomes and goals of the training program, including the review and development, ongoing assessment and continuous improvement.
* Delivers didactic and clinical curricula.
* Utilizes a variety of training methodologies, techniques, concepts, learning tools and practices to ensure maximum effectiveness of the training program.
* Works with the Workforce Development educator team to track new and emerging learning technologies and curricular practices, analyze the feasibility of their adoption, and integrate them with current systems and programs.
* Works with the Echocardiography Lab to identify preceptors and clinical education support, and organize guest lecturers or skills session based on curriculum goals.
* Coordinates student clinical experiences including the identification of shadowing or experiential visits, scheduling, developing partnerships, and maintaining all required documentation.
* Incorporates adult learning theory and proven evaluation methods to assess the achievement of learning goals and objectives, tailoring instructional strategies to the needs of adult and professional learners.
* Stays informed about industry trends, emerging research, and innovative solutions to ensure the program is cutting\-edge and meet the evolving needs of the DH workforce.
* Responsible for adherence to accreditation criteria. Serves as a liaison with external bodies related to public relations, professional standards, and accreditation reviews.
* Monitors and tracks student progress and performance in accordance with any governing bodies. Maintains student attendance, grade, and discipline records as required by the program. Actively participates in any student disciplinary actions.
* Leads student recruitment and retention, program marketing and the admissions process.
* Develops and sustains student relationships and provides counseling, coaching, mentoring, scheduling, and advisement. Monitors student performance per program requirements.
* Supervises any DH sponsored trainees.
* Works closely with Workforce Development leadership to align program with key business objectives, including identifying program learning objectives and course outcomes.
* Performs other duties as required or assigned.
**Qualifications*** Associate’s degree required
* Demonstrated experience with program management preferred including scheduling, budgeting, supervising trainees, tracking outcomes, meeting deadlines, tracking compliance, evaluations, etc.
* Fellow of the American Society of Echocardiography (FASE) preferred
* Advanced Cardiac Sonographer (ACS\-CCI) preferred
* Possess experience/training as an educator, along with proficiency in instructional methodology and curriculum design.
* Ability to effectively utilize technology, e.g. MS Office, employer systems for HR, patient records, budgeting, etc.
* Ability to travel to DH member locations in New Hampshire and Vermont.
* Minimum of 5 years’ experience as a diagnostic cardiac sonographer or as an instructor in a cardiac sonography program, or a combination of both within the past ten years.
 **Required Licensure/Certifications**
\- (BLS) Basic Life Support \- Registered Cardiac Sonographer (RCS/CCI) or Registered Diagnostic Cardiac Sonographer (RDCS, ARDMS) Licensure required. \- Registered with the New Hampshire Board of Medical Imaging and Radiation Therapy.* **Area of Interest:** Allied Health
* **Pay Range:** $81,723\.20/Yr. \- $130,769\.60/Yr. (Based on 40 hours per week, otherwise pro rata)
* **FTE/Hours per pay period:** 1\.00 \- 1\.00 \- 40 hrs/week
* **Shift:** Day
* **Job ID:** 36919
Dartmouth Health offers a total compensation package that includes a comprehensive selection of benefits. Our Core Benefits include medical, dental, vision and life insurance, short and long term disability, paid time off, and retirement plans. Click here for information on these benefits and more: Benefits \| DHMC and Clinics Careers
*Dartmouth Health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Not Stated
Not Stated</t>
        </is>
      </c>
    </row>
    <row r="45">
      <c r="A45" t="inlineStr">
        <is>
          <t>in-783cec6efc911b0c</t>
        </is>
      </c>
      <c r="B45" t="inlineStr">
        <is>
          <t>Principal Product Manager, Project-Based Industry Solutions</t>
        </is>
      </c>
      <c r="C45" t="inlineStr">
        <is>
          <t>Intuit</t>
        </is>
      </c>
      <c r="D45" t="inlineStr">
        <is>
          <t>indeed</t>
        </is>
      </c>
      <c r="E45" t="inlineStr"/>
      <c r="F45" t="inlineStr"/>
      <c r="G45" t="inlineStr">
        <is>
          <t>Mountain View, CA, US</t>
        </is>
      </c>
      <c r="H45" s="2" t="n">
        <v>46048</v>
      </c>
      <c r="I45" t="inlineStr">
        <is>
          <t>**Overview**
------------
As Principal PM, you will build an AI\-powered "Field\-to\-Finance" loop for Construction, Field, and Pro Services. You’ll replace manual back\-office work with mobile\-first, AI\-driven AR/AP workflows that automatically track time, expenses, and materials. Your goal is to give mid\-market firms real\-time, autonomous control over their project cash flow. You’ll do this by working cross\-functionally across teams of data scientists, product managers, engineers, researchers, and designers to define and deliver requirements that achieve product\-market\-fit and differentiation for Intuit’s industry solutions.
 **Responsibilities**
* **Mobile\-First AR Intake:** Develop the roadmap for field\-based billing triggers, enabling Finance to initiate **Milestone Billing** and **Progress Invoices (AIA style)** directly from a mobile device upon task completion.
* **High\-Velocity AP Automation:** Build "Field\-to\-Finance" AP workflows where site leads can capture receipts, code vendor invoices to specific **Project Dimensions**, and trigger approval chains via mobile, reducing payment cycles.
* **Project\-Level Cash Flow:** Deliver real\-time "Burn vs. Budget" visibility, ensuring that mobile\-captured labor and material costs are instantly reconciled against project estimates to track
* **Verticalized Controls:** Implement project\-specific financial controls, such as **Retainage/Retention tracking**, **Pay\-When\-Paid** subcontractor logic, and automated **Lien Waiver** management within the payment flow.
* **Integrated Fintech Services:** Drive the adoption of embedded financial services, such as instant subcontractor payments and project\-based financing, to bridge the gap in long\-cycle project billing.
* **Build and own a quarterly rolling 12\-month roadmap** to deliver on business objectives
* **Engage with cross\-functional stakeholders** to ensure technology synergies are understood and leveraged
 **Qualifications**
* **8\+ years in Product Management**, with specific expertise in **Project Accounting, Fintech, or AR/AP Automation**
* **Mobile Strategy Lead:** Proven track record of building "system of record" mobile applications where field data accuracy is critical for financial compliance and billing.
* **Vertical Financial Domain:** Deep knowledge of the **Project P\&amp;L**: Job costing, burdened labor rates and Revenue Recognition (ASC 606\).
* **Mid\-Market Capability:** Experience scaling financial systems for firms managing **multi\-entity operations** and complex, high\-volume transaction sets.
* **API \&amp; Integration Fluency:** Ability to design how financial data moves between 3rd party field apps and the core IES ledger to ensure a "Single Source of Truth.
* **Customer\-Led Conviction:** Expert at synthesizing "Inside\-Out" (customer VOC) and "Outside\-In" (market trends) data to build a high\-conviction roadmap for project\-based verticals.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46">
      <c r="A46" t="inlineStr">
        <is>
          <t>in-3b980a833c5dcacf</t>
        </is>
      </c>
      <c r="B46" t="inlineStr">
        <is>
          <t>Staff Technical Program Manager, Tech Strategy &amp; Planning</t>
        </is>
      </c>
      <c r="C46" t="inlineStr">
        <is>
          <t>Intuit</t>
        </is>
      </c>
      <c r="D46" t="inlineStr">
        <is>
          <t>indeed</t>
        </is>
      </c>
      <c r="E46" t="inlineStr"/>
      <c r="F46" t="inlineStr"/>
      <c r="G46" t="inlineStr">
        <is>
          <t>Mountain View, CA, US</t>
        </is>
      </c>
      <c r="H46" s="2" t="n">
        <v>46048</v>
      </c>
      <c r="I46" t="inlineStr">
        <is>
          <t>**Overview**
------------
PDX Tech Strategy \&amp; Planning is a high\-performing team responsible for driving operational excellence, running PDX’s operating mechanisms, and ensuring clarity and alignment across the organization. We partner closely with Tech Communications and Strategic Narratives to deliver effective communication, learning experiences, and a consistent PDX employee journey.
We are seeking a **Staff Business Operations Manager with a focus on Communications and Learning \&amp; Development** to lead execution of PDX’s internal communication channels, accelerate organizational learning, and support major PDX\-wide events and operating rhythms. This role blends strong program management, exceptional communication skills, and a passion for org acceleration—playing a critical role in keeping PDX informed, aligned, skilled, and growing.
 **Responsibilities**
### **Internal Communications \&amp; Channels**
* Own execution and maintenance of PDX internal communication channels, including Slack channels, the PDX website, resource libraries, and org charts.
* Translate complex operational, technical, or performance information into clear, concise internal communications for broad PDX audiences.
* Partner closely with Tech Communications and Strategic Narratives to ensure content quality, alignment, and connection to broader Tech/Intuit communications.
### **Learning \&amp; Development (Org Acceleration)**
* Design, implement, and manage internal learning and development programs for PDX employees that support onboarding, operational excellence, and ongoing skill development.
* Drive learning \&amp; growth initiatives, including mentorship programs, manager community offerings, and customer empathy events (guest speakers, trainings, workshops).
* Accelerate AI adoption across PDX by integrating AI tools, education, and workflows into communication and learning programs.
* Support builder culture onboarding by creating clear pathways for new hires to understand PDX, how we operate, and how to contribute quickly and effectively.
### **Operating Mechanisms \&amp; Program Management**
* Support communication planning and delivery for PDX\-wide events such as All Teams Meetings, Global Engineering Days, Excellence Awards, and SLT/ELT engagements.
* Drive communication and learning workback plans across PDX operating mechanisms by coordinating with TPMs, People \&amp; Culture, EABPs, and cross\-functional partners.
* Lead and support operational programs end\-to\-end, including defining objectives, managing timelines, preparing materials, and coordinating stakeholders.
* Support PDX community initiatives focused on connection, growth, and engagement (e.g., Manager Community, People \&amp; Culture initiatives, onboarding experiences).
### **Continuous Improvement \&amp; AI Enablement**
* Monitor communication and learning program effectiveness and contribute to continuous improvement of processes, tools, and delivery.
* Leverage GenAI tools to streamline content creation, enhance communication workflows, support training development, and accelerate the speed of information flow across PDX.
 **Qualifications**
### **Required**
* 6–8\+ years of experience in Business Operations, Program Management, Internal Communications, Learning \&amp; Development, or similar roles.
* Proven experience managing internal communication channels at scale.
* Experience designing or supporting training, onboarding, or capability\-building programs.
* Excellent written and verbal communication skills, with the ability to simplify complex information.
* Strong program management skills with experience owning workback plans, cadences, and cross\-functional coordination.
* Experience operating in matrixed environments with multiple stakeholder groups.
* Strong analytical and organizational skills with a bias for action.
### **Preferred**
* Experience within PDX, Intuit, or within a large technical organization.
* Familiarity with Slack Canvas, microsites, and enterprise communication platforms.
* Experience preparing content for leaders and large\-audience internal events.
* Experience supporting or managing learning and development initiatives, manager enablement, or technical onboarding programs.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47">
      <c r="A47" t="inlineStr">
        <is>
          <t>in-852a8c759171ba8d</t>
        </is>
      </c>
      <c r="B47" t="inlineStr">
        <is>
          <t>Staff Technical Program Manager</t>
        </is>
      </c>
      <c r="C47" t="inlineStr">
        <is>
          <t>Intuit</t>
        </is>
      </c>
      <c r="D47" t="inlineStr">
        <is>
          <t>indeed</t>
        </is>
      </c>
      <c r="E47" t="inlineStr"/>
      <c r="F47" t="inlineStr"/>
      <c r="G47" t="inlineStr">
        <is>
          <t>San Diego, CA, US</t>
        </is>
      </c>
      <c r="H47" s="2" t="n">
        <v>46048</v>
      </c>
      <c r="I47" t="inlineStr">
        <is>
          <t>**Overview**
------------
Come join the Intuit Platform \&amp; Development Xceleration Group (PDX) Program Management Ofce, as a Staff Technical Program Manager, Tech Buy Strategy. The PDX PMO’s team supports the Intuit Chief Architect and their mission is to accelerate the outcomes of the PDX organization by defining the overall Intuit Tech strategy and executing on large horizontal initiatives and technology priorities across multiple teams across Intuit.  
This role will execute processes for making build vs buy decisions; ensure 3P technology choices align to Intuit’s selection principles; and conduct consistent tech diligence and integration planning for renewals and new contracts. This role will also partner with key stakeholders to ensure that strategic and critical third parties are aligned to Intuit’s tech strategies and are delivering the most important work to innovate for our customers. **Responsibilities**
* Drive technical due diligence and integration planning for key strategic and critical third party or open source technologies including preparing and presenting formal reports and readouts. Establish a process for recording decisions and accountable owners.
* Establish a scalable process for onboarding and maintaining key strategic and critical third party or open source technologies in City Map in partnership with the enterprise architecture team. Mapping of third party products and services to City Map capabilities and owners for enabling decisions that align with Intuit’s tech strategy.
* Develop 3rd party strategic alignment program structure and drive program operating rhythm with in partnership with cross functional teams across Intuit Tech Ecosystem and Global Business Solutions
* Drive creation of roadmaps and execution plans for tech strategy alignment and continuous improvement with key strategic vendors
* Develop the overall vendor performance management strategy, including incident and escalation management, ensuring vendor SLA commitments are meeting Intuit’s business needs
* Collaborate with key stakeholders in executive teams, architecture and product development teams across Tech Ecosystem; and various cross\-functional teams across Intuit to drive program outcomes.
* Prepare regular status reports and dashboards to drive understanding of current initiatives and hold both internal teams and third parties accountable to milestones and deliverables
* Prepare agenda and key talking points to support executive leadership meetings with third parties
 **Qualifications**
* 8\+ years of experience in top tier technology strategy and consulting, or experience in developing strategy for large scale SaaS and Cloud hosting vendors
* Significant exposure to senior leaders, experience in leading operating rhythms with senior tech leaders, driving alignment, building consensus on tech strategy decisions
* Domain knowledge of building and operating high availability, high performance, reliable and robust platform architectures
* Understanding of cloud hosting technologies like AWS and GCP is preferable
* Strong understanding of contractual SLAs, performance tracking and reporting
* Passion to quickly learn new technology spaces like Generative AI, Blockchain, CyberSecurity, DevOps, Edge Computing, etc.
* Strong proficiency in standing up portfolio and program frameworks for complex, multi\-company initiatives
* Ability to drive technology strategy development including role for build vs buy, core vs context, etc.
* Deep understanding of partner management and how to drive partners for high performance
* Proven ability to quickly earn the trust of sponsors and key stakeholders; mobilize and motivate teams; set direction and approach; resolve conflict; deliver tough messages with grace; execute with limited information and ambiguity; adapt to and manage change quickly
* Thrive in a culture of ownership, delivery, and innovation.
* Ability to traverse both vertically and horizontally in a large organization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  
Southern California $ 165,500\- 224,000</t>
        </is>
      </c>
    </row>
    <row r="48">
      <c r="A48" t="inlineStr">
        <is>
          <t>in-1e6139500043c357</t>
        </is>
      </c>
      <c r="B48" t="inlineStr">
        <is>
          <t>Principal Product Manager, Project-Based Industry Solutions</t>
        </is>
      </c>
      <c r="C48" t="inlineStr">
        <is>
          <t>Intuit</t>
        </is>
      </c>
      <c r="D48" t="inlineStr">
        <is>
          <t>indeed</t>
        </is>
      </c>
      <c r="E48" t="inlineStr"/>
      <c r="F48" t="inlineStr"/>
      <c r="G48" t="inlineStr">
        <is>
          <t>San Diego, CA, US</t>
        </is>
      </c>
      <c r="H48" s="2" t="n">
        <v>46048</v>
      </c>
      <c r="I48" t="inlineStr">
        <is>
          <t>**Overview**
------------
As Principal PM, you will build an AI\-powered "Field\-to\-Finance" loop for Construction, Field, and Pro Services. You’ll replace manual back\-office work with mobile\-first, AI\-driven AR/AP workflows that automatically track time, expenses, and materials. Your goal is to give mid\-market firms real\-time, autonomous control over their project cash flow. You’ll do this by working cross\-functionally across teams of data scientists, product managers, engineers, researchers, and designers to define and deliver requirements that achieve product\-market\-fit and differentiation for Intuit’s industry solutions.
 **Responsibilities**
* **Mobile\-First AR Intake:** Develop the roadmap for field\-based billing triggers, enabling Finance to initiate **Milestone Billing** and **Progress Invoices (AIA style)** directly from a mobile device upon task completion.
* **High\-Velocity AP Automation:** Build "Field\-to\-Finance" AP workflows where site leads can capture receipts, code vendor invoices to specific **Project Dimensions**, and trigger approval chains via mobile, reducing payment cycles.
* **Project\-Level Cash Flow:** Deliver real\-time "Burn vs. Budget" visibility, ensuring that mobile\-captured labor and material costs are instantly reconciled against project estimates to track
* **Verticalized Controls:** Implement project\-specific financial controls, such as **Retainage/Retention tracking**, **Pay\-When\-Paid** subcontractor logic, and automated **Lien Waiver** management within the payment flow.
* **Integrated Fintech Services:** Drive the adoption of embedded financial services, such as instant subcontractor payments and project\-based financing, to bridge the gap in long\-cycle project billing.
* **Build and own a quarterly rolling 12\-month roadmap** to deliver on business objectives
* **Engage with cross\-functional stakeholders** to ensure technology synergies are understood and leveraged
 **Qualifications**
* **8\+ years in Product Management**, with specific expertise in **Project Accounting, Fintech, or AR/AP Automation**
* **Mobile Strategy Lead:** Proven track record of building "system of record" mobile applications where field data accuracy is critical for financial compliance and billing.
* **Vertical Financial Domain:** Deep knowledge of the **Project P\&amp;L**: Job costing, burdened labor rates and Revenue Recognition (ASC 606\).
* **Mid\-Market Capability:** Experience scaling financial systems for firms managing **multi\-entity operations** and complex, high\-volume transaction sets.
* **API \&amp; Integration Fluency:** Ability to design how financial data moves between 3rd party field apps and the core IES ledger to ensure a "Single Source of Truth.
* **Customer\-Led Conviction:** Expert at synthesizing "Inside\-Out" (customer VOC) and "Outside\-In" (market trends) data to build a high\-conviction roadmap for project\-based verticals.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t>
        </is>
      </c>
    </row>
    <row r="49">
      <c r="A49" t="inlineStr">
        <is>
          <t>in-60f7de8e8d7e3f95</t>
        </is>
      </c>
      <c r="B49" t="inlineStr">
        <is>
          <t>Senior Product Manager</t>
        </is>
      </c>
      <c r="C49" t="inlineStr">
        <is>
          <t>WellDyne</t>
        </is>
      </c>
      <c r="D49" t="inlineStr">
        <is>
          <t>indeed</t>
        </is>
      </c>
      <c r="E49" t="inlineStr"/>
      <c r="F49" t="inlineStr"/>
      <c r="G49" t="inlineStr">
        <is>
          <t>Remote, US</t>
        </is>
      </c>
      <c r="H49" s="2" t="n">
        <v>46048</v>
      </c>
      <c r="I49" t="inlineStr">
        <is>
          <t>HealthDyne is a pharmacy accelerator company, delivering flexible solutions that are designed to bring medications to patients seamlessly at scale. As a technology leader, HealthDyne leverages cutting edge innovation to bring pharmacy solutions to market for our clients. Join a team of visionary leaders with decades of pharmacy experience to help our clients refine, launch, and scale big ideas and fulfill our mission to deliver pharmacy care where access is effortless, care is affordable, and patients come first. We reimagine pharmacy to deliver more than medicine – we deliver better lives.
**Our Vision:**  
Powering better health through pharmacy care driven by tech, trust, and heart.  
**Our Mission:**  
Delivering pharmacy care where access is effortless, care is affordable, and patients come first.  
**Summary**  
Senior Product Manager of HealthDyne will lead the design and delivery of next\-generation, tech\-enabled pharmacy services for pharmaceutical manufacturers. This role sits at the intersection of healthcare, technology, and operations — bringing together deep technical expertise with an understanding of pharmacy workflows and patient access challenges. You will be responsible for developing digital platforms and services that improve how patients start and stay on therapy, while giving manufacturers real\-time visibility into program performance.  
**Essential Duties and Responsibilities**
* Drive the roadmap for pharmacy solutions that support Health Service Providers, Life Science Innovators (Pharma), Payers and Pharmacy Access Disruptors.
* Collaborate with engineering and design teams to build scalable systems that power core functions such as prescription intake, eRx processing, prior authorization automation, inventory management, courier delivery, and data reporting.
* Engage directly with pharma manufacturer stakeholders to understand program needs, translate requirements into product features, and ensure alignment with brand strategies.
* Partner with data and analytics teams to deliver dashboards, integrations, and reporting that provide transparency into patient access, adherence, and outcomes.
* Ensure that products meet the highest standards of compliance, security, and regulatory oversight (HIPAA, SOC 2, URAC, DEA, FDA).
* Identify and evaluate emerging technologies that can enhance patient experience, streamline operations, and reduce time to therapy.
* Work cross\-functionally with operations, client services, and executive leadership to ensure successful delivery and adoption of new solutions.
* Define KPIs and monitor performance to guide ongoing product optimization and innovation.
**Education and Experience**
* 5\+ years of product management experience, with at least 3\+ in healthcare technology, pharmacy, PBM, or life sciences.
* Bachelor’s degree preferred
* Strong technical background with experience in APIs, data integrations (FHIR, HL7, SFTP), and pharmacy transaction systems (RxClaim, ePost, or similar).
* Experience launching products in highly regulated environments with proven ability to navigate compliance requirements.
* Entrepreneurial mindset with a focus on scalability, efficiency, and patient\-centric design.
**Knowledge, Skills and Abilities**
* Excellent organizational and time\-management abilities.
* Solid understanding of pharma manufacturer programs (hub services, bridge/PAP, consigned/free goods, direct\-to\-patient models).
* Exceptional communication skills — able to work across technical, operational, and external client teams.
* Proficient in Microsoft Office Suite and other relevant software applications.
* Analytical mindset with strong problem\-solving skills.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 – WellDyne and HealthDyne are equal opportunity employer and prohibits discrimination of any kind. All employment decisions are based on business needs, job requirements, and individual qualifications, without regard to race, color, religion, gender, sexual orientation, gender identity, national origin, veteran or disability status, or any other protected status under federal, state, or local law.</t>
        </is>
      </c>
    </row>
    <row r="50">
      <c r="A50" t="inlineStr">
        <is>
          <t>in-9abaf5056a06058a</t>
        </is>
      </c>
      <c r="B50" t="inlineStr">
        <is>
          <t>Senior Product Manager</t>
        </is>
      </c>
      <c r="C50" t="inlineStr">
        <is>
          <t>HappyCo</t>
        </is>
      </c>
      <c r="D50" t="inlineStr">
        <is>
          <t>indeed</t>
        </is>
      </c>
      <c r="E50" t="inlineStr"/>
      <c r="F50" t="inlineStr"/>
      <c r="G50" t="inlineStr">
        <is>
          <t>Remote, US</t>
        </is>
      </c>
      <c r="H50" s="2" t="n">
        <v>46048</v>
      </c>
      <c r="I50" t="inlineStr">
        <is>
          <t>**HappyCo is a company where people can grow their careers and work with like minded people, with no egos or politics. HappyCo is values driven and offers a flexible, supportive culture. Join HappyCo and** **Make Work Happy****!**  
We're hiring a **Senior Product Manager** to define and own HappyCo's **Communications Platform and Work Orders**—the operational backbone that connects residents, agents, technicians, and property teams across our entire ecosystem, supporting thousands of property management professionals managing millions of units nationwide.  
This is a high\-impact role for a Senior PM who has owned **complex platforms**, made long\-term product and technical tradeoffs, and driven strategy across interconnected product areas. You'll think in **platforms and workflows**, move quickly with precision, and embody HappyCo's **GGSD (Get Good Stuff Done)** values. **The Opportunity: Architect the Future of Communications at HappyCo**  
A defining focus of this role is **evolving HappyCo's Call Management and messaging capabilities into a scalable, platform\-level communications experience**. You'll shape the future direction of our communications stack—working closely with partners like **Bandwidth and Twilio**—and guide the evolution toward **Messaging as a Service (MaaS)**–style capabilities that power resident communications, agent workflows, and cross\-product experiences.  
This role is critical to HappyCo's evolution into a **multi\-product platform**. Communications and work orders are the connective tissue across our ecosystem—and you'll define how these capabilities scale, integrate, and unlock new product experiences. **What you'll inherit:** Active products serving thousands of users daily, a growing communications platform in the midst of strategic migration and modernization, and clear customer demand for expanded capabilities. The foundation is strong—now we need a senior product leader to accelerate, scale, and architect the next chapter.  
While this role reports into AI Strategy, it owns **end\-to\-end product outcomes** across core operational workflows—not just AI features. **What You’ll Own** **Core Product Areas** **Communications Platform (Call Management \&amp; Messaging)**
Resident, technician, and vendor communication workflows. Telephony and SMS routing, voice AI agents, escalation systems, IVR, reliability and compliance, and foundational messaging infrastructure. **Happy Force (Remote Maintenance Technician Service)**
After\-hours property workflows, agent instructions, call center operations, AI agents, and ticket management. **Work Orders**
End\-to\-end maintenance workflow: intake, categorization, assignment, technician mobile experience, and completion. **What We’re Looking For**  
We’re looking for a **senior, execution\-oriented Product Manager** who can take full ownership of complex, business\-critical workflows and drive them forward with confidence. You’ve operated in ambiguous environments before, made hard tradeoffs, and partnered deeply with engineering to ship reliable, scalable systems. You’re comfortable owning platforms, not just features, and you bias toward action while maintaining strong product judgment. **You bring:**  
7\+ years of product management experience owning high\-impact or technically complex areas
Strong judgment and prioritization skills under real\-world constraints
Technical fluency and comfort working closely with engineers on integrations, reliability, and migrations
Experience owning operational or mission\-critical workflows where uptime and correctness matter
Clear cross\-functional leadership and communication skills
A strong sense of ownership and a GGSD mindset **Why This Role Matters**  
This role owns the **operational backbone of HappyCo**.  
Communications, after\-hours coverage, and work orders are the systems that determine whether residents get help, technicians can do their jobs efficiently, and properties can operate at scale. The decisions made here directly affect response times, reliability, customer trust, and operational cost across millions of resident interactions. **Success in this role has measurable impact on:**
Call resolution speed and quality
After\-hours coverage effectiveness
Messaging reliability and adoption
Work order throughput and completion efficiency
This is not a peripheral product area — it is foundational to platform stickiness, NOI, and long\-term enterprise value. **You Might Be a Strong Fit If**  
You’ve owned similar challenges before and can ramp quickly:
You’ve scaled communications, messaging, or workflow\-heavy platforms in a B2B environment
You’ve led products through significant technical change, including vendor transitions, platform migrations, or architecture evolution, without disrupting customers
You’ve partnered directly with external vendors or platform dependencies and understand the tradeoffs involved
You’ve owned products where latency, reliability, and compliance are non\-negotiable
You enjoy turning foundational infrastructure into strategic platform capabilities
You’ve worked on or alongside AI\-driven products and have a working understanding of AI, ML, or LLM\-powered features, even if you’re not a specialist
### **What Success Looks Like in the First 90 Days \\u007C By 30 Days**
* Establish a clear, independent point of view on the state of HappyCo’s communications platform, Happy Force, and work order workflows, including what is foundational, what is fragile, and what is creating the most operational drag
* Meet and establish strong working relationships with Engineering, Design, AI Strategy, Support, Sales, and Customer Success, and Marketing
* Build trust with engineering and cross\-functional partners as the clear product owner for communications and operational workflows
* Review active initiatives, backlog, support trends, and customer feedback to identify immediate risks and opportunities
* Begin making prioritization calls, including what *not* to work on, with confidence and rationale
### **What Success Looks Like in the First 90 Days \\u007C By 60 Days**
* Understand the product workflows well enough to assess constraints, risks, and near\-term opportunities without hand\-holding
* Define and socialize a coherent platform narrative for communications and work orders, including how these systems fit together and where they are heading
* Make at least one high\-impact product or platform decision that meaningfully improves reliability, efficiency, or customer experience
* Lead a significant initiative or migration with clear tradeoffs, success metrics, and cross\-team alignment
* Reduce ambiguity for teams by setting clear focus areas, sequencing work intentionally, and eliminating low\-value effort
### **What Success Looks Like in the First 90 Days \\u007C By 90 Days**
* Operate as the undisputed owner of communications and work orders, with minimal dependency on leadership for day\-to\-day decisions
* Set a clear near\- and mid\-term roadmap grounded in platform health, customer outcomes, and business impact
* Be the primary voice driving product decisions across communications, after\-hours workflows, and maintenance operations
* Enable AI Strategy to focus on long\-term data, asset intelligence, and differentiation by fully owning execution and platform stewardship in this domain
**About HappyCo**
Founded in 2011, HappyCo (happy.co) builds mobile and cloud solutions to enable real\-time property data. Our flagship product suite 'Happy Property’ has more than 5 million units on its platform.  
We’re everyday people with a shared purpose — improving the lives of others. Our team is made up of thinkers, talkers, planners, makers, builders and everything in between. Together, we’re turning our passions into happier communities!  
When customers use our software, their communities get stronger. Our tools empower everyone in multifamily property management to improve their operations and maximize returns, which means they’re building better experiences for their residents. Learn more about our Product Vision here! **Our HappyCo Culture**
HappyCo strives to build better communities. So naturally, we are dedicated to making our own community an enjoyable place that allows us do our best work. We’re devoted to building an inclusive, supportive culture that empowers each HappyCo’er to succeed and grow. To learn more about our culture, check out our careers page! **We Offer:*** Work from anywhere supported by a flexible company culture
* Opportunity to work for one of the fastest growing technology companies in the PropTech industry
* Unlimited vacation time
* Generous paid parental leave
* Competitive and equitable pay, including stock options
* Monthly stipends to support Wellness and Home Office expenses
Find out more about our US Employee Benefits here! *We believe in supporting people to do their best work and thrive, and building a diverse, equitable, and inclusive company is core to our mission. Our goal is to ensure that HappyCo upholds an inclusive environment where all people feel that they are equally respected and valued, whether they are applying for an open position or working at the company. We welcome applicants of any educational background, gender identity and expression, sexual orientation, religion, ethnicity, age, citizenship, socioeconomic status, disability, and veteran status. HappyCo is also committed to providing reasonable accommodations for qualified individuals with disabilities and disabled veterans in our job application procedures.* *A note to Recruitment Agencies: Please don’t reach out to us about our roles \- we’ve got it covered. We don’t accept unsolicited agency resumes and HappyCo is not responsible for any fees related to unsolicited resumes.*</t>
        </is>
      </c>
    </row>
    <row r="51">
      <c r="A51" t="inlineStr">
        <is>
          <t>in-9329ab003f18aebd</t>
        </is>
      </c>
      <c r="B51" t="inlineStr">
        <is>
          <t>Product Manager, Platform Solutions</t>
        </is>
      </c>
      <c r="C51" t="inlineStr">
        <is>
          <t>Comcast</t>
        </is>
      </c>
      <c r="D51" t="inlineStr">
        <is>
          <t>indeed</t>
        </is>
      </c>
      <c r="E51" t="inlineStr"/>
      <c r="F51" t="inlineStr"/>
      <c r="G51" t="inlineStr">
        <is>
          <t>Philadelphia, PA, US</t>
        </is>
      </c>
      <c r="H51" s="2" t="n">
        <v>46048</v>
      </c>
      <c r="I51" t="inlineStr">
        <is>
          <t>Comcast Advertising is driving the TV advertising industry forward, from delivering ads to linear and digital audiences to pioneering the tech that makes it possible. We help brands connect with their audiences on every screen using advanced data, technology, and premium video content. Our media sales division helps local, regional, and national brands reach potential customers through multiscreen TV advertising. Our ad tech division FreeWheel provides comprehensive adtech that makes it easier to buy and sell premium video advertising across all screens, data types, and sales channels. **Job Summary**
Integrated Solutions supports monetization of Comcast platforms and data through proactive strategic \&amp; roadmap alignment across multiple stakeholders, including development and design of integrations between Comcast platforms and Advertising E2E tech stack. We are hiring a product manager for ongoing product management of new and existing products. Conducts the budgeting, planning, analysis and monitoring required to ensure unit and financial targets are met for assigned products. This job is an individual contributor role that does not have direct responsibility for supervision or performance management of staff.**Job Description**
**Required Skills:**
* **Strong Product Management Expertise**
* **Adtech**
* **Video and Display Advertising**
* **Translating technical requirements to various stakeholders**
* **Ability to work with cross\-functional Teams**
* **Written and verbal communication skills**
* **Strong organizational and prioritization ability**
**Core Responsibilities**
* Internalizes and represents the Voice of the customer throughout the product lifecycle.
* Performs competitive analysis and conducts market research.
* Consistent exercise of independent judgment and discretion in matters of significance.
* Develop and maintain a portfolio of product roadmap items across TPX, T\&amp;P, Xumo, and FreeWheel that have implications on Comcast platforms \&amp; identity
* Collaborate with TPX, T\&amp;P, FreeWheel, and Xumo on establishment of engagement model in support of roadmap management and prioritization
* Support Cable Content Acquisition/Strat Dev platform and identity requirements
* Proactive management of Comcast platform changes and more efficient delivery of IS solutions
* Aligned standards of process definition and documentation
* Process to care for all Advertising use cases and create cross\-BU alignment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 Sorry, no sponsorship available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Requirements Management; Strategic Prioritization; Product Management; Communication; Digital Display Advertising; Advertising Technologies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52">
      <c r="A52" t="inlineStr">
        <is>
          <t>in-d33a6f592163c5bc</t>
        </is>
      </c>
      <c r="B52" t="inlineStr">
        <is>
          <t>Principal Product Manager - Innovation Partnerships</t>
        </is>
      </c>
      <c r="C52" t="inlineStr">
        <is>
          <t>Pacific Gas and Electric</t>
        </is>
      </c>
      <c r="D52" t="inlineStr">
        <is>
          <t>indeed</t>
        </is>
      </c>
      <c r="E52" t="inlineStr"/>
      <c r="F52" t="inlineStr"/>
      <c r="G52" t="inlineStr">
        <is>
          <t>Oakland, CA, US</t>
        </is>
      </c>
      <c r="H52" s="2" t="n">
        <v>46048</v>
      </c>
      <c r="I52" t="inlineStr">
        <is>
          <t>Requisition ID \# 169591
**Job Category:** Customer Support / Operations
**Job Level:** Manager/Principal
**Business Unit:** Engineering, Planning \&amp; Strategy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Washington; Watsonville; West Sacramento; Wheatland; Whitmore; Willits; Willow Creek; Willows; Windsor; Winters; Woodland; Yuba City
Department Overview
The Strategy and Innovation team is focused on engaging high\-impact customers whose energy needs and interactions propel California toward an electrified 2040 future with 100% clean energy that reduce rates.
The Innovation Partnerships group’s mission is to engage strategically with external entities over structured long periods on innovation projects that create significant downward pressure on customer rates. In pursuit of this mission the team:
Serves as an initial filter for external parties offering PG\&amp;E a potential solution, evolving energy system problem statements, building relationships with innovation community within and outside of PG\&amp;E.​
Structures partnerships that drive bi\-directional value, ensuring PG\&amp;E and partner commit resources and share risk​.
Engage deeply with PG\&amp;E stakeholders to understand key pain points across the energy systems innovation problem statements and leverage leading innovation management processes. ​
Build and maintain deep relationships with the innovation community (e.g., venture capitalists, Big Tech, startups) to encourage more activity aimed toward energy system PG\&amp;E challenges.
The team is organized according to the PG\&amp;E R\&amp;D Strategy Report to align with the company’s True North Strategy (TNS) goals. This breadth means each member of the team is given autonomy and responsibility to drive meaningful outcomes while embodying PG\&amp;E values: Trustworthy, empathetic, curious, tenacious, and nimble, with a mission to deliver for hometowns, serve the planet, and lead with love. Team members are equal parts innovation strategy consultants, venture capital analysts, and corporate entrepreneurs who are expected to create a vision and collaboratively lead others toward its creation.
Position Summary
**A principal product manager is being hired to:** Lead the Charge: Take ownership of Load Management Solutions (LMS) and Integrated Grid Planning (IGP) focus areas in PG\&amp;E’s R\&amp;D Strategy Report, identifying and executing breakthrough innovation projects that address critical R\&amp;D challenges and drive significant downward pressure on customer rates. Be a Strategic Advisor: Guide functional teams on how innovation can help achieve their True North Strategy goals, breaking down barriers and unlocking new possibilities. Forge Powerful Partnerships: Build and nurture relationships with top innovators—venture capitalists, Big Tech, startups, academia, and energy leaders—to co\-create solutions that solve real\-world energy challenges. Shape the Future: Develop and refine processes, policies, and partnership frameworks that set new standards for collaboration and success.
This position is hybrid, working from your remote office and your assigned work location based on business need. The assigned work location will be within the PG\&amp;E Service Territory and will be agreed upon by the successful candidate and hiring leader. The preferred work location is Oakland, CA.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to the midpoint of the range. The final decision will be made on a case\-by\-case basis related to the factors above. This job is also eligible to participate in PG\&amp;E’s discretionary incentive compensation programs.
**Bay Area Minimum:** $140,000\.00
**Bay Area Midpoint:** $189,000\.00
**Bay Area Maximum:** $238,000\.00
**California Minimum:** $133,000\.00
**California Midpoint:** $180,000\.00
**California Maximum:** $226,000\.00
Job Responsibilities Design and deliver innovation \&amp; partnership solutions that advance PG\&amp;E’s True North Strategy. Establish and grow relationships with internal and external stakeholders, drive innovation and shared success. Recommend and structure strategic partnerships using standard contracts and MOUs. Champion process improvement and operational excellence across Load Management and IGP initiatives. Evaluate market trends and competitive offerings to ensure PG\&amp;E’s solutions are uniquely positioned for sustainable success. Manage stakeholder engagement and milestone achievement with transparency and collaboration. . Work alongside Load Management and IGP\-related lines of business, acting as an advisory innovation, bringing innovation assessment, strategy, management, process, and partnership support as necessary. Follow the partnership assessment framework and filtering process to say “no” as well as “yes” at the right times and document all decisions and learnings. Develop policies and procedures for the product, service, or related process.
Qualifications
**Minimum:** Bachelor of Arts or Bachelor of Science in Business, Economics, Marketing, Psychology, or related. 10\+ years of related experience
**Desired:** Master’s degree or equivalent experience Independent judgment, creativity, and humility Expert systems thinker and dot connector Proven track record of driving cross\-functional change management and process health Operational, planning, and process experience Ability to lead complex projects and to co\-create compelling business cases with input and alignment from multiple departments Adept at addressing issues with diplomacy and tact Excellent communication skills and attitude necessary to establish and maintain positive working relationships and results with all management and personnel Experience with managing complex software projects from inception to scale at an enterprise level Familiarity with Load Management solutions, market dynamics, and policies including experience working with aggregators in California.</t>
        </is>
      </c>
    </row>
    <row r="53">
      <c r="A53" t="inlineStr">
        <is>
          <t>in-a132ce01a9527cde</t>
        </is>
      </c>
      <c r="B53" t="inlineStr">
        <is>
          <t>Senior Customer Project/Program Manager</t>
        </is>
      </c>
      <c r="C53" t="inlineStr">
        <is>
          <t>Cox Automotive</t>
        </is>
      </c>
      <c r="D53" t="inlineStr">
        <is>
          <t>indeed</t>
        </is>
      </c>
      <c r="E53" t="inlineStr"/>
      <c r="F53" t="inlineStr"/>
      <c r="G53" t="inlineStr">
        <is>
          <t>Draper, UT, US</t>
        </is>
      </c>
      <c r="H53" s="2" t="n">
        <v>46048</v>
      </c>
      <c r="I53"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4">
      <c r="A54" t="inlineStr">
        <is>
          <t>in-41b33834105f9b53</t>
        </is>
      </c>
      <c r="B54" t="inlineStr">
        <is>
          <t>Senior Customer Project/Program Manager</t>
        </is>
      </c>
      <c r="C54" t="inlineStr">
        <is>
          <t>Cox Automotive</t>
        </is>
      </c>
      <c r="D54" t="inlineStr">
        <is>
          <t>indeed</t>
        </is>
      </c>
      <c r="E54" t="inlineStr"/>
      <c r="F54" t="inlineStr"/>
      <c r="G54" t="inlineStr">
        <is>
          <t>Overland Park, KS, US</t>
        </is>
      </c>
      <c r="H54" s="2" t="n">
        <v>46048</v>
      </c>
      <c r="I54"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5">
      <c r="A55" t="inlineStr">
        <is>
          <t>in-88b4e22d13325efa</t>
        </is>
      </c>
      <c r="B55" t="inlineStr">
        <is>
          <t>Senior Customer Project/Program Manager</t>
        </is>
      </c>
      <c r="C55" t="inlineStr">
        <is>
          <t>Cox Automotive</t>
        </is>
      </c>
      <c r="D55" t="inlineStr">
        <is>
          <t>indeed</t>
        </is>
      </c>
      <c r="E55" t="inlineStr"/>
      <c r="F55" t="inlineStr"/>
      <c r="G55" t="inlineStr">
        <is>
          <t>Burlington, VT, US</t>
        </is>
      </c>
      <c r="H55" s="2" t="n">
        <v>46048</v>
      </c>
      <c r="I55"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6">
      <c r="A56" t="inlineStr">
        <is>
          <t>in-85d17bd0bcf7a983</t>
        </is>
      </c>
      <c r="B56" t="inlineStr">
        <is>
          <t>Senior Customer Project/Program Manager</t>
        </is>
      </c>
      <c r="C56" t="inlineStr">
        <is>
          <t>Cox Automotive</t>
        </is>
      </c>
      <c r="D56" t="inlineStr">
        <is>
          <t>indeed</t>
        </is>
      </c>
      <c r="E56" t="inlineStr"/>
      <c r="F56" t="inlineStr"/>
      <c r="G56" t="inlineStr">
        <is>
          <t>Atlanta, GA, US</t>
        </is>
      </c>
      <c r="H56" s="2" t="n">
        <v>46048</v>
      </c>
      <c r="I56"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7">
      <c r="A57" t="inlineStr">
        <is>
          <t>in-44867bb4659be843</t>
        </is>
      </c>
      <c r="B57" t="inlineStr">
        <is>
          <t>Program Manager, Digital Scheduling and Access (Epic Certified) - Remote</t>
        </is>
      </c>
      <c r="C57" t="inlineStr">
        <is>
          <t>Cedars-Sinai Medical Center</t>
        </is>
      </c>
      <c r="D57" t="inlineStr">
        <is>
          <t>indeed</t>
        </is>
      </c>
      <c r="E57" t="inlineStr"/>
      <c r="F57" t="inlineStr"/>
      <c r="G57" t="inlineStr">
        <is>
          <t>Los Angeles, CA, US</t>
        </is>
      </c>
      <c r="H57" s="2" t="n">
        <v>46047</v>
      </c>
      <c r="I57" t="inlineStr">
        <is>
          <t>**Job Description**
-------------------
**Grow your career at Cedars\-Sinai!**
The Enterprise Information Services (EIS) team at Cedars\-Sinai understands that true clinical transformation and the optimization of a clinical information systems implementation is fueled through the alignment of the right people, processes, and technologies.
**Why work here?**
Cedars\-Sinai placed in the top 20 on Newsweek’s “World's Best Smart Hospitals 2024” list, which highlights hospitals that have excelled in the utilization of electronic functionalities, telemedicine, digital imaging, artificial intelligence and robotics.
The organization’s Healthtech excellence was acknowledged again, this time by the esteemed “CHIME Digital Health Most Wired“ recognition program. Cedars\-Sinai was assigned a Level 10—the most prestigious level of certification—among more than 300 surveyed healthcare organizations. Cedars\-Sinai netted high scores across multiple verticals and particularly excelled in areas of infrastructure, interoperability, and population health innovation.
**What you will be doing:**
The Digital Scheduling and Access Program Manager will be responsible for overseeing and providing strategic support to the EIS Cadence and MyChart teams, ensuring successful project oversight, prioritization, resource management, and data analysis. This role will provide leadership, guidance, and direction for the Digital Scheduling project, collaborating with operational stakeholders to optimize scheduling and promote the use of digital tools.
In this role, you will lead the long\-term digital scheduling and access program implementation and optimization plans, identifying and mitigating risks with program stakeholders. You will be responsible for developing and maintaining strong relationships with key stakeholders, including clinical and operational leaders, IT teams, and vendors. You will also be responsible for monitoring and reporting on project progress, providing regular updates to senior leadership.
The ideal candidate will have a strong background in healthcare operations and project management, with experience in digital scheduling and access tools. You should have a demonstrated ability to lead cross\-functional teams, manage complex projects, and communicate effectively with stakeholders at all levels of the organization. Additionally, you should be comfortable working in a fast\-paced, dynamic environment and be able to adapt quickly to changing priorities.
* Oversee the implementation of the EIS digital scheduling tools across specialties.
* Assist the Cadence and MyChart teams with design decisions needed.
* Determine resource allocation and planning needs.
* Create project documentation tools to support the work.
* Maintain tasks and milestones according to the project timelines.
* Ensure the Cadence scheduling tools (decision trees, Fast Pass, scheduling tickets) are implemented as planned.
* Ensure the MyChart scheduling tools (open, direct, and scheduling tickets) are implemented as planned.
* Oversee the post\-live specialty check\-ins required for both MyChart and Cadence.
* Be the point person for Cadence and MyChart scheduling\-related escalations.
* Identify and mitigate risks that could impact program success
* Ensure pre\-requirements for launching digital tools are addressed with operational access optimization and change management prior to the EIS project kickoff.
* Assist with driving standardization of scheduling workflows across all clinics.
* Make data\-driven decisions on workflow optimizations, engaging stakeholders as needed.
* Create project requests and track optimization requests.
* Participate in all scheduling\-related meetings to maintain continuity and support decision\-making.
* Deliver regular status updates at key leadership meetings.
* Develop and monitor key performance indicators (KPIs) to evaluate the effectiveness of digital programs and consistently report findings to leadership.
* Develop a toolkit for managing and tracking the digital scheduling tools implemented.
* Manage Cadence and MyChart risks and post go\-live support.
* Ensure and/or create lessons learned documentation from EIS and operations and report out to EIS leadership.
*\*Prefer someone living locally or willing to relocate to LA area, but* *Approved Remote States: Arizona, California, Colorado, Florida, Georgia, Minnesota, Nevada, Oregon, Texas\**
**Qualifications**
------------------
**Experience Requirements:**
Five (5\) plus years’ experience in portfolio, program, and/or project management with a successful project management track record in full life cycle information technology implementation projects, with a proven record of execution to time and budget.
Healthcare IT portfolio or program management with the ability to manage large\-scale IT systems implementations preferred.
Epic, or other supporting software certified in relevant module required.
Related work experience in clinic/outpatient healthcare setting, and/or clinic call center preferred.
 **Educational/Certification Requirements:**
High School Diploma/GED.
Bachelor’s degree in Healthcare, Management, Business or related field preferred.
Epic Certification in one or more of the following modules: Cadence, MyChart, Referrals, and/or Ambulatory.
\#LI\-Remote
 **Req ID** : 14836  
**Working Title** : Program Manager, Digital Scheduling and Access (Epic Certified) \- Remote  
**Department** : CS Link Access Team  
**Business Entity** : Cedars\-Sinai Medical Center  
**Job Category** : Information Technology  
**Job Specialty** : IT Project Management  
**Overtime Status** : EXEMPT  
**Primary Shift** : Day  
**Shift Duration** : 8 hour  
**Base Pay** : $116,542\.40 \- $186,472</t>
        </is>
      </c>
    </row>
    <row r="58">
      <c r="A58" t="inlineStr">
        <is>
          <t>in-30834569816237e1</t>
        </is>
      </c>
      <c r="B58" t="inlineStr">
        <is>
          <t>Manager, Data Product Manager - Outbound Correspondence</t>
        </is>
      </c>
      <c r="C58" t="inlineStr">
        <is>
          <t>Capital One</t>
        </is>
      </c>
      <c r="D58" t="inlineStr">
        <is>
          <t>indeed</t>
        </is>
      </c>
      <c r="E58" t="inlineStr"/>
      <c r="F58" t="inlineStr"/>
      <c r="G58" t="inlineStr">
        <is>
          <t>McLean, VA, US</t>
        </is>
      </c>
      <c r="H58" s="2" t="n">
        <v>46047</v>
      </c>
      <c r="I58" t="inlineStr">
        <is>
          <t>Manager, Data Product Manager \- Outbound Correspondence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US Card Outbound Correspondence platform is at the heart of delivering critical communications, from the credit cards in our customers' wallets to their essential statements and letters. We build the cutting\-edge platform capabilities that ensure these billions of pieces of correspondence are produced and delivered seamlessly.
**About the Role**
As a **Data Product Manager** on the **Graffiti** team, you will take ownership for our existing data product and pipelines. You will work closely with business analysts, engineers, product managers, and other cross functional teams to create integrated roadmaps, prioritize development, manage releases, define metrics and key results that will drive significant customer and business value.
**Primary Responsibilities:**
* Lead the Data Product Strategy and Data Governance for the Graffiti Consumer Correspondence Data Product
* Immerse yourself in understanding your customer(s) by employing empathy and design thinking to build a customer\-backed product roadmap that that drives business value
* Serves as the internal and external subject matter expert for your product and its role in Capital One’s ecosystem with accountability for owning the definition of data, including its usage and constraints
* Partner closely with technology and data experts to design robust solutions, shaping the business capabilities and associated architecture necessary to drive the broader product agenda
* Owns the outcomes related to improving the reconciliation process, self healing controls and well managed improvements for Graffiti’s supplier interactions
* Partners with SCS Data Analysts, Supplier Integration, Graffiti Intelligence and Platform tenants to understand the evolving needs of our Data Consumers and Platform Tenants and develops strategies to augment the data product to ingest new data sources to meet business and operational intent
* Defines the Data Publishing Standards and Data Consumption Patterns for the data product
* Serves as a Graffiti PDS, ensuring that data exchanges and patterns remain well\-managed and in compliance
* Defines OKRs for your Data Product with a metrics\-driven strategy to maximize value of your product and iteratively adjust and refining roadmap based on inputs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$149,800 \- $171,000 for Manager, Product Management  
Chicago, IL: $149,800 \- $171,000 for Manager, Product Management  
McLean, VA: $164,800 \- $188,100 for Manager, Product Management  
New York, NY: $179,700 \- $205,100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in-b0994080230f2a24</t>
        </is>
      </c>
      <c r="B59" t="inlineStr">
        <is>
          <t>AGILE PROGRAM MANAGER</t>
        </is>
      </c>
      <c r="C59" t="inlineStr">
        <is>
          <t>Cooper University Healthcare</t>
        </is>
      </c>
      <c r="D59" t="inlineStr">
        <is>
          <t>indeed</t>
        </is>
      </c>
      <c r="E59" t="inlineStr"/>
      <c r="F59" t="inlineStr"/>
      <c r="G59" t="inlineStr">
        <is>
          <t>Camden, NJ, US</t>
        </is>
      </c>
      <c r="H59" s="2" t="n">
        <v>46047</v>
      </c>
      <c r="I59" t="inlineStr">
        <is>
          <t>**About us**  
At **Cooper University Health Care**,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Cooper University Health Care Information Technology follows an Agile project management framework, with multiple Scrum teams chartered around business verticals, and business and IT partnering on the establishment of product roadmaps and prioritizing quick delivery of value to our patients and staff.
Cooper’s strategic organizational projects often require that individual scrum teams work together to achieve desired outcomes, requiring a scaled agile approach. The Agile Program Manager is responsible for planning, managing and coordinating interrelated work in a way that emphasizes the delivery of value for teams, stakeholders, and organizations. Program Managers oversee, plan, launch and execute initiatives in a complex iterative environment, both large wide sweeping and interrelated projects with intersecting goals, requirements and outcomes.
Agile program level management combines principles of classic project management and agile scrum, planning for key initiatives with scope definitions, detailed project plans and timelines, then working with the scrum teams to divide that plan into consumable user stories, incorporating agile concepts such as scope flexibility, transparency and deep connection to the customer
 **Experience Required**  
7\-10 years experience required
10\-15 years of relevant Agile Program Management experience required in lieu of Bachelors’ Degree
The ideal candidate will have a sharp business mind and proven ability to strategize and implement high\-level program initiatives. The program manager should be motivated by a desire to optimize productivity and nurture program success from inception to completion
Information Technology experience in a Health Care environment preferred.
 **Education Requirements**  
Bachelor's degree preferred
 **License/Certification Requirements**  
Certified Scrum Master (Scrum Alliance), Agile Project Management (IC Agile) or Agile Certified Practitioner (Project Management Institute) desired
 **Special Requirements**  
7\-10 years of traditional Waterfall IT project management experience, including 5 or more years managing enterprise projects  
Experience managing complex programs  
Coaching skills and ability to motivate teams  
Exceptional skills in leadership, time management, facilitation, and organization
Full Time
Day</t>
        </is>
      </c>
    </row>
    <row r="60">
      <c r="A60" t="inlineStr">
        <is>
          <t>in-e9d76b887f3b9064</t>
        </is>
      </c>
      <c r="B60" t="inlineStr">
        <is>
          <t>ERP Principal Program Manager</t>
        </is>
      </c>
      <c r="C60" t="inlineStr">
        <is>
          <t>Delaware North</t>
        </is>
      </c>
      <c r="D60" t="inlineStr">
        <is>
          <t>indeed</t>
        </is>
      </c>
      <c r="E60" t="inlineStr"/>
      <c r="F60" t="inlineStr"/>
      <c r="G60" t="inlineStr">
        <is>
          <t>Buffalo, NY, US</t>
        </is>
      </c>
      <c r="H60" s="2" t="n">
        <v>46047</v>
      </c>
      <c r="I60" t="inlineStr">
        <is>
          <t>**The opportunity**
-------------------
Delaware North is hiring a full\-time ERP Principal Program Manager to join our team in Buffalo, New York. As a, ERP Principal Program Manager, you will be responsible for leading the planning, governance, and execution of the organization’s Enterprise Resource Planning transformation, beginning with Phase 0 readiness, and extending through implementation and stabilization. If you are looking for a role that offers the opportunity to lead impactful initiatives, shape strategies, and drive innovation in a collaborative environment, we encourage you to apply and take the next step in your career with Delaware North.**Pay**
-------
Minimum – Anticipated Maximum Base Salary: $121,700 \- $164,300 / year
In addition to base salary, we offer an annual bonus plan based on company and individual performance, or a role\-based, uncapped sales incentive plan. The advertised pay range represents what we believe at the time of this job posting, that we would be willing to pay for this position. Only in special circumstances, where a candidate has education, training, or experience that far exceeds the requirements for the position, would we consider paying higher than the stated range. Information on our comprehensive benefits package can be found at https://careers.delawarenorth.com/benefits/.
**What we offer**
-----------------
At Delaware North, we care about our team members' personal and professional journeys. These are just some of the benefits we offer:* Medical, dental, and vision insurance
* 401(k) with up to 4% company match
* Annual performance bonus based on level, as well as individual, company, and location performance
* Paid vacation days and holidays
* Paid parental bonding leave
* Tuition and/or professional certification reimbursement
* Generous friends\-and\-family discounts at many of our hotels and resorts
**What will you do?**
---------------------
* Establish and maintain the ERP integrated master plan with milestones, dependencies, and critical path, serving as the accountable owner for scope, schedule, budget, and delivery outcomes
* Run program governance with phase gates, decision forums, communication, quality and resource planning, risk management, financial tracking, and performance reporting aligned to portfolio standards
* Lead Phase 0 as the internal counterpart to the consulting partner, defining and enforcing consultant scope, milestones, deliverables, and acceptance criteria, and ensuring outputs are executable and aligned to enterprise priorities
* Coordinate ERP initiatives across integrations, data, and security while aligning program milestones, communications, training, and business readiness with organizational change plans
* Actively manage risks, assumptions, and dependencies, escalate issues promptly, and provide transparent status to executive sponsors while ensuring design decisions balance business needs, controls, sustainability, and compliance with audit and SOX requirements
* Oversee data migration planning for chart of accounts, suppliers, customers, open transactions, and balances, and track and forecast program financials including capital planning and vendor spend
* Lead ERP program management for finance and procurement towers including record to report, order to cash, and procure to pay, while coaching project managers, setting performance expectations, and building delivery discipline
**More about you**
------------------
* Bachelor’s degree required; master’s degree preferred
* Minimum of 12 years of higher education or work experience, including a minimum of 8 years of proven project management experience
* Proven experience managing large\-scale business or digital transformation programs within complex, cross\-functional organizations and finance\-intensive, hospitality environments
* Expertise in program and portfolio management, including governance, reporting, and performance measurement, and experience in business process improvement, change management, or operational excellence methodologies
* PMP, PgMP, or Lean Six Sigma certification preferred; CPA is a plus
* ERP platform experience such as SAP, Oracle, Workday, or D365
* Experience with portfolio management tooling such as ServiceNow, Planview, and Smartsheet
**Shift details**
-----------------
M\-F  
Days  
Evenings as needed  
Weekdays as needed
**Who we are**
--------------
Our business is all about people, and that includes you. At Delaware North, you’re not just part of a team — you’re part of a global legacy: a family\-owned company with 100\+ years of history behind it. Our operations span the world, offering you unique paths to growth and success.
Who says you can’t love where you work? With jobs in iconic sports arenas, stunning national parks, exciting casinos, and more, we pride ourselves on giving the world great times in great places. And whether you’re interested in restaurants, hotels, sports, gaming, operations, or retail, part\-time or full\-time, we’re invested in helping you achieve your career goals.
Together, we’re shaping the future of hospitality — come grow with us!
Delaware North, along with its subsidiaries, is an equal opportunity employer, showcasing job opportunities and considering applicants for all positions without regard to race, color, religion, sex, gender identity, national origin, age, disability, protected veteran status, sexual orientation, or any other legally protected status.  
$121,700 \- $164,300 / year</t>
        </is>
      </c>
    </row>
    <row r="61">
      <c r="A61" t="inlineStr">
        <is>
          <t>in-571ecf49550a5181</t>
        </is>
      </c>
      <c r="B61" t="inlineStr">
        <is>
          <t>Senior Staff Program Manager, Silicon IP</t>
        </is>
      </c>
      <c r="C61" t="inlineStr">
        <is>
          <t>Synopsys</t>
        </is>
      </c>
      <c r="D61" t="inlineStr">
        <is>
          <t>indeed</t>
        </is>
      </c>
      <c r="E61" t="inlineStr"/>
      <c r="F61" t="inlineStr"/>
      <c r="G61" t="inlineStr">
        <is>
          <t>Sunnyvale, CA, US</t>
        </is>
      </c>
      <c r="H61" s="2" t="n">
        <v>46047</v>
      </c>
      <c r="I61"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an experienced program manager with a strong background in analog and digital SoC design. You thrive in customer\-facing roles, communicate effectively, and manage complex projects across diverse teams. Your technical expertise and leadership skills ensure successful outcomes even under tight deadlines. You’re passionate about delivering customer value and driving innovation in the semiconductor industry. **What You’ll Be Doing:*** Acting as the main contact for customers on IP programs
* Managing project schedules and deliverables
* Coordinating cross\-functional teams globally
* Identifying and mitigating project risks
* Reporting progress to leadership and customers
* Improving project management processes
 **The Impact You Will Have:*** Accelerate customer SoC product launches
* Reduce risk and improve delivery success
* Enhance Synopsys’ reputation with key customers
* Drive adoption of Synopsys IP
* Shape internal best practices
* Mentor and support your team
 **What You’ll Need:*** BSEE or equivalent with 10\+ years relevant experience
* Expertise in SoC design and IC manufacturing
* Strong program/project management skills
* Experience working with customers
* Excellent communication and leadership skills
 **Who You Are:*** Collaborative and customer\-focused
* Analytical and organized
* Adaptable and proactive
* Strong communicator and leader
 **The Team You’ll Be A Part Of:**
Join the Program Management Office within Silicon IP, collaborating globally with engineering, sales, and support teams to deliver innovative solutions for our customers.</t>
        </is>
      </c>
    </row>
    <row r="62">
      <c r="A62" t="inlineStr">
        <is>
          <t>in-57d322dcd16ceb94</t>
        </is>
      </c>
      <c r="B62" t="inlineStr">
        <is>
          <t>Technical Program Manager - Fire Control SME</t>
        </is>
      </c>
      <c r="C62" t="inlineStr">
        <is>
          <t>MTSI</t>
        </is>
      </c>
      <c r="D62" t="inlineStr">
        <is>
          <t>indeed</t>
        </is>
      </c>
      <c r="E62" t="inlineStr"/>
      <c r="F62" t="inlineStr"/>
      <c r="G62" t="inlineStr">
        <is>
          <t>Huntsville, AL, US</t>
        </is>
      </c>
      <c r="H62" s="2" t="n">
        <v>46047</v>
      </c>
      <c r="I62" t="inlineStr">
        <is>
          <t>**Position Summary:﻿**
We are seeking an experienced and innovative **Technical Program Manager \- Fire Control SME** to join the Fire Control Team supporting the Golden Dome contract with the Department of Defense (DoD), in Huntsville, Alabama.  
In this role, you will provide technical leadership and oversight while guiding the development, integration, and sustainment of key PMAS systems that drive collaboration and multi\-domain operations. As a member of the Fire Control Team, you will facilitate the adoption of best practices and emerging technologies, ensuring alignment with mission objectives, contractual obligations, and cybersecurity guidelines.
**Contract Overview:**Golden Dome is a national\-level, whole\-of\-nation initiative in which you will play a critical role in advancing next\-generation homeland defense capabilities. If you are seeking a fast\-paced position focused on developing innovative software for the Space\-Based Interceptor mission, this opportunity is designed for you.**Job Responsibilities:*** **Technical Leadership:** Lead technical planning, design, development, and delivery of PMAS solutions as part of the Fire Control Team supporting DoD operational environments.
* **System Architecture:** Define and maintain scalable, secure architectures that integrate into multi\-domain, mission\-critical environments and meet stringent DoD requirements.
* **Agile Development:** Collaborate with cross\-functional teams in an Agile/DevSecOps environment to ensure timely delivery of PMAS features and capabilities.
* **Team Mentorship:** Provide technical guidance and coaching to developers, engineers, and stakeholders to foster skill development and alignment with the project's strategic goals.
* **Integration:** Oversee integration of PMAS systems into DoD platforms, ensuring compatibility with existing infrastructure, tools, and mission needs.
* **Performance Optimization:** Evaluate system performance and implement improvements to optimize speed, reliability, scalability, and security for PMAS applications.
* **Compliance:** Ensure systems meet DoD cybersecurity, RMF/NIST standards, DISA STIGs, and other federal guidelines.
* **Tooling:** Advocate the use of modern tools, frameworks, and methodologies (e.g., CI/CD, containerization, cloud services, AI/ML applications).
* **Risk Management:** Proactively identify and mitigate technical risks while ensuring compliance with Golden Dome contractual requirements.
* **Documentation:** Create technical documentation for architectures, workflows, and system maintenance to ensure transparency, audit readiness, and operational continuity.
* **Stakeholder Communication:** Interface with government stakeholders, program managers, and contractors to report progress, negotiate technical concerns, and align technical deliverables with mission priorities.
**Required Qualifications:****Education and Experience:**Bachelor’s degree with 15 years’ related experience; Master’s degree preferred.
**Required Security Clearance:*** Must have an Active Top\-Secret Clearance with SCI Eligibility
* 5 years’ prior experience for access to Special Access Program Information (SAP), or Controlled Access Program (CAP); must have 1 year in the last 5 years.
* 
**Required Skills:*** 15 years’ experience involving system development, integration, or sustainment, with at least 3 years in technical leadership.
* Hands\-on experience with PMAS or other DoD mission\-critical systems.
* Expertise in Agile methodologies, DevSecOps practices, and technical program oversight.
* Proficient in software development lifecycle (SDLC) processes, cloud computing, and container technologies (e.g., Kubernetes/Docker).
* Experience with data architecture, integration tools, and systems engineering frameworks.
* Familiarity with DoD policies, directives, RMF/NIST frameworks, DISA STIGs, and cybersecurity best practices.
\#LI\-AT1
\#Merlin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63">
      <c r="A63" t="inlineStr">
        <is>
          <t>in-ae7042bade22194f</t>
        </is>
      </c>
      <c r="B63" t="inlineStr">
        <is>
          <t>Fall 2026: Software Technical Program Manager Co-op (July to December)</t>
        </is>
      </c>
      <c r="C63" t="inlineStr">
        <is>
          <t>SharkNinja</t>
        </is>
      </c>
      <c r="D63" t="inlineStr">
        <is>
          <t>indeed</t>
        </is>
      </c>
      <c r="E63" t="inlineStr"/>
      <c r="F63" t="inlineStr"/>
      <c r="G63" t="inlineStr">
        <is>
          <t>Needham, MA, US</t>
        </is>
      </c>
      <c r="H63" s="2" t="n">
        <v>46047</v>
      </c>
      <c r="I63"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
**Work Period:** July 2026 to December 2026
**Location \&amp; Schedule:** This is a full\-time, 40\-hour\-per\-week position with 5 days per week onsite in Needham, MA . There is no relocation or housing assistance for this position.
**Join the SharkNinja Early Edge Experience:** Built for early career talent. Geared toward impact. Driven by speed. Whether you're in a co\-op or internship, our early talent program is designed to provide valuable exposure to the industry and a fast\-paced professional environment. You’ll dive into meaningful projects and tasks that sharpen your skills and deepen your knowledge. Along the way, you’ll benefit from professional development opportunities, community events, and connections that make your experience well\-rounded and enriching. Your time with us will culminate in an opportunity to showcase your contributions and learnings to SharkNinja leaders because this is a program for those ready to shape what’s next — fast.
**This role:** In this role, you’ll work at the intersection of software engineering, design, and business, contributing to the creation and delivery of smart, connected experiences that power SharkNinja products around the world. You’ll learn how to manage technical roadmaps, align cross\-functional partners, and keep projects on track in a fast\-paced, high\-growth environment.
**Here are some of the EXCITING things you’ll get to do:**  
Collaborate with hardware, firmware, and mobile app teams to define project scopes and objectives
Coordinate project schedules, resources, and information to align with overall business goals
Facilitate effective communication among team members to resolve issues and maintain project momentum
Assist in identifying and mitigating project risks and bottlenecks
Support the triage of technical issues, ensuring timely resolution without departmental silos
Contribute to the development and maintenance of project documentation and progress reports
Promote a collaborative environment that fosters innovation and continuous improvement
**ATTRIBUTES \&amp; SKILLS:**  
**Education:** Current student in their third year or beyond of a bachelor's program, or currently enrolled in a master’s program
Must be able to work a full\-time, 40\-hour\-per\-week schedule with 5 days per week onsite in Needham, MA
Exceptional communication skills with the ability to translate complex technical concepts to diverse audiences
Strong organizational abilities and keen attention to detail
Proactive problem\-solving mindset with a knack for connecting the dots across various disciplines
Ability to multitask and adapt to changing priorities while keeping long\-term objectives in focus
Familiarity with project management methodologies and tools (e.g., Agile, Scrum, JIRA)
Strong interpersonal skills and the ability to work effectively within a team
Enthusiastic about bridging gaps between disciplines to drive project success
Passionate about technology, project management, and product development
Basic understanding of software development life cycles and processes
Experience with project management tools and software is a plus
Exposure to multidisciplinary projects and cross\-functional team environments is desirable
Demonstrated ability to handle multiple tasks and projects simultaneously
**Embodies SharkNinja's success drivers:**  
Rarely Satisfied – Adopt a “no delays” mentality in delivering against market needs/timing
Progress over Perfection \- Make quick, daily progress and continuously adapts to achieve results rather than requiring perfect planning
Details Make the Difference \- Can coordinate timelines \&amp; deliverables to ensure accuracy and consistency across all consumer\-facing materials
Winning is a Team Sport \- Ability to develop strong cross\-functional relationships
Communicate for Impact \- Strong communication skills \- ability to deliver effective presentations to all levels of management
Please note that, due to the high volume of applications for early talent roles, response times may vary depending on the specific role and timeline. Our team appreciates your patience!
**Salary and Other Compensation:** The hourly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health savings account (HSA) with company contribution, sick time, company holidays, employee product discount, product testing opportunities, referral bonuses, and more. Hourly Pay Range $17 — $44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 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 please refer to this Candidate Privacy Notice .
For candidates based in China , please refer to this Candidate Privacy Notice .
For candidates based in Vietnam , please refer to this Candidate Privacy Notice .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64">
      <c r="A64" t="inlineStr">
        <is>
          <t>in-2d68063c8a8611c8</t>
        </is>
      </c>
      <c r="B64" t="inlineStr">
        <is>
          <t>Senior Product Manager-MCS</t>
        </is>
      </c>
      <c r="C64" t="inlineStr">
        <is>
          <t>Mayo Clinic</t>
        </is>
      </c>
      <c r="D64" t="inlineStr">
        <is>
          <t>indeed</t>
        </is>
      </c>
      <c r="E64" t="inlineStr"/>
      <c r="F64" t="inlineStr"/>
      <c r="G64" t="inlineStr">
        <is>
          <t>Rochester, MN, US</t>
        </is>
      </c>
      <c r="H64" s="2" t="n">
        <v>46047</v>
      </c>
      <c r="I64"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**Preference may be given to candidates with product management experience in diagnostic laboratory testing, healthcare devices, or medical technology. Ideal candidates will have experience managing products through the full product lifecycle, including commercialization and go\-to\-market strategy development aligned with sales objectives. The role focuses on product ownership, strategy, and stakeholder collaboration, rather than direct product development. Familiarity with clinical environments and cross\-functional collaboration is preferred.**
Responsible for setting the strategic vision, business requirements, roadmap and execution for their assigned portfolio through the creation of the annual operating plan, defining and delivery of annual revenue and profit targets, and creation and execution of the strategic roadmap in alignment with the goals and objectives of Mayo Collaborative Services OKR’s. Responsible for the entire product lifecycle beginning with the product strategy, and moving through exploration, ideation, innovation, prioritization, development, planning, execution and monitoring to ensure revenue growth, profit/loss, value proposition, and customer satisfaction goals are met. Will manage complex products/services where significant investment in infrastructure may be required. The SPM will be accountable to the success of multiple cross\-functional teams responsible for development, innovation and investment plans and implementation of those complex products and services. This will require the ability to establish deep partnerships with multi\-disciplinary experts and stakeholders in the areas of Product design, Engineering, Marketing, IT, Supply Chain, Finance, Business Development, Physician leaders, and Scientists to ensure the product/service line achieves business requirements and aligns to other organizational strategies and priorities.  
Responsibilities involve ability to translate qualitative and quantitative analysis and documentation into sound business strategies and functional planning. The SPM role requires strong P\&amp;L knowledge and financial aptitude, as well as full life\-cycle management experience. Must be adept and experienced in effectively collaborating with a direct sales team and working closely with both internal and external clients to understand and translate market needs into product and services solutions. Responsible for tracking the competitive marketplace landscape to benchmark strengths, weaknesses, opportunities, and threats. Proactively plans contingencies to lessen the impact of issues and risks, collaborates with internal and external subject matter experts to recommend solutions, demonstrates ability to effectively negotiate and manage needs and expectations among key stakeholders and project team members at department and enterprise level. The SPM must be effective and experienced in developing go\-to\-market strategies and marketing plans that enable achievement of strategic product roadmaps. The SPM will provide thought leadership to clients and our direct sales team as a subject matter expert with respect to their specific product portfolio. Effective in providing quarterly strategic and financial reporting and forecasting to executive leadership.
**This vacancy is not eligible for sponsorship/ we will not sponsor or transfer visas for this position. Also, Mayo Clinic DOES NOT participate in the F\-1 STEM OPT extension program.**  
**Qualifications**  
Bachelor's Degree (business, communications, advertising, marketing, statistics, engineering, technology, health care). Master’s Degree preferred. 5\+ years of product management experience with experience managing full product lifecycle for complex products or a family of products. Demonstrated collaborative management ability with proven skills in leading without authority, results oriented with proven ability to work on a diverse range of activities and projects simultaneously; Strong communicator (written \&amp; verbal) with active listening skills. Ability to facilitate group/team discussions. Professional and reflects Mayo Clinic values and beliefs. Strong planning and organizational skills. Visionary, Proactive, and problem solver. Ability to effectively negotiate, strong conflict resolution skills, strong attention to detail and multitasking skills, and works well under pressure.  
The incumbent must be able to work effectively in a consensus\-style operation that expects and promotes teamwork while also having the ability to work individually. Must possess the ability to inspire trust and confidence and communicate effectively with internal and external audiences. The ability to maintain a high degree of professionalism and confidentiality is essential.  
Preference for health care experience (clinical, management, technology, other) from some Product Manager roles.  
**Exemption Status**  
Exempt  
**Compensation Detail**  
$125,444\.80 \- $181,875\.20 / year.  
**Benefits Eligible**  
Yes  
**Schedule**  
Full Time  
**Hours/Pay Period**  
80  
**Schedule Details**  
Monday \- Friday 8\-5 central time zone. Ad hoc early and late meetings may be necessary.  
**Weekend Schedule**  
Potentially conferences and travel may be necessary.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Joy Kundrata</t>
        </is>
      </c>
    </row>
    <row r="65">
      <c r="A65" t="inlineStr">
        <is>
          <t>in-bdb45ad7ca4db72b</t>
        </is>
      </c>
      <c r="B65" t="inlineStr">
        <is>
          <t>Program Manager</t>
        </is>
      </c>
      <c r="C65" t="inlineStr">
        <is>
          <t>University of Southern California</t>
        </is>
      </c>
      <c r="D65" t="inlineStr">
        <is>
          <t>indeed</t>
        </is>
      </c>
      <c r="E65" t="inlineStr"/>
      <c r="F65" t="inlineStr"/>
      <c r="G65" t="inlineStr">
        <is>
          <t>Los Angeles, CA, US</t>
        </is>
      </c>
      <c r="H65" s="2" t="n">
        <v>46047</v>
      </c>
      <c r="I65" t="inlineStr">
        <is>
          <t>**Department of Neurology – Division of Neurocritical Care/Stroke**  
**University of Southern California (USC)**
USC’s Department of Neurology is seeking a **Program Manager** to join the Division of Neurocritical Care/Stroke. This role supports faculty, hospital partners, and clinical leadership by managing day\-to\-day operational, quality, and programmatic functions across multiple stroke and neurocritical care initiatives.
**Required Qualifications**
* Bachelor’s degree in healthcare administration, nursing, public health, business, or a related field.
* Experience in healthcare program management, operations, quality improvement, or clinical services.
* Demonstrated ability to manage complex, multi\-site programs and collaborate with physicians, clinical teams, and hospital leadership.
* Strong organizational, communication, and project management skills.
* Experience working with data, dashboards, reporting tools, or quality metrics in a healthcare setting.
**Preferred Qualifications**
* Clinical background strongly preferred, particularly nursing or allied health experience.
* Prior experience working within a stroke program, neurocritical care service, or neurological emergency program
* Familiarity with TeleStroke programs, stroke certification requirements, or regional referral networks.
* Experience with quality and regulatory programs such as GWTG, eCQM, or similar stroke\-related performance initiatives.
* Knowledge of healthcare analytics platforms, database management, or health information systems.
**Key Responsibilities**
* Oversee daily operations and logistics for the TeleStroke and Neurological Emergency Program, supporting 7 spoke hospitals (5 referring to Keck).
* Manage stroke process improvement and quality initiatives, including data tracking, dashboards, and reporting (HealtheAnalytics, eCQM, GWTG).
* Lead and support quality improvement (QI/PI) projects, meetings, and documentation portals.
* Coordinate programmatic initiatives such as server migrations, database development, and analytics dashboard creation.
* Drive marketing and outreach efforts to surrounding hospitals, including development of collateral materials and referral\-building collaborations.
* Lead community\-based education and outreach events.
* Support system\-wide initiatives including:
	+ Keck Quality Team and Patient Experience efforts
	+ Stroke Team Activations and Rapid Transfer Program
	+ USC Arcadia Neurocritical Care/Stroke Service Line
	+ VHH TeleStroke Program
	+ Norris Stroke Team Activations
Follows established USC and department policies, procedures, objectives, performance improvement, attendance, safety, environmental, and infection control guidelines, including adherence to the workplace Code of Conduct and Compliance Plan.
This position is hybrid and employee must report to work at the CHP Center for Health Professions in Los Angeles, CA when scheduled. Work hours and on\-site days may be subject to change depending on business needs.
The annual budgeted salary range for this position is $109,264 – $116,902\.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**Impact of the Role**
This position enhances operational efficiency, reduces administrative burden on clinical staff, prevents costly inefficiencies, and supports revenue streams tied to referrals. Strategically, the Program Manager strengthens Keck’s position as a regional leader in stroke care by fostering collaboration, improving quality, and ensuring long\-term service line sustainability.
Minimum Education: Bachelor's degree, Combined experience/education as substitute for minimum education Minimum Experience: 3 years Minimum Field of Expertise: Directly related professional and supervisory experience in area of program specialization</t>
        </is>
      </c>
    </row>
    <row r="66">
      <c r="A66" t="inlineStr">
        <is>
          <t>in-c241e1247128cb50</t>
        </is>
      </c>
      <c r="B66" t="inlineStr">
        <is>
          <t>Product Manager</t>
        </is>
      </c>
      <c r="C66" t="inlineStr">
        <is>
          <t>HP</t>
        </is>
      </c>
      <c r="D66" t="inlineStr">
        <is>
          <t>indeed</t>
        </is>
      </c>
      <c r="E66" t="inlineStr"/>
      <c r="F66" t="inlineStr"/>
      <c r="G66" t="inlineStr">
        <is>
          <t>Spring, TX, US</t>
        </is>
      </c>
      <c r="H66" s="2" t="n">
        <v>46047</v>
      </c>
      <c r="I66" t="inlineStr">
        <is>
          <t>This role is responsible for shaping and refining the global PSS strategy, roadmaps, and SKUs in collaboration with R\&amp;D and solutions teams, ensuring alignment with market needs and customer insights. The role also involves conducting post\-analysis of global PSS strategies, offering data\-driven recommendations for improvement, and providing crucial support to sales efforts directed at end users and partners. Additionally, the role leads regional product/service/solution introductions, forecasting activities, management of regional alliance funds, and obsolescence planning.  
**Responsibilities**
* Shapes and refines the PSS strategy, roadmaps, platforms, and SKUs in a global context through collaboration with R\&amp;D and solutions teams, ensuring alignment with market needs and customer insights.
* Conducts closed\-loop post\-analysis of global PSS strategies, evaluating their effectiveness and making data\-driven recommendations for improvements.
* Provides valuable support to sales efforts directed towards end users and partners, offering subject matter expertise and strategic guidance.
* Determines and leads an effective product/ service/solution introduction process to assure an effective launch within the region.
* Provides ongoing forecasting activities to maintain sufficient product availability within the region, working closely with cross\-functional teams.
* Manages, optimizes, and deploys regional alliance and partner funds, including specials, pricing, and price promotions.
* Leads obsolescence and end\-of\-life management of PSS within a region, including inventory disposition and discontinuation planning.
* Heads representation of the voice of the customer by analyzing insights on customer needs and preferences.
* Solves difficult and complex problems with a fresh perspective, demonstrating good judgment in selecting creative solutions and managing projects independently.
 **Education \&amp; Experience** **Recommended**
* Four\-year or Graduate Degree in Marketing, Business Administration, or any other related discipline or commensurate work experience or demonstrated competence.
* 4\-7 years of work experience, preferably in product marketing, product design, or a related field or an advanced degree with 3\-5 years of work experience.
 **Knowledge \&amp; Skills**  
* Agile Methodology
* Analytics
* Business Development
* Business Strategies
* Business To Business
* Customer Relationship Management
* Data Analysis
* Digital Marketing
* Go\-to\-Market Strategy
* Key Performance Indicators (KPIs)
* Market Research
* Marketing
* Marketing Strategies
* New Product Development
* Product Management
* Product Marketing
* Product Strategy
* Project Management
* Thought Leadership
* Value Propositions
**Cross\-Org Skills**  
* Effective Communication
* Results Orientation
* Learning Agility
* Digital Fluency
* Customer Centricity
**Impact \&amp; Scope**  
* Impacts multiple teams and may act as a team or project leader providing direction to team activities and facilitates information validation and team decision making process.
**Complexity**  
* Responds to moderately complex issues within established guidelines.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**$83,000** to **$127,800**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67">
      <c r="A67" t="inlineStr">
        <is>
          <t>in-0d318d5db7f7f115</t>
        </is>
      </c>
      <c r="B67" t="inlineStr">
        <is>
          <t>Software Product Manager</t>
        </is>
      </c>
      <c r="C67" t="inlineStr">
        <is>
          <t>HP</t>
        </is>
      </c>
      <c r="D67" t="inlineStr">
        <is>
          <t>indeed</t>
        </is>
      </c>
      <c r="E67" t="inlineStr"/>
      <c r="F67" t="inlineStr"/>
      <c r="G67" t="inlineStr">
        <is>
          <t>Palo Alto, CA, US</t>
        </is>
      </c>
      <c r="H67" s="2" t="n">
        <v>46047</v>
      </c>
      <c r="I67" t="inlineStr">
        <is>
          <t>We are looking for an experienced **Software Product Manager** responsible for leading the development of software products and features for HP consumer experiences.
In this role, you will define, execute and deliver our product roadmap, working cross\-functionally with engineering, design and executive teams to bring customers facing technical products and ensure their success.
This senior level role demands strategic leadership, technical fluency, and a proven track record of successful product delivery.
**Key Responsibilities:**
* Own the full lifecycle of new product introductions, from ideation through go\-to\-market execution.
* Define and communicate a compelling product vision aligned with business goals and customer needs.
* Identify emerging technologies and business models to expand product capabilities and differentiate offerings.
* Conduct and analyze market research to understand customer needs, market trends, and the competitive landscape to drive product strategy.
* Identify, analyze and integrate new technologies and business models to expand product capabilities
* Work closely with engineering, design, marketing, sales, and other teams to ensure successful product launches and iterations.
* Provide technical mentorship and support to the development team, helping to resolve technical issues and make decisions that align with the product vision.
* Collaborate with engineering, UX/UI, and marketing to ensure seamless development and launch of high\-quality products.
* Leverage data to monitor product performance, identify areas for improvement, and make data\-driven decisions.
* Engage with customers through various channels to capture feedback, identify product issues, and advise product development.
**Required Qualifications:**
* Bachelor’s or master’s degree in computer science, Software Engineering, or a closely related field.
* Minimum 7 years of experience in product management within a technology\-focused company.
* Proven track record of launching customer\-facing software products from concept to market.
* Experience working in agile environments with cross\-functional global teams.
**Must\-Have Experience**
* Led product or features from 0 to 1 and achieved product\-market fit.
* Defined and executed product roadmaps in a fast\-paced tech environment.
* Collaborated with engineering and UX/UI teams to deliver high\-quality software solutions.
* Used data analytics tools to drive product decisions and measure impact.
* Demonstrated excellence in using principled decision making to manage diverse stakeholders, including peers and executive leadership.
* An analytical mindset with the ability to gather and interpret data to inform decisions, understand the user behavior and measure revenue opportunities/impact.
* Strong problem\-solving skills and ability to navigate complex challenges.
* Exceptional ability to work in resource\-constrained environments
**Tools \&amp; Skills**
* Agile Methodology
* Automation
* Change Management
* Continuous Improvement Process
* JIRA
* Kanban Principles
* Lean Manufacturing
* Milestones (Project Management)
* New Product Development
* Process Improvement
* Product Management
* Project Management
* Scrum (Software Development)
* Sprint Planning
 **Impact \&amp; Scope**  
Impacts function and leads and/or provides expertise to functional project teams and may participate in cross\-functional initiatives.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$115,850 to $250,000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68">
      <c r="A68" t="inlineStr">
        <is>
          <t>in-a2f4597a6830c5a9</t>
        </is>
      </c>
      <c r="B68" t="inlineStr">
        <is>
          <t>Program Manager, Oncology Digital Health</t>
        </is>
      </c>
      <c r="C68" t="inlineStr">
        <is>
          <t>The Ohio State University Wexner Medical Center</t>
        </is>
      </c>
      <c r="D68" t="inlineStr">
        <is>
          <t>indeed</t>
        </is>
      </c>
      <c r="E68" t="inlineStr"/>
      <c r="F68" t="inlineStr"/>
      <c r="G68" t="inlineStr">
        <is>
          <t>Columbus, OH, US</t>
        </is>
      </c>
      <c r="H68" s="2" t="n">
        <v>46047</v>
      </c>
      <c r="I68" t="inlineStr">
        <is>
          <t>**Scope of Position**
---------------------
The Program Manager, Oncology Digital Health is a visible administrative leader of the virtual health programs at the James with direct oversight and input over the execution of virtual care programs/projects, related facilities, information technology, equipment management, clinic and vendor relations, contracting, billing, reimbursement, legal, compliance and innovation.
**Position Summary**
--------------------
The Program Manager, Oncology Digital Health working with the Director, Oncology Digital Health will be responsible for leading the implementation and growth of digital health solutions at The James. The Program Manager will be responsible for working closely with James, health system and academic leadership, physicians, and operational and technical teams to direct state\-of\-the\-art digital health solutions and programs for patients in all stages of care. Develops professional relationships with identified external vendors/partners. Identifies, develops, accelerates and continually improves digital services across the continuum of care. Working with the Clinical Director and Medical Director, builds buy\-in and support from executive stakeholders and leads change management efforts to transform digital healthcare for patients and families. Represents digital strategy to internal and external stakeholders, translating how their use can improve clinical and cost outcomes for patients and clinicians.
**Minimum Qualifications**
Bachelor's degree in Healthcare Administration, Business Administration, Health Informatics, or a related field; Master's preferred. 8\+ years of experience working in healthcare or relevant field. Knowledge and experience in virtual health/telemedicine strongly preferred and in at least one (preferably several) of the following: patient engagement, population health, strategy \&amp; business development; or acute, ambulatory, physician practice operations.
* Experience in project management.
* Solid time management/problem solving skills.
* Experience working effectively with a wide range of colleagues, from entry level to senior executives, physicians, nurses, administrative and information technology staff.
* Ability to maintain a positive, customer\-focused, “can\-do” attitude at all times
* Knowledge of Microsoft Office Suite.
* Ability to travel occasionally.
* Strong verbal and written communication, organizational and human relations skills, self\-motivated, professional.
**Career Roadmap:**
**FUNCTION:** Business Planning and Operations
**SUB\-FUNCTION:** Business Operations
**CAREER BAND:** Individual Contributor \- Specialized
**CAREER LEVEL:** S4
Regular 40 Varying Shifts</t>
        </is>
      </c>
    </row>
    <row r="69">
      <c r="A69" t="inlineStr">
        <is>
          <t>in-e8595831156f5c69</t>
        </is>
      </c>
      <c r="B69" t="inlineStr">
        <is>
          <t>Theranostics Program Manager</t>
        </is>
      </c>
      <c r="C69" t="inlineStr">
        <is>
          <t>The Ohio State University Wexner Medical Center</t>
        </is>
      </c>
      <c r="D69" t="inlineStr">
        <is>
          <t>indeed</t>
        </is>
      </c>
      <c r="E69" t="inlineStr"/>
      <c r="F69" t="inlineStr"/>
      <c r="G69" t="inlineStr">
        <is>
          <t>Columbus, OH, US</t>
        </is>
      </c>
      <c r="H69" s="2" t="n">
        <v>46047</v>
      </c>
      <c r="I69" t="inlineStr">
        <is>
          <t>**Scope of Position**
The Ohio State University Comprehensive Cancer Center\- Arthur G. James Cancer Hospital and Richard Solove Research Institute (the James) is committed to providing high quality cancer services in detection, diagnosis, treatment, and rehabilitation. The James’ cancer strategic plan includes an initiative to expand cancer care into new regional, national, and international markets. The Theranostics Program Manager is responsible for strategic planning, operational, financial, and business oversight of theranostic services throughout the health system including James and non\-James locations. The
Theranostics Program Manager works collaboratively with physician leadership, medical directors, Director of Radiology, Director of Nursing, and Senior leaders to ensure provision of high\-quality patient care while insuring the financial viability of the service line and the hospital. The Theranostics Program Manager develops, aligns, and operationalizes the James clinical, academic, and research activities to support the overall cancer strategic plan and goals initiatives through interdisciplinary collaboration.
**Position Summary**
This position provides leadership for the development, implementation, and expansion of theranostic services. It integrates multidisciplinary teams, ensures regulatory compliance, and drives innovation in molecular imaging and targeted therapies. The Theranostics Program Manager collaborates with physician leaders, medical directors, and senior administrators to deliver high\-quality, patient\-centered care while maintaining financial sustainability.
**Minimum Qualifications**
**For Hire:**
**Education:**
* Bachelor’s degree in Nuclear Medicine Technology, Radiologic Sciences, Pharmacy, or healthcare related field (required).
* Master’s degree or MBA in Healthcare Management, Radiopharmacy, or similar field (preferred).
**Experience:**
* 6 years of relevant experience (required)
* 2\+ years of leadership or management experience in a hospital or clinical setting. (preferred)
* Direct experience with theranostics or radiopharmaceutical therapies (e.g., Lu\-177, Ga\-68, I\-131\) is highly preferred.
**Certifications:**
* Certification/Licensure in one or more of the following preferred: CNMT, ARRT(N), Radiation Safety Officer (RSO), Nuclear Pharmacist, Board Certified Nuclear Medicine Technologist OR Appropriate certifications for background and field of study
**Career Roadmap:**
**FUNCTION:** Business Planning and Operations
**SUB\-FUNCTION:** Business Operations
**CAREER BAND:** Individual Contributor \- Specialized
**CAREER LEVEL:** S4
Regular 40 First Shift</t>
        </is>
      </c>
    </row>
    <row r="70">
      <c r="A70" t="inlineStr">
        <is>
          <t>in-4666a48c2cb74774</t>
        </is>
      </c>
      <c r="B70" t="inlineStr">
        <is>
          <t>Electric Program Manager, Principal - EPSS PMO</t>
        </is>
      </c>
      <c r="C70" t="inlineStr">
        <is>
          <t>Pacific Gas and Electric</t>
        </is>
      </c>
      <c r="D70" t="inlineStr">
        <is>
          <t>indeed</t>
        </is>
      </c>
      <c r="E70" t="inlineStr"/>
      <c r="F70" t="inlineStr"/>
      <c r="G70" t="inlineStr">
        <is>
          <t>Oakland, CA, US</t>
        </is>
      </c>
      <c r="H70" s="2" t="n">
        <v>46047</v>
      </c>
      <c r="I70" t="inlineStr">
        <is>
          <t>Requisition ID \# 170045
**Job Category:** Project / Program Management
**Job Level:** Manager/Principal
**Business Unit:** Operations \- Other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Watsonville; West Sacramento; Wheatland; Whitmore; Willits; Willow Creek; Willows; Windsor; Winters; Woodland; Yuba City
Department Overview
Wildfire and Emergency Operations (WEO) is responsible for Wildfire operational mitigations, enterprise Wildfire Mitigation Plans and enterprise Emergency Preparedness \&amp; Response. This includes Meteorology and Fire Science, Public Safety Power Shutoff (PSPS) and Enhanced Powerline Safety Settings (EPSS).
Position Summary
Manages and/or administers a company program, a grouping of project work or a special customer offering with an assigned/designated annual financial budget. Provides oversight, governance, communication, training, reporting as well as overall process and project management for the assigned program. Manages the program budget, which may include developing and presenting the budget proposal.
This position is hybrid, working from your remote office and your assigned work location based on business need. The assigned work location will be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**Bay Minimum:** $140,000
**Bay Maximum:** $244,000
\&amp;/OR
**CA Minimum:** $137,000
**CA Maximum:** $232,000
This job is also eligible to participate in PG\&amp;E’s discretionary incentive compensation programs.
Job Responsibilities
Applies depth and breadth of knowledge of Program Management to the most unique and complex problems. Works autonomously. Anticipates issues and develops innovative solutions. Demonstrates program leadership with internal \&amp; external stakeholders to support company goals. May design and develop new, complex programs.
Recognized subject matter expert who may represent PG\&amp;E to external agencies on sensitive or complex issues. Partners with Government Relations or other partner organizations in developing messaging and strategy.
May manage major cross\-functional projects and initiatives. May lead initiatives that impact utility or industry developments.
Manages all aspects of programs that are cross functional, complex, of broad scope and have a significant financial or political impact on the line of business. Leads development of overall strategy to achieve program goals.
Partners with Manager/Director to determine most appropriate and effective program performance metrics. Develops content and format for reports and dashboards. Prepares and presents regular updates to senior management, addressing issues and gaining buy in on solutions.
Develops both annual and long term program work plan forecast and budget. Regularly monitors costs vs. budget, presents status and prepares and proposes solutions to address variances.
Negotiates and sets productivity and unit cost targets. Prepares accurate forecasts, monitors spending, and develops and presents variance explanations. Develops business case for budget and/or additional funding during the year. Works closely with peers and leaders in line of business to ensure financial targets are understood and achieved.
Partners with Work Planning/Resource Management teams to plan and forecast short and long term work to be completed as part of the program. Monitors and ensures closure/completion of projects and/or other program work orders. Ensures effective work scheduling and resources will be available to meet the work plan. Develops creative solutions to address resource issues.
Leads peers and partner organizations to develop and implement new and/ or improved processes, procedures, policies, controls and best practices to improve customer satisfaction, efficiencies, regulatory compliance and reduce costs.
May work with other project or program managers or peers in other departments or regions to reschedule work, re\-allocate funds and explore creative solutions to achieve financial and productivity goals.
Leads benchmarking efforts/projects in the industry to share information, seek best practices in electric program management. Develops recommendations for PG\&amp;E, develops proposals/business case and presents to senior management. Gains buy in and leads implementation.
Represents the program as a subject matter expert and stakeholder on process improvement teams, regulatory filings, and various stakeholder groups. Supports the GRC
witness with testimony development by providing data and request response support.
Develops communication and training plans. Ensures target audience is fully educated and adheres to program policies, processes, procedures. Ensures regulatory compliance with the program.
May manage the process of awarding some program work to outside contractors. Manages RFP process. Partners with the Contract Management department on contract terms, scope and cost, and negotiations.
May act as business owner for specialized systems or tools used as part of the project work in the program. Works with IT and/or tool vendor on defining user needs and implementing enhancements/updates.
Develops or provides significant input to PG\&amp;E leadership and/or other utilities with similar programs.
Coaches and mentors less experienced employees.
Qualifications
**Minimum:**  
Bachelors Degree or equivalent experience
Job\-related experience, 10 years
**Desired:**  
Experience in maintenance and construction, electric
PMI\-Project Management Institute PMP\-Project Management Professional certification
In depth knowledge of electric utility processes, regulatory requirements, critical success factors, goals and initiatives.
Highly skilled at leading project teams.
Advanced financial management \&amp; budgeting skills and business acumen
Expertise in communication, interpersonal/collaboration influence and negotiation and process management.
Analytical and creative problem solving, strategic decision making ability.
Broad knowledge of project management, process improvement best practices, concepts, methods and techniques.
High level organizational skills and ability to multi\-task.
Advanced skills in Microsoft Office tools.
Advanced presentation skills to effectively convey complex issues to internal and external parties of various levels.
May need knowledge of various enterprise resource planning (ERP) system modules</t>
        </is>
      </c>
    </row>
    <row r="71">
      <c r="A71" t="inlineStr">
        <is>
          <t>in-fe405b5ee5b79815</t>
        </is>
      </c>
      <c r="B71" t="inlineStr">
        <is>
          <t>Senior Technical Program Manager - Hardware Engineering</t>
        </is>
      </c>
      <c r="C71" t="inlineStr">
        <is>
          <t>Microsoft</t>
        </is>
      </c>
      <c r="D71" t="inlineStr">
        <is>
          <t>indeed</t>
        </is>
      </c>
      <c r="E71" t="inlineStr"/>
      <c r="F71" t="inlineStr"/>
      <c r="G71" t="inlineStr">
        <is>
          <t>Redmond, WA, US</t>
        </is>
      </c>
      <c r="H71" s="2" t="n">
        <v>46047</v>
      </c>
      <c r="I71" t="inlineStr">
        <is>
          <t>**Overview**  
Microsoft’s Cloud Operations \+ Innovation (CO\+I) is the engine that powers our cloud services. We deliver the core infrastructure and foundational technologies for Microsoft, from Azure to AI. Our infrastructure is comprised of a large global portfolio of hundreds of data centers, managed by a team of subject matter experts working to support services for more than 1 billion customers and 20 million businesses in over 90 countries worldwide.
Within CO\+I, **the Core Datacenter Services (CDS) team** is responsible for the development and implementation of global strategies across our Datacenters (DCs).
The Process Improvement and efficiency (PI\+E) team enables resource efficiency across DC Ops through Continuous Improvement focused program management and analysis. Efficiency is a significant focus of this team. The Senior Technical PM will improve and execute on IT operations hardware projects.
 **Responsibilities** **Responsibilities:**
**Design:**
* Displays deep knowledge in multiple technical areas and acquires knowledge of industry trends, competitor products, and advances in various engineering fields. Shares knowledge with others on their team and helps other engineers understand.
* Creates robust, scalable, secure, and extensible designs and verification plans that account for current industry/competitive threats for the hardware engineering aspects of a variety of established, complex products or feature areas.
* Develops and implements solutions to complex technical and/or design challenges that may involve multiple technical and business\-related variables, and applies lessons learned to help develop future focused solutions to complex design challenges, focused around efficiency.
* Develops drawings that contribute to the development of products or features using modeling tools. Provides guidance to other engineers on the use of fundamental features of modeling tools.
**Testing and Verification:**
* Reviews documentation to help ensure that the appropriate test requirements and improvements are included in relevant hardware designs and specifications.
* Co\-develops methods of measurement with appropriate partners for measuring features of new product technology based on newly created or modified verification plans.
* Creates external testing supplier or partner engagement plans, evaluates supplier or partner readiness, and captures supplier or partner knowledge for use across a product group.
* Can execute on and document results of hardware testing
* Uses root cause analysis to identify highly complex problems or flaws that may affect a feature or product design change and identifies possible solutions.
* Provides guidance to other engineers developing product features.
**Project Implementation:**
* Generates project implementation schedules, monitors performance against schedules, and helps determine resource dependencies for the hardware engineering aspects of complex features or products. Guides other team members.
* Implements and tracks product plans that account for the user experience, enable customer/partner testing scenarios, identify critical requirements (e.g., function, quality, safety, reparability, and/or reliability) and are verifiable.
* Evaluates and approves a variety of details of the reliability of materials, properties, and techniques used in production of large designs.
* Identifies the most significant project risks at the outset of a project and develops plans to address those risks.
* Communicates project progress/status within and external to the project team (e.g., to customers and partners) and escalates issues as necessary.
**Reporting and Documentation:**
* Writes customized reports and functional specifications for an established product or product feature, based on audits and information from product development and verification processes. Reviews and provides feedback on other engineer's documentation.
* Documents complex details about materials, components, and/or functionality for complex devices via accepted drawing release processes and highlights potential compatibility, safety, and compliance issues.
* Accurately records and tracks changes to designs following established configuration management and provides guidance to other engineers documenting these details
**Other:**
* Embody our Microsoft One culture and values.
**Qualifications**  
Required/minimum qualifications
* Bachelor's Degree AND 4\+ years experience in engineering, product/technical program management, data analysis, or product development OR equivalent experience.
* 2\+ years of experience managing cross\-functional and/or cross\-team projects.
Additional or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in-b65e5b80b7e2e24a</t>
        </is>
      </c>
      <c r="B72" t="inlineStr">
        <is>
          <t>Supply Chain - Material Program Manager - MPM) -Senior Staff - Level 5</t>
        </is>
      </c>
      <c r="C72" t="inlineStr">
        <is>
          <t>Lockheed Martin</t>
        </is>
      </c>
      <c r="D72" t="inlineStr">
        <is>
          <t>indeed</t>
        </is>
      </c>
      <c r="E72" t="inlineStr"/>
      <c r="F72" t="inlineStr"/>
      <c r="G72" t="inlineStr">
        <is>
          <t>Fort Worth, TX, US</t>
        </is>
      </c>
      <c r="H72" s="2" t="n">
        <v>46047</v>
      </c>
      <c r="I72" t="inlineStr">
        <is>
          <t>**Job ID:** 716054BR
**Date posted:** Jan. 26, 2026  
**Description:**  
At Lockheed Martin Aeronautics we are committed to shaping the future of aviation! Our Aeronautics Supply Chain team is passionate about delivering innovative, affordable, and agile solutions that exceed our customer's expectations. The supply chain team touches every product and service we deliver and enables our customers to do the impossible every day. At Aeronautics, we leverage problem solving, creativity, and data to tackle the most exciting challenges in the industry.
Our people are some of the greatest minds in the industry and truly make Lockheed Martin a great place to work.
You have arrived at your career destination! Join us!
**Who You Are**  
You'll be a Global Supply Chain, Material Program Manager, Senior Staff member; seasoned across a range of supply chain management, program management, project management, and leadership skills on classified programs.  
**What You Will Be Doing**  
The Material Program Manager (MPM), is responsible to the Program for coordinating the successful execution of material strategies for all aspects of cost, quality, schedule, and delivery performance within a specific line of business program office. They facilitate cross\-functional collaboration to identify and resolve roadblocks and drive actions to closure with accountability. The MPM team works laterally across all global supply chain teams and across Lockheed Martin functions to meet program objectives. The role is crucial in representing Global Supply Chain within the program and coordinating the execution of material strategies to achieve program goals.  
**What's In It For You**  
From on\-site to hybrid,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located in Fort Worth, TX à Discover Fort Worth.  
OR  
This position is located in Palmdale, CA à Discover Palmdale.  
This role is located at a facility that requires special access, you must be a US Citizen \&amp; have an active Secret Clearance to be considered.
AeroSCM  
**Basic Qualifications:**  
* Experience in formal project management methodologies, and systems analysis tools, processes, and methods
* Experience preparing data/metrics/charts for and presenting to Executive Leadership and/or external customers
**Desired Skills:**  
* Bachelor's degree from an accredited college, or at least 13 years of professional experience in a Supply Chain Management related field
* Program management
* Experience with Truth and Negotiation Action (TINA) and commercial contract Federal Acquisition Regulation (FAR) guidelines.
* Experience negotiating contracts to closure and giving detailed status of negotiations in process, to Executive Leadership and External Customers
* Experience developing long\-term strategies (i.e. financial planning, leading a team, corrective action, process improvements (White, Green, or Black Belt))
* Experience working in SAP as well as Supply Chain systems, tools and analytics.
* Experience with demand reconciliation
* Experience as a Team Lead for procurement and/or sourcing teams.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$122,900 \- $216,660\.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$141,300 \- $244,835\.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Purchasing/Procurement/Supply Chain  
**Type:** Full\-Time  
**Shift:** First</t>
        </is>
      </c>
    </row>
    <row r="73">
      <c r="A73" t="inlineStr">
        <is>
          <t>in-55b9444d63bca2d0</t>
        </is>
      </c>
      <c r="B73" t="inlineStr">
        <is>
          <t>Subcontract Program Manager</t>
        </is>
      </c>
      <c r="C73" t="inlineStr">
        <is>
          <t>Lockheed Martin</t>
        </is>
      </c>
      <c r="D73" t="inlineStr">
        <is>
          <t>indeed</t>
        </is>
      </c>
      <c r="E73" t="inlineStr"/>
      <c r="F73" t="inlineStr"/>
      <c r="G73" t="inlineStr">
        <is>
          <t>Littleton, CO, US</t>
        </is>
      </c>
      <c r="H73" s="2" t="n">
        <v>46047</v>
      </c>
      <c r="I73" t="inlineStr">
        <is>
          <t>**Job ID:** 716109BR
**Date posted:** Jan. 26, 2026  
**Description:**The **Subcontract Program Manager (SPM)** Staff position is an exceptional opportunity for high potential program managers, engineers, operations leaders, and subcontract managers to expand their skillset to include subcontractor proposal management, negotiations, and portfolio execution. This SPM role in particular provides proven multidisciplinary professionals with a path to program manager that sets them apart from their peers since suppliers often provide the most critical payloads to our customers and it gives aspiring PMs an advantage in negotiation and contract terms and conditions shaping.  
✪ What is the mission?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 Who we are:  
We are a dynamic team at the cutting edge of National Security Space dedicated to developing innovative technologies that address the most unique and pressing customer challenges. Our collaborative culture fosters creativity, teamwork, and the pursuit of excellence for our programs and our suppliers.  
✪ Why join us:  
This is an opportunity to be at the forefront of managing critical partnerships for key discriminating deliverables that drive the success of a quickly growing business area with tremendous opportunity for advancement.  
The Subcontract Program Manager Staff position is an exceptional opportunity for high potential program managers, engineers, operations leaders, and subcontract managers to expand their skillset to include subcontractor proposal management, negotiations, and portfolio execution. This SPM role in particular provides proven multidisciplinary professionals with a path to program manager that sets them apart from their peers since suppliers often provide the most critical payloads to our customers and it gives aspiring PMs a leg up in negotiation and contract terms and conditions shaping.  
✪ Who you are:  
You have internalized that an SPM plays a dual leadership role on a program\-an initiator to compel the supplier and the program to meet commitments. You are equally comfortable balancing risk between LM and Subcontractors, during negotiations and execution, to deliver an efficient custom solution. You understand that as an SPM you will use both LM and supplier schedules, requirement needs, and giver/receiver exchanges to push each party to drive program execution.  
You are a strategic, pro\-active, leader with deep experience in subcontract management, supplier performance, proposal support, and supplier negotiations.
✪ The work:  
As a Subcontract Program Manager Stf, you will oversee all cost, schedule, and technical performance aspects of our subcontractors and suppliers. You will be the lead of the Subcontract Management Team (SMT), ensuring that every facet of subcontract management \-from request for proposal (RFP) to delivery \- aligns with program objectives and performance goals. Your leadership will drive the collaboration between Subcontract Managers, Subcontract Administrators, engineering, specialties, and suppliers to ensure compliant execution within cost and schedule constraints.  
✪ Key Responsibilities:  
* Lead the Subcontract Management Team (SMT) to develop and maintain a consistent business rhythm, ensuring that cost, schedule, and technical objectives are met.
* Oversee the end\-to\-end subcontracting process, including RFP activities, negotiations, awards, and performance management.
* Ensure subcontractor performance aligns with program specifications, including cost, schedule, quality, and earned value requirements.
* Manage and release deliverables, including Statements of Work (SOWs) and Subcontract Data Requirements Lists (SDRLs).
**Basic Qualifications:**  
**To be effective, you will need to possess these basic qualifications:**  
* Bachelor's degree from an accredited college, or equivalent experience/combined education
* 5\+ years experience in Program Management, and/or Supply Chain Management (i.e... Procurement, Subcontract Administration, Subcontract Management, Negotiation, and/or Category Management)
* Experience in management of \&gt;$2M subcontractors and experience in negotiation of subcontractors.
* Must be willing and able to travel to suppliers on short notice. Travel is primarily domestic, but could be international. Travel is expected to be minimal, e.g., for monthly 1\-day PMRs\-but could surge to 50\-75% Mon\-Fri if suppliers performance falters. As the responsible SPM, the ability to represent LM on\-site at a supplier is required.
* You will need to be a US Citizen, and be able to **obtain** and maintain a US TOP SECRET/SCI with Poly clearance, to support this government contract, as well as successfully pass a drug and background check, in order to meet eligibility requirements for access to classified information.
Please note:  
No clearance is required to apply, nor prior to start.  
**Desired Skills:**  
**To be effective, ideally, you should also have:**  
* Our preferred candidate will have experience as a CPE (Certified Principal Engineer) in one of these field: computer vision, propulsion engineering, or other space hardware engineering
* Proven ability to operate in various capacities and levels in a fast\-paced competitive environment with high pressure and the need to maintain composure and focus on the task at hand.
* Advanced understanding in the field. Advanced knowledge in navigating the processes, procedures, negotiation, and management of all phases of the subcontract lifecycle across programmatic and technical disciplines internally and at the supplier
* Work is performed without appreciable direction, including ability to assess, interpret cost/schedule/technical data and risks/opportunities as the scope owner or CAM and implement and communicate strategic execution/recovery plans.
* Manages complex assignments and exercises considerable latitude to accomplish objectives.
* Experience scaling a concept (engineering) or operation (manufacturing/production) from prototype to production as well as contributing to sustainment strategy.
* Understands, inspires, and coaches the team to make more effective decisions in within across functional, and accountable, environment.
* Communicates at all levels both internally and externally with impact (including as high as LM and Supplier Program Management Team, with occasional Executive and End customer interaction).
* At a minimum successfully manages a portfolio of Complexity level 2\&amp;3, with occasional Complexity level 1 suppliers, with significant NRE \&gt;50% or higher risk, including Fixed Price and Cost Type Contract Structures.
* Implements and leads strategic initiatives within global supply chain.
* Engineering Professionals: Experience as a Certified Principal Engineer or Responsible Subsystem Engineer
* Engineering Professionals: Deep understanding of requirements language, flow downs, and mission assurance
* Supply Chain Professionals: Experience with Commercial Acquisition Procedures (CAP) and Lockheed Martin Acquisition Policies (LMAP)
* Supply Chain Professionals: Experienced with the Truth in Negotiation Act (TINA)
* Legal contracts subject matter expert (SME)
* Experience as Cost Account Manager (CAM)
**PLEASE NOTE\-Other important information:**  
* By applying to this role, you are expressing interest in this position and could be considered for other career opportunities, within Lockheed Martin, where similar skills and requirements have been identified as a match.
* Should this match be identified you may be contacted for this and future openings.
* Applicants selected will be subject to a government security investigation and must meet eligibility requirements for access to classified information.
**Benefits of Employment:**  
Our employees play an active role in strengthening the quality of life where we live and work by volunteering more than 850,000 hours annually.
**Learn more about Lockheed Martin's competitive and comprehensive benefits package here.**  
We are also committed to enabling transitioning veterans to connect with their communities and find new purpose as they reintegrate into civilian life. By clicking on the link, you can find out more on how we proudly support the Military/Veterans Network:
**Hiring Our Heroes**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$104,500 \- $184,115\.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Purchasing/Procurement/Supply Chain  
**Type:** Full\-Time  
**Shift:** First</t>
        </is>
      </c>
    </row>
    <row r="74">
      <c r="A74" t="inlineStr">
        <is>
          <t>in-9098bf2aa6c35a20</t>
        </is>
      </c>
      <c r="B74" t="inlineStr">
        <is>
          <t>Lead Program Manager</t>
        </is>
      </c>
      <c r="C74" t="inlineStr">
        <is>
          <t>L3Harris</t>
        </is>
      </c>
      <c r="D74" t="inlineStr">
        <is>
          <t>indeed</t>
        </is>
      </c>
      <c r="E74" t="inlineStr"/>
      <c r="F74" t="inlineStr"/>
      <c r="G74" t="inlineStr">
        <is>
          <t>Wilmington, MA, US</t>
        </is>
      </c>
      <c r="H74" s="2" t="n">
        <v>46047</v>
      </c>
      <c r="I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33280**
 **Job Location: Wilmington, MA**
 **Job Description:**
L3Harris Space Systems is seeking a Program Manager for the Agile EO business area. This role is responsible for managing Government contracts, program execution, customer satisfaction, and financial performance. The Program Manager will lead a program to design, develop, build, and demonstrate next\-generation electro\-optical space payloads. Join our dynamic team to support missions of national significance, including Space Domain Awareness, Missile Warning and Defense, Science and Weather, and Remote Sensing for commercial and Government customers.
 **Essential Functions:**
* Management of large, complex programs involving advanced electro\-optical technology for space applications that are of significant strategic importance to the business area and nation
* Accountable for the cost, schedule and technical performance of the program through all phases, inception to completion
* Lead the program to meet quarterly and annual financial commitments to the business area
* Drive program execution, proactively identify and support capture management efforts of additional scope to grow the program and support technology investment plans
* Establish and nurture high\-level customer relationships, and influence senior leadership to adopt and champion the business area concepts and strategy
* Effectively communicate within the team, upward with internal executive leadership, and externally with the customer to influence stakeholders for business success
* Champion and leverage new technology to establish differentiators that produce impact on business area results
* Contribute to and promote a positive culture and working environment
* Work collaboratively with the functional organizations to ensure that all resources are available and empowered to meet program goals
* Work within a highly dynamic and changing environment and adapt to shifting customer priorities
 **Qualifications:**
* Bachelor’s Degree and a minimum of 9 years of prior relevant experience; Or, Graduate Degree and a minimum of 7 years of prior related experience; Or, in lieu of a degree, a minimum of 13 years of prior related experience
* Ability to obtain US Government security clearance
 **Preferred Additional Skills:**
* Active Top Secret Security Clearance is preferred
* Experience managing projects for space optical applications
* Solid technical background with strong business acumen
* Experience implementing strategies to influence external stakeholders for business advantage
* Knowledge of Government contracting practices and Earned Value Management (EVMS)
* Excellent interpersonal, written, and verbal skills
* Project Manager Professional (PMP) certification
* Proposal management experience
* Experience planning, organizing, and directing work that provides best value solutions to the customer and L3Harris
* Experience using Microsoft Project, and the Microsoft Office suite of applications
* Ability to develop broad, cooperative relationships with numerous groups and individuals, even when having no direct authority over them
In compliance with pay transparency requirements, the salary range for this role in Massachusetts state is $125,000\-$232,000\.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April 26, 2026\.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75">
      <c r="A75" t="inlineStr">
        <is>
          <t>in-b5b724da17e0cbc6</t>
        </is>
      </c>
      <c r="B75" t="inlineStr">
        <is>
          <t>Principal Product Manager</t>
        </is>
      </c>
      <c r="C75" t="inlineStr">
        <is>
          <t>Microsoft</t>
        </is>
      </c>
      <c r="D75" t="inlineStr">
        <is>
          <t>indeed</t>
        </is>
      </c>
      <c r="E75" t="inlineStr"/>
      <c r="F75" t="inlineStr"/>
      <c r="G75" t="inlineStr">
        <is>
          <t>Redmond, WA, US</t>
        </is>
      </c>
      <c r="H75" s="2" t="n">
        <v>46044</v>
      </c>
      <c r="I75" t="inlineStr">
        <is>
          <t>**Overview**  
Microsoft's **AI Sales \&amp; Marketing** team is seeking a highly experienced **Principal Product Manager** to lead the strategy, vision, and execution of advanced AI agents that transform how sales organizations operate. In this role, you will drive endtoend product direction for autonomous and assistive AI solutions that improve prospecting, deal management, customer success, and account management. You will influence company\-wide AI initiatives, partner across engineering and field organizations, and define the next wave of AIpowered innovation for sellers.
This role is ideal for a product leader who brings deep AI product expertise, strong strategic instincts, and a passion for building high impact solutions at enterprise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articulate the longterm product vision and multiyear roadmap for AI Sales Agents that empower sellers across prospecting, qualification, opportunity management, and customer success.
* Lead strategy and execution across engineering, design, data science, field sales, and marketing, ensuring clarity of goals and a shared definition of success.
* Define and prioritize highimpact features and capabilities based on customer needs, seller workflows, and business objectives at global scale.
* Establish rigorous AI evaluation frameworks, success metrics, and continuous improvement loops to ensure highquality model behavior and measurable business outcomes.
* Drive rapid prototyping and experimentation using codegeneration frameworks and modern AI development tools to validate concepts and accelerate innovation.
* Synthesize insights across customer feedback, telemetry, research, and competitive trends to inform product decisions and shape longterm strategy.
* Champion Responsible AI principles, ensuring privacy, safety, and compliance standards are embedded across the entire product lifecycle.
* Communicate strategy, progress, and insights to executive stakeholders, providing clear narratives and datadriven recommendations.
* Influence crossorg partners across Microsoft to align on technology stack, strategy, platform architecture, and GTM execution.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10\+ years of product management experience, including 2\+ years driving AI or machine learning products.
* Proven ability to build AI products, including AI evalation methodologies, establishing quality benchmakrs and prototyping using AI code generation.
* Exceptional analytical, problem solving, and organizational skills.
* Collaboration skills with experience leading cross functional teams in agile environments.
* Track record of shipping complex, customer facing AI or enterprise products at scale.
* Familiarity with responsible AI standards, privacy requirements, and enterprise compliance frameworks.
* Experience wokring with or building products for sales organizations, including expertise in CRM, sales processes and seller workflows.  
\#BICjobs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6">
      <c r="A76" t="inlineStr">
        <is>
          <t>in-9bb89ad1948c9bc8</t>
        </is>
      </c>
      <c r="B76" t="inlineStr">
        <is>
          <t>Senior Product Manager - Copilot in Office</t>
        </is>
      </c>
      <c r="C76" t="inlineStr">
        <is>
          <t>Microsoft</t>
        </is>
      </c>
      <c r="D76" t="inlineStr">
        <is>
          <t>indeed</t>
        </is>
      </c>
      <c r="E76" t="inlineStr"/>
      <c r="F76" t="inlineStr"/>
      <c r="G76" t="inlineStr">
        <is>
          <t>Redmond, WA, US</t>
        </is>
      </c>
      <c r="H76" s="2" t="n">
        <v>46044</v>
      </c>
      <c r="I76" t="inlineStr">
        <is>
          <t>**Overview**  
Microsoft 365 Copilot is transforming productivity by combining large language models (LLMs) with your data in the Microsoft Graph and the M365 apps millions rely on daily.
This role is in the Office AI org which is central to the development of M365 Copilot, and where we design and deliver AI\-native experiences in Word, Excel, PowerPoint, and Outlook. As a **Senior Product Manager**, you’ll work full stack: from crafting intuitive user experiences to designing shared components and underlying technical infrastructure, all while working across our many app team partners. We’re looking for someone who thinks deeply and boldly about what AI can unlock, not just as a feature, but as a paradigm shift in how people work.
Office AI is where Microsoft bets big on what’s next in productivity. This fast\-paced environment is ideal for product managers with intuitive product knowledge, technical depth, and experience delivering customer\-facing solutions through cross\-functional collaboration. If you're energized by the opportunity to shape the future of productivity through AI\-first thinking, this is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product vision and strategy by creating scenarios that satisfy customer needs, accrue business outcomes, and drive future product investments.
* Partner with engineering teams to develop experience and platform investments which align to product needs.
* Build and develop strong relationships across M365 app teams (Word, Excel, PowerPoint, Outlook, Teams, etc.) to align on vision, plans, and processes, and to help drive clarity across all stakeholders.
* Manage strategic development cycles and define key milestones, including workback schedules, research and design dependencies, and tooling.
* Foresee and resolve bottlenecks, anticipate and balance trade\-offs, and weigh customer and business needs against technical limitations.
* Embody our culture and values.
**Qualifications** **Required Qualifications:**
* Bachelor's Degree AND 5\+ years experience in product/service/program management or software development
	+ OR equivalent experience. .
**Preferred Qualifications:**
* Bachelor's Degree AND 8\+ years experience in product/service/program management or software development
	+ OR equivalent experience.
* 4\+ years experience improving product metrics for a product, feature, or experience in a market (e.g., growing customer base, expanding customer usage, avoiding customer churn).
* 2\+ years experience taking a product, feature, or experience to market (e.g., design, addressing product market fit, and launch, internal tool/framework).
* 4\+ years experience disrupting a market for a product, feature, or experience (e.g., competitive disruption, taking the place of an established competing product).
* Proven ability to remain resilient, self‑directed, and effective when faced with ambiguity.
* Consistently exercises sound judgment while operating in high‑volume, fast‑moving settings.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7">
      <c r="A77" t="inlineStr">
        <is>
          <t>in-cc384240b42a23b8</t>
        </is>
      </c>
      <c r="B77" t="inlineStr">
        <is>
          <t>Technical Program Manager II</t>
        </is>
      </c>
      <c r="C77" t="inlineStr">
        <is>
          <t>Microsoft</t>
        </is>
      </c>
      <c r="D77" t="inlineStr">
        <is>
          <t>indeed</t>
        </is>
      </c>
      <c r="E77" t="inlineStr"/>
      <c r="F77" t="inlineStr"/>
      <c r="G77" t="inlineStr">
        <is>
          <t>Redmond, WA, US</t>
        </is>
      </c>
      <c r="H77" s="2" t="n">
        <v>46044</v>
      </c>
      <c r="I77" t="inlineStr">
        <is>
          <t>**Overview**  
About You
Do you come alive when a path isn’t obvious? Would you see open, complex, scientific, AI/ML, and engineering problems as something to be shaped into clear plans, crisp milestones, and aligned teams? If you’re energized by being the connective tissue that makes audacious research programs work, then you should join our team.
About Us
We’re Microsoft Research Health Futures. A fast moving, global group of scientists, engineers, and medical doctors building next generation AI in health and life sciences. We pair academic grade research with enterprise software rigor to empower every person on the planet to live a heathier future.
 **Responsibilities*** You’ll bring structure and momentum to complex, AI/ML‑heavy research programs by turning open goals into sequenced plans and keeping cross\-team dependencies visible.
* You’ll coordinate strategic roadmaps, decision logs, readiness gates, and will help orchestrate evaluation pilots with external collaborators.
* You’ll contribute to our culture of creating safe, compliant, and responsible AI.
* You’d be joining a geographically distributed team with hybrid schedules (expected three days per week in\-office) and periodic travel for in\-person working sessions.
 **Qualifications**  
Required Qualifications
* Bachelor's Degree in Computer Science, Engineering OR related disciplines OR equivalent practical experience AND 2\+ years experience in engineering, product/technical program management, data analysis, or product development OR equivalent experience.
Preferred Qualifications
* Master’s or PhD in Computer Science, Engineering, or related disciplines AND 5\+ years experience engineering, product/technical program management, data analysis, or product development OR equivalent experience..
* Experience in AI/ML research environments or research\-to\-product tech transfer.
* 1\+ year(s) experience reading/writing code (Python, notebooks, evaluation scripts) in research or production settings.
* 1\+ year(s) experience collaborating with scientists/researchers (experimental design, reproducibility, results review).
* 1\+ years of experience managing cross\-functional and/or cross\-team projects.
\#Research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8">
      <c r="A78" t="inlineStr">
        <is>
          <t>in-9c6df10991b53557</t>
        </is>
      </c>
      <c r="B78" t="inlineStr">
        <is>
          <t>Principal Product Manager - Windows Planning</t>
        </is>
      </c>
      <c r="C78" t="inlineStr">
        <is>
          <t>Microsoft</t>
        </is>
      </c>
      <c r="D78" t="inlineStr">
        <is>
          <t>indeed</t>
        </is>
      </c>
      <c r="E78" t="inlineStr"/>
      <c r="F78" t="inlineStr"/>
      <c r="G78" t="inlineStr">
        <is>
          <t>Redmond, WA, US</t>
        </is>
      </c>
      <c r="H78" s="2" t="n">
        <v>46043</v>
      </c>
      <c r="I78" t="inlineStr">
        <is>
          <t>**Overview**  
Windows powers over 1\.4 billion devices globally and anchors the commercial PC ecosystem—spanning OEM partners, enterprise customers, education, public sector, MSPs, ISVs, and silicon providers. Decisions made within this ecosystem have far\-reaching impact on device quality, customer satisfaction, and competitive positioning.
We are looking for a strategic and collaborative leader to drive alignment between OEM and commercial customer needs and Windows feature planning. This **Principle Product Manager** \- **Windows Planning** role will lead a small team focused on ensuring customer\-driven feature requests are successfully integrated into Windows planning and delivery.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feature request pipeline:** Aggregate and drive frameworks for prioritization (impact, cost, etc) from OEM partners and commercial customers, ensuring clarity and actionable insights.
* **Influence Windows planning:** Work across each of the Windows feature teams to advocate for prioritized requests and secure inclusion in release plans.
* **Build trusted partnerships:** Develop strong relationships with feature team leaders so they rely on this team for landscape insights before planning cycles begin.
* **Integrate into planning processes:** Embed into multiple feature team planning rhythms to provide timely input, map dependencies, influence decisions, and track triage and delivery.
* **Collaborate across WECE:** Partner closely with Windows Ecosystem \&amp; Commercial Engagement teams to align on priorities across the inputs and asks and communicate progress.
* **Quickly evaluate ROI**: rapidly evaluate and communicate the Return On Investment of requested Windows features across engineering, finance and business stakeholders.
* **Drive transparency and accountability:** Establish mechanisms to establish SLAs, track request status, and communicate outcomes to OEM and Commercial stakeholders.
**Qualifications** **Required Qualifications:**
* Bachelor's Degree AND 8\+ years experience in product/service/program management or software development.
	+ OR equivalent experience.
**Preferred Qualications:**
* Deep understanding of the Windows development and release cycle, including planning milestones and dependencies.
* Proven ability to influence without authority and build trust across diverse teams.
* Proficient program management skills with experience in planning processes and cross\-functional collaboration.
* Proficient communication and relationship\-building skills.
* Familiarity with Windows ecosystem, OEM engagement, and commercial customer needs is a plus.
* Ability to synthesize complex inputs into clear priorities and drive execution.
\#W\+DJOBS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9">
      <c r="A79" t="inlineStr">
        <is>
          <t>in-5d77841f28adcebc</t>
        </is>
      </c>
      <c r="B79" t="inlineStr">
        <is>
          <t>Senior Technical Program Manager</t>
        </is>
      </c>
      <c r="C79" t="inlineStr">
        <is>
          <t>Microsoft</t>
        </is>
      </c>
      <c r="D79" t="inlineStr">
        <is>
          <t>indeed</t>
        </is>
      </c>
      <c r="E79" t="inlineStr"/>
      <c r="F79" t="inlineStr"/>
      <c r="G79" t="inlineStr">
        <is>
          <t>Redmond, WA, US</t>
        </is>
      </c>
      <c r="H79" s="2" t="n">
        <v>46042</v>
      </c>
      <c r="I79" t="inlineStr">
        <is>
          <t>**Overview**  
We’re looking for a technically curious problem‑solver who enjoys diving deep into systems, learning continuously, and simplifying complex concepts. This role is well‑suited for someone who values coaching and mentorship and can translate technical detail into clear, auditable insight.
The Senior Technical Program Manager (TPM) partners with Internal Audit and engineering teams to support audits with hands‑on technical expertise, strengthen audit planning and coverage, and scale technical capability across the organization. By embedding technical context, tools, and guidance into audit execution, TPMs enable auditors to assess technology‑driven risks with increasing independence over time. This is not a traditional audit role. It blends engineering depth with technical enablement, influence, and close cross‑functional collaboration.
Key areas of impact are project engagement and team upskilling. Project engagement responsibilities are to support the fieldwork team as a technical subject matter expert during the execution of an audit \- your success is in empowering the team with relevant collateral, insights and actionable data duringthe planning and/or execution of an audit. Team upskilling ensures the organization understands how emerging and existing technologies impact risk, and equips auditors with the technical context, tooling, and insight needed to assess those risks. Actively uplifting technical capability across the Internal Audit team (through coaching, developing collateral, and embedding technical understanding into audit planning and execution) will overtime allow auditors to independently engage with key engineering and technical concepts, reducing reliance on point‑in‑time TPM support.
In summary: ***This is not a traditional audit position.*** The TPM is expected to actively facilitate technical understanding across the Internal Audit organization, partner deeply with engineering teams, and translate complex systems into actionable audit insight. It is a great blend of engineering expertise and hands‑on technical enablement and influence.
 **Responsibilities**  
* Understand Microsoft’s Engineering and Research divisions, build relationships across them to be seen as and act as a trusted partner, with the expertise to prioritize and lead both internal and external partners to outcomes that grow shareholder value and safeguard assets.
* Assist in identifying gaps in audit coverage through an understanding of corporate strategy and/or technology direction, criticality and industry\-specific requirements or regulations.
* Demonstrate a passion for the acquisition of technical knowledge, with a focus on research areas of potential exploration while guiding adherence to security, privacy and ethical policies, standards, and regulatory requirements throughout the Audit lifecycle (especially in the development of the audit plans, SOW and during audits).
* Design functional, right\-sized collateral or tooling that enables the team to execute with increased efficiency.
* Lead efforts to validate engineering controls or service architecture while focusing the team on identifying critical areas, that may have impact to Microsoft risk posture.
* Understand and translate engineering metrics, cycles, environments, tools, processes to identify and prioritize key risk areas and associated controls.
* Is a team influencer in that you revel in bringing alignment and structure to individual functions while focusing them on committed goals.
* Build business acumen, foster inclusive culture, and risk mindset for the lead and audit team. For example, providing actionable insight and coaching through feedback.
* Embody Microsoft Values and “One Microsoft,” while embracing a growth mindset and driving impact. Champion an inclusive and collaborative workplace where everyone can be their best.
* Raise the technical knowledge of self and theaudit group on assigned risk areas through training and continuous professional development.
* Influence management as a trusted advisor to clarify risks to their business and where there may be potential blind spots. For example, providing clarification on risks to the business identified during the audit.
* Ensure clear and concise audit reporting of risks tested during the audit. Analyze and advise management on whether their planned actions will mitigate identified risks and provide perspective on risk trends. For example, reviewing audit reports and management responses. Reviewing team's audit findings and report to provide comments on quality against audit objectives when needed.
**Qualifications**  
Required Qualifications:
* Bachelor's Degree in Engineering, Computer Science, Information Security, or a similar technical field AND 4\+ years experience in engineering, product/technical program management, data analysis, or product development OR equivalent experience.
* 2\+ years of experience managing cross\-functional and/or cross\-team projects.
Preferred Qualifications:
* Bachelor's Degree AND 8\+ years experience engineering, product/technical program management, data analysis, or product development OR equivalent experience.
* 10\+ years or more of demonstrated work experience in Engineering, Audit or a combination of applicable industry experiences.
* 5\+ years’ experience applying technical knowledge to assess, validate, or explain controls, architecture, or system design in complex environments.
* Familiarity with DevOps, and SDLC methodologies, as well as PM methodologies (Agile and Waterfall) and able to apply them pragmatically and as best suited.
* Ability to simplify the complex and contextualize audit findings.
* Team player – value working as a team, and success as a team.
* Curiosity to understand how things work and ability to dig into the details when needed. A self\-driven constant researcher/ validator of facts and figures.
* Good interpersonal skills and ability to deal with challenging stakeholders/ interpersonal situations.
* Excellent written and verbal communication skills and exceptional emotional intelligence.
* Ability to influence and motivate people across a broad variety of job functions through your relationships.
* Strong organizational skills to manage multiple, competing priorities simultaneously, without losing sight of the highest priority items.
* Working knowledge of cybersecurity, privacy, online safety, ethical AI or service availability.
* Professional certification such as CISSP, CIA, CISA, etc.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0">
      <c r="A80" t="inlineStr">
        <is>
          <t>in-4558d48cc31f91c0</t>
        </is>
      </c>
      <c r="B80" t="inlineStr">
        <is>
          <t>Principal Product Manager</t>
        </is>
      </c>
      <c r="C80" t="inlineStr">
        <is>
          <t>Microsoft</t>
        </is>
      </c>
      <c r="D80" t="inlineStr">
        <is>
          <t>indeed</t>
        </is>
      </c>
      <c r="E80" t="inlineStr"/>
      <c r="F80" t="inlineStr"/>
      <c r="G80" t="inlineStr">
        <is>
          <t>Redmond, WA, US</t>
        </is>
      </c>
      <c r="H80" s="2" t="n">
        <v>46036</v>
      </c>
      <c r="I80" t="inlineStr">
        <is>
          <t>**Overview**  
As a Principal Product Manager for Employee Experience, you will define the strategy, vision, and roadmap for AI\-powered products and platforms that transform how employees interact with HR and workplace services. This role spans the full product lifecycle—from discovery to launch and iteration—delivering personalized, seamless experiences across the employee journey.
You’ll collaborate with engineering, data science, research, design, and go\-to\-market teams to build scalable, responsible AI solutions that delight users and drive measurable business impact. Success requires deep HR domain expertise, strong product leadership, technical fluency in AI/ML, and the ability to create clarity and momentum in fast\-paced, high\-ambiguity environments.
This position is based at the Redmond campus with 3 days per week work in the office, and 2 days per week work from home. Relocation support is available.
Our mission is to empower every person and every organization on the planet to achieve more. We innovate with a growth mindset, collaborate to realize shared goals, and uphold values of respect, integrity, and accountability to foster an inclusive culture where everyone thrives.
 **Responsibilities**  
Analysis of Customer and Market Signals
* Demonstrates and builds experiences across multiple feature areas (e.g., product, service) across divisional boundaries. Leads process defining problems and incubating solutions for company\-wide initiatives. Coaches and mentors internal team to develop problem statements and forms hypotheses of new multiple feature areas (e.g., product, service) across divisional boundaries to address crucial customer needs and/or market opportunities; identifies dependencies of other feature areas. Uses AI for trend analysis and sentiment evaluation to generate hypotheses, understand problems, and predict customer preferences, developing and leading complex experiments and A/B tests to improve model performance and inform feature development. Establishes clarity of patterns of root problem and how it relates with previously seen trends across customers, determines the customers/sectors impacted, and uses research evidence to influence feature prioritization. Ensures and drives product\-market fit and alignment between the customer, the market, internal stakeholders, senior leadership, and the goals and strategy of Microsoft. Collaborates with others (e.g., Software Engineering \[SWE], Hardware Engineering \[HWE], Product Marketing, Design, Security Subject Matter Experts) to ensure that they can satisfy customer and security requirements. Validates the market size and opportunity to determine products or features of greatest value, and collaborates with other teams (e.g., Finance) to build the Long\-Range Plan (LRP). Defines and optimizes AI\-driven solution options across multiple feature areas across divisional boundaries (e.g., product, service), incorporating insights into refinement and experimentation processes. Partners senior colleagues across the organization (e.g., SWE, HWE) in refinement sessions to synthesize hypothesis results into solutions tied with Objectives and Key Results (OKRs) and Key Performance Indicators (KPIs) progress. Resolves large or complex alignment issues, contributes to portfolio level solutions, and drives cross\-functional clarity with senior leadership.
* Leverages AI to identify customers unmet or unknown needs for complex situations, influencing stakeholders and other team members while bringing them along, gaining buy in, and market opportunities for enhancements or development and new products/services of multiple feature areas (e.g., product, service) across divisional boundaries via quantitative (e.g., usage, telemetry) and qualitative analyses (e.g., customer usage, various listening systems, feedback channels of market and industry trends), analyzes security and ethical compliance, looks for patterns in the data across a portfolio, and scopes the impact and prioritization of a problem. Brings together internal and external customer groups around a specific scenario and engages in direct 1:1 (e.g., visits, interviews) or many (e.g., social media, events) customer engagements to solicit feedback and understand their experiences with Microsoft’s products and services using industry\-accepted methods (e.g., Moneyball). Acts as a subject matter expert and provides guidance to others performing market or user research through AI in collaboration with the User Research team, conducting competitive analyses, and examining market and industry trends, as well as industry\-specific requirements or regulations. Shares insights with senior internal/external stakeholders and internal team to ensure cross\-team alignment. Drives contract negotiations and partnership across the organization and company\-wide alignment. Assesses acquisition targets to enhance the migration offering. Shares insights with internal team and ensures cross\-team alignment on creating products that are easy to adopt and provide a positive experience for customers.
Go To Market
* Acts as a subject matter expert and collects and includes different views when collaborating with Product Marketing, Business Planning, and Engineering to identify product release criteria (including security requirements such as Security Development Lifecycle (SDL) compliance), customer acquisition, usage, retention, and monetization strategies. May help scale Product Marketing teams by providing strategic guidance to build marketing and roll\-out plans and/or content such as product overviews, blogs, and landing pages for individual features or smaller products that ladder up to marketing plans for an overall product solution area. Drives long\-term vision and strategy for taking the multiple feature areas across divisional boundaries from private preview to public preview and then to general availability. Orchestrates the creation and/or automation of customer support plans (e.g., frequently asked questions \[FAQs], scripts), HyperCase, change management, and communication plans.
* Executes major opportunities to evangelize the supported feature areas worked on, including AI\-driven solutions, with internal and external stakeholders, partners, analysts, and customers in the industry via presentations, blog posts, social media, and other forums. Leads presentations at Executive Briefing Centers (EBCs) and large industry/company events. Acts as a primary interface and collaborates with Product Marketing to educate on the product, leveraging AI to develop content and to contribute to product messaging.
Product/Service Definition
* Serves as an expert in translating technical AI concepts into business value, engaging with executives and customers to build consensus and support for AI\-first product strategies. Influences and drives engagement with cross\-functional internal partners, external partners, including early adopting customers, senior leadership, and other key stakeholders to gather input and garner support for product/service vision, strategy, and roadmap for multiple features across divisional boundaries. Provides deep thought leadership and is sought out to address questions and challenges from group managers and other leaders. Contributes to, defines, and unites others around the product vision. Leverages AI\-driven workflows to collaborate with cross\-functional teams and secure buy\-in from senior leadership for product vision and strategy for multiple feature areas across divisional boundaries. Advocates for priorities and resources needed to deliver desired outcomes for multiple feature areas (e.g., product, service) across divisional boundaries. Leads senior leadership to new product vision and strategies.
* Defines and evangelizes others around business impact, success criteria, and performance metrics (e.g., Objectives and Key Results \[OKRs], Key Performance Indicators \[KPIs] such as engagement, usage, acquisition, retention, user love/net promoter score (NPS), revenue, profitability, and in\-project features) and fundamentals (e.g., quality, privacy, security, compliance, accessibility, cost of goods sold \[COGS]) of multiple features areas (e.g., product, service) across divisional boundaries, including success/performance metrics that represent the security posture of products or features (e.g. percent of information being logged that is required for security investigations). Sets and defines success metrics for AI related features and products (e.g., precision/recall, relevance scores). Works with internal partner teams (e.g., SWE and HWE) to identify needed data and ensure needed telemetry is developed and obtains it responsibly and compliantly; reports and explicates reasons for outcomes and drives decision making thereafter. Deeply understands the COGS of multiple feature areas (e.g., product, service) across divisional boundaries and the KPIs that will help improve profitability. Performs advanced insights analyses (e.g., customer acquisition, customer retention). Defines analytic processes and drives them across Microsoft. Determines the value of the multiple feature areas to business growth, aligns success criteria, and measures success. Ensures the ultimate goal is aligned for portfolios.
* Serves as an expert in identifying AI\-informed, long\-term investment opportunities, evaluating tradeoffs, and prioritizing investments in consultation across multiple cross organizational partners for multiple feature areas (e.g., product, service) across divisional boundaries. Guides others to determine the features or experiences to prioritize in the roadmap that will support achievement of success criteria and Objectives and Key Results (OKRs).
* Works across multiple feature areas (e.g., product, service) across multiple product areas and divisional boundaries. Defines or influences the success criteria, long\-term vision, and strategy for the feature areas based on a deep understanding of customer needs, market and user research, the competitive landscape, and Microsoft’s business goals and strategy. Writes the product framing memo or strategy documents, including AI\-driven solutions, to address unmet or unknown customer needs and scope out opportunities across multiple feature areas and reviews with senior leaders. Distills the vision and strategy into a product roadmap, emphasizing AI as a core differentiator to address customer needs and market opportunities. Creates user stories and epics to convey the big picture. Leverages a deep understanding of the product architecture to design integrated scenarios. Utilizes AI to generate synthetic feedback to simulate user feedback and refine product vision memos, user stories, and scenarios, aiding in testing positioning, messaging, and feature value before launch. Collaborates with others (e.g., Business Planning, Finance, Support, Customers, Product Marketing) to identify the potential customer base. Integrates AI\-first thinking into product strategy. Communicates product strategy to internal and external customers and builds consensus through multiple methods (e.g., conference presentations, collaboration with partner organizations).
Product/Service Development
* Owns and strategically drives the roadmap for the multiple feature areas (e.g., product, service) they own across divisional boundaries. Prioritizes the backlog and aligns with internal partners (e.g. SWE and HWE) on tradeoffs for the multiple feature areas (e.g., product, service) they own, partners with Product Marketing on the strategic communication of the roadmap, and ensures dependencies are strategically managed and accounted for. Takes in new inputs and adapts accordingly. Builds and deploys AI\-based systems and frameworks to enable the team to scale for a product area. Influences and leads difficult strategic tradeoffs with senior peers and senior management, and navigates the team through these decisions. Strategically drives direction between customer needs and product development on the roadmap to address a series of complex problems over time. Ensures strategic alignment between the roadmap for the multiple features (e.g., product, service) across divisional boundaries and long\-term Objective and Key Results (OKRs) and Key Performance Indicators (KPIs). Recommends and drives features that utilize AI and ensure they meet quality, security, and ethical standards.
* Collaborates with partner team to build golden configurations and leads scenario walkthroughs and thought exercises to identify problems, system friction, and needed contingencies in advance of early customer adoption for multiple feature areas (e.g., product, service) across organizational boundaries. Provides test demonstrations to leadership team around product/service areas. Shares feature previews or roadmap with customers to drive engagement and to gather feedback and customer telemetry in conjunction with others (e.g., Business Development, Sales, End Consumers, User Research). Collaborates with internal partners (e.g., SWE, HWE, and Scientists) to synthesize, prioritize, and address feedback to continuously refine AI\-driven product strategies and roadmaps. Ensures that products or features related to security incorporate up\-to\-date Threat Model design into newest versions and that these products or features are reviewed by the internal Threat Model/Security teams. Leverages data and AI tools to analyze and translate user behavior or feedback, working with data scientists or engineering to develop and implement AI\-driven improvements (e.g., training and fine\-tuning models, rules).
* Leads the definition of the feature set and partners with Design teams to connect multiple design factors (e.g., visual design, user experience \[UX], application programming interfaces \[APIs], hardware design) to desired functionality and product vision. Drives strategic initiatives to develop user stories and scenarios that integrate AI outputs and align with user expectations and needs. Facilitates high\-level efforts to generate proof\-of\-concept designs through the use of Generative AI to explore wider design spaces for unique and wide\-ranging applications. Oversees the ongoing advancement of minimally\-viable\-products (MVPs), and leads the innovation and refinement of product concepts, leveraging cutting\-edge AI prototyping tools and auto\-generated workflows for long\-term impact. Influences collaboration with data science teams to establish sophisticated model objectives, transform training data, and evaluate metrics, ensuring strategic alignment with highly complex product strategies and goals. Iterates multiple designs with design partners in other teams. Iterates multiple designs with design partners in other teams (e.g. Design, SWE and HWE) to drive the product vision. Leverages preexisting design patterns and technical knowledge to inform current design iterations and establish a unified design approach. Explores and advocates for ways that preexisting and current designs within product areas can have a broader impact for multiple parties (e.g., Microsoft, external/internal customers). Anticipates, reviews, and helps resolve interoperability challenges between different components or layers in the stack (e.g., UX and API layer differences). Develops strategy for designs in the related areas. Facilitates senior\-level reviews (e.g., UX, system designs, data designs) with customers (e.g., regulators, engineers, policy makers, business\-decision makers) to determine usability and ensure accessibility criteria and updated designs meet customer goals. Identifies requirements that can proactively mitigate risks, such as advanced threat detection and response mechanisms. Incorporates security factors into design, such as logging posture (e.g., what needs to be logged for security investigations), permissions minimization (e.g., least level of permissions required to use product or feature), and having security enabled by default (e.g., resilient against prevalent threats and vulnerabilities without requiring additional configuration by the end user).
Product/Service Performance
* Builds trust with a targeted selection of customers across sectors. Orchestrates and automates a line of communication with complex and advanced customers to capture feedback and insights through the product development lifecycle. Ensures the vision is aligned with customer goals. Oversees customer communities and customer engagement programs. Responds to real\-time customer feedback in online portals, leveraging AI\-driven workflows to improve efficiency. Understands and drives improvements in the support process, including both forums and communities. Utilizes customer personas as a framework and AI\-based research to understand customers and communicate effectively.
* Identifies features to deprecate based on AI\-driven analytics. Develops, articulates, and presents reasoning and tradeoffs involved in deprecations. Leads the deprecation process. Works with Public Relations/Product Marketing on messaging to customers. Communicates change accurately. Leads vision for customer transition.
* Serves as an expert to partners (e.g., Data Science, SWE, HWE, User Research) to collect performance metrics (e.g., key performance indicators \[KPIs] such as engagement, usage, acquisition, revenue, and in\-project features), monitor model deployment and report on progress (e.g., business reviews), and derive deep insights and drives productive courses of action across teams to improve product/feature development, iteration, AI integration, and implementation. Leverages customer listening systems, telemetry, engagements (e.g., interviews, surveys), etc., to develop insights on product performance and customer needs. Shares insights with internal partners (e.g., SWE and HWE). Leverages technical knowledge on API, infrastructure, and/or AI modeling to form hypotheses to crucial technical needs, performs experiments, iterates, and tests to drive improvement/adoption in specific performance metrics that have broad impact on Microsoft and industry wide. Sets and defines success metrics for AI related features and products (e.g., precision/recall, relevance scores).
Additional Responsibilities:
* Product Vision \&amp; Roadmap: Define and own multi\-quarter roadmap; prioritize based on user impact, technical feasibility, and business outcomes.
* Success Metrics: Establish OKRs and KPIs; track and report business impact.
* End\-to\-End Execution: Lead product development from requirements to launch and iteration; make evidence\-based decisions.
* Translate AI to Value: Partner with ML researchers and engineers to turn foundation models, LLMs, and pipelines into customer value.
* Experimentation \&amp; Analytics: Design A/B tests, telemetry, and analytics; validate hypotheses through data.
* Cross\-Functional Alignment: Drive alignment across engineering, design, research, legal, and security; communicate effectively at all levels.
* Responsible AI: Embed fairness, transparency, privacy, and security into product design and launch criteria.
* Customer Engagement: Gather feedback from customers and field teams; advocate for user needs throughout development.
* Operational Excellence: Maintain backlog health, release planning, and issue resolution.
 **Qualifications**  
Required Qualifications
* Bachelor's Degree AND 10\+ years experience in product/service/program management or software development
	+ OR equivalent experience.
Preferred Qualifications
* 10\+ years of product management or comparable experience, including 4–6\+ years building AI/ML or data products at scale.
* 8\+ years experience improving product metrics for a product, feature, or experience in a market (e.g., growing customer base, expanding customer usage, avoiding customer churn).
* 8\+ years experience disrupting a market for a product, feature, or experience (e.g., competitive disruption, taking the place of an established competing product).
* 6\+ years experience taking a product, feature, or experience to market (e.g., design, addressing product market fit, and launch, internal tool/framework).
* Demonstrated ability to own strategy/roadmap and deliver end\-to\-end product experiences with clear outcomes.
* Technical fluency in the ML lifecycle (data, training, evaluation, deployment), model limitations, and tradeoffs; able to contribute meaningfully to technical discussions.
* Analytical skills; proficiency with experimentation, metrics definition, and interpreting qualitative/quantitative signals.
* Effective communication and stakeholder management; proven experience influencing across functions and levels.
* Experienced leveraging AI agent infrastructure to deliver individual and team business aligned value.
* Background in AI evaluations, data collection pipelines, or ML infrastructure at scale.
* Experienced leading AI first enterprise\-wide transformations in corporate functions.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1">
      <c r="A81" t="inlineStr">
        <is>
          <t>in-6d36e5698c878220</t>
        </is>
      </c>
      <c r="B81" t="inlineStr">
        <is>
          <t>Construction Program Manager</t>
        </is>
      </c>
      <c r="C81" t="inlineStr">
        <is>
          <t>Microsoft</t>
        </is>
      </c>
      <c r="D81" t="inlineStr">
        <is>
          <t>indeed</t>
        </is>
      </c>
      <c r="E81" t="inlineStr"/>
      <c r="F81" t="inlineStr"/>
      <c r="G81" t="inlineStr">
        <is>
          <t>Redmond, WA, US</t>
        </is>
      </c>
      <c r="H81" s="2" t="n">
        <v>46029</v>
      </c>
      <c r="I81" t="inlineStr">
        <is>
          <t>**Overview** **Overview:**  
The role of the Integration and technical Infrastructure Manager (ITIM) requires strong interpersonal, communication and organizational skills. We are seeking a Project Manager with the ability to self\-direct and who has a strong background in Data Center Construction, with an emphasis on telecoms project/construction management. The ITIM is responsible for the project management of all integration and fit\-out activities associated with MSFT owned system and/or services and critical infrastructure that is required to be installed into a new data center build or lease facility to deliver capacity to the business. The role requires the identification and management of scopes and interdependencies between all external and internal stakeholders and coordinating same with the physical construction with landlord and other vendors. The ITIM is responsible for coordinating the handover process and ensuring the required handover documentation and expectations are met to handover the space to our Operations teams and the business. The ITIM is responsible for producing and managing project plans and executing major milestones (Early Access, Ready Network Install, Corpnet Live, Security CX Complete, Fit Out Complete, Lockdown, Colo Ready) and for the financial approval and management function of these tasks on Microsoft own build and lease projects. This position can be based in Atlanta, Dallas, Phoenix, Richmond or Redmond.
 **Responsibilities** **Responsibilities:**The key responsibilities of the ITIM includes, but is not limited to:The ITIM will be a relentless advocate for managing a safe worksite , supporting the implementation of the Microsoft High Risk Activity (HRA) program and work with our Construction PM and landlord groups to deliver trade collaboration methods to improve safe working and co\-ordination of the job sites.The ITIM is responsible for coordinating internal Microsoft scope and resource efforts, requirements, and schedules with those of the landlord, Owned Vendors and Suppliers to ensure a smooth and timely handover of the fitted out Data Centre facility and capacity to the Microsoft Operations team and Business Groups. The ITIM will coordinate with the Data Center Engineering (DCE) team and supporting specialty consultants to review, improve and execute the design. The ITIM is responsible for the coordination of the telecom materials procurement, telecoms installation, Security systems installation, FFE procurement and installationCoordination of the design, procurement, installation and turn up of the facility Corporate Network In cooperation with the Construction Lead this position aligns metro wide delivery strategies to local team objectives, business processes, vendor management strategies, and cross\-group collaboration efforts. The ITIM will align with the Construction PM to agree delivery strategies across multi sites and manage a continuous improvement program that will result in a lean project delivery approach. The ITIM will be the responsible identifying and managing stakeholder dependencies and construction deliverables and handoffs for/with Microsoft Security (DCPS), Microsoft IT (CSE), DCI NE, Networking and Integrated services.The ITIM will work alongside the DCD Construction manager and report into the Regional ITIM team leader and is responsible for the delivery of Integration and Technical Infrastructure scope and deliverables for the US\-West Region.
**Business Processes:** Create and/or maintain best practices to identify and incorporate cost\-effective solutions in line with evolving build and lease program specification requirements and report on KPIs for the same.Manage the selection, contracting, and integration of multiple vendors and internal partners. Drive deployment of solutions that can be socialized globally across DCD projects, both builds and leases.Facilitate client/sponsor decision\-making to drive solutions, schedules, and manage change as required.Apply influence, strategies and negotiation skills to identify options and recommend solutions.
**Communication:** Regularly reviews cost and KPI metrics, invoices, process/policy communications to client partners.Coordinate meetings and activities of vendors, cost managers, and integration of lessons learned in support of the Construction PM.Attend scheduled Integration meeting and other project meetings, and report as necessary. Report Project Progress on scope, schedule, and budget in relation to the Integration scope and packages as required. Provide weekly project status reporting to Data Center Execution standards.Challenge and remove barriers by working with others around a shared need or customer benefit.Ability to maintain a broader perspective, identify and evaluate opportunities to enhance the business through cross\-group collaboration.Incorporate diverse perspectives to thoroughly address complex business issues.
**Accountability:**Responsible for developing, managing, and reporting on scope, schedule, and budget in relation to the Integration and technical fit\-out scope and packages.Work independently in support of the Data Center Development Project.Track lessons learned and identify and execute on cost down site up opportunities.Provide Vendor oversight and performance management, as required.Support Preparation of Request for Proposal (RFP’s), PER’s, and other project approval tools \&amp; templates.Review and approval of vendor scope of work and design review of site and building plans, as required.Validate vendor pay\-application and invoice review and approval in line with milestone payment schedules.Manage compliance with prior audit results and recommendations.
 **Qualifications** **Required/minimum qualifications**
Bachelor's Degree in Construction Project Management, Architecture, Engineering, or related field AND 5\+ years related experience OR equivalent experience.
**Additional or preferred qualifications**
Bachelor's Degree in Construction Project Management, Architecture, Engineering, or related field AND 8\+ years related experience OR equivalent experience.
7\+ years experience working on data center projects.* PMI (Project Management Institute) – PMP (Project Management Professional) certification highly desired
* Self\-starter with demonstrated ability to manage multiple priorities, projects, and deadlines simultaneously
* Experience managing large scale enterprise projects with both localized and virtual teams.
* Cross\-group collaborator and influencer across teams and organizations with proven success in participating in cross\-functional teams to deliver on key projects.
* Must be able to work within a dynamic team of full\-time employees and consultants
* High personal standard to deliver a thoughtful, polished and quality work productBICSI RCDD or similar Telecommunications Design/Installation Experience is a plus
* Previous Data Center construction/IT Fit out or management experience a plus.
* Construction Health \&amp; Safety Knowledge
Construction Project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2">
      <c r="A82" t="inlineStr">
        <is>
          <t>in-4eaccee768f08630</t>
        </is>
      </c>
      <c r="B82" t="inlineStr">
        <is>
          <t>Program Manager V, Avionics</t>
        </is>
      </c>
      <c r="C82" t="inlineStr">
        <is>
          <t>Lockheed Martin</t>
        </is>
      </c>
      <c r="D82" t="inlineStr">
        <is>
          <t>indeed</t>
        </is>
      </c>
      <c r="E82" t="inlineStr"/>
      <c r="F82" t="inlineStr"/>
      <c r="G82" t="inlineStr">
        <is>
          <t>North Andover, MA, US</t>
        </is>
      </c>
      <c r="H82" s="2" t="n">
        <v>46027</v>
      </c>
      <c r="I82" t="inlineStr">
        <is>
          <t>**Job ID:** 709341BR
**Date posted:** Oct. 28, 2025  
**Description:**Join Our Team as a **Project Engineer** where you will work on the development of a sophisticated state\-of\-the\-art avionics product in a world class Integrated Product Development environment.  
Location: **This position does not support teleworking**; the preferred candidate will be located near our Lockheed Martin Space facility one of the Coolest places to work: Cambridge MA, and be expected to work a flexible 9x80 schedule in the office full\-time.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**What does this role look like?**  
You will represent program management at a key supplier site in **Cambridge MA**, working with the supplier in the development and integration of world class avionics systems.  
**Key activities you will accomplish in this role:**  
* Coordinate engineering efforts between program and contractor.
* Represent program to Navy program office.
* Drive contractual engineering tasks to closure and meet program milestones.
**To be effective in this role, you will need:**  
* Experience leading avionics development projects.
* Experience working with and managing subcontracts.
* Experience in different phases of aerospace hardware development cycle.
* Experience interacting with peers, management and government customers.
* Experience in presentations and in written communication skills.
* Missile design experience.
* 8\+ years professional experience.
* While no clearance is needed to start in this position, you will need to obtain and maintain a **Secret clearance**, thus **US Citizenship** is required.
**Why Lockheed Martin?**  
Our employees play an active role in strengthening the quality of life where we live and work by volunteering more than 850,000 hours annually.
Learn more about Lockheed Martin's comprehensive benefits package.
Find out more on how we proudly support Hiring Our Heroes.  
At Space we value your skills, training, and education. We believe that by applying the highest standards of business ethics and visionary thinking, everything is within our reach \- and yours as a Lockheed Martin Space employee... join us to experience your future!  
**Let's do Space!**  
**Basic Qualifications:**  
* Bachelor of Science or higher from an accredited college in a technical or science field of study, or equivalent experience/combined education.
* Experience in technical hardware project management and tasking.
* Ability to obtain Secret clearance thus US Citizenship is required.
**Desired Skills:**  
* Experience as a technical lead or responsible engineer.
* Experienced at leading teams through challenging engineering and/or programmatic issues.
* Experience on Space and/or Missile Defense Missions.
* Experience working with supplier in a joint development effort.
* Experience in electronic systems test development, plans, and procedures.
* Demonstrated good communication and presentation skills with the ability to articulate complex technical issues to peers, management, subcontractors and customers.
* Demonstrated ability to work in a fast\-paced, dynamic, collaborative team environment and to build consensus among peers and effective relationships with team members.
* Demonstrated strong problem solving and conflict resolution skills.
* Adaptable to new situations and demonstrate self\-initiative in solving complex problems.
* Able to work effectively in a diverse team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$122,900 \- $216,660\.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$141,300 \- $244,835\.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Electrical Engineering  
**Type:** Full\-Time  
**Shift:** First</t>
        </is>
      </c>
    </row>
    <row r="83">
      <c r="A83" t="inlineStr">
        <is>
          <t>in-9232a56987fd35a0</t>
        </is>
      </c>
      <c r="B83" t="inlineStr">
        <is>
          <t>Technical Program Manager</t>
        </is>
      </c>
      <c r="C83" t="inlineStr">
        <is>
          <t>Microsoft</t>
        </is>
      </c>
      <c r="D83" t="inlineStr">
        <is>
          <t>indeed</t>
        </is>
      </c>
      <c r="E83" t="inlineStr"/>
      <c r="F83" t="inlineStr"/>
      <c r="G83" t="inlineStr">
        <is>
          <t>Atlanta, GA, US</t>
        </is>
      </c>
      <c r="H83" s="2" t="n">
        <v>46012</v>
      </c>
      <c r="I83" t="inlineStr">
        <is>
          <t>**Overview**  
Microsoft’s Cloud Operations \&amp; Innovation (CO\+I) delivers the global datacenter infrastructure that supports all of Microsoft’s Commercial Cloud services AI product offerings. As a Technical Program Manager on the Technology and Region Expansion Team you analyze data from across the company to understand customer demand and supply alignments across our regions, and coordinate with different functional team members to develop strategies to support customer growth.
Your work across the company supports the ongoing health of our regions, as they expand, to exceed customer expectations in delivering all of Microsoft’s cloud and AI solutions. Your pivotal role encompasses the refinement of our region strategies and communicating them across Microsoft so our customers can continue to grow on our platform.
* Forge and nurture strategic relationships with key stakeholders and partners across the CO\+I organization, Azure Core Compute Capacity Teams as well as Business Planning, Azure Marketing and in some cases, Microsoft Customer and Partner Solutions (MCAPS)
* Leverage your business acumen and technical expertise to bolster ongoing customer engagement (internal and external) guaranteeing that our region strategy resonates with customer expectations and that all stakeholders understand the risk of non\-performance
* Exercise relentless curiosity to uncover and implement process enhancements, thereby fortifying our governance frameworks as we ambitiously expand our cloud footprint amidst the dynamic landscapes of commercial and AI growth
**Responsibilities**  
* Collaboration: Strengthens inter\-org relationships within CO\+I and with key stakeholders, promoting a unified approach to region expansion that embodies our One Microsoft ethos
* Critical Thinking: Analyzes and asks insightful questions across the multiple teams that have inputs into capacity, understanding both internal and external growth assumptions and challenge assumptions/inputs that don’t align
* Process Enhancement: Utilizes insights from engagements and root cause analyses to refine and automate processes, ensuring adherence to our high standards and driving ongoing enhancements
* Long\-Term Planning: Champions long\-term regional health initiatives through application of principles, focusing on sustained customer success, and operational excellence
* Stakeholder Management: Aligns internal and external stakeholders with region strategies through clear and actionable next steps
Embody our culture and values
 **Qualifications** **Required Qualifications:**
* Bachelor's Degree AND 2\+ years experience in engineering, product/technical program management, data analysis, or product development
	+ OR equivalent experience.
* 1\+ year(s) of experience managing cross\-functional and/or cross\-team projects.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5\+ years experience engineering, product/technical program management, data analysis, or product development
	+ OR equivalent experience.
* 4\+ years of experience managing cross\-functional and/or cross\-team projects.
* 1\+ year(s) of experience reading and/or writing code (e.g., sample documentation, product demos).
* 1\+ year(s) technical product/service/project, software development or software engineering experience
* 1\+ year(s) experience working with cross\-team stakeholders in a matrixed organization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4">
      <c r="A84" t="inlineStr">
        <is>
          <t>in-b6b4f45461f98033</t>
        </is>
      </c>
      <c r="B84" t="inlineStr">
        <is>
          <t>Product Manager</t>
        </is>
      </c>
      <c r="C84" t="inlineStr">
        <is>
          <t>Microsoft</t>
        </is>
      </c>
      <c r="D84" t="inlineStr">
        <is>
          <t>indeed</t>
        </is>
      </c>
      <c r="E84" t="inlineStr"/>
      <c r="F84" t="inlineStr"/>
      <c r="G84" t="inlineStr">
        <is>
          <t>Redmond, WA, US</t>
        </is>
      </c>
      <c r="H84" s="2" t="n">
        <v>46011</v>
      </c>
      <c r="I84" t="inlineStr">
        <is>
          <t>**Overview**  
Overview
Microsoft is seeking a highly experienced Principal Product Manager (Level 66\) to lead the strategy, vision, and execution of advanced AI agents that transform how sales organizations operate. In this role, you will drive endtoend product direction for autonomous and assistive AI solutions that improve prospecting, deal management, customer success, and account management. You will influence company\-wide AI initiatives, partner across engineering and field organizations, and define the next wave of AIpowered innovation for sellers.
This role is ideal for a product leader who brings deep AI product expertise, strong strategic instincts, and a passion for building highimpact solutions at enterprise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articulate the longterm product vision and multiyear roadmap for AI Sales Agents that empower sellers across prospecting, qualification, opportunity management, and customer success.
* Lead strategy and execution across engineering, design, data science, field sales, and marketing, ensuring clarity of goals and a shared definition of success.
* Define and prioritize highimpact features and capabilities based on customer needs, seller workflows, and business objectives at global scale.
* Establish rigorous AI evaluation frameworks, success metrics, and continuous improvement loops to ensure highquality model behavior and measurable business outcomes.
* Drive rapid prototyping and experimentation using codegeneration frameworks and modern AI development tools to validate concepts and accelerate innovation.
* Synthesize insights across customer feedback, telemetry, research, and competitive trends to inform product decisions and shape longterm strategy.
* Champion Responsible AI principles, ensuring privacy, safety, and compliance standards are embedded across the entire product lifecycle.
* Communicate strategy, progress, and insights to executive stakeholders, providing clear narratives and datadriven recommendations.
* Influence crossorg partners across Microsoft to align on technology stack, strategy, platform architecture, and GTM execution.
**Qualifications** **Required Qualifications:**
* Bachelor's Degree AND 8\+ years experience in product/service/program management or software development
	+ OR equivalent experience.
 **Preferred Qualifications:**
* 10\+ years of product management experience, including 2\+ years driving AI or machine learning products.
* Own and articulate the long term product vision and multiyear roadmap for AI Sales Agents that empower sellers across prospecting, qualification, opportunity management, and customer success.
* Lead strategy and execution across engineering, design, data science, field sales, and marketing, ensuring clarity of goals and a shared definition of success.
* Define and prioritize high impact features and capabilities based on customer needs, seller workflows, and business objectives at global scale.
* Establish rigorous AI evaluation frameworks, success metrics, and continuous improvement loops to ensure high\-quality model behavior and measurable business outcomes.
* Drive rapid prototyping and experimentation using code generation frameworks and modern AI development tools to validate concepts and accelerate innovation.
* Synthesize insights across customer feedback, telemetry, research, and competitive trends to inform product decisions and shape long\-term strategy.
* Champion Responsible AI principles, ensuring privacy, safety, and compliance standards are embedded across the entire product lifecycle.
* Communicate strategy, progress, and insights to executive stakeholders, providing clear narratives and data driven recommendations.
* Influence cross org partners across Microsoft to align on technology stack, strategy, platform architecture, and GTM execution.
* 8\+ years of product management experience, including 2\+ years driving AI or machine learning products.
* Proven ability to define AI evaluation methodologies, quality benchmarks, and production ready success criteria.
* Demonstrated experience building prototypes using AI code generation or modern AI development frameworks.
* Exceptional analytical, problem solving, and organizational skills.
* Strong collaboration skills with experience leading cross functional teams in agile environments.
* Track record of shipping complex, customer facing AI or enterprise products at scale.
* Familiarity with responsible AI standards, privacy requirements, and enterprise compliance frameworks.
\#BICJOBS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5">
      <c r="A85" t="inlineStr">
        <is>
          <t>in-faec14c43784b714</t>
        </is>
      </c>
      <c r="B85" t="inlineStr">
        <is>
          <t>GDA Senior Program Manager</t>
        </is>
      </c>
      <c r="C85" t="inlineStr">
        <is>
          <t>Lockheed Martin</t>
        </is>
      </c>
      <c r="D85" t="inlineStr">
        <is>
          <t>indeed</t>
        </is>
      </c>
      <c r="E85" t="inlineStr"/>
      <c r="F85" t="inlineStr"/>
      <c r="G85" t="inlineStr">
        <is>
          <t>King of Prussia, PA, US</t>
        </is>
      </c>
      <c r="H85" s="2" t="n">
        <v>45979</v>
      </c>
      <c r="I85" t="inlineStr">
        <is>
          <t>**Job ID:** 708516BR
**Date posted:** Nov. 19, 2025  
**Description:****WHAT WE'RE DOING**  
At Lockheed Martin Rotary and Mission Systems (RMS), we are driven by innovation and integrity. We believe that by applying the highest standards of business ethics and visionary thinking, everything is within our reach \- and yours \- as a Lockheed Martin employee. Lockheed Martin values your skills, training and education. Come and experience your future with us.  
**THE WORK**  
As the Golden Dome for America Missile Defense Program Manager, under the Missile Defense and Space Surveillance Sub\-market segment, you will support capture efforts and lead execution efforts through all phases of the program's lifecycle.. Interfacing with both internal and external customers, you will shape and win new business through a balanced focus on customer value, the competitive environment, and the corporation's best interests. You will work closely with cross\-functional teams to execute the work to meet program level orders, sales, EBIT and cash objectives.
Specific job requirements include but are not limited to:  
* Leading a cross\-functional team
* Meeting all program\-level orders, sales, profit, and cash commitments
* Driving technical quality, schedule, and cost performance
* Supporting proposal development, INAR, EPP, and contract negotiations
* Reporting status, risks, and issues accurately and promptly to senior leadership
* Identifying and managing program risks and implementing corrective actions
* Communicating effectively with executives, customers, and suppliers
* Balancing multiple priorities in a dynamic environment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**WHO YOU ARE**  
You foster effective missions and programs. You are performance driven and have experience with Earned Value Management. You are passionate about results and able to interface with multiple team members while facilitating weekly schedule updates, and delegate changes as needed.  
**WHY JOIN US**  
"As an employee at Lockheed Martin, your health and wellbeing are paramount.  
From medical insurance, to legal help and tuition reimbursement, we provide benefits to improve your life. Come check out all of the amazing benefits Lockheed Martin has to offer.  
Learn more about Lockheed Martin's Comprehensive benefits package here! "  
\#RMSPM  
**Basic Qualifications:**  
* Experience in Program Management
* Experience with the Missile Defense Agency (MDA)
* Understanding of the Scalable S\-Band Radar Product Line
* Works well with all levels of the organization, up to and including senior executives
* Experience leading teams and ability to influence individuals and teams
* Ability and willingness to travel as needed
**Desired Skills:**  
Team player and team builder  
Self\-starter; successful multi\-tasker; highly organized, who drives projects to completion  
Comfortable working in a dynamic environment with competing/shifting priorities  
Excellent communications (verbal and written) and interpersonal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$151,200 \- $266,570\.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$173,900 \- $301,415\.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86">
      <c r="A86" t="inlineStr">
        <is>
          <t>in-6cd9c5b98e728d8a</t>
        </is>
      </c>
      <c r="B86" t="inlineStr">
        <is>
          <t>Vice President, Product Owner - Open Banking</t>
        </is>
      </c>
      <c r="C86" t="inlineStr">
        <is>
          <t>JPMorganChase</t>
        </is>
      </c>
      <c r="D86" t="inlineStr">
        <is>
          <t>indeed</t>
        </is>
      </c>
      <c r="E86" t="inlineStr"/>
      <c r="F86" t="inlineStr"/>
      <c r="G86" t="inlineStr">
        <is>
          <t>New York, NY, US</t>
        </is>
      </c>
      <c r="H86" s="2" t="n">
        <v>46048</v>
      </c>
      <c r="I86" t="inlineStr">
        <is>
          <t>**JOB DESCRIPTION**  
We are seeking an Open Banking Product Owner to champion the advancement of innovative solutions. The ideal candidate is a highly motivated, innovative self\-starter with a passion for delivering exceptional customer experiences and driving enterprise\-level product objectives. If you thrive in building new technology from the ground up and are obsessed with customer experience, we want to hear from you.
As a Vice President, Product Owner within Open Banking, you will be responsible for owning significant new platform features to enable real\-time sharing of customer information across the enterprise. You will be expected to be a strong and credible voice in driving Chase’s product agenda to equip our partners and stakeholders with the knowledge and insight they need to drive the outcomes they are accountable for. You will collaborate across multiple products within and outside the CX \&amp; Personalization team. You will be working closely with engineers, architects, data scientists, other product owners, and business leaders.
**Job Responsibilities**
* **Own core features and component development** – Craft the product roadmap for key elements of the Import Aggregation Platform and drive these features from discovery through launch
* **Manage key relationships –** Work with engineering, architecture, and a diverse set of product teams across the enterprise to understand their needs and drive results
* **Communicate effectively and frequently –** Be vocal. Share strategy, roadmap, progress and insights broadly and systematically. Craft the ideal narrative and cadence for different partner and stakeholder audiences
* **Lead people/Be a center for knowledge –** The ideal candidate has deep curiosity about the digital product experience space and a desire to connect that curiosity and knowledge to the teams that can effect change.
* **Be a Technical \&amp; Customer Problem Solver –** Ask questions and define the problem and where our platform sits in the Chase ecosystem. Understand the technologies and approaches in use and those we should be using to drive our objectives for these technical products
**Required qualifications, capabilities, and skills**
* 5\+ years of experience as a product owner, with experience managing technical platforms
* Customer\-focused with a track record of delivery of delightful Customer experiences
* Ability to build and maintain strong, productive relationships with engineers and technical partners, and an ability to translate customer needs into clear technical requirements
* Strong team player who can inspire action and build credibility across the enterprise
* Ability to translate disparate insights and data sources into clear, measurable, scalable features and deliverables.
* Excellent written and verbal communication skills. Ability to present facts, thoughts and ideas in a clear, concise and convincing manner to stakeholders and partners
* Excellent problem\-solving skills; ability to resolve issues and influence agreement across all steps in a project lifecycle
* Demonstrated ability to drive change through influence and collaboration across a matrix organization in a highly dynamic environment. Strong partnership, consulting, and influence skills
* Minimum BA/BS degree required or relevant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87">
      <c r="A87" t="inlineStr">
        <is>
          <t>in-509a4e607ed25b92</t>
        </is>
      </c>
      <c r="B87" t="inlineStr">
        <is>
          <t>Program Manager, Honolulu Defense Forum</t>
        </is>
      </c>
      <c r="C87" t="inlineStr">
        <is>
          <t>Pacific Forum International</t>
        </is>
      </c>
      <c r="D87" t="inlineStr">
        <is>
          <t>indeed</t>
        </is>
      </c>
      <c r="E87">
        <f>HYPERLINK("https://www.indeed.com/viewjob?jk=509a4e607ed25b92", "https://www.indeed.com/viewjob?jk=509a4e607ed25b92")</f>
        <v/>
      </c>
      <c r="F87">
        <f>HYPERLINK("http://www.indeed.com/job/program-manager-honolulu-defense-forum-509a4e607ed25b92", "http://www.indeed.com/job/program-manager-honolulu-defense-forum-509a4e607ed25b92")</f>
        <v/>
      </c>
      <c r="G87" t="inlineStr">
        <is>
          <t>Honolulu, HI, US</t>
        </is>
      </c>
      <c r="H87" s="3" t="n">
        <v>46049</v>
      </c>
      <c r="I87" t="inlineStr">
        <is>
          <t>**Pacific Forum International (PFI), a 501(c)(3\) non\-profit policy research institute based in Honolulu, Hawaiʻi, is recruiting a Program Manager** whose primary responsibility will be the planning, coordination, and execution of the Honolulu Defense Forum (HDF), an annual premier international defense conference. HDF brings together elements of the U.S. Government, defense and technology industry leaders, and allies and partners to connect urgent military readiness needs with concrete capabilities, delivering specific recommendations to close critical Indo\-Pacific defense and security gaps. The position will also require support to Pacific Forum’s events and local initiatives that advance dialogue on Indo\-Pacific security and foreign policy issues.
This in\-office position requires strong organizational skills, attention to detail, sound judgment, and the ability to manage complex logistics and senior level communications. The ideal candidate is a detail\-oriented self\-starter who can manage multiple programming timelines, communicate professionally with stakeholders, and execute programs to a high standard. The program manager would work in conjunction with Pacific Forum leadership.
**Job Description:**
The Program Manager will manage the logistical and administrative aspects of Pacific Forum’s Honolulu Defense Forum conference.
* Plan and implement the full cycle of programming for the Honolulu Defense Forum, including securing facilities, scheduling engagements and arranging logistics (flights, accommodations, and ground transportation), reaching out to speakers and coordinating the agenda and program with stakeholders, and liaising with project funders on contracting, funds, and other logistics
* Serve as the primary point of contact for planning logistics and programming in conjunction with Pacific Forum leadership
* Liaise with U.S. and foreign government offices, military commands, embassies, and senior officials, ensuring professional protocol and adherence to institutional requirements
* Manage and optimize event systems and tools, including registration platforms, participant databases, and internal tracking and reporting documents; demonstrated ability to quickly learn and adapt to new systems
* Coordinate closely with stakeholders to ensure programs meet project objectives and timelines.
* Prepare and compile agendas, conference prep materials (including pre\-conference materials/slides and follow\-on reports), participant packets, and other program documentation
* Track program budgets, process payments and reimbursements, and ensure compliance with funding and reporting requirements
In support of Pacific Forum’s broader mission, the Program Manager may also assist with events and local initiatives.
* Support planning and execution of conferences, roundtables, and workshops (in\-person and virtual)
* Manage event invitation lists and liaise professionally with speakers and participants
* Manage relationships with third\-party vendors such as hotels, transportation providers, and event venues
* Assist with on\-site event logistics and materials preparation (travel may be required)
* Support locally\-based programming and institutional initiatives as needed
**Minimum qualifications:**
* Bachelor’s degree
* Experience with program and event management
* Proficiency with Microsoft Office and Adobe applications
* Ability to manage complex program budgets, reconcile expenses, and assist in processing payments/reimbursements
* Strong communication skills including speaking, writing, and editing
* Demonstrated ability to manage numerous projects concurrently, produce results under deadline, adapt to changing requirements, and work as part of a team
* Punctuality, professionalism, and a positive attitude
* Valid passport and willingness to travel
* Authorization to work in the United States
**Preferred qualifications:**
* Familiarity with website management platforms (WordPress)
* Familiarity with email distribution platforms (Mailchimp)
* Familiarity with event management platforms (Swoogo)
* Familiarity with database software (Salesforce)
* Background or interest in the Indo\-Pacific, defense and security policy, political science, international relations, regional studies, economics, business, or a related field
**Work Schedule**
* Full\-time, in\-person role
* Monday–Friday, 9:00 AM–5:00 PM
* Occasional evenings or weekends as required
**Compensation \&amp; Benefits**
* Salary range: **$60,000–$70,000**, depending on experience
* Medical, Dental, Vision
* 401(k) Retirement Plan
* Paid vacation and sick leave
* Parking provided
**Applications should include:**
* Cover letter explaining your interest and how the role aligns with your professional goals
* Resume
* Two professional references with contact information
*The Pacific Forum is proud to be an equal opportunity workplace. We are committed to equal employment opportunities regardless of race, color, ancestry, religion, gender identity, national origin, sexual orientation, age, citizenship, marital status, disability or veteran status. If you have a disability or special need that requires accommodation, please let us know.*
Please apply by **February 12, 2026**.
Pay: $60,000\.00 \- $70,000\.00 per year
Benefits:
* 401(k)
* Dental insurance
* Health insurance
* Paid time off
* Vision insurance
Work Location: In person</t>
        </is>
      </c>
    </row>
    <row r="88">
      <c r="A88" t="inlineStr">
        <is>
          <t>in-489a080ff9eaf4c4</t>
        </is>
      </c>
      <c r="B88" t="inlineStr">
        <is>
          <t>Sterile Processing &amp; OR Installations Program Manager</t>
        </is>
      </c>
      <c r="C88" t="inlineStr"/>
      <c r="D88" t="inlineStr">
        <is>
          <t>indeed</t>
        </is>
      </c>
      <c r="E88">
        <f>HYPERLINK("https://www.indeed.com/viewjob?jk=489a080ff9eaf4c4", "https://www.indeed.com/viewjob?jk=489a080ff9eaf4c4")</f>
        <v/>
      </c>
      <c r="F88">
        <f>HYPERLINK("https://100hires.com/j/hGBtGfH", "https://100hires.com/j/hGBtGfH")</f>
        <v/>
      </c>
      <c r="G88" t="inlineStr">
        <is>
          <t>Roanoke, VA, US</t>
        </is>
      </c>
      <c r="H88" s="3" t="n">
        <v>46049</v>
      </c>
      <c r="I88" t="inlineStr">
        <is>
          <t>**Lead complex healthcare equipment installations that keep patients safe**
===========================================================================
As the Installations Program Manager, you’ll own end\-to\-end delivery of capital equipment deployments for STERIS across Sterile Processing Departments and Surgical/Procedural environments within an assigned territory. You’ll guide a tight\-knit team (typically 3–4 installers, with 2–5 total direct reports) and subcontractors, steering schedules, budgets, training, and quality while representing STERIS in day\-to\-day site decisions.
**A day in the life**
---------------------
* **Morning:** Walk the job site, align with general contractors and trade partners, and lead progress/coordination meetings. Verify scope, safety, sequencing, and code requirements.
* **Midday:** Brief installers and subcontractors with clear work instructions; ensure product training and readiness. Anticipate risks and act early to keep work flowing.
* **Afternoon:** Validate customer expectations are being met. Review out\-of\-scope items and negotiate value\-added change orders that improve outcomes.
* **Late day:** Update cost allocations and project status in financial reporting systems. Communicate physical and financial progress to management.
**What you'll lead**
--------------------
* Plan, organize, direct, and control installation and subcontracting costs to deliver projects on time and on budget.
* Provide detailed scopes of work, confirm understanding of expectations, and ensure product training is available and completed.
* Proactively identify and resolve issues to protect schedule, quality, and safety.
* Coordinate equipment start\-up with the Field Service Representative and District Service Manager; notify the Sales Representative when equipment is ready for customer in\-service training.
* Complete job closeout documentation and ensure a smooth transition to service.
* Build strong relationships with customers, consultants, prime contractors, subcontractors, and trade personnel.
* Develop working relationships with federal, state, and local code officials to clarify installation requirements; hold licenses as needed.
**What you bring**
------------------
* Associate’s degree in Engineering, Construction Management, or related field and 4\+ years of related project management experience; or 8\+ years of relevant project management experience in lieu of a degree.
* Experience managing direct reports in both corporate and remote/job\-site settings.
* Outstanding problem\-solving and analytical abilities; convert data into decisions and recommendations.
* Proven project delivery discipline with on\-time results.
* Exceptional interpersonal communication, stakeholder management, negotiation, and influence—up to executive hospital leadership.
* Financial acumen to develop, analyze, and explain project financials.
* Comfort operating in fast\-moving, fluid conditions; collaborative, creative, and strategic mindset.
* Proficiency with Microsoft applications, project management tools, internet/intranet, and business reporting platforms.
* Ability to meet hospital/customer credentialing requirements.
**Preferred**
-------------
* STERIS field experience.
* Background in construction environments and/or healthcare protocols.
* Familiarity with Sterile Processing Departments (SPDs) or Medical/Audio Visual (AV) capital equipment.
* Experience with STERIS tools (e.g., Siebel, Sales Connection).
* Process improvement exposure (Lean or Six Sigma).
**Compensation \&amp; benefits**
----------------------------
Compensation range: **$90,737\.50–$117,425\.00**. This role is eligible for bonus participation.
Minimum pay rates offered will comply with county/city minimums when higher than the range listed. Individual pay is based on several factors such as local labor market costs, relevant experience, education, certifications, and language skills.
STERIS provides a comprehensive, competitive benefits portfolio. Click here for a complete list of benefits: STERIS Benefits.
Open until position is filled.</t>
        </is>
      </c>
    </row>
    <row r="89">
      <c r="A89" t="inlineStr">
        <is>
          <t>in-1aa62a194cbbb1b2</t>
        </is>
      </c>
      <c r="B89" t="inlineStr">
        <is>
          <t>Product Owner I</t>
        </is>
      </c>
      <c r="C89" t="inlineStr">
        <is>
          <t>Bamboo Health</t>
        </is>
      </c>
      <c r="D89" t="inlineStr">
        <is>
          <t>indeed</t>
        </is>
      </c>
      <c r="E89">
        <f>HYPERLINK("https://www.indeed.com/viewjob?jk=1aa62a194cbbb1b2", "https://www.indeed.com/viewjob?jk=1aa62a194cbbb1b2")</f>
        <v/>
      </c>
      <c r="F89">
        <f>HYPERLINK("https://ats.rippling.com/bamboo-health-careers/jobs/8cb58cbc-3f02-4526-bca6-434e150e3bfd?jobSite=Indeed", "https://ats.rippling.com/bamboo-health-careers/jobs/8cb58cbc-3f02-4526-bca6-434e150e3bfd?jobSite=Indeed")</f>
        <v/>
      </c>
      <c r="G89" t="inlineStr">
        <is>
          <t>Remote, US</t>
        </is>
      </c>
      <c r="H89" s="3" t="n">
        <v>46049</v>
      </c>
      <c r="I89"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As a Product Owner, you will be working closely with the product, engineering, and account management teams to support the development and maintenance of a pharmacy data clearinghouse. You will work with an agile product development team as a product owner, with particular focus on data ingestion and analytics support. You will collaborate with the engineering team to prepare work and schedule sprints. We’re looking for a data\-focused high potential contributor who is excited to learn and gain experience in all aspects of product ownership.
 **What You’ll Do:**
* Learn from senior team members and gain experience in all aspects of product ownership, contributing to the team's success by providing insights and assistance as needed.
* Collaborate with cross\-functional teams to define product requirements and features related to data ingestion, storage, and analytics.
* Own the Jira board by refining work into stories with clear acceptance criteria, planning sprints, prioritizing tickets, and grooming the backlog.
* Ensure that work is scheduled effectively and that new features, enhancements, and bug fixes are delivered on time.
* Work closely with engineers and analysts to ensure that data is properly ingested, transformed, and stored in accordance with business needs and requirements.
* Communicate product status, progress, and upcoming releases to stakeholders, executives, and customers.
* Create and maintain product documentation, including user guides and release notes.
* Monitor key product metrics and analytics to identify areas of improvement and make data\-driven decisions.
* Explore opportunities to enhance workflows through AI or automation tools (e.g., document summarization, task routing, or data parsing).
* Identify repetitive tasks and partner with team leads to implement scalable automation solutions.
 **What Success Looks Like…**
**In 3 months…**
* You are beginning to master Bamboo Health’s product development processes and tools, while building skill in triaging work and making tradeoffs during daily standups to balance competing needs.
* You are taking increasing ownership of defining, documenting, and prioritizing requirements for upcoming releases, including creating clear internal communications such as release notes, user manuals, and feature descriptions.
* You are stepping into greater responsibility for near‑term outcomes, guiding the team on daily deliverables and collaborating closely with your agile team, stakeholders, and end users to deliver effectively against the product roadmap.
* Begin incorporating AI\-supported tools into your day\-to\-day work—whether through analysis, documentation, or task management.
 **In 6 months…**
* You are working closely with your product manager and team to create a metrics and instrumentation framework to identify opportunities to unblock growth.
* You manage end to end feature development from requirements definition through customer launch.
* You own and maintain the internal short\-term roadmap and are beginning to plan and provide direction on the internal medium to long\-term roadmap for your area of ownership.
 **In 12 months…**
* You are a critical stakeholder to internal teams on the medium to long\-term direction of product work and upcoming feature releases.
* You are a contributor to the long\-term roadmap that connects to Bamboo Health’s KPIs (Key Performance Indicators) and success metrics, as well as key customer problem themes for the following year.
**What You Need:**
* 2\+ years of experience working as a product owner with data\-related technologies or in a data engineering organization.
* You have a strong desire and willingness to learn product management and product development concepts, methodologies, and best practices.
* You are familiar with data visualization and reporting tools such as Tableau, Power BI, or similar.
* You are familiar with SQL, Python, or similar programming languages.
* You understand data ingestion, storage, and analytics concepts and technologies.
* You have experience driving projects from start\-to\-finish, with a predictable cadence and involving multiple stakeholders from diverse disciplines.
* You possess excellent communication and interpersonal skills.
* Comfort using or learning AI\-supported tools (e.g., ChatGPT, CoPilot, or role\-specific tools) to improve daily workflows.
* A forward\-thinking, curious mindset with an openness to experimenting with new technologies.
* Strong analytical and problem\-solving skills, with sound judgment and creativity in designing solutions.
* Proven ability to thrive in fast\-paced, high\-growth, and rapidly evolving environments.
* Ability to work effectively in a remote\-first environment, ensuring high\-quality virtual interactions with minimal distractions.
* The ability to travel periodically for work.
 **What You Get:**
* Join one of the most innovative healthcare technology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
 *\#LI\-Remote*</t>
        </is>
      </c>
    </row>
    <row r="90">
      <c r="A90" t="inlineStr">
        <is>
          <t>in-597ea4318bd676fb</t>
        </is>
      </c>
      <c r="B90" t="inlineStr">
        <is>
          <t>EXECUTIVE DIRECTOR ((Program Manager I))</t>
        </is>
      </c>
      <c r="C90" t="inlineStr"/>
      <c r="D90" t="inlineStr">
        <is>
          <t>indeed</t>
        </is>
      </c>
      <c r="E90">
        <f>HYPERLINK("https://www.indeed.com/viewjob?jk=597ea4318bd676fb", "https://www.indeed.com/viewjob?jk=597ea4318bd676fb")</f>
        <v/>
      </c>
      <c r="F90">
        <f>HYPERLINK("https://www.jobapscloud.com/MD/sup/bulpreview.asp?b=&amp;R1=26&amp;R2=005476&amp;R3=0006", "https://www.jobapscloud.com/MD/sup/bulpreview.asp?b=&amp;R1=26&amp;R2=005476&amp;R3=0006")</f>
        <v/>
      </c>
      <c r="G90" t="inlineStr">
        <is>
          <t>Baltimore, MD, US</t>
        </is>
      </c>
      <c r="H90" s="3" t="n">
        <v>46048</v>
      </c>
      <c r="I90" t="inlineStr">
        <is>
          <t>**GRADE**
---------
19
**LOCATION OF POSITION**
------------------------
MDH, Board for the Certification of Residential Child Care Program Professionals
4201 Patterson Avenue
Baltimore MD 21215
**Main Purpose of Job**
-----------------------
This is a part\-time (70%) executive level management position that reports directly to the Board for the Certification of Residential Child Care Program Professionals to administer the statutory mandates of the Board. This position requires extensive knowledge of management, budget, compliance, and planning as well as a high level of analytical skill.  
The principal duty of this position is to direct a staff of two (2\) individuals to develop, evaluate and implement the administrative procedures to ensure that the Board fulfills its mandated responsibilities. The Board's statutory responsibilities include licensure, disciplinary, legislative, regulatory, public information, fiscal, and general administrative functions.
**MINIMUM QUALIFICATIONS**
--------------------------
Qualified candidate must possess a bachelor’s degree from an accredited college or university and six years of administrative or professional experience, three of which must have been at a supervisory or management level.  
A master’s degree will substitute for one year of general experience. Additional experience will substitute on a year\-for\-year basis for the bachelor’s degree. A doctorate will substitute for two years of general experience.
**DESIRED OR PREFERRED QUALIFICATIONS**
---------------------------------------
The desired candidate should possess executive\-level managerial experience and experience leading staff in the development, evaluation and implementation of administrative procedures. The desired candidate should also possess a working knowledge of residential child care.
**SELECTION PROCESS**
---------------------
This is a Management Service position and serves at the pleasure of the Appointing Authority. A resume is required and must be uploaded to your application.
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
Complete applications must be submitted by the closing date. Information submitted after this date will not be added. Incorrect application forms will not be accepted.
Candidates may remain on the certified eligible list for a period of at least one year. The resulting certified eligible list for this recruitment may be used for similar positions in this or other State agencies.
**BENEFITS**
------------
**STATE OF MARYLAND BENEFITS**
**FURTHER INSTRUCTIONS**
------------------------
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
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
For questions regarding this recruitment, please contact the MDH Recruitment and Selection Division at 410\-767\-1251\.
If you are having difficulty with your user account or have general questions about the online application system, please contact the MD Department of Budget and Management, Recruitment and Examination Division at 410\-767\-4850 or Application.Help@maryland.gov.
Appropriate accommodations for individuals with disabilities are available upon request by calling: 410\-767\-1251 or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row>
    <row r="91">
      <c r="A91" t="inlineStr">
        <is>
          <t>in-b27063f108f5733d</t>
        </is>
      </c>
      <c r="B91" t="inlineStr">
        <is>
          <t>Sr. Subcontract Program Manager</t>
        </is>
      </c>
      <c r="C91" t="inlineStr">
        <is>
          <t>BAE Systems USA</t>
        </is>
      </c>
      <c r="D91" t="inlineStr">
        <is>
          <t>indeed</t>
        </is>
      </c>
      <c r="E91">
        <f>HYPERLINK("https://www.indeed.com/viewjob?jk=b27063f108f5733d", "https://www.indeed.com/viewjob?jk=b27063f108f5733d")</f>
        <v/>
      </c>
      <c r="F91">
        <f>HYPERLINK("https://jobs.baesystems.com/global/en/job/120403BR", "https://jobs.baesystems.com/global/en/job/120403BR")</f>
        <v/>
      </c>
      <c r="G91" t="inlineStr">
        <is>
          <t>Hudson, NH, US</t>
        </is>
      </c>
      <c r="H91" s="3" t="n">
        <v>46048</v>
      </c>
      <c r="I91"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the Countermeasure \&amp; Electromagnetic Attack Solutions (CEMA) business area we develop next\-generation threat detection, countermeasure, and attack solutions to provide customers with full\-spectrum electronic warfare capabilities to enhance mission survivability. Within this setting,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The Sr. Subcontract Program Manager (SPM) is a leadership role within the Supply Chain function, reporting directly to the Electronic Attack Solutions (EAS) Supply Chain Director. The successful candidate will be responsible for the management of a large complex subcontractor relationship that cuts across multiple program areas within the EAS Product Line. This is a highly visible role within the EAS Supply Chain Team, and the successful candidate will be responsible for the management of at least 1 direct report. This role operates as an extension of the program manager and is responsible for managing subcontract performance (cost, schedule, quality \&amp; technical) with support from a cross\-functional integrated product team (IPT).  
In this role you will:* Manage the execution of subcontracts for materials, equipment, supplies and services of a highly\-specialized and complex nature through all phases of the program lifecycle.
* Evaluate, negotiate, and manage assigned subcontracts to perform to each project’s specifications, quality, budget, schedule and earned value requirements to include the timely delivery of all deliverables required to fulfill the subcontract.
* Author, manage and influence critical path releases of Statements of Works (SOWs) and plans to align with required schedules and subcontractor lead times
* Deliver quality customer service to both internal and external customers and foster and maintain good supplier relationships, while driving a Zero Defect mindset with suppliers.
* Participate in the support of new business and in the development of financial plans for the company, as it pertains to the planned outsourced portion of the project(s).
Who you are:* Consistently demonstrate strong critical thinking and problem\-solving skills.
* Able to work independently, as well as manage dynamic cross\-functional program teams on all subcontract related issues.
* Must be able to assess, prioritize, drive issues to closure and be assertive when required.
* Exercises discretion and independent judgment in the performance of duties.
* Exhibits best practice work habits and collaborates with other subcontract team members to promote operational excellence and completeness.
* Models and demonstrates strong leadership in ethics, safety, corporate responsibility, and security.
**Required Education, Experience, \&amp; Skills**  
* Ability to travel approximately 10% of the time
* Bachelor’s degree in a related field of study
* Experience in Subcontract Management, Project Management or Program Management
* Strong demonstrated negotiation skills and strategies
* Experience in new business capture to include proposals
* Experience developing long\-term strategies and tactical plans to achieve enterprise objectives.
* Successful, proven record of leading and managing multi\-discipline project teams
* Strong interpersonal skills with a focus on relationship building, leading through influence, and the ability to effectively communicate (verbally and in writing) at all levels
* Ability to develop plans specifying goals, staffing, scheduling, identification of risks, contingency plans, and allocation of available resources
* Experience with scope management and cost estimating, including estimate to complete/estimate at completion (ETC/EAC) processes.
* Ability to communicate with senior management regarding subcontract performance status (cost / schedule / resources / risk) as well as performance to financial objectives
* Experience communicating externally either with customers or suppliers
* Strong technical and business acumen
* Control Account Management (CAM) experience (at minimum, CAM trained)
**Preferred Education, Experience, \&amp; Skills**  
* Bachelor’s degree in Supply Chain Management, Engineering or Operations
* Master’s Degree in Engineering and/or Business Administration
* Prior experience as a project manager
* Experience leading cross\-functional teams Integrated Product Teams (IPTs)
* Program Management Institute’s (PMI) Program Management Professional (PMP) certification
* Demonstrated Risk Management experience
* Experience with information systems such as Oracle
* Knowledge of acquisition policies and procedures with associated knowledge of Federal Acquisition Regulations (FAR) and Defense Federal Acquisition Regulations (DFAR)
* Significant experience managing the development and compliance of requirements (SOWs, specifications, contractual terms, etc.)
* Strong organizational skills to handle many overlapping projects simultaneously
**Pay Information**  
Full\-Time Salary Range: $149603 \- $254317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92">
      <c r="A92" t="inlineStr">
        <is>
          <t>in-9ced51f3e1b39fbc</t>
        </is>
      </c>
      <c r="B92" t="inlineStr">
        <is>
          <t>TVC - Homeless Veteran Program Manager (Program Specialist V)</t>
        </is>
      </c>
      <c r="C92" t="inlineStr">
        <is>
          <t>Texas Comptroller of Public Accounts</t>
        </is>
      </c>
      <c r="D92" t="inlineStr">
        <is>
          <t>indeed</t>
        </is>
      </c>
      <c r="E92">
        <f>HYPERLINK("https://www.indeed.com/viewjob?jk=9ced51f3e1b39fbc", "https://www.indeed.com/viewjob?jk=9ced51f3e1b39fbc")</f>
        <v/>
      </c>
      <c r="F92">
        <f>HYPERLINK("https://capps.taleo.net/careersection/ex/jobdetail.ftl?job=00055725&amp;tz=GMT-06%3A00&amp;tzname=America%2FChicago", "https://capps.taleo.net/careersection/ex/jobdetail.ftl?job=00055725&amp;tz=GMT-06%3A00&amp;tzname=America%2FChicago")</f>
        <v/>
      </c>
      <c r="G92" t="inlineStr">
        <is>
          <t>Austin, TX, US</t>
        </is>
      </c>
      <c r="H92" s="3" t="n">
        <v>46048</v>
      </c>
      <c r="I92" t="inlineStr">
        <is>
          <t>**TVC \- Homeless Veteran Program Manager (Program Specialist V)** **(****00055725****)**
**Organization****:** TEXAS VETERANS COMMISSION
**Primary Location****:** Texas\-Austin
**Work Locations****:** Headquarters Austin 1801 Congress Avenue Suite 14S Austin 78701\-1436  
**Job****:** Business and Financial Operations
**Employee Status****:** Regular
**Schedule****:** Full\-time
**Standard Hours Per Week****:** 40\.00
**Travel****:** Yes, 25 % of the Time
**State Job Code****:** 1574
**Salary Admin Plan****:** B
**Grade****:** 21
**Salary (Pay Basis)****:** 6,891\.00 \- 6,891\.00 (Monthly)
**Number of Openings****:** 1
**Overtime Status****:** Exempt
**Job Posting****:** Jan 27, 2026, 11:50:47 AM
**Closing Date**: Feb 17, 2026, 11:59:00 PM
**Description** **Please Note:** All resumes must contain employment history, education, licenses, skills, and other qualifications applicable to the position.
**To learn more about TVC Employee Benefits, please click on this** **link****.**
**Submitted Through Work in Texas:**
Work in Texas (WIT) applicants must complete the supplemental questions to be considered for the posting. To complete the supplemental questions please go to CAPPS Recruit to register or login and access your profile: CAPPS Recruit
**General Description:** Serves as a key member of the Veterans Mental Health Department, responsible for coordinating and implementing strategies that support the Texas Veterans Commission’s efforts related to Homeless Veterans. This includes developing program strategies and working with agencies involved in homeless prevention and housing resources. The role also involves collaboration with service organizations that support homeless Veterans. This position is essential in organizing and advancing TVC’s Homeless Veterans initiatives and works closely with governmental agencies, local coalitions, and community partners on cross\-agency efforts.
**Essential Duties and Responsibilities:*** Represent the Texas Veterans Commission and Veterans Mental Health Department at conferences, meetings, and public events.
* Coordinate with other TVC programs to connect homeless veterans with eligible services.
* Coordinate with federal, state, and local stakeholders to align accessible resources for veterans in need.
* Collaborate with internal programs within the Veterans Mental Health Department and across other TVC departments.
* Conduct and facilitate training, workshops, and meetings in\-person or virtually.
* Develop and maintain partnerships with individuals, organizations, and community stakeholders.
* Represent the state on national and regional veteran homelessness initiatives, committees, and conferences
* Build and maintain a network of peers and professionals to exchange information and best practices related to veteran services.
* Provide training and technical assistance to service providers and partners on best practices and emerging models. Attend outreach events.
* Perform related duties and special projects as assigned.
**Military Crosswalk information:**
https://hr.sao.texas.gov/Compensation/MilitaryCrosswalk/MOSC\_ProgramManagement.pdf  
**Qualifications** **Minimum Education:**
* A bachelor’s degree in counseling, social work, psychology, sociology or other related field from an accredited institution. **College Transcripts are required and must be provided before an interview can be extended, it is preferred they be attached to the application.**
 **Minimum Experience:**
* 5 years related experience in the job duties listed above.
 **Additional Requirements**:
* A valid Texas Driver’s License must be provided within 90 days of hire.
 **Preferred Experience and Qualification:*** Master’s degree or higher in Counseling, Social Work, Psychology, or a related mental health field.
* Licensure or eligibility for licensure in Texas as an LPC, LCSW, LMFT, or Psychologist.
* Experience working with veterans, service members, and their families.
* Experience working with individuals experiencing homelessness or housing crises.
* Experience working with individuals experiencing mental health concerns.
* Experience building and maintaining partnerships with federal, state, and local stakeholders.
* Military veteran status is strongly preferred.
**Knowledge, Skills, and Abilities:*** Knowledge of programs and services available to Veterans and their families at the federal, state, and local levels.
* Knowledge of current issues impacting individuals experiencing or at risk of homelessness.
* Knowledge of mental health concerns and common barriers to accessing care and resources.
* Knowledge of current issues impacting the veteran community.
* Skill in developing and delivering training related to veteran needs and available resources.
* Ability to research, collect, and analyze data to improve services for veteran households.
* Ability to provide guidance and technical assistance on veteran mental health issues.
* Ability to communicate clearly and effectively, both verbally and in writing.
* Ability to speak confidently in both large and small group settings.
* Ability to work independently and manage time effectively to meet deadlines.
* Ability to collaborate effectively within a team environment.
* Commitment to providing exceptional customer service.
**Environmental \&amp; Physical Conditions:**
Normal office work environment, mostly sedentary in nature. May involve walking; standing; remaining stationary for long periods of time; pulling and pushing; kneeling, stooping, and bending; and safely lifting and carrying items weighing up to 30 pounds. Work involves extensive telephone usage and repetitive hand/wrist/finger motions while using the computer.
**Notes to Applicants:**
***To receive Military Employment preference, a copy of the DD Form 214 (member \#1 not accepted), NA Form 13038, VA Summary Benefits Letter, or a DD form 1300 must be provided before an interview can be extended.***
**College transcripts, licenses, certifications, etc. must be provided before an interview can be extended.** **If this information is not provided prior to the interview, your application may be rejected because it is incomplete. Attaching documents to the application is preferred.**
**If you require any reasonable accommodation for the interview process, please inform the hiring representative who calls to schedule your interview.**
**This position has been designated as a security sensitive position. A criminal background investigation will be conducted on the final candidate for this position.**
**DUE TO THE HIGH VOLUME OF APPLICATIONS, WE DO NOT ACCEPT TELEPHONE CALLS. APPLICANTS SCHEDULED FOR INTERVIEWS WILL BE CONTACTED.**
**Veterans Information: The Texas** **Veterans Commission is committed to hiring Veterans and is proud to employ the highest percentage of Veterans among all state agencies.****A****dditional info may apply via the job posting.**
**AN EQUAL EMPLOYMENT OPPORTUNITY EMPLOYER:**
The Texas Veterans Commission does not discriminate on the basis of person’s color, race, national origin, gender, gender identity/gender expression, sexual orientation, marital status, disability religion, or age in employment or the provision of services.</t>
        </is>
      </c>
    </row>
    <row r="93">
      <c r="A93" t="inlineStr">
        <is>
          <t>in-d4363edf68a30347</t>
        </is>
      </c>
      <c r="B93" t="inlineStr">
        <is>
          <t>PROGRAM MANAGER I</t>
        </is>
      </c>
      <c r="C93" t="inlineStr">
        <is>
          <t>University of Alabama, Birmingham</t>
        </is>
      </c>
      <c r="D93" t="inlineStr">
        <is>
          <t>indeed</t>
        </is>
      </c>
      <c r="E93">
        <f>HYPERLINK("https://www.indeed.com/viewjob?jk=d4363edf68a30347", "https://www.indeed.com/viewjob?jk=d4363edf68a30347")</f>
        <v/>
      </c>
      <c r="F93">
        <f>HYPERLINK("https://uab.taleo.net/careersection/ext/jobdetail.ftl?job=T232868&amp;tz=GMT-06%3A00&amp;tzname=America%2FChicago", "https://uab.taleo.net/careersection/ext/jobdetail.ftl?job=T232868&amp;tz=GMT-06%3A00&amp;tzname=America%2FChicago")</f>
        <v/>
      </c>
      <c r="G93" t="inlineStr">
        <is>
          <t>Birmingham, AL, US</t>
        </is>
      </c>
      <c r="H93" s="3" t="n">
        <v>46048</v>
      </c>
      <c r="I93" t="inlineStr">
        <is>
          <t>**Description**
The Program Manager I position provides administrative, operational, and compliance support for the Medical Scientist Training Program (MSTP), an NIH\-funded dual\-degree MD/PhD program. This position is responsible for ensuring the effective daily functioning of program activities in accordance with university policies, federal guidelines, and MSTP training grant requirements. The Program Manager I supports key components of the trainee lifecycle, including recruitment, admissions processes, academic and research training coordination, trainee data management, and alumni engagement while maintaining accurate documentation and facilitating communication across faculty, trainees, and administrative units. The role contributes to the overall efficiency, compliance, and continuous improvement of the MSTP by coordinating essential program operations, supporting institutional reporting obligations, and assisting program leadership in executing the strategic goals of the training program.
Responsible for administratively managing a University department under the general direction of a functional Program Director or under the auspices of a Program Advising Committee and according to an established program plan. May participate in the development of program objectives and is responsible for achieving objectives within defined parameters set by University and/or department policies and procedures or technical principles. May require fiscal management of grants and other funds. May manage multiple programs. Requires the use of independent judgment to determine the best approach to accomplish objectives established in the program plan. May supervise staff as needed.
 **Duties and Responsibilities:**  
* Manage daily operations of assigned program or department and ensure adherence to university and departmental policies.
* Design and implement a student data tracking system using RedCap software to collect and manage program data for grant compliance, institutional reporting, and strategic program development.
* Build out and maintain MSTP alumni network.
* Coordinate applicant communications and interview scheduling within designated application system
* Assist with applicant engagement and applicant visit planning.
* Process tuition payments and student reimbursements
* Assist with onboarding and data changes for new and current trainees.
* Support student registration and catalog updates
* Assist faculty with appointment process and training logistics.
* Assist with planning and logistics for program\-related events (e.g., student orientations, recruitment days).
* Ensure adherence to university policies and accreditation standards for program activities.
* Prepare routine reports on trainee progress, program metrics, and operational activities for internal stakeholders.
* Maintain accurate records of student files, program documentation, and departmental correspondence.
* Serve as a point of contact between trainees, faculty, and administrative offices to resolve routine issues.
* Perform other duties as assigned
**Salary Range** : $43,890 \- $71,320
**Qualifications**
Bachelor's degree in a related field and two (2\) years of related experience required. **Work experience may NOT substitute for education requirement.**
**Preferred Skills \&amp; Knowledge:**  
* Data management using REDCap and Microsoft Excel, Microsoft Office, Adobe, Zoom, Qualtrics, and UAB Applications (including but not limited to Oracle, OnBase, etc.)
* Strong organizational skills
* Effective written and verbal communication
* Sound judgment and discretion
* Meticulous attention to detail
* The ability to manage multiple priorities, and a professional
* Service\-oriented approach to supporting trainees, faculty, and administrative partners.
* Bachelor's degree in a related field and two (2\) years of related experience required.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University**Job Category****:** Clerical \&amp; Administrative**Organization****:** 312001400 MD/PhD Program**Employee Status****:** Regular**Shift****:** Day/1st Shift**Work Arrangement (final schedule to be determined by the department/hiring manager)****:** Onsite</t>
        </is>
      </c>
    </row>
    <row r="94">
      <c r="A94" t="inlineStr">
        <is>
          <t>in-8b2b4e227bc90267</t>
        </is>
      </c>
      <c r="B94" t="inlineStr">
        <is>
          <t>Revenue Program Manager</t>
        </is>
      </c>
      <c r="C94" t="inlineStr">
        <is>
          <t>NRG Energy</t>
        </is>
      </c>
      <c r="D94" t="inlineStr">
        <is>
          <t>indeed</t>
        </is>
      </c>
      <c r="E94">
        <f>HYPERLINK("https://www.indeed.com/viewjob?jk=8b2b4e227bc90267", "https://www.indeed.com/viewjob?jk=8b2b4e227bc90267")</f>
        <v/>
      </c>
      <c r="F94">
        <f>HYPERLINK("https://career4.successfactors.com/career?company=C0004920031P&amp;career_ns=job_listing&amp;career_job_req_id=43044&amp;source=Indeed", "https://career4.successfactors.com/career?company=C0004920031P&amp;career_ns=job_listing&amp;career_job_req_id=43044&amp;source=Indeed")</f>
        <v/>
      </c>
      <c r="G94" t="inlineStr">
        <is>
          <t>Lehi, UT, US</t>
        </is>
      </c>
      <c r="H94" s="3" t="n">
        <v>46048</v>
      </c>
      <c r="I94"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**Role Summary**
The Revenue Program Manager plays a critical role in ensuring the Field Ops Revenue Program, including the newly created Smart Home Expert (SHX) program runs effectively, scales successfully, and consistently improves performance across Vivint’s nationwide Field organization. This role provides administrative oversight, performance analysis, coaching support to field leaders, and facilitation of weekly program training and onboarding.
This individual is responsible for turning program mechanics into operational reality—ensuring Experts receive the right work, leaders receive the right insights, and the Field organization receive the right training and coaching to improve results week after week.
This is a full\-time (40\+ hour) role with a defined weekly operating cadence and ownership of multiple recurring calls and processes.
**Key Responsibilities**
**1\. SHX Program Administration \&amp; Operational Oversight**
* Conduct daily reviews of Expert schedules to identify work orders that do not align with SHX program rules; coordinate corrections with Scheduling.
* Monitor system tools (sales tools, dashboards, scheduling platforms, etc.) to ensure Experts have proper access and data is accurate.
* Support the recruiting and onboarding pipeline by coordinating with FSMs and Recruiting, maintaining applicant visibility, and ensuring smooth progression into the program.
* Identify and escalate operational discrepancies, gaps, or needs to Scheduling, Technology, Workforce Planning, or Field Ops leadership.
**2\. Performance Monitoring \&amp; Weekly Program Planning**
* Analyze weekly program performance, including production gains, install quality, and behavior metrics.
* Identify markets, Managers, or Experts showing performance gaps and prepare targeted weekly recommendations.
* Provide Managers with actionable insights to improve their weekly plans and coaching strategies.
* Build weekly performance reports or snapshots that align with Managers’ planning cadence.
**3\. Field Service Manager (FSM) Coaching \&amp; Leadership Support**
* Conduct coaching sessions with Managers during their designated Ops/administrative time to help them:
* + Diagnose performance gaps
	+ Build coaching plans to address technical, behavioral, or productivity issues
	+ Strengthen leadership capability in developing Pros and Experts
* Follow up weekly with FSMs to measure improvement and adjust recommendations.
* Serve as a trusted advisor who elevates FSM leadership quality within the SHX program.
**4\. Program Facilitation \&amp; Training Delivery**
Own and deliver several core weekly calls for the program:
* **Tuesday AM – Leadership Training Call (FSMs)**  
Equip FSMs to lead Experts effectively, understand program mechanics, drive performance, and handle questions.
* **Tuesday PM – Recruiting Q\&amp;A for Field Managers**  
Help managers understand the SHX program, the recruiting pipeline, and the expectations for moving Pros into Expert roles.
* **Wednesday – New Expert Program Details Call**  
Support onboarding in weeks 1–3: walkthrough of systems, pay, expectations, lead lists, and performance roadmap.
* **Thursday – Skill\-Development Call (All Experts)**  
Facilitate weekly up\-training for Experts on pitching, installs, sales fundamentals, objection handling, and overall performance readiness.
**5\. Best Practice Identification \&amp; Program Improvement**
* Proactively identify top\-performing Experts, study their methods, and extract learnings.
* Build replicable best\-practice frameworks or processes that can be trained to the entire Expert group.
* Partner with Training \&amp; Development to formalize and scale new program content.
* Introduce improvements to the SHX program based on performance findings, field feedback, and stakeholder input.
**6\. Cross\-Functional Collaboration**
* Participate in monthly reviews with Scheduling, Technology, Workforce Planning, and Field Ops leadership to refine program rules and execution.
* Partner with the official Training organization to develop or refine LMS modules, certification paths, and training materials.
* Serve as the program’s voice in cross\-functional problem solving and long\-term planning.
**7\. Travel and Field Immersion**
This role requires regular travel to field markets to ensure deep understanding of the Smart Home Expert and Pro role and real\-world execution of the program.
Revenue Program Managers are expected to:
* Spend time in the field learning the Smart Home Expert role firsthand, including shadowing installs and other work.
* Be trained to a level of functional proficiency consistent with a Field Pro, enabling them to understand install workflows, sales conversations, system configurations, and field\-level challenges.
* Travel to markets as needed to support onboarding, observe performance, coach leaders, and validate how the program is operating in practice.
* Use field exposure to inform coaching, performance insights, training content, and program improvements.
Travel expectations will vary by business need but should be anticipated as a regular and intentional part of the role, particularly during onboarding and periods of program expansion.
 **Compensation \&amp; Benefits**
Compensation for this role is commensurate with experience and benchmarked to remain competitive in the industry. A comprehensive benefits package, including health, dental, vision, 401(k) with company match, PTO, and employee product perks, is included.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95">
      <c r="A95" t="inlineStr">
        <is>
          <t>in-40788db44523056d</t>
        </is>
      </c>
      <c r="B95" t="inlineStr">
        <is>
          <t>Boarding School, Commercial Product Manager</t>
        </is>
      </c>
      <c r="C95" t="inlineStr">
        <is>
          <t>IMG Academy</t>
        </is>
      </c>
      <c r="D95" t="inlineStr">
        <is>
          <t>indeed</t>
        </is>
      </c>
      <c r="E95">
        <f>HYPERLINK("https://www.indeed.com/viewjob?jk=40788db44523056d", "https://www.indeed.com/viewjob?jk=40788db44523056d")</f>
        <v/>
      </c>
      <c r="F95">
        <f>HYPERLINK("https://jobs.dayforcehcm.com/en-US/imgacademy/IMGAcademyCorporateCareers/jobs/8680", "https://jobs.dayforcehcm.com/en-US/imgacademy/IMGAcademyCorporateCareers/jobs/8680")</f>
        <v/>
      </c>
      <c r="G95" t="inlineStr">
        <is>
          <t>Bradenton, FL, US</t>
        </is>
      </c>
      <c r="H95" s="3" t="n">
        <v>46048</v>
      </c>
      <c r="I95" t="inlineStr">
        <is>
          <t>About IMG Academy
Named one of the Best and Brightest Companies to Work For in the Nation in 2024, IMG Academy is the world's leading sports education brand, providing a holistic education model that empowers student\-athletes to win their future, preparing them for college and for life. IMG Academy provides growth opportunities for all student\-athletes through an innovative suite of on\-campus and online experiences:
* Boarding school and camps, via a state\-of\-the\-art campus in Bradenton, Fla.
* Online coaching via the IMG Academy\+ brand, with a focus on personal development through the lens of sport and performance
* Online college recruiting, via the NCSA brand, providing content, tools, coaching and access to a network of 40,000 college coaches
**Position Summary:**  
The Product Manager\- Boarding School supports the IMG Academy strategic yield management plan and execution to create efficiencies, maximization of yield and inventory allocation based on existing and future product growth.
**Position Responsibilities:**  
* Develop and execute strategic pricing and inventory management plans to maximize revenue across boarding School offerings. This role is responsible for setting price and owning average tuition.
* Work with the sports and enrollment teams to help set financial aid management strategy and then assist in the execution of the strategy over the course of the enrollment cycle.
* Analyze complex data, KPIs regarding pricing, enrollment, utilization, and profitability and growth factors to forecast revenue for boarding school. Report on findings to leadership.
* Collaborate with senior management and business unit management teams for Outreach, Marketing, Athletics, Academics, Events, Operations, Finance, and Accounting to ensure proper execution of strategic tuition management initiatives.
* Create and maintain the pricing life cycle process including analysis, modeling, updating/publishing within sales system, reporting, forecasting and price integrity oversight. Evolve the pricing life cycle to get tuition into the market sooner.
* Responsible for completing competitor analysis and being a leader in understanding the Boarding School marketplace.
* Partner with Athletics, Academics, Student Life, and Operations to set and manage sport\-level boarding school capacities based on demand, facilities constraints, and staffing constraints.
* Adhering to all company policies, procedures and business ethic codes.
* Other duties as assigned.
**Knowledge, Skills and Abilities:**  
* Bachelor’s / Master’s degree in finance, math or related fields.
* 5\+ Years of tuition management experience in education.
* Strong analytical and financial acumen.
* Strong knowledge of Microsoft Excel.
* Experience with CRM systems.
* Highly organized with the ability to juggle multiple projects.
* Strong project management skills.
* Previous experience in multicultural environment.
**Background Requirements:**  
* Requires a background check upon offer
* Requires a drug test upon offer
**Benefits:**  
As a full\-time member of our team, you will enjoy a comprehensive offering listed below. Connect with your talent acquisition specialist to learn more about benefits for our part\-time and seasonal/temporary roles.
* Comprehensive Medical, Dental and Vision
* Flexible Spending Account and Health Savings Account options
* 401k with an Employer Match
* Short Term and Long Term Disability
* Group and Supplemental Life \&amp; AD\&amp;D
* Gym Discount Program
* Pet Insurance
* Wellbeing Program
* and more!
Don’t meet every single requirement? We are dedicated to building a diverse, inclusive, authentic workplace, so if you’re excited about this role but your past experience doesn’t align perfectly with every qualification in the job description, we encourage you to apply anyway. You may be just the right candidate for this or other roles.
**Get to know us better:**  
www.imgacademy.com
www.imgacademy.com/careers
IMG Academy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96">
      <c r="A96" t="inlineStr">
        <is>
          <t>in-d544fd63de6ffda9</t>
        </is>
      </c>
      <c r="B96" t="inlineStr">
        <is>
          <t>Technical Program Manager, In House Cell Engineering New Technologies</t>
        </is>
      </c>
      <c r="C96" t="inlineStr">
        <is>
          <t>Tesla</t>
        </is>
      </c>
      <c r="D96" t="inlineStr">
        <is>
          <t>indeed</t>
        </is>
      </c>
      <c r="E96">
        <f>HYPERLINK("https://www.indeed.com/viewjob?jk=d544fd63de6ffda9", "https://www.indeed.com/viewjob?jk=d544fd63de6ffda9")</f>
        <v/>
      </c>
      <c r="F96">
        <f>HYPERLINK("https://www.tesla.com/careers/search/job/261013?source=Indeed", "https://www.tesla.com/careers/search/job/261013?source=Indeed")</f>
        <v/>
      </c>
      <c r="G96" t="inlineStr">
        <is>
          <t>Fremont, CA, US</t>
        </is>
      </c>
      <c r="H96" s="3" t="n">
        <v>46048</v>
      </c>
      <c r="I96" t="inlineStr">
        <is>
          <t>**What to Expect**
Tesla’s Cell Engineering team is looking for a highly motivated technical program manager to manage new technology development for Tesla’s cell engineering organization. This role serves as the organizer and focal point for different technology initiatives, ensuring teams are coordinated and developing technologies with the right urgency and prioritization.
This role requires deep familiarity with lithium\-ion cell and materials development, a passion for launching new technologies, and an unparalleled ability to pull people together to make things happen. This requires you to be technically curious, detail oriented, and comfortable delivering results in an unstructured environment. You will use your engineering expertise to collaborate across Cell Materials, Cell Design, Cell Modeling, and Manufacturing Engineering organizations. Success in this role requires the ability to work in a demanding and fast\-paced environment.
 **What You'll Do*** Organize cell technology development projects at Tesla and partners
* Collaborate across sites to solve complex materials and cell design issues
* Create, maintain, and communicate project schedules, including key handoff points
* Prepare for and lead executive review meetings
* Facilitate design and troubleshooting conversations within the technical working team
* Track project risks and report effectively on status, blockers, and changes
* Travel to lab and pilot sites to provide on\-site leadership during critical activities/sprints
* Develop and maintain effective communication channels to all stakeholders
* Identify team priorities and motivate the project team
**What You'll Bring*** Degree in Materials Science, Chemical Engineering, or equivalent experience with exposure to chemistry, solid\-state physics, and transport phenomena
* 2\+ years of program management or engineering experience in hardware development
* Direct experience with lithium\-ion battery design, battery materials, and cell development
* Excellent communication skills, both verbal and written
* Works well under pressure, adapts to changes quickly, and manages conflicting priorities
* Ability to work cross\-functionally and lead large teams
* Able and willing to travel to Tesla or vendor sites up to 20% of the time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$96,800 \- $168,000/annual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7">
      <c r="A97" t="inlineStr">
        <is>
          <t>in-1bc96a4d4c8c731c</t>
        </is>
      </c>
      <c r="B97" t="inlineStr">
        <is>
          <t>Sr. Product Manager, Customer Identity</t>
        </is>
      </c>
      <c r="C97" t="inlineStr">
        <is>
          <t>Tesla</t>
        </is>
      </c>
      <c r="D97" t="inlineStr">
        <is>
          <t>indeed</t>
        </is>
      </c>
      <c r="E97">
        <f>HYPERLINK("https://www.indeed.com/viewjob?jk=1bc96a4d4c8c731c", "https://www.indeed.com/viewjob?jk=1bc96a4d4c8c731c")</f>
        <v/>
      </c>
      <c r="F97">
        <f>HYPERLINK("https://www.tesla.com/careers/search/job/261204?source=Indeed", "https://www.tesla.com/careers/search/job/261204?source=Indeed")</f>
        <v/>
      </c>
      <c r="G97" t="inlineStr">
        <is>
          <t>Fremont, CA, US</t>
        </is>
      </c>
      <c r="H97" s="3" t="n">
        <v>46048</v>
      </c>
      <c r="I97" t="inlineStr">
        <is>
          <t>**What to Expect**
Tesla’s mission is to accelerate the world’s transition to sustainable energy by bringing high\-performance electric vehicles and sustainable energy products to market. This mission requires fast paced innovation and execution. At Tesla, we celebrate experimentation and unconventional thinking to find solutions to problems previously thought unsolvable. The Digital Products team is transforming how people purchase automotive and energy products.
Our team is composed of product managers, business analysts, UX designers, and full stack software engineers, working together to create elegant solutions to complex problems.
This Product Manager will focus on delivering highly scalable experiences that focuses on Tesla customer identity and data integrity.
 **What You'll Do*** Understand and lead customer account processes across Tesla platforms for both person and business accounts
* Coordinate with security, legal and authentication teams to build scalable but impactful solutions to improve customer experience in the identity management capacity
* Deliver product vision, strategy, and roadmap to achieve goals
* Work with engineering, UX and business stakeholders to deliver impactful efficiency, while also improving customer experience
* Manage incoming operational escalations, analyze issues, and implement long term solutions through self\-serve tools
* Define and enhance KPIs in conjunction with analytics and stakeholder teams that educate business decision making
* Prioritize between new features, architectural improvements, and operational excellence
**What You'll Bring*** Degree in Engineering or Business, or equivalent in experience
* Experience in Identity management services; experience in Business Identity Management is a plus
* Experience in PII Data Master Management is a plus
* Experience in having shipped customer facing products that delivered business impact
* Strong analytical skills with ability to query data from various systems to solve problems
* Ability to successfully work with cross range of teams including engineering, UX, legal, finance, sales and operations
* Excellent written and verbal communications across technical and non\-technical stakeholders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8">
      <c r="A98" t="inlineStr">
        <is>
          <t>in-003ae37045316d4b</t>
        </is>
      </c>
      <c r="B98" t="inlineStr">
        <is>
          <t>Sr. Product Manager, Computerized Maintenance Management System</t>
        </is>
      </c>
      <c r="C98" t="inlineStr">
        <is>
          <t>Tesla</t>
        </is>
      </c>
      <c r="D98" t="inlineStr">
        <is>
          <t>indeed</t>
        </is>
      </c>
      <c r="E98">
        <f>HYPERLINK("https://www.indeed.com/viewjob?jk=003ae37045316d4b", "https://www.indeed.com/viewjob?jk=003ae37045316d4b")</f>
        <v/>
      </c>
      <c r="F98">
        <f>HYPERLINK("https://www.tesla.com/careers/search/job/261199?source=Indeed", "https://www.tesla.com/careers/search/job/261199?source=Indeed")</f>
        <v/>
      </c>
      <c r="G98" t="inlineStr">
        <is>
          <t>Fremont, CA, US</t>
        </is>
      </c>
      <c r="H98" s="3" t="n">
        <v>46048</v>
      </c>
      <c r="I98" t="inlineStr">
        <is>
          <t>**What to Expect**
Tesla is seeking a Sr. Product Manager for our Computerized Maintenance Management System (CMMS) and Construction Management System. These systems are used to schedule, track, and optimize maintenance activities for equipment, facilities, spare parts, and other assets, helping to reduce downtime and improve efficiency.
In this role, you will manage the product vision and roadmap for these systems, collaborating closely with cross\-functional teams involving Product, Engineering, QA. Maintenance, Construction.
 **What You'll Do*** Define and execute the product vision, strategy, and roadmap to enhance and optimize Tesla’s CMMS and Construction Management Systems
* Lead cross\-functional collaboration with Product, Design, Engineering, QA, and Production Support teams to drive the development and continuous improvement of the systems
* Design and deploy intuitive, user\-centric solutions that simplify complex workflows and leverage automation, AI agents, and LLMs at scale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3 to 5 years of experience in product management, with a focus on manufacturing systems
* Experience with Computerized Maintenance Management Systems (CMMS) and/or Manufacturing Execution Systems (MES)
* Experience implementing AI solutions and LLM is a plus
* Strong analytical skills with the ability to query and interpret data, trends, and algorithms, demonstrating comfort with logic and numbers to support decision\-making
* A proactive mindset, with a bias toward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$294,000/annual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99">
      <c r="A99" t="inlineStr">
        <is>
          <t>in-de65093d2709d5c2</t>
        </is>
      </c>
      <c r="B99" t="inlineStr">
        <is>
          <t>Sr. Product Manager, Location Management</t>
        </is>
      </c>
      <c r="C99" t="inlineStr">
        <is>
          <t>Tesla</t>
        </is>
      </c>
      <c r="D99" t="inlineStr">
        <is>
          <t>indeed</t>
        </is>
      </c>
      <c r="E99">
        <f>HYPERLINK("https://www.indeed.com/viewjob?jk=de65093d2709d5c2", "https://www.indeed.com/viewjob?jk=de65093d2709d5c2")</f>
        <v/>
      </c>
      <c r="F99">
        <f>HYPERLINK("https://www.tesla.com/careers/search/job/261202?source=Indeed", "https://www.tesla.com/careers/search/job/261202?source=Indeed")</f>
        <v/>
      </c>
      <c r="G99" t="inlineStr">
        <is>
          <t>Fremont, CA, US</t>
        </is>
      </c>
      <c r="H99" s="3" t="n">
        <v>46048</v>
      </c>
      <c r="I99" t="inlineStr">
        <is>
          <t>**What to Expect**
As a Product Manager for our Location Management Tool, you will lead efforts to maintain and enhance a critical platform used by vendors and internal users to manage physical location functions. You'll collaborate with cross\-functional teams to gather requirements, prioritize features, and deliver improvements that drive user satisfaction. This role requires balancing technical understanding with business acumen to evolve our product strategically. You'll serve as the voice of the customer while aligning product development with company objectives. Your success will be measured by user adoption, feature utilization, and business impact.  
**What You'll Do*** Develop and maintain a strategic product roadmap for the Location Management Tool
* Gather and prioritize requirements from internal stakeholders and external vendors
* Create detailed user stories, specifications, and acceptance criteria
* Analyze user behavior and product usage data to inform product decisions
* Collaborate with engineering, design, and QA teams throughout the development lifecycle
* Conduct user research to understand pain points and identify improvement opportunities
* Plan and execute product releases in coordination with engineering and operations teams
* Define success metrics and KPIs to measure product performance
* Communicate product updates and value propositions to stakeholders and users
* Identify opportunities for product enhancement based on market trends and business objectives
**What You'll Bring*** 3\+ years of product management experience with software products
* Proven track record of successfully launching and maintaining digital products
* Strong analytical skills with experience in data\-driven decision making
* Excellent communication and presentation abilities
* Experience gathering and documenting product requirements
* Ability to translate business needs into technical requirements
* Knowledge of Agile development methodologies
* Experience with user research and usability testing techniques
* Degree in Business, Computer Science, or related field or equivalent experience
* Familiarity with location\-based services or facility management software preferred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$294,000/annual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00">
      <c r="A100" t="inlineStr">
        <is>
          <t>in-7c4e0809139e3eea</t>
        </is>
      </c>
      <c r="B100" t="inlineStr">
        <is>
          <t>Sr. Product Manager, Vision Automation Platform</t>
        </is>
      </c>
      <c r="C100" t="inlineStr">
        <is>
          <t>Tesla</t>
        </is>
      </c>
      <c r="D100" t="inlineStr">
        <is>
          <t>indeed</t>
        </is>
      </c>
      <c r="E100">
        <f>HYPERLINK("https://www.indeed.com/viewjob?jk=7c4e0809139e3eea", "https://www.indeed.com/viewjob?jk=7c4e0809139e3eea")</f>
        <v/>
      </c>
      <c r="F100">
        <f>HYPERLINK("https://www.tesla.com/careers/search/job/261198?source=Indeed", "https://www.tesla.com/careers/search/job/261198?source=Indeed")</f>
        <v/>
      </c>
      <c r="G100" t="inlineStr">
        <is>
          <t>Fremont, CA, US</t>
        </is>
      </c>
      <c r="H100" s="3" t="n">
        <v>46048</v>
      </c>
      <c r="I100" t="inlineStr">
        <is>
          <t>**What to Expect**
Tesla is seeking a Sr. Product Manager for our Vision Automation Platform. This platform is used to build and deploy computer vision solutions across Tesla’s manufacturing and logistics operations. These vision solutions are used for quality control, logistics tracking, defect detection, safety monitoring, etc.
In this role, you will manage the product vision and roadmap for this platform, collaborating closely with cross\-functional teams involving Product, Engineering, Quality and Logistics teams.
 **What You'll Do*** Define and execute the product vision, strategy, and roadmap to enhance and optimize Tesla’s Vision Automation Platform
* Lead cross\-functional collaboration with Product, Design, Engineering, QA, and Production Support teams to drive the development and continuous improvement of the systems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3 to 5 years of experience in product management, with a focus on vision systems
* Experience developing and implementing computer vision solutions
* Experience implementing AI solutions and VLM is a plus
* Strong analytical skills with the ability to query and interpret data, trends, and algorithms, demonstrating comfort with logic and numbers to support decision\-making
* A proactive mindset, with a bias towards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01">
      <c r="A101" t="inlineStr">
        <is>
          <t>in-09a010a1be0d6a00</t>
        </is>
      </c>
      <c r="B101" t="inlineStr">
        <is>
          <t>Sr. Product Manager, Factory Execution Systems</t>
        </is>
      </c>
      <c r="C101" t="inlineStr">
        <is>
          <t>Tesla</t>
        </is>
      </c>
      <c r="D101" t="inlineStr">
        <is>
          <t>indeed</t>
        </is>
      </c>
      <c r="E101">
        <f>HYPERLINK("https://www.indeed.com/viewjob?jk=09a010a1be0d6a00", "https://www.indeed.com/viewjob?jk=09a010a1be0d6a00")</f>
        <v/>
      </c>
      <c r="F101">
        <f>HYPERLINK("https://www.tesla.com/careers/search/job/261201?source=Indeed", "https://www.tesla.com/careers/search/job/261201?source=Indeed")</f>
        <v/>
      </c>
      <c r="G101" t="inlineStr">
        <is>
          <t>Fremont, CA, US</t>
        </is>
      </c>
      <c r="H101" s="3" t="n">
        <v>46048</v>
      </c>
      <c r="I101" t="inlineStr">
        <is>
          <t>**What to Expect**
Tesla is seeking a Sr. Product Manager to work on Tesla’s enterprise Factory Execution Systems. These systems include factory planning, manufacturing execution system, lineside execution systems, and quality systems. Combined, the Factory Execution Systems provide real\-time control, monitoring, and data collection for production activities at Tesla.
In this role, you will contribute to the product vision and roadmap for these systems, collaborating closely with cross\-functional teams involving Product, Engineering, Quality, Controls, and Process Engineering.
 **What You'll Do*** Define and execute the product vision, strategy, and roadmap to enhance and optimize Tesla’s Factory Execution Systems
* Lead cross\-functional collaboration with Product, Design, Engineering, QA, and Production Support teams to drive the development and continuous improvement of the systems
* Design and deploy intuitive, user\-centric solutions that simplify complex workflows and leverage automation, AI agents, and LLMs at scale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3 to 5 years of experience in product management, with a focus on manufacturing systems
* Experience with Manufacturing Execution Systems (MES)
* Experience implementing AI solutions and LLM is a plus
* Strong analytical skills with the ability to query and interpret data, trends, and algorithms, demonstrating comfort with logic and numbers to support decision\-making
* A proactive mindset, with a bias toward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02">
      <c r="A102" t="inlineStr">
        <is>
          <t>in-316e38ef6860c74a</t>
        </is>
      </c>
      <c r="B102" t="inlineStr">
        <is>
          <t>RN Heart Failure Program Manager</t>
        </is>
      </c>
      <c r="C102" t="inlineStr">
        <is>
          <t>Corewell Health</t>
        </is>
      </c>
      <c r="D102" t="inlineStr">
        <is>
          <t>indeed</t>
        </is>
      </c>
      <c r="E102">
        <f>HYPERLINK("https://www.indeed.com/viewjob?jk=316e38ef6860c74a", "https://www.indeed.com/viewjob?jk=316e38ef6860c74a")</f>
        <v/>
      </c>
      <c r="F102">
        <f>HYPERLINK("https://careers.corewellhealth.org/us/en/job/R202459/RN-Heart-Failure-Program-Manager?utm_source=appcast_indeedo", "https://careers.corewellhealth.org/us/en/job/R202459/RN-Heart-Failure-Program-Manager?utm_source=appcast_indeedo")</f>
        <v/>
      </c>
      <c r="G102" t="inlineStr">
        <is>
          <t>US</t>
        </is>
      </c>
      <c r="H102" s="3" t="n">
        <v>46048</v>
      </c>
      <c r="I102" t="inlineStr">
        <is>
          <t>**Location Royal Oak and will also be supporting at Dearborn and Troy Hospital.**
**Scope of Work:**Manages the quality and operations of the heart failure and VAD program in collaboration with heart failure administrative, medical and surgical leadership. Manages daily program operations and outpatient clinic operations in conjunction with practice manager, as well as collaborates with other departments within the hospital(s). Partners with leadership to provide support and guidance to heart failure program/clinic team members, which may include clinical nurses, social workers, financial counselors, and other job titles. Develops and oversees outreach clinics at various sites in the East region and participates in heart failure related activities at any CHE campus. Oversees quality/data outcome management; regulatory required monitoring and reporting.**Essential Functions*** In conjunction with the Director of Clinical operations, medical and surgical leadership, provides high quality management of the heart failure and VAD program.
* Participates in multidisciplinary activities including steering committee facilitation, heart failure LOS, readmission, mortality reduction, complication and safety initiatives, at all CHE campuses. Assists clinic operations in collaboration with practice manager.
* In conjunction with the leadership team, coordinates activities of the heart failure and VAD program including resource and supply management, adherence to policies/procedures, revenue integrity, and other regulatory requirements. Assists with developing mechanisms to obtain, monitor, and disseminate information on patient satisfaction, customer service, productivity, and employee satisfaction.
* In collaboration with the heart failure team, implements and monitors the quality improvement program and ensures compliance with regulatory agency standards.
* Participates in new program staff interviews. Establishes and maintains open communication to enhance cohesive team environment.
**Qualifications*** Required Bachelor's Degree Nursing
* Preferred Master's Degree
* 3 years of relevant experience relevant experience planning, developing, and evaluating policies and programs **Required**
* clinical experience **Required**
* experience in heart failure cardiology Preferred
* **Registered Nurse (RN) \- State of Michigan Upon Hire required**
How Corewell Health cares for you* Comprehensive benefits package to meet your financial, health, and work/life balance goals. .
* On\-demand pay program powered by Payactiv
* Discounts directory with deals on the things that matter to you, like restaurants, phone plans, spas, and more!
* Optional identity theft protection, home and auto insurance, pet insurance
* Traditional and Roth retirement options with service contribution and match savings
* Eligibility for benefits is determined by employment type and status
**Primary Location**
SITE \- Royal Oak Hospital \- 3601 W 13 Mile Rd \- Royal Oak**Department Name**
Heart Center Ernst HOPD \- Royal Oak Prof Svcs**Employment Type**
Full time**Shift**
Day (United States of America)**Weekly Scheduled Hours**
40**Hours of Work**
7:30 a.m. to 4:00 p.m.**Days Worked**
Monday to Friday**Weekend Frequency**
N/A**CURRENT COREWELL HEALTH TEAM MEMBERS – Please apply through Find Jobs from your Workday team member account. This career site is for Non\-Corewell Health team members only.**
*Corewell Health is committed to providing a safe environment for our team members, patients, visitors, and community. We require a drug\-free workplace and require team members to comply with the MMR, Varicella, Tdap, and Influenza vaccine requirement if in an on\-site or hybrid workplace category. We are committed to supporting prospective team members who require reasonable accommodations to participate in the job application process, to perform the essential functions of a job, or to enjoy equal benefits and privileges of employment due to a disability, pregnancy, or sincerely held religious belief.*
*Corewell Health grants equal employment opportunity to all qualified persons without regard to race, color, national origin, sex, disability, age, religion, genetic information, marital status, height, weight, gender, pregnancy, sexual orientation, gender identity or expression, veteran status, or any other legally protected category.*
*An interconnected, collaborative culture where all are encouraged to bring their whole selves to work, is vital to the health of our organization. As a health system, we advocate for equity as we care for our patients, our communities, and each other. From workshops that develop cultural intelligence, to our inclusion resource groups for people to find community and empowerment at work, we are dedicated to ongoing resources that advance our values of diversity, equity, and inclusion in all that we do. We invite those that share in our commitment to join our team.*
*You may request assistance in completing the application process by calling 616\.486\.7447\.*</t>
        </is>
      </c>
    </row>
    <row r="103">
      <c r="A103" t="inlineStr">
        <is>
          <t>in-92487e16f87d21be</t>
        </is>
      </c>
      <c r="B103" t="inlineStr">
        <is>
          <t>Program Manager - Contingent</t>
        </is>
      </c>
      <c r="C103" t="inlineStr">
        <is>
          <t>Aretum</t>
        </is>
      </c>
      <c r="D103" t="inlineStr">
        <is>
          <t>indeed</t>
        </is>
      </c>
      <c r="E103">
        <f>HYPERLINK("https://www.indeed.com/viewjob?jk=92487e16f87d21be", "https://www.indeed.com/viewjob?jk=92487e16f87d21be")</f>
        <v/>
      </c>
      <c r="F103">
        <f>HYPERLINK("https://apply.workable.com/j/039C7C2CB4", "https://apply.workable.com/j/039C7C2CB4")</f>
        <v/>
      </c>
      <c r="G103" t="inlineStr">
        <is>
          <t>Washington, DC, US</t>
        </is>
      </c>
      <c r="H103" s="3" t="n">
        <v>46048</v>
      </c>
      <c r="I103" t="inlineStr">
        <is>
          <t>Public Trust Eligibility Required
*This is a contingent position, meaning employment is dependent upon the successful award of the associated contract to Aretum and completion of any required background investigation or security clearance verification.*
**About Aretum**
Aretum is a mission\-driven organization committed to delivering innovative, technology\-enabled solutions to our customers across defense, civilian, and homeland security sectors. Our teams work at the intersection of strategy, technology, and transformation, helping agencies solve their most critical challenges. We believe in investing in our people and creating a culture where collaboration, inclusion, and professional growth are at the forefront.
**Job Summary**
As a Program Manager, you will direct and oversee project teams to ensure project objectives are met efficiently and effectively. You will work closely with government clients, managing the expectation and delivery of services that not only fulfill contractual obligations but also strengthen the organization's commitment to innovation and excellence in mission support.
**Responsibilities:**
* Lead program planning, execution, and delivery of projects within scope, schedule, and budget.
* Act as a liaison between Aretum and government stakeholders to proactively identify and resolve issues.
* Manage project resources, ensuring proper task assignments and team collaboration.
* Facilitate the effective communication across teams while maintaining a strong focus on client satisfaction.
* Oversee program financials, including budgeting, forecasting, and resource allocation.
* Ensure compliance with policies and regulations relevant to federal projects.
* Utilize data and analytics to monitor program performance and effectiveness, driving improvements as necessary.
**Requirements**
* Minimum of 10 years of program management experience in federal contracting environments.
* Experience planning, initiating, implementing, managing, executing, and closing out programs in support of an organization’s mission.
* Strong analytical and problem\-solving abilities, with a focus on results\-driven execution.
* Demonstrated Experience with platforms including Salesforce (VA\-CABS), PeopleSoft (HR Smart), and systems processing IT Account Provisioning and Deprovisioning. USAStaffing, USAccess.
* Experience with the different technologies such as ActivIdentity, Salesforce and Oracle.
* Demonstrated experience designing, implementing, and analyzing large\-scale Salesforce solutions in federal and/or commercial industry.
* Bachelor's degree in a relevant field.
* Project Management Professional (PMP) certification is required
* Excellent communication and interpersonal skills to build relationships with stakeholders.
* Ability to work collaboratively within a fast\-paced environment and adapt to changing priorities.
**Travel Requirements**
Travel to client locations is required for this position and may vary based on project needs.
**EEO Statement**
*Aretum is committed to fostering a workplace rooted in excellence, integrity, and equal opportunity for all. We adhere to merit\-based hiring practices, ensuring that all employment decisions are made based on qualifications, skills, and ability to perform the job, without preference or consideration of factors unrelated to job performance.*
*As an Equal Opportunity Employer, Aretum complies with all applicable federal, state, and local employment laws.*
*We are proud to support our nation’s veterans and military families, providing career opportunities that honor their service and experience.*
*If you require reasonable accommodation during the hiring process due to a disability, please contact* hr@aretum.com *for assistance.*
*Equal Opportunity Employer/Veterans/Disabled*
**U.S. Work Authorization**
Due to federal contract requirements, only U.S. citizens are eligible for this position. This position supports a federal government contract and requires the ability to obtain and maintain a Public Trust or Suitability Determination, depending on the agency’s background investigation requirements.
**Benefits**
* Health Care Plan (Medical, Dental \&amp; Vision)
* Retirement Plan (401k, IRA)
* Life Insurance (Basic, Voluntary \&amp; AD\&amp;D)
* Paid Time Off (Vacation, Sick \&amp; Public Holidays)
* Family Leave (Maternity, Paternity)
* Short Term \&amp; Long\-Term Disability
* Training \&amp; Development</t>
        </is>
      </c>
    </row>
    <row r="104">
      <c r="A104" t="inlineStr">
        <is>
          <t>in-eb67d51af0586889</t>
        </is>
      </c>
      <c r="B104" t="inlineStr">
        <is>
          <t>Program Manager - Industrial</t>
        </is>
      </c>
      <c r="C104" t="inlineStr">
        <is>
          <t>Energy Trust Of Oregon</t>
        </is>
      </c>
      <c r="D104" t="inlineStr">
        <is>
          <t>indeed</t>
        </is>
      </c>
      <c r="E104">
        <f>HYPERLINK("https://www.indeed.com/viewjob?jk=eb67d51af0586889", "https://www.indeed.com/viewjob?jk=eb67d51af0586889")</f>
        <v/>
      </c>
      <c r="F104">
        <f>HYPERLINK("https://apply.workable.com/j/EA24B96A13", "https://apply.workable.com/j/EA24B96A13")</f>
        <v/>
      </c>
      <c r="G104" t="inlineStr">
        <is>
          <t>Portland, OR, US</t>
        </is>
      </c>
      <c r="H104" s="3" t="n">
        <v>46048</v>
      </c>
      <c r="I104" t="inlineStr">
        <is>
          <t>**Position**: Program Manager \- Industrial
**Reports** to: Sr. Program Manager \- Industrial
**Compensation\***: Competitive starting salary $88,800 – 112,800 commensurate with skills and experience, Full Pay Range: $88,800 \- $136,700
 **Energy Trust is committed to pay equity.** *Energy Trust is committed to fair employment*
*practices and non\-discrimination, including pay equity for all employees. We do not discriminate on the basis of protected class (race, sex, veteran status, disability, age, color, religion, national origin, marital status, sexual orientation) in the payment of wages or screen applicants on the basis of their current or past compensation. We determine salary by completing a review of your application materials to evaluate your related education, experience and training.*
* **Actual compensation packages are based on several factors that are unique to each candidate, including but not limited to skill set, depth of experience, and certifications in the pay equity assessment to determine equitable salary placement. Candidates should expect compensation offers within the starting compensation range. The full pay range is included to show the potential earnings for this position with sustained high performance.**
Employment Classification: Full Time, Exempt
Anticipated Start Date: As soon as possible, position is open until filled
Office Location: Portland Metro Area, Oregon, USA
### 
### **BACKGROUND**
 **About Energy Trust of Oregon**
Energy Trust of Oregon is an independent nonprofit organization dedicated to energy efficiency and renewable energy development. We serve Oregon customers of Portland General Electric, Pacific Power, NW Natural, Cascade Natural Gas and Avista, and SW Washington customers of NW Natural. Year over year Energy Trust is recognized as one of the 100 Best Nonprofits to Work For in Oregon.
 **Our Vision**
Clean, affordable energy for everyone.
 **Our Commitment to Diversity**
We recognize the lack of diversity in our industry, and we actively seek to address it with our hiring and retention practices as well as our values. We believe every person and their lived experience is integral to building a vibrant culture and delivering effective services to all customers we serve. We are committed to the principles of diversity, equity and inclusion, and we encourage candidates with diverse backgrounds and experience to apply.
 **Our Location**
Energy Trust provides for a range of work location options, including remote, hybrid and in\-office work. This position will represent Energy Trust in public settings and potentially at community events. We are open to candidates who live throughout Oregon and Washington. The Program Manager would be expected to report to the office on a quarterly basis, at minimum.
### **What We’re Looking For:**
This Program Manager – Industrial will manage the design, development, delivery and ongoing implementation of Energy Trust’s Industrial Energy Performance Management offerings for customers of Portland General Electric, Pacific Power, NW Natural, Cascade Natural Gas, and Avista. The position will manage budgets and savings goals associated with the delivery of the offerings while building and maintaining relationships with contractors, customers, utilities and external stakeholders.
This individual reports to the Sr. Program Manager.
This position is expected to report to the Portland office quarterly at a minimum for all staff and other in\-person meetings. This position should consider traveling as needed to customer sites and industry conferences a few times a year.
### **What You’ll Do:**
* Manage all aspects of the Industrial sector Energy Performance Management offerings including goal setting, budgeting, program development and implementation. The Energy Performance Management offerings include strategic energy management (SEM), energy management internship and treasure hunt offerings.
* Ensure that the Energy Performance Management design, strategy, marketing and implementation activities are synchronized with the Custom offering activities.
* Review and analyze current and historic performance data to inform and adjust energy performance management delivery and offering design.
* Direct the work of internal energy trust staff and external contractors supporting Energy Performance Management implementation activities.
* Oversee strategy development for SEM and other energy management approaches, including the evolution of energy performance offerings to support small to medium customers, accelerate savings, and optimize and leverage the use of our energy management software.
* Coordinate across cross\-functional teams and external stakeholders on the development and available features for our energy management software.
* Lead the Energy Performance Management elements of the program contracting process. This includes supporting the development of RFP’s, scopes of work, soliciting bids, negotiating and finalizing contracts.
* Manage the Energy Performance Management elements of contracts and budgets, directing the work of contractors to achieve program goals and ensuring terms and deliverables are met.
* Coordinate and collaborate with Energy Trust Industry and Agriculture program managers and internal support teams to ensure program effectiveness and continued innovation.
* Write and present reports to advisory committee, board and other internal stakeholders.
* Assist in program evaluations and reviews.
* As needed, serve on relevant public boards and committees including the Consortium for Energy Efficiency’s SEM committee and North American SEM Collaborative. Coordinate delivery channels across market segments with other regional efforts such as those by NEEA and BPA.
* Represent Energy Trust interests and regularly give persuasive presentations to external stakeholders and customers at public events.
* Perform other job\-related duties as assigned.
* Perform all duties of the job in a safe manner.
### **SUPERVISORY RESPONSIBILITY**
* This position will direct the work of external contractors and internal Energy Trust staff members.
**Requirements**
### **What You’ll Need**
* Bachelor’s degree (engineering, science, economics, or relevant area of study preferred), or equivalent years of professional experience in these industries
* Five years of experience in program and/or project management within the energy efficiency industry. Strategic Energy Management experience strongly preferred.
* 2 years of experience managing complex contracts and budgets and directing the work of contractors and staff.
* Understanding of contract administration and risk mitigation
* Experience in program design, delivery and all phases of implementation.
* Experience in all phases of hiring and managing contractors, from internal approval of funding, writing scopes of work, soliciting bids, negotiating and finalizing contracts, to managing the execution of the contract.
* Experience with energy efficiency and energy economics (i.e. measure life, cost benefit analysis) preferred.
* Experience working on multiple team\-based initiatives and balancing multiple priorities.
* Delegation, financial analysis, prioritization and time management, multitasking and strong interpersonal and communication skills.
* Strong knowledge of Microsoft Office Suite software applications, particularly Excel and knowledge of SharePoint.
* Strong analytical, writing, and communications skills.
* Understanding of utility regulatory environment and political context for Energy Trust’s work preferred
* Customer service skills and experience.
* Must be able to interact with a diverse workforce and be comfortable working in culturally diverse settings and groups.
The above information is designed to outline the functions and position requirements of this job. It does *not* identify all tasks that may be expected, nor address the performance standards that must be maintained.
**Benefits**
### **What You’ll Get:**
* Health/dental/vision insurance
* Employer sponsored and paid life/disability
* 401(k) with a company contribution of 6% of your salary after 90 days of employment
* TriMet pass
* Access to health and dependent FSA/HSA accounts
* Generous paid vacation, holidays and sick days
* Paid volunteer hours
* Employee assistance program
* Career advancement opportunities
* Great colleagues and culture
* Flexibility to work from home and/or an office space at the Portland, OR location
* Work from home laptop provided
* Read more about our benefits here
### **APPLICATION INSTRUCTIONS:**
Please submit a cover letter and resume on Energy Trust’s website www.energytrust.org/About/careers.
All offers of employment are conditional pending the successful completion of a background check (which may include employment verification, education verification, criminal history, motor vehicle record) and reference checks.
Don’t meet every single requirement? Studies have shown that candidates from certain demographics are less likely to apply to jobs unless they meet every single qualification—for example, women and People of Color. At Energy Trust we are dedicated to building a diverse, inclusive and authentic workplace—if you’re excited about this role but your past experience doesn’t align perfectly with every qualification in the job description, we encourage you to apply. You may be the right candidate for this or other roles.
Energy Trust of Oregon is committed to providing equal employment opportunity for all persons regardless of race, color, religion (including religious dress and grooming practices), sex, sexual orientation, gender, gender identity, gender expression, age, marital status, national origin, ancestry, citizenship status, pregnancy, medical condition, genetic information, mental and physical disability, political affiliation, union membership, status as a parent, military or veteran status or other non\-merit based factors. We will provide reasonable accommodations throughout the application, interviewing and employment process. If you require a reasonable accommodation, contact us. Energy Trust of Oregon is an E\-Verify employer. This policy is applicable to all phases of the employment relationship, including hiring, transfers, promotions, training, terminations, working conditions, compensation, benefits, and other terms and conditions of employment.
**Energy Trust is committed to pay equity.** Energy Trust is committed to fair employment practices and non\-discrimination, including pay equity for all employees. We do not discriminate on the basis of protected class (race, sex, veteran status, disability, age, color, religion, national origin, marital status, sexual orientation) in the payment of wages or screen applicants on the basis of their current or past compensation. We determine salary by completing a review of your application materials to evaluate your related education, experience and training.
* **Actual compensation packages are based on several factors that are unique to each candidate, including but not limited to skill set, depth of experience, and certifications in the pay equity assessment to determine equitable salary placement. Candidates should expect compensation offers within the starting compensation range. The full pay range is included to show the earnings potential for this position with sustained high performance.**
www.energytrust.org</t>
        </is>
      </c>
    </row>
    <row r="105">
      <c r="A105" t="inlineStr">
        <is>
          <t>in-4d127148b2609eb7</t>
        </is>
      </c>
      <c r="B105" t="inlineStr">
        <is>
          <t>Senior Product Manager, Sales &amp; Marketing</t>
        </is>
      </c>
      <c r="C105" t="inlineStr">
        <is>
          <t>Vacatia, Inc.</t>
        </is>
      </c>
      <c r="D105" t="inlineStr">
        <is>
          <t>indeed</t>
        </is>
      </c>
      <c r="E105">
        <f>HYPERLINK("https://www.indeed.com/viewjob?jk=4d127148b2609eb7", "https://www.indeed.com/viewjob?jk=4d127148b2609eb7")</f>
        <v/>
      </c>
      <c r="F105">
        <f>HYPERLINK("https://vacatia.hrmdirect.com/employment/view.php?req=3623109&amp;jbsrc=1014&amp;location=7e020d54-0ef2-cd91-acc9-4b266abfb046", "https://vacatia.hrmdirect.com/employment/view.php?req=3623109&amp;jbsrc=1014&amp;location=7e020d54-0ef2-cd91-acc9-4b266abfb046")</f>
        <v/>
      </c>
      <c r="G105" t="inlineStr">
        <is>
          <t>Remote, US</t>
        </is>
      </c>
      <c r="H105" s="3" t="n">
        <v>46047</v>
      </c>
      <c r="I105" t="inlineStr">
        <is>
          <t>**Senior Product Manager, Sales \&amp; Marketing**
**Location:** Fort Lauderdale, FL (Hybrid) or Remote (US)
**Join Vacatia and Help Power the Revenue Engine Behind Modern Vacation Ownership**
Vacatia is reinventing the vacation ownership and rental experience—from how customers discover us, to how they buy, finance, and enjoy their vacations. As we continue to scale through innovation and acquisition, we’re modernizing the systems that power our entire commercial lifecycle.
We’re hiring a Senior Product Manager, Sales \&amp; Marketing to own and evolve the platforms that drive lead generation, sales execution, contracting, financing, and ongoing member billing. This is a high\-visibility, business\-critical role with real impact on conversion, cash flow, and customer trust.
If you enjoy owning complex, revenue\-driving systems, partnering deeply with Sales and Finance, and turning messy workflows into elegant, scalable products—this role was built for you.
**What You’ll Do**
You’ll lead the product strategy and execution for Vacatia’s end\-to\-end sales and revenue ecosystem, including both third\-party tools and custom\-built platforms.
Your impact will include:
* Owning the roadmap for CRM, lead management, sales enablement, contracting, financing, billing, and collections systems
* Improving lead quality, conversion rates, contract completion, funding velocity, and payment performance
* Partnering closely with Sales, Marketing, Finance, Legal, Operations, Data, and Engineering to deliver cohesive, compliant solutions
* Supporting digital contracting, disclosures, signatures, and downstream operational handoffs
* Enabling mortgage and payment plan workflows, including underwriting, funding milestones, and coordination with Finance and Legal
* Driving better billing, invoicing, customer communications, and collections outcomes
* Leading AI proof\-of\-concepts in areas like lead scoring, sales forecasting, underwriting assistance, customer outreach, and agent productivity
* Establishing strong analytics across the full revenue lifecycle—from funnel performance to lifetime value
**What You Bring**
* 7–12\+ years of Product Management experience owning revenue, sales, or financial lifecycle systems
* Deep experience with CRM, marketing automation, lead management, and sales enablement platforms
* Experience supporting contracts, payments, billing, financing, or other regulated workflows
* A strong track record managing and rationalizing SaaS tools alongside custom\-built systems
* Data\-driven decision\-making skills across funnels, funding metrics, delinquency, and ROI
* Comfort operating cross\-functionally with Sales, Marketing, Finance, Legal, and Engineering
* Exposure to AI\-driven products or experimentation is a strong plus
* Bonus points if you’ve worked in vacation ownership, real estate, travel, fintech, or other high\-consideration, regulated sales environments.
**Why You’ll Love Working at Vacatia**
* Own Revenue\-Critical Products: Your work directly impacts sales performance, cash flow, and customer experience
* High Visibility \&amp; Impact: Partner with senior leaders across the business on initiatives that matter
* Modern Product Challenges: Blend SaaS, custom platforms, data, and AI experimentation
* Flexible Work: Remote\-friendly with a strong, collaborative culture
* Mission\-Driven Team: Help shape the future of how families experience vacation ownership
Vacatia, Inc. is an Equal Opportunity Employer and values diversity in the workplace.</t>
        </is>
      </c>
    </row>
    <row r="106">
      <c r="A106" t="inlineStr">
        <is>
          <t>in-f30813bfa6d3e437</t>
        </is>
      </c>
      <c r="B106" t="inlineStr">
        <is>
          <t>Senior Product Manager, Sales &amp; Marketing</t>
        </is>
      </c>
      <c r="C106" t="inlineStr">
        <is>
          <t>Vacatia, Inc.</t>
        </is>
      </c>
      <c r="D106" t="inlineStr">
        <is>
          <t>indeed</t>
        </is>
      </c>
      <c r="E106">
        <f>HYPERLINK("https://www.indeed.com/viewjob?jk=f30813bfa6d3e437", "https://www.indeed.com/viewjob?jk=f30813bfa6d3e437")</f>
        <v/>
      </c>
      <c r="F106">
        <f>HYPERLINK("https://vacatia.hrmdirect.com/employment/view.php?req=3623109&amp;jbsrc=1014&amp;location=fe0d8a2b-7cad-5592-ea0b-65bee206b5f3", "https://vacatia.hrmdirect.com/employment/view.php?req=3623109&amp;jbsrc=1014&amp;location=fe0d8a2b-7cad-5592-ea0b-65bee206b5f3")</f>
        <v/>
      </c>
      <c r="G106" t="inlineStr">
        <is>
          <t>Fort Lauderdale, FL, US</t>
        </is>
      </c>
      <c r="H106" s="3" t="n">
        <v>46047</v>
      </c>
      <c r="I106" t="inlineStr">
        <is>
          <t>**Senior Product Manager, Sales \&amp; Marketing**
**Location:** Fort Lauderdale, FL (Hybrid) or Remote (US)
**Join Vacatia and Help Power the Revenue Engine Behind Modern Vacation Ownership**
Vacatia is reinventing the vacation ownership and rental experience—from how customers discover us, to how they buy, finance, and enjoy their vacations. As we continue to scale through innovation and acquisition, we’re modernizing the systems that power our entire commercial lifecycle.
We’re hiring a Senior Product Manager, Sales \&amp; Marketing to own and evolve the platforms that drive lead generation, sales execution, contracting, financing, and ongoing member billing. This is a high\-visibility, business\-critical role with real impact on conversion, cash flow, and customer trust.
If you enjoy owning complex, revenue\-driving systems, partnering deeply with Sales and Finance, and turning messy workflows into elegant, scalable products—this role was built for you.
**What You’ll Do**
You’ll lead the product strategy and execution for Vacatia’s end\-to\-end sales and revenue ecosystem, including both third\-party tools and custom\-built platforms.
Your impact will include:
* Owning the roadmap for CRM, lead management, sales enablement, contracting, financing, billing, and collections systems
* Improving lead quality, conversion rates, contract completion, funding velocity, and payment performance
* Partnering closely with Sales, Marketing, Finance, Legal, Operations, Data, and Engineering to deliver cohesive, compliant solutions
* Supporting digital contracting, disclosures, signatures, and downstream operational handoffs
* Enabling mortgage and payment plan workflows, including underwriting, funding milestones, and coordination with Finance and Legal
* Driving better billing, invoicing, customer communications, and collections outcomes
* Leading AI proof\-of\-concepts in areas like lead scoring, sales forecasting, underwriting assistance, customer outreach, and agent productivity
* Establishing strong analytics across the full revenue lifecycle—from funnel performance to lifetime value
**What You Bring**
* 7–12\+ years of Product Management experience owning revenue, sales, or financial lifecycle systems
* Deep experience with CRM, marketing automation, lead management, and sales enablement platforms
* Experience supporting contracts, payments, billing, financing, or other regulated workflows
* A strong track record managing and rationalizing SaaS tools alongside custom\-built systems
* Data\-driven decision\-making skills across funnels, funding metrics, delinquency, and ROI
* Comfort operating cross\-functionally with Sales, Marketing, Finance, Legal, and Engineering
* Exposure to AI\-driven products or experimentation is a strong plus
* Bonus points if you’ve worked in vacation ownership, real estate, travel, fintech, or other high\-consideration, regulated sales environments.
**Why You’ll Love Working at Vacatia**
* Own Revenue\-Critical Products: Your work directly impacts sales performance, cash flow, and customer experience
* High Visibility \&amp; Impact: Partner with senior leaders across the business on initiatives that matter
* Modern Product Challenges: Blend SaaS, custom platforms, data, and AI experimentation
* Flexible Work: Remote\-friendly with a strong, collaborative culture
* Mission\-Driven Team: Help shape the future of how families experience vacation ownership
Vacatia, Inc. is an Equal Opportunity Employer and values diversity in the workplace.</t>
        </is>
      </c>
    </row>
    <row r="107">
      <c r="A107" t="inlineStr">
        <is>
          <t>in-2f0688497d662991</t>
        </is>
      </c>
      <c r="B107" t="inlineStr">
        <is>
          <t>Product Owner</t>
        </is>
      </c>
      <c r="C107" t="inlineStr">
        <is>
          <t>Absolute Business Solutions Corp. (ABSc)</t>
        </is>
      </c>
      <c r="D107" t="inlineStr">
        <is>
          <t>indeed</t>
        </is>
      </c>
      <c r="E107">
        <f>HYPERLINK("https://www.indeed.com/viewjob?jk=2f0688497d662991", "https://www.indeed.com/viewjob?jk=2f0688497d662991")</f>
        <v/>
      </c>
      <c r="F107">
        <f>HYPERLINK("https://absc-us.hrmdirect.com/employment/view.php?req=2959051&amp;jbsrc=1014&amp;location=b2a2694f-e4ea-8440-6823-c2ba10b3abd3", "https://absc-us.hrmdirect.com/employment/view.php?req=2959051&amp;jbsrc=1014&amp;location=b2a2694f-e4ea-8440-6823-c2ba10b3abd3")</f>
        <v/>
      </c>
      <c r="G107" t="inlineStr">
        <is>
          <t>Bethesda, MD, US</t>
        </is>
      </c>
      <c r="H107" s="3" t="n">
        <v>46001</v>
      </c>
      <c r="I107" t="inlineStr">
        <is>
          <t>Absolute Business Solutions Corp (ABSC) is not just another tech company. We’re a community of innovators, engineers, analysts and business professionals working together with our customers to tackle the most complex challenges. For more than 20 years we’ve supported critical Department of Defense (DoD), Intelligence Community (IC), Federal Civilian missions and global, multi\-national corporations. We specialize in supporting our clients in the Intelligence, Technology, Defense, AI/ML, and Data Science fields. As we continue to grow at a rapid pace, we need some amazing new professionals to join our team.
ABSC has an exciting opening for you, as our next TS/SCI cleared **Product Owner,** to play a critical role with design, engineering, development and deployment of software supporting DIA’s National Digital Exploitation and OSINT Center (NDOC) (formerly NMEC) under our 10\-year DOMEX Technology Platform (DTP) contract. This position provides an opportunity to have impact as part of a mission\-focused, solutions\-oriented, and adaptive team that values innovation, collaboration, and professional development. The selected individual will work closely with the Lead Systems Engineer, Release Train Engineer, and government leads to decompose high priority requirements from the product roadmap into valuable delivered solutions, executing on requirements analysis, design, system integration, and system testing.
As a Product Owner you will lead an application team responsible for maintaining the continuous flow of new software enhancements and deployments, while you manage risks, escalate impediments, and help to drive continuous process improvement. While most work is conducted on\-site at our client location in Bethesda, MD, we offer a flexible schedule and, occasionally, some tasks may be performed remotely.
**Responsibilities:**
You will work closely with the team on the following key tasks:
* Manage, direct, coordinate, and provide technical direction for all aspects of research, development, integration, and sustainment for NDOC’s mission applications.
* Plan, design, and oversee implementation of tools that meet mission needs in Facial Recognition, Digital Forensics Processing and Orchestration, Multimedia Content Enhancement and Triage, and Voice Recognition
* Provide technical support, coordination, and execution of systems engineering activities such as feature/requirements analysis, design, implementation planning, integration and test, sustainment, documentation, deployment, and system assessment.
* Take ownership of the entire task order’s product portfolio and manage programmatic relationships across applications within the task and with other applications on other tasks.
* Develop, manage and continually improve the backlog of work items for an Agile scrum team. Ensure sound engineering practices are followed.
* Foster an environment of collaboration with the different team members with the goal of providing quality service and product to our customers
* Act as a mentor to mid\-level and junior engineers, offering guidance on best practices and career growth
**Requirements:**
To be successful in this role you need:
* BS in Engineering, Computer Science, Systems Engineering, or related field and 8 – 12 years of prior relevant experience or Masters with 6\+ years of prior relevant experience.
* Must have an active Top Secret security clearance with the ability to obtain and maintain a TS/SCI with Polygraph.
* Experience as a Product Owner, Lead Systems Engineer or a similar role in an Agile software development team.
* Demonstrated ability to break down complex problems into actionable steps.
* Experience managing and prioritizing product backlogs effectively.
* Strong understanding of Agile methodologies, and experience with tools like Gitlab, Jira, and Confluence.
* Experience with facilitating scrum for the team (Planning, Retrospective, Grooming \&amp; Review/Demo).
* Excellent communication skills (verbal and written) to articulate technical and non\-technical concepts to diverse audiences.
* Proven ability to work cross\-functionally with engineering, design, and project management teams.
* Demonstrated ability to manage expectations and maintain strong relationships with government and contractor stakeholders.
**Desired Experience:**
* Experience with or knowledge of NMEC applications (e.g., Storefront, Harmony)
* Experience with Digital Forensics or multimedia content enrichment/image processing
* Experience with AI algorithmically driven processing systems
* Experience with Kafka, RabbitMQ, or other message passing systems
* Cloud infrastructure experience
* Experience with Appian or other low\-code software technologies
* Experience with any of the following technologies:
	+ PostgreSQL
	+ Containerization, especially with Docker
	+ DevOps practices and tools including Continuous Integration/Continuous Delivery (CI/CD) tools and practices, especially Gitlab or Jenkins
	+ GraphQL
	+ SharePoint development
	+ Keycloak
* Proactive in identifying tech debt, systemic issues, and areas for team/process improvement
* Expertise building and maintaining microservices in production in Kubernetes
* Understanding of Elasticsearch internals: sharding, performance tuning, analyzers, query DSL
* Elasticsearch certifications or other program stack related certifications
* Experience with security best practices for services: authN/Z, secrets management, data protection
* Hardware on\-prem and cloud\-based deployments using Kubernetes
* Knowledge of distributed systems concepts (e.g., idempotency, eventual consistency)
* Strong testing discipline with a focus on automation, coverage, and CI/CD pipelines
* Hands\-on development and/or scripting experience, especially Java, Python, .NET
* Experience interacting with or administering MSSQL Server databases or other relational databases
Salary is commensurate with experience. An approximate salary range for this requisition is: $140k \- $225k annually.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 Generous PTO plus 11 Federal Holidays
* Retirement Planning – 401k Fully Vested with Match
* Annual Health and Wellness Allowance – buy an Apple Watch, a treadmill, or hit the gym on us
* Career Development – Annual Funds to spend on Education and Training
* Volunteer Time Off – Annually, all employees can spend 8 hours directly supporting a charity of choice
* Charitable Match – ABSC matches an employee’s donation to a qualifying charity
* Referral Program – We pay for internal and external referrals!
*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Equal Opportunity Employer, including veterans and individuals with disabilities.</t>
        </is>
      </c>
    </row>
    <row r="108">
      <c r="A108" t="inlineStr">
        <is>
          <t>in-3e209893fdd7647e</t>
        </is>
      </c>
      <c r="B108" t="inlineStr">
        <is>
          <t>Senior Product Manager - Technical, Alexa Connections</t>
        </is>
      </c>
      <c r="C108" t="inlineStr">
        <is>
          <t>Amazon.com</t>
        </is>
      </c>
      <c r="D108" t="inlineStr">
        <is>
          <t>indeed</t>
        </is>
      </c>
      <c r="E108">
        <f>HYPERLINK("https://www.indeed.com/viewjob?jk=3e209893fdd7647e", "https://www.indeed.com/viewjob?jk=3e209893fdd7647e")</f>
        <v/>
      </c>
      <c r="F108">
        <f>HYPERLINK("https://www.amazon.jobs/jobs/3136935/senior-product-manager--technical-alexa-connections?cmpid=DA_INAD200785B", "https://www.amazon.jobs/jobs/3136935/senior-product-manager--technical-alexa-connections?cmpid=DA_INAD200785B")</f>
        <v/>
      </c>
      <c r="G108" t="inlineStr">
        <is>
          <t>Seattle, WA, US</t>
        </is>
      </c>
      <c r="H108" s="3" t="n">
        <v>45993</v>
      </c>
      <c r="I108"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in-c4b91971e51bef7d</t>
        </is>
      </c>
      <c r="B109" t="inlineStr">
        <is>
          <t>Senior Product Manager - Technical, Alexa Connections</t>
        </is>
      </c>
      <c r="C109" t="inlineStr">
        <is>
          <t>Amazon.com</t>
        </is>
      </c>
      <c r="D109" t="inlineStr">
        <is>
          <t>indeed</t>
        </is>
      </c>
      <c r="E109">
        <f>HYPERLINK("https://www.indeed.com/viewjob?jk=c4b91971e51bef7d", "https://www.indeed.com/viewjob?jk=c4b91971e51bef7d")</f>
        <v/>
      </c>
      <c r="F109">
        <f>HYPERLINK("https://www.amazon.jobs/jobs/3136935/senior-product-manager--technical-alexa-connections?cmpid=DA_INAD200785B", "https://www.amazon.jobs/jobs/3136935/senior-product-manager--technical-alexa-connections?cmpid=DA_INAD200785B")</f>
        <v/>
      </c>
      <c r="G109" t="inlineStr">
        <is>
          <t>Sunnyvale, CA, US</t>
        </is>
      </c>
      <c r="H109" s="3" t="n">
        <v>45993</v>
      </c>
      <c r="I109"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in-2563526fbbdc5065</t>
        </is>
      </c>
      <c r="B110" t="inlineStr">
        <is>
          <t>Sr. Product Manager</t>
        </is>
      </c>
      <c r="C110" t="inlineStr">
        <is>
          <t>Amazon.com</t>
        </is>
      </c>
      <c r="D110" t="inlineStr">
        <is>
          <t>indeed</t>
        </is>
      </c>
      <c r="E110">
        <f>HYPERLINK("https://www.indeed.com/viewjob?jk=2563526fbbdc5065", "https://www.indeed.com/viewjob?jk=2563526fbbdc5065")</f>
        <v/>
      </c>
      <c r="F110">
        <f>HYPERLINK("https://www.amazon.jobs/jobs/3129468/sr-product-manager?cmpid=DA_INAD200785B", "https://www.amazon.jobs/jobs/3129468/sr-product-manager?cmpid=DA_INAD200785B")</f>
        <v/>
      </c>
      <c r="G110" t="inlineStr">
        <is>
          <t>Seattle, WA, US</t>
        </is>
      </c>
      <c r="H110" s="3" t="n">
        <v>45979</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in-27734a33fb8cd559</t>
        </is>
      </c>
      <c r="B111" t="inlineStr">
        <is>
          <t>Sr. Product Manager</t>
        </is>
      </c>
      <c r="C111" t="inlineStr">
        <is>
          <t>Amazon.com</t>
        </is>
      </c>
      <c r="D111" t="inlineStr">
        <is>
          <t>indeed</t>
        </is>
      </c>
      <c r="E111">
        <f>HYPERLINK("https://www.indeed.com/viewjob?jk=27734a33fb8cd559", "https://www.indeed.com/viewjob?jk=27734a33fb8cd559")</f>
        <v/>
      </c>
      <c r="F111">
        <f>HYPERLINK("https://www.amazon.jobs/jobs/3129468/sr-product-manager?cmpid=DA_INAD200785B", "https://www.amazon.jobs/jobs/3129468/sr-product-manager?cmpid=DA_INAD200785B")</f>
        <v/>
      </c>
      <c r="G111" t="inlineStr">
        <is>
          <t>San Francisco, CA, US</t>
        </is>
      </c>
      <c r="H111" s="3" t="n">
        <v>45979</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in-2e5bb76d7a77f61f</t>
        </is>
      </c>
      <c r="B112" t="inlineStr">
        <is>
          <t>Sr. Product Manager</t>
        </is>
      </c>
      <c r="C112" t="inlineStr">
        <is>
          <t>Amazon.com</t>
        </is>
      </c>
      <c r="D112" t="inlineStr">
        <is>
          <t>indeed</t>
        </is>
      </c>
      <c r="E112">
        <f>HYPERLINK("https://www.indeed.com/viewjob?jk=2e5bb76d7a77f61f", "https://www.indeed.com/viewjob?jk=2e5bb76d7a77f61f")</f>
        <v/>
      </c>
      <c r="F112">
        <f>HYPERLINK("https://www.amazon.jobs/jobs/3129468/sr-product-manager?cmpid=DA_INAD200785B", "https://www.amazon.jobs/jobs/3129468/sr-product-manager?cmpid=DA_INAD200785B")</f>
        <v/>
      </c>
      <c r="G112" t="inlineStr">
        <is>
          <t>Los Angeles, CA, US</t>
        </is>
      </c>
      <c r="H112" s="3" t="n">
        <v>45979</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in-4673e8874fd1b2e5</t>
        </is>
      </c>
      <c r="B113" t="inlineStr">
        <is>
          <t>Sr. Product Manager</t>
        </is>
      </c>
      <c r="C113" t="inlineStr">
        <is>
          <t>Amazon.com</t>
        </is>
      </c>
      <c r="D113" t="inlineStr">
        <is>
          <t>indeed</t>
        </is>
      </c>
      <c r="E113">
        <f>HYPERLINK("https://www.indeed.com/viewjob?jk=4673e8874fd1b2e5", "https://www.indeed.com/viewjob?jk=4673e8874fd1b2e5")</f>
        <v/>
      </c>
      <c r="F113">
        <f>HYPERLINK("https://www.amazon.jobs/jobs/3129468/sr-product-manager?cmpid=DA_INAD200785B", "https://www.amazon.jobs/jobs/3129468/sr-product-manager?cmpid=DA_INAD200785B")</f>
        <v/>
      </c>
      <c r="G113" t="inlineStr">
        <is>
          <t>New York, NY, US</t>
        </is>
      </c>
      <c r="H113" s="3" t="n">
        <v>45979</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in-ed1b0194cc5b8e5b</t>
        </is>
      </c>
      <c r="B114" t="inlineStr">
        <is>
          <t>Sr. Product Manager</t>
        </is>
      </c>
      <c r="C114" t="inlineStr">
        <is>
          <t>Amazon.com</t>
        </is>
      </c>
      <c r="D114" t="inlineStr">
        <is>
          <t>indeed</t>
        </is>
      </c>
      <c r="E114">
        <f>HYPERLINK("https://www.indeed.com/viewjob?jk=ed1b0194cc5b8e5b", "https://www.indeed.com/viewjob?jk=ed1b0194cc5b8e5b")</f>
        <v/>
      </c>
      <c r="F114">
        <f>HYPERLINK("https://www.amazon.jobs/jobs/3129468/sr-product-manager?cmpid=DA_INAD200785B", "https://www.amazon.jobs/jobs/3129468/sr-product-manager?cmpid=DA_INAD200785B")</f>
        <v/>
      </c>
      <c r="G114" t="inlineStr">
        <is>
          <t>Irvine, CA, US</t>
        </is>
      </c>
      <c r="H114" s="3" t="n">
        <v>45979</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in-0f4fd87134e35500</t>
        </is>
      </c>
      <c r="B115" t="inlineStr">
        <is>
          <t>Program Manager, Executive Content and Programs, Global Executive Marketing</t>
        </is>
      </c>
      <c r="C115" t="inlineStr">
        <is>
          <t>Amazon Web Services</t>
        </is>
      </c>
      <c r="D115" t="inlineStr">
        <is>
          <t>indeed</t>
        </is>
      </c>
      <c r="E115">
        <f>HYPERLINK("https://www.indeed.com/viewjob?jk=0f4fd87134e35500", "https://www.indeed.com/viewjob?jk=0f4fd87134e35500")</f>
        <v/>
      </c>
      <c r="F115">
        <f>HYPERLINK("https://www.amazon.jobs/jobs/3125520/program-manager-executive-content-and-programs-global-executive-marketing?cmpid=DA_INAD200785B", "https://www.amazon.jobs/jobs/3125520/program-manager-executive-content-and-programs-global-executive-marketing?cmpid=DA_INAD200785B")</f>
        <v/>
      </c>
      <c r="G115" t="inlineStr">
        <is>
          <t>Seattle, WA, US</t>
        </is>
      </c>
      <c r="H115" s="3" t="n">
        <v>45970</v>
      </c>
      <c r="I11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in-af125267e305e9f7</t>
        </is>
      </c>
      <c r="B116" t="inlineStr">
        <is>
          <t>Program Manager, Executive Content and Programs, Global Executive Marketing</t>
        </is>
      </c>
      <c r="C116" t="inlineStr">
        <is>
          <t>Amazon Web Services</t>
        </is>
      </c>
      <c r="D116" t="inlineStr">
        <is>
          <t>indeed</t>
        </is>
      </c>
      <c r="E116">
        <f>HYPERLINK("https://www.indeed.com/viewjob?jk=af125267e305e9f7", "https://www.indeed.com/viewjob?jk=af125267e305e9f7")</f>
        <v/>
      </c>
      <c r="F116">
        <f>HYPERLINK("https://www.amazon.jobs/jobs/3125520/program-manager-executive-content-and-programs-global-executive-marketing?cmpid=DA_INAD200785B", "https://www.amazon.jobs/jobs/3125520/program-manager-executive-content-and-programs-global-executive-marketing?cmpid=DA_INAD200785B")</f>
        <v/>
      </c>
      <c r="G116" t="inlineStr">
        <is>
          <t>Arlington, VA, US</t>
        </is>
      </c>
      <c r="H116" s="3" t="n">
        <v>45970</v>
      </c>
      <c r="I11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in-739be73ab9efe2dd</t>
        </is>
      </c>
      <c r="B117" t="inlineStr">
        <is>
          <t>Senior Product Manager, Sub Same Day</t>
        </is>
      </c>
      <c r="C117" t="inlineStr">
        <is>
          <t>Amazon.com</t>
        </is>
      </c>
      <c r="D117" t="inlineStr">
        <is>
          <t>indeed</t>
        </is>
      </c>
      <c r="E117">
        <f>HYPERLINK("https://www.indeed.com/viewjob?jk=739be73ab9efe2dd", "https://www.indeed.com/viewjob?jk=739be73ab9efe2dd")</f>
        <v/>
      </c>
      <c r="F117">
        <f>HYPERLINK("https://www.amazon.jobs/jobs/3122677/senior-product-manager-sub-same-day?cmpid=DA_INAD200785B", "https://www.amazon.jobs/jobs/3122677/senior-product-manager-sub-same-day?cmpid=DA_INAD200785B")</f>
        <v/>
      </c>
      <c r="G117" t="inlineStr">
        <is>
          <t>New York, NY, US</t>
        </is>
      </c>
      <c r="H117" s="3" t="n">
        <v>45957</v>
      </c>
      <c r="I11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in-77e904819c6d4bff</t>
        </is>
      </c>
      <c r="B118" t="inlineStr">
        <is>
          <t>Senior Product Manager, Sub Same Day</t>
        </is>
      </c>
      <c r="C118" t="inlineStr">
        <is>
          <t>Amazon.com</t>
        </is>
      </c>
      <c r="D118" t="inlineStr">
        <is>
          <t>indeed</t>
        </is>
      </c>
      <c r="E118">
        <f>HYPERLINK("https://www.indeed.com/viewjob?jk=77e904819c6d4bff", "https://www.indeed.com/viewjob?jk=77e904819c6d4bff")</f>
        <v/>
      </c>
      <c r="F118">
        <f>HYPERLINK("https://www.amazon.jobs/jobs/3122677/senior-product-manager-sub-same-day?cmpid=DA_INAD200785B", "https://www.amazon.jobs/jobs/3122677/senior-product-manager-sub-same-day?cmpid=DA_INAD200785B")</f>
        <v/>
      </c>
      <c r="G118" t="inlineStr">
        <is>
          <t>Nashville, TN, US</t>
        </is>
      </c>
      <c r="H118" s="3" t="n">
        <v>45957</v>
      </c>
      <c r="I118"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in-7808383442468dbc</t>
        </is>
      </c>
      <c r="B119" t="inlineStr">
        <is>
          <t>Senior Product Manager, Sub Same Day</t>
        </is>
      </c>
      <c r="C119" t="inlineStr">
        <is>
          <t>Amazon.com</t>
        </is>
      </c>
      <c r="D119" t="inlineStr">
        <is>
          <t>indeed</t>
        </is>
      </c>
      <c r="E119">
        <f>HYPERLINK("https://www.indeed.com/viewjob?jk=7808383442468dbc", "https://www.indeed.com/viewjob?jk=7808383442468dbc")</f>
        <v/>
      </c>
      <c r="F119">
        <f>HYPERLINK("https://www.amazon.jobs/jobs/3122677/senior-product-manager-sub-same-day?cmpid=DA_INAD200785B", "https://www.amazon.jobs/jobs/3122677/senior-product-manager-sub-same-day?cmpid=DA_INAD200785B")</f>
        <v/>
      </c>
      <c r="G119" t="inlineStr">
        <is>
          <t>Bellevue, WA, US</t>
        </is>
      </c>
      <c r="H119" s="3" t="n">
        <v>45957</v>
      </c>
      <c r="I119"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in-90fc0eda877e1c3f</t>
        </is>
      </c>
      <c r="B120" t="inlineStr">
        <is>
          <t>Sr. Program Manager, Planning &amp; Automation, Global Fleet and Products Electrification and Infrastructure</t>
        </is>
      </c>
      <c r="C120" t="inlineStr">
        <is>
          <t>Amazon.com</t>
        </is>
      </c>
      <c r="D120" t="inlineStr">
        <is>
          <t>indeed</t>
        </is>
      </c>
      <c r="E120">
        <f>HYPERLINK("https://www.indeed.com/viewjob?jk=90fc0eda877e1c3f", "https://www.indeed.com/viewjob?jk=90fc0eda877e1c3f")</f>
        <v/>
      </c>
      <c r="F120">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0" t="inlineStr">
        <is>
          <t>San Francisco, CA, US</t>
        </is>
      </c>
      <c r="H120" s="3" t="n">
        <v>45949</v>
      </c>
      <c r="I12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in-190dbe170385441a</t>
        </is>
      </c>
      <c r="B121" t="inlineStr">
        <is>
          <t>Sr. Program Manager, Planning &amp; Automation, Global Fleet and Products Electrification and Infrastructure</t>
        </is>
      </c>
      <c r="C121" t="inlineStr">
        <is>
          <t>Amazon.com</t>
        </is>
      </c>
      <c r="D121" t="inlineStr">
        <is>
          <t>indeed</t>
        </is>
      </c>
      <c r="E121">
        <f>HYPERLINK("https://www.indeed.com/viewjob?jk=190dbe170385441a", "https://www.indeed.com/viewjob?jk=190dbe170385441a")</f>
        <v/>
      </c>
      <c r="F121">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1" t="inlineStr">
        <is>
          <t>Nashville, TN, US</t>
        </is>
      </c>
      <c r="H121" s="3" t="n">
        <v>45949</v>
      </c>
      <c r="I12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in-5c90dbe40805e59c</t>
        </is>
      </c>
      <c r="B122" t="inlineStr">
        <is>
          <t>Sr. Program Manager, Planning &amp; Automation, Global Fleet and Products Electrification and Infrastructure</t>
        </is>
      </c>
      <c r="C122" t="inlineStr">
        <is>
          <t>Amazon.com</t>
        </is>
      </c>
      <c r="D122" t="inlineStr">
        <is>
          <t>indeed</t>
        </is>
      </c>
      <c r="E122">
        <f>HYPERLINK("https://www.indeed.com/viewjob?jk=5c90dbe40805e59c", "https://www.indeed.com/viewjob?jk=5c90dbe40805e59c")</f>
        <v/>
      </c>
      <c r="F122">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2" t="inlineStr">
        <is>
          <t>Bellevue, WA, US</t>
        </is>
      </c>
      <c r="H122" s="3" t="n">
        <v>45949</v>
      </c>
      <c r="I12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in-03ac333bb1b2b77e</t>
        </is>
      </c>
      <c r="B123" t="inlineStr">
        <is>
          <t>Sr Program Manager, Procurement Operations, SSD OI</t>
        </is>
      </c>
      <c r="C123" t="inlineStr">
        <is>
          <t>Amazon.com</t>
        </is>
      </c>
      <c r="D123" t="inlineStr">
        <is>
          <t>indeed</t>
        </is>
      </c>
      <c r="E123">
        <f>HYPERLINK("https://www.indeed.com/viewjob?jk=03ac333bb1b2b77e", "https://www.indeed.com/viewjob?jk=03ac333bb1b2b77e")</f>
        <v/>
      </c>
      <c r="F123">
        <f>HYPERLINK("https://www.amazon.jobs/jobs/3120809/sr-program-manager-procurement-operations-ssd-oi-?cmpid=DA_INAD200785B", "https://www.amazon.jobs/jobs/3120809/sr-program-manager-procurement-operations-ssd-oi-?cmpid=DA_INAD200785B")</f>
        <v/>
      </c>
      <c r="G123" t="inlineStr">
        <is>
          <t>Nashville, TN, US</t>
        </is>
      </c>
      <c r="H123" s="3" t="n">
        <v>45938</v>
      </c>
      <c r="I12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in-044c17be67f59497</t>
        </is>
      </c>
      <c r="B124" t="inlineStr">
        <is>
          <t>Sr Program Manager, Procurement Operations, SSD OI</t>
        </is>
      </c>
      <c r="C124" t="inlineStr">
        <is>
          <t>Amazon.com</t>
        </is>
      </c>
      <c r="D124" t="inlineStr">
        <is>
          <t>indeed</t>
        </is>
      </c>
      <c r="E124">
        <f>HYPERLINK("https://www.indeed.com/viewjob?jk=044c17be67f59497", "https://www.indeed.com/viewjob?jk=044c17be67f59497")</f>
        <v/>
      </c>
      <c r="F124">
        <f>HYPERLINK("https://www.amazon.jobs/jobs/3120809/sr-program-manager-procurement-operations-ssd-oi-?cmpid=DA_INAD200785B", "https://www.amazon.jobs/jobs/3120809/sr-program-manager-procurement-operations-ssd-oi-?cmpid=DA_INAD200785B")</f>
        <v/>
      </c>
      <c r="G124" t="inlineStr">
        <is>
          <t>New York, NY, US</t>
        </is>
      </c>
      <c r="H124" s="3" t="n">
        <v>45938</v>
      </c>
      <c r="I124"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in-533ea4535e3aa1e6</t>
        </is>
      </c>
      <c r="B125" t="inlineStr">
        <is>
          <t>Sr Program Manager, Procurement Operations, SSD OI</t>
        </is>
      </c>
      <c r="C125" t="inlineStr">
        <is>
          <t>Amazon.com</t>
        </is>
      </c>
      <c r="D125" t="inlineStr">
        <is>
          <t>indeed</t>
        </is>
      </c>
      <c r="E125">
        <f>HYPERLINK("https://www.indeed.com/viewjob?jk=533ea4535e3aa1e6", "https://www.indeed.com/viewjob?jk=533ea4535e3aa1e6")</f>
        <v/>
      </c>
      <c r="F125">
        <f>HYPERLINK("https://www.amazon.jobs/jobs/3120809/sr-program-manager-procurement-operations-ssd-oi-?cmpid=DA_INAD200785B", "https://www.amazon.jobs/jobs/3120809/sr-program-manager-procurement-operations-ssd-oi-?cmpid=DA_INAD200785B")</f>
        <v/>
      </c>
      <c r="G125" t="inlineStr">
        <is>
          <t>Bellevue, WA, US</t>
        </is>
      </c>
      <c r="H125" s="3" t="n">
        <v>45938</v>
      </c>
      <c r="I125"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in-750c849695db0aff</t>
        </is>
      </c>
      <c r="B126" t="inlineStr">
        <is>
          <t>Sr. Supply Chain Product Manager, Amazon Custom Modules</t>
        </is>
      </c>
      <c r="C126" t="inlineStr">
        <is>
          <t>Amazon.com</t>
        </is>
      </c>
      <c r="D126" t="inlineStr">
        <is>
          <t>indeed</t>
        </is>
      </c>
      <c r="E126">
        <f>HYPERLINK("https://www.indeed.com/viewjob?jk=750c849695db0aff", "https://www.indeed.com/viewjob?jk=750c849695db0aff")</f>
        <v/>
      </c>
      <c r="F126">
        <f>HYPERLINK("https://www.amazon.jobs/jobs/3109372/sr-supply-chain-product-manager-amazon-custom-modules?cmpid=DA_INAD200785B", "https://www.amazon.jobs/jobs/3109372/sr-supply-chain-product-manager-amazon-custom-modules?cmpid=DA_INAD200785B")</f>
        <v/>
      </c>
      <c r="G126" t="inlineStr">
        <is>
          <t>Austin, TX, US</t>
        </is>
      </c>
      <c r="H126" s="3" t="n">
        <v>45935</v>
      </c>
      <c r="I12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in-4d2e1d11da9d001d</t>
        </is>
      </c>
      <c r="B127" t="inlineStr">
        <is>
          <t>Sr. Supply Chain Product Manager, Amazon Custom Modules</t>
        </is>
      </c>
      <c r="C127" t="inlineStr">
        <is>
          <t>Amazon.com</t>
        </is>
      </c>
      <c r="D127" t="inlineStr">
        <is>
          <t>indeed</t>
        </is>
      </c>
      <c r="E127">
        <f>HYPERLINK("https://www.indeed.com/viewjob?jk=4d2e1d11da9d001d", "https://www.indeed.com/viewjob?jk=4d2e1d11da9d001d")</f>
        <v/>
      </c>
      <c r="F127">
        <f>HYPERLINK("https://www.amazon.jobs/jobs/3109372/sr-supply-chain-product-manager-amazon-custom-modules?cmpid=DA_INAD200785B", "https://www.amazon.jobs/jobs/3109372/sr-supply-chain-product-manager-amazon-custom-modules?cmpid=DA_INAD200785B")</f>
        <v/>
      </c>
      <c r="G127" t="inlineStr">
        <is>
          <t>Cupertino, CA, US</t>
        </is>
      </c>
      <c r="H127" s="3" t="n">
        <v>45935</v>
      </c>
      <c r="I1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in-7e4068710e1b6885</t>
        </is>
      </c>
      <c r="B128" t="inlineStr">
        <is>
          <t>Sr. Supply Chain Product Manager, Amazon Custom Modules</t>
        </is>
      </c>
      <c r="C128" t="inlineStr">
        <is>
          <t>Amazon.com</t>
        </is>
      </c>
      <c r="D128" t="inlineStr">
        <is>
          <t>indeed</t>
        </is>
      </c>
      <c r="E128">
        <f>HYPERLINK("https://www.indeed.com/viewjob?jk=7e4068710e1b6885", "https://www.indeed.com/viewjob?jk=7e4068710e1b6885")</f>
        <v/>
      </c>
      <c r="F128">
        <f>HYPERLINK("https://www.amazon.jobs/jobs/3109372/sr-supply-chain-product-manager-amazon-custom-modules?cmpid=DA_INAD200785B", "https://www.amazon.jobs/jobs/3109372/sr-supply-chain-product-manager-amazon-custom-modules?cmpid=DA_INAD200785B")</f>
        <v/>
      </c>
      <c r="G128" t="inlineStr">
        <is>
          <t>Seattle, WA, US</t>
        </is>
      </c>
      <c r="H128" s="3" t="n">
        <v>45935</v>
      </c>
      <c r="I1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in-300524c8b9a30370</t>
        </is>
      </c>
      <c r="B129" t="inlineStr">
        <is>
          <t>Sr. Program Manager, Same Day Programs,</t>
        </is>
      </c>
      <c r="C129" t="inlineStr">
        <is>
          <t>Amazon.com</t>
        </is>
      </c>
      <c r="D129" t="inlineStr">
        <is>
          <t>indeed</t>
        </is>
      </c>
      <c r="E129">
        <f>HYPERLINK("https://www.indeed.com/viewjob?jk=300524c8b9a30370", "https://www.indeed.com/viewjob?jk=300524c8b9a30370")</f>
        <v/>
      </c>
      <c r="F129">
        <f>HYPERLINK("https://www.amazon.jobs/jobs/3106368/sr-program-manager-same-day-programs--?cmpid=DA_INAD200785B", "https://www.amazon.jobs/jobs/3106368/sr-program-manager-same-day-programs--?cmpid=DA_INAD200785B")</f>
        <v/>
      </c>
      <c r="G129" t="inlineStr">
        <is>
          <t>Bellevue, WA, US</t>
        </is>
      </c>
      <c r="H129" s="3" t="n">
        <v>45931</v>
      </c>
      <c r="I1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in-9edf8977395c36f0</t>
        </is>
      </c>
      <c r="B130" t="inlineStr">
        <is>
          <t>Sr. Program Manager, Same Day Programs,</t>
        </is>
      </c>
      <c r="C130" t="inlineStr">
        <is>
          <t>Amazon.com</t>
        </is>
      </c>
      <c r="D130" t="inlineStr">
        <is>
          <t>indeed</t>
        </is>
      </c>
      <c r="E130">
        <f>HYPERLINK("https://www.indeed.com/viewjob?jk=9edf8977395c36f0", "https://www.indeed.com/viewjob?jk=9edf8977395c36f0")</f>
        <v/>
      </c>
      <c r="F130">
        <f>HYPERLINK("https://www.amazon.jobs/jobs/3106368/sr-program-manager-same-day-programs--?cmpid=DA_INAD200785B", "https://www.amazon.jobs/jobs/3106368/sr-program-manager-same-day-programs--?cmpid=DA_INAD200785B")</f>
        <v/>
      </c>
      <c r="G130" t="inlineStr">
        <is>
          <t>Nashville, TN, US</t>
        </is>
      </c>
      <c r="H130" s="3" t="n">
        <v>45931</v>
      </c>
      <c r="I1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in-a2d5ebf9722da4a8</t>
        </is>
      </c>
      <c r="B131" t="inlineStr">
        <is>
          <t>Sr. Program Manager, Same Day Programs</t>
        </is>
      </c>
      <c r="C131" t="inlineStr">
        <is>
          <t>Amazon.com</t>
        </is>
      </c>
      <c r="D131" t="inlineStr">
        <is>
          <t>indeed</t>
        </is>
      </c>
      <c r="E131">
        <f>HYPERLINK("https://www.indeed.com/viewjob?jk=a2d5ebf9722da4a8", "https://www.indeed.com/viewjob?jk=a2d5ebf9722da4a8")</f>
        <v/>
      </c>
      <c r="F131">
        <f>HYPERLINK("https://www.amazon.jobs/jobs/3106355/sr-program-manager-same-day-programs?cmpid=DA_INAD200785B", "https://www.amazon.jobs/jobs/3106355/sr-program-manager-same-day-programs?cmpid=DA_INAD200785B")</f>
        <v/>
      </c>
      <c r="G131" t="inlineStr">
        <is>
          <t>Bellevue, WA, US</t>
        </is>
      </c>
      <c r="H131" s="3" t="n">
        <v>45931</v>
      </c>
      <c r="I1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in-615425641dfc60cb</t>
        </is>
      </c>
      <c r="B132" t="inlineStr">
        <is>
          <t>Sr. Program Manager, Same Day Programs</t>
        </is>
      </c>
      <c r="C132" t="inlineStr">
        <is>
          <t>Amazon.com</t>
        </is>
      </c>
      <c r="D132" t="inlineStr">
        <is>
          <t>indeed</t>
        </is>
      </c>
      <c r="E132">
        <f>HYPERLINK("https://www.indeed.com/viewjob?jk=615425641dfc60cb", "https://www.indeed.com/viewjob?jk=615425641dfc60cb")</f>
        <v/>
      </c>
      <c r="F132">
        <f>HYPERLINK("https://www.amazon.jobs/jobs/3106355/sr-program-manager-same-day-programs?cmpid=DA_INAD200785B", "https://www.amazon.jobs/jobs/3106355/sr-program-manager-same-day-programs?cmpid=DA_INAD200785B")</f>
        <v/>
      </c>
      <c r="G132" t="inlineStr">
        <is>
          <t>Nashville, TN, US</t>
        </is>
      </c>
      <c r="H132" s="3" t="n">
        <v>45931</v>
      </c>
      <c r="I13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in-9c874474b2dbccaf</t>
        </is>
      </c>
      <c r="B133" t="inlineStr">
        <is>
          <t>Senior Product Manager, Sub Same Day</t>
        </is>
      </c>
      <c r="C133" t="inlineStr">
        <is>
          <t>Amazon.com</t>
        </is>
      </c>
      <c r="D133" t="inlineStr">
        <is>
          <t>indeed</t>
        </is>
      </c>
      <c r="E133">
        <f>HYPERLINK("https://www.indeed.com/viewjob?jk=9c874474b2dbccaf", "https://www.indeed.com/viewjob?jk=9c874474b2dbccaf")</f>
        <v/>
      </c>
      <c r="F133">
        <f>HYPERLINK("https://www.amazon.jobs/jobs/3102392/senior-product-manager-sub-same-day?cmpid=DA_INAD200785B", "https://www.amazon.jobs/jobs/3102392/senior-product-manager-sub-same-day?cmpid=DA_INAD200785B")</f>
        <v/>
      </c>
      <c r="G133" t="inlineStr">
        <is>
          <t>Bellevue, WA, US</t>
        </is>
      </c>
      <c r="H133" s="3" t="n">
        <v>45914</v>
      </c>
      <c r="I133"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in-b2107e3b742b25c6</t>
        </is>
      </c>
      <c r="B134" t="inlineStr">
        <is>
          <t>Senior Product Manager, Sub Same Day</t>
        </is>
      </c>
      <c r="C134" t="inlineStr">
        <is>
          <t>Amazon.com</t>
        </is>
      </c>
      <c r="D134" t="inlineStr">
        <is>
          <t>indeed</t>
        </is>
      </c>
      <c r="E134">
        <f>HYPERLINK("https://www.indeed.com/viewjob?jk=b2107e3b742b25c6", "https://www.indeed.com/viewjob?jk=b2107e3b742b25c6")</f>
        <v/>
      </c>
      <c r="F134">
        <f>HYPERLINK("https://www.amazon.jobs/jobs/3102392/senior-product-manager-sub-same-day?cmpid=DA_INAD200785B", "https://www.amazon.jobs/jobs/3102392/senior-product-manager-sub-same-day?cmpid=DA_INAD200785B")</f>
        <v/>
      </c>
      <c r="G134" t="inlineStr">
        <is>
          <t>New York, NY, US</t>
        </is>
      </c>
      <c r="H134" s="3" t="n">
        <v>45914</v>
      </c>
      <c r="I13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in-6970a6492ace9f8e</t>
        </is>
      </c>
      <c r="B135" t="inlineStr">
        <is>
          <t>Senior Product Manager, Sub Same Day</t>
        </is>
      </c>
      <c r="C135" t="inlineStr">
        <is>
          <t>Amazon.com</t>
        </is>
      </c>
      <c r="D135" t="inlineStr">
        <is>
          <t>indeed</t>
        </is>
      </c>
      <c r="E135">
        <f>HYPERLINK("https://www.indeed.com/viewjob?jk=6970a6492ace9f8e", "https://www.indeed.com/viewjob?jk=6970a6492ace9f8e")</f>
        <v/>
      </c>
      <c r="F135">
        <f>HYPERLINK("https://www.amazon.jobs/jobs/3102392/senior-product-manager-sub-same-day?cmpid=DA_INAD200785B", "https://www.amazon.jobs/jobs/3102392/senior-product-manager-sub-same-day?cmpid=DA_INAD200785B")</f>
        <v/>
      </c>
      <c r="G135" t="inlineStr">
        <is>
          <t>Nashville, TN, US</t>
        </is>
      </c>
      <c r="H135" s="3" t="n">
        <v>45914</v>
      </c>
      <c r="I13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in-dfc9bdda933c603d</t>
        </is>
      </c>
      <c r="B136" t="inlineStr">
        <is>
          <t>Amazon Last Mile Fleet Program Manager, In Life Services-Recalls, Retrofits, and Tires</t>
        </is>
      </c>
      <c r="C136" t="inlineStr">
        <is>
          <t>Amazon.com</t>
        </is>
      </c>
      <c r="D136" t="inlineStr">
        <is>
          <t>indeed</t>
        </is>
      </c>
      <c r="E136">
        <f>HYPERLINK("https://www.indeed.com/viewjob?jk=dfc9bdda933c603d", "https://www.indeed.com/viewjob?jk=dfc9bdda933c603d")</f>
        <v/>
      </c>
      <c r="F136">
        <f>HYPERLINK("https://www.amazon.jobs/jobs/3083275/amazon-last-mile-fleet-program-manager-in-life-servicesrecalls-retrofits-and-tires?cmpid=DA_INAD200785B", "https://www.amazon.jobs/jobs/3083275/amazon-last-mile-fleet-program-manager-in-life-servicesrecalls-retrofits-and-tires?cmpid=DA_INAD200785B")</f>
        <v/>
      </c>
      <c r="G136" t="inlineStr">
        <is>
          <t>Arlington, VA, US</t>
        </is>
      </c>
      <c r="H136" s="3" t="n">
        <v>45911</v>
      </c>
      <c r="I13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in-071b9f746b868153</t>
        </is>
      </c>
      <c r="B137" t="inlineStr">
        <is>
          <t>Amazon Last Mile Fleet Program Manager, In Life Services-Recalls, Retrofits, and Tires</t>
        </is>
      </c>
      <c r="C137" t="inlineStr">
        <is>
          <t>Amazon.com</t>
        </is>
      </c>
      <c r="D137" t="inlineStr">
        <is>
          <t>indeed</t>
        </is>
      </c>
      <c r="E137">
        <f>HYPERLINK("https://www.indeed.com/viewjob?jk=071b9f746b868153", "https://www.indeed.com/viewjob?jk=071b9f746b868153")</f>
        <v/>
      </c>
      <c r="F137">
        <f>HYPERLINK("https://www.amazon.jobs/jobs/3083275/amazon-last-mile-fleet-program-manager-in-life-servicesrecalls-retrofits-and-tires?cmpid=DA_INAD200785B", "https://www.amazon.jobs/jobs/3083275/amazon-last-mile-fleet-program-manager-in-life-servicesrecalls-retrofits-and-tires?cmpid=DA_INAD200785B")</f>
        <v/>
      </c>
      <c r="G137" t="inlineStr">
        <is>
          <t>Bellevue, WA, US</t>
        </is>
      </c>
      <c r="H137" s="3" t="n">
        <v>45911</v>
      </c>
      <c r="I13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in-355b0fcaa05b96ab</t>
        </is>
      </c>
      <c r="B138" t="inlineStr">
        <is>
          <t>Amazon Last Mile Fleet Program Manager, In Life Services-Recalls, Retrofits, and Tires</t>
        </is>
      </c>
      <c r="C138" t="inlineStr">
        <is>
          <t>Amazon.com</t>
        </is>
      </c>
      <c r="D138" t="inlineStr">
        <is>
          <t>indeed</t>
        </is>
      </c>
      <c r="E138">
        <f>HYPERLINK("https://www.indeed.com/viewjob?jk=355b0fcaa05b96ab", "https://www.indeed.com/viewjob?jk=355b0fcaa05b96ab")</f>
        <v/>
      </c>
      <c r="F138">
        <f>HYPERLINK("https://www.amazon.jobs/jobs/3083275/amazon-last-mile-fleet-program-manager-in-life-servicesrecalls-retrofits-and-tires?cmpid=DA_INAD200785B", "https://www.amazon.jobs/jobs/3083275/amazon-last-mile-fleet-program-manager-in-life-servicesrecalls-retrofits-and-tires?cmpid=DA_INAD200785B")</f>
        <v/>
      </c>
      <c r="G138" t="inlineStr">
        <is>
          <t>Nashville, TN, US</t>
        </is>
      </c>
      <c r="H138" s="3" t="n">
        <v>45911</v>
      </c>
      <c r="I13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in-aac92ae9c5344fbe</t>
        </is>
      </c>
      <c r="B139" t="inlineStr">
        <is>
          <t>Sr. EHS Program Manager, Safety Learning and Development</t>
        </is>
      </c>
      <c r="C139" t="inlineStr">
        <is>
          <t>Amazon.com</t>
        </is>
      </c>
      <c r="D139" t="inlineStr">
        <is>
          <t>indeed</t>
        </is>
      </c>
      <c r="E139">
        <f>HYPERLINK("https://www.indeed.com/viewjob?jk=aac92ae9c5344fbe", "https://www.indeed.com/viewjob?jk=aac92ae9c5344fbe")</f>
        <v/>
      </c>
      <c r="F139">
        <f>HYPERLINK("https://www.amazon.jobs/jobs/3124450/sr-ehs-program-manager-safety-learning-and-development?cmpid=DA_INAD200785B", "https://www.amazon.jobs/jobs/3124450/sr-ehs-program-manager-safety-learning-and-development?cmpid=DA_INAD200785B")</f>
        <v/>
      </c>
      <c r="G139" t="inlineStr">
        <is>
          <t>Bellevue, WA, US</t>
        </is>
      </c>
      <c r="H139" s="3" t="n">
        <v>45910</v>
      </c>
      <c r="I13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in-049e59f8ec9f9203</t>
        </is>
      </c>
      <c r="B140" t="inlineStr">
        <is>
          <t>Sr. EHS Program Manager, Safety Learning and Development</t>
        </is>
      </c>
      <c r="C140" t="inlineStr">
        <is>
          <t>Amazon.com</t>
        </is>
      </c>
      <c r="D140" t="inlineStr">
        <is>
          <t>indeed</t>
        </is>
      </c>
      <c r="E140">
        <f>HYPERLINK("https://www.indeed.com/viewjob?jk=049e59f8ec9f9203", "https://www.indeed.com/viewjob?jk=049e59f8ec9f9203")</f>
        <v/>
      </c>
      <c r="F140">
        <f>HYPERLINK("https://www.amazon.jobs/jobs/3124450/sr-ehs-program-manager-safety-learning-and-development?cmpid=DA_INAD200785B", "https://www.amazon.jobs/jobs/3124450/sr-ehs-program-manager-safety-learning-and-development?cmpid=DA_INAD200785B")</f>
        <v/>
      </c>
      <c r="G140" t="inlineStr">
        <is>
          <t>Nashville, TN, US</t>
        </is>
      </c>
      <c r="H140" s="3" t="n">
        <v>45910</v>
      </c>
      <c r="I14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in-4c168ef6795d024b</t>
        </is>
      </c>
      <c r="B141" t="inlineStr">
        <is>
          <t>Sr. Product Manager, Sub-Same Day (SSD) - DOT, SSD Delivery Ops Tech</t>
        </is>
      </c>
      <c r="C141" t="inlineStr">
        <is>
          <t>Amazon.com</t>
        </is>
      </c>
      <c r="D141" t="inlineStr">
        <is>
          <t>indeed</t>
        </is>
      </c>
      <c r="E141">
        <f>HYPERLINK("https://www.indeed.com/viewjob?jk=4c168ef6795d024b", "https://www.indeed.com/viewjob?jk=4c168ef6795d024b")</f>
        <v/>
      </c>
      <c r="F141">
        <f>HYPERLINK("https://www.amazon.jobs/jobs/3063966/sr-product-manager-subsame-day-ssd--dot-ssd-delivery-ops-tech?cmpid=DA_INAD200785B", "https://www.amazon.jobs/jobs/3063966/sr-product-manager-subsame-day-ssd--dot-ssd-delivery-ops-tech?cmpid=DA_INAD200785B")</f>
        <v/>
      </c>
      <c r="G141" t="inlineStr">
        <is>
          <t>Bellevue, WA, US</t>
        </is>
      </c>
      <c r="H141" s="3" t="n">
        <v>45876</v>
      </c>
      <c r="I14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in-86483956bc7d34b4</t>
        </is>
      </c>
      <c r="B142" t="inlineStr">
        <is>
          <t>Sr. Product Manager, Sub-Same Day (SSD) - DOT, SSD Delivery Ops Tech</t>
        </is>
      </c>
      <c r="C142" t="inlineStr">
        <is>
          <t>Amazon.com</t>
        </is>
      </c>
      <c r="D142" t="inlineStr">
        <is>
          <t>indeed</t>
        </is>
      </c>
      <c r="E142">
        <f>HYPERLINK("https://www.indeed.com/viewjob?jk=86483956bc7d34b4", "https://www.indeed.com/viewjob?jk=86483956bc7d34b4")</f>
        <v/>
      </c>
      <c r="F142">
        <f>HYPERLINK("https://www.amazon.jobs/jobs/3063966/sr-product-manager-subsame-day-ssd--dot-ssd-delivery-ops-tech?cmpid=DA_INAD200785B", "https://www.amazon.jobs/jobs/3063966/sr-product-manager-subsame-day-ssd--dot-ssd-delivery-ops-tech?cmpid=DA_INAD200785B")</f>
        <v/>
      </c>
      <c r="G142" t="inlineStr">
        <is>
          <t>New York, NY, US</t>
        </is>
      </c>
      <c r="H142" s="3" t="n">
        <v>45876</v>
      </c>
      <c r="I14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in-3584b77679f2d96b</t>
        </is>
      </c>
      <c r="B143" t="inlineStr">
        <is>
          <t>Sr. Product Manager, Sub-Same Day (SSD) - DOT, SSD Delivery Ops Tech</t>
        </is>
      </c>
      <c r="C143" t="inlineStr">
        <is>
          <t>Amazon.com</t>
        </is>
      </c>
      <c r="D143" t="inlineStr">
        <is>
          <t>indeed</t>
        </is>
      </c>
      <c r="E143">
        <f>HYPERLINK("https://www.indeed.com/viewjob?jk=3584b77679f2d96b", "https://www.indeed.com/viewjob?jk=3584b77679f2d96b")</f>
        <v/>
      </c>
      <c r="F143">
        <f>HYPERLINK("https://www.amazon.jobs/jobs/3063966/sr-product-manager-subsame-day-ssd--dot-ssd-delivery-ops-tech?cmpid=DA_INAD200785B", "https://www.amazon.jobs/jobs/3063966/sr-product-manager-subsame-day-ssd--dot-ssd-delivery-ops-tech?cmpid=DA_INAD200785B")</f>
        <v/>
      </c>
      <c r="G143" t="inlineStr">
        <is>
          <t>Nashville, TN, US</t>
        </is>
      </c>
      <c r="H143" s="3" t="n">
        <v>45876</v>
      </c>
      <c r="I14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in-8311d9b0e02b03b7</t>
        </is>
      </c>
      <c r="B144" t="inlineStr">
        <is>
          <t>Sr. Product Manager, Sub-Same Day (SSD) Delivery</t>
        </is>
      </c>
      <c r="C144" t="inlineStr">
        <is>
          <t>Amazon.com</t>
        </is>
      </c>
      <c r="D144" t="inlineStr">
        <is>
          <t>indeed</t>
        </is>
      </c>
      <c r="E144">
        <f>HYPERLINK("https://www.indeed.com/viewjob?jk=8311d9b0e02b03b7", "https://www.indeed.com/viewjob?jk=8311d9b0e02b03b7")</f>
        <v/>
      </c>
      <c r="F144">
        <f>HYPERLINK("https://www.amazon.jobs/jobs/3062157/sr-product-manager-subsame-day-ssd-delivery?cmpid=DA_INAD200785B", "https://www.amazon.jobs/jobs/3062157/sr-product-manager-subsame-day-ssd-delivery?cmpid=DA_INAD200785B")</f>
        <v/>
      </c>
      <c r="G144" t="inlineStr">
        <is>
          <t>New York, NY, US</t>
        </is>
      </c>
      <c r="H144" s="3" t="n">
        <v>45874</v>
      </c>
      <c r="I14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in-5cc57a33a3e23375</t>
        </is>
      </c>
      <c r="B145" t="inlineStr">
        <is>
          <t>Sr. Product Manager, Sub-Same Day (SSD) Delivery</t>
        </is>
      </c>
      <c r="C145" t="inlineStr">
        <is>
          <t>Amazon.com</t>
        </is>
      </c>
      <c r="D145" t="inlineStr">
        <is>
          <t>indeed</t>
        </is>
      </c>
      <c r="E145">
        <f>HYPERLINK("https://www.indeed.com/viewjob?jk=5cc57a33a3e23375", "https://www.indeed.com/viewjob?jk=5cc57a33a3e23375")</f>
        <v/>
      </c>
      <c r="F145">
        <f>HYPERLINK("https://www.amazon.jobs/jobs/3062157/sr-product-manager-subsame-day-ssd-delivery?cmpid=DA_INAD200785B", "https://www.amazon.jobs/jobs/3062157/sr-product-manager-subsame-day-ssd-delivery?cmpid=DA_INAD200785B")</f>
        <v/>
      </c>
      <c r="G145" t="inlineStr">
        <is>
          <t>Nashville, TN, US</t>
        </is>
      </c>
      <c r="H145" s="3" t="n">
        <v>45874</v>
      </c>
      <c r="I145"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in-9d79bce409e3d53f</t>
        </is>
      </c>
      <c r="B146" t="inlineStr">
        <is>
          <t>Sr. Product Manager, Sub-Same Day (SSD) Delivery</t>
        </is>
      </c>
      <c r="C146" t="inlineStr">
        <is>
          <t>Amazon.com</t>
        </is>
      </c>
      <c r="D146" t="inlineStr">
        <is>
          <t>indeed</t>
        </is>
      </c>
      <c r="E146">
        <f>HYPERLINK("https://www.indeed.com/viewjob?jk=9d79bce409e3d53f", "https://www.indeed.com/viewjob?jk=9d79bce409e3d53f")</f>
        <v/>
      </c>
      <c r="F146">
        <f>HYPERLINK("https://www.amazon.jobs/jobs/3062157/sr-product-manager-subsame-day-ssd-delivery?cmpid=DA_INAD200785B", "https://www.amazon.jobs/jobs/3062157/sr-product-manager-subsame-day-ssd-delivery?cmpid=DA_INAD200785B")</f>
        <v/>
      </c>
      <c r="G146" t="inlineStr">
        <is>
          <t>Bellevue, WA, US</t>
        </is>
      </c>
      <c r="H146" s="3" t="n">
        <v>45874</v>
      </c>
      <c r="I146"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in-8bf58581889902fc</t>
        </is>
      </c>
      <c r="B147" t="inlineStr">
        <is>
          <t>Senior Product Manager - Tech, Fire TV</t>
        </is>
      </c>
      <c r="C147" t="inlineStr">
        <is>
          <t>Amazon.com</t>
        </is>
      </c>
      <c r="D147" t="inlineStr">
        <is>
          <t>indeed</t>
        </is>
      </c>
      <c r="E147">
        <f>HYPERLINK("https://www.indeed.com/viewjob?jk=8bf58581889902fc", "https://www.indeed.com/viewjob?jk=8bf58581889902fc")</f>
        <v/>
      </c>
      <c r="F147">
        <f>HYPERLINK("https://www.amazon.jobs/jobs/3058473/senior-product-manager--tech-fire-tv?cmpid=DA_INAD200785B", "https://www.amazon.jobs/jobs/3058473/senior-product-manager--tech-fire-tv?cmpid=DA_INAD200785B")</f>
        <v/>
      </c>
      <c r="G147" t="inlineStr">
        <is>
          <t>Seattle, WA, US</t>
        </is>
      </c>
      <c r="H147" s="3" t="n">
        <v>45855</v>
      </c>
      <c r="I14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in-1076b657188349dc</t>
        </is>
      </c>
      <c r="B148" t="inlineStr">
        <is>
          <t>Senior Product Manager - Tech, Fire TV</t>
        </is>
      </c>
      <c r="C148" t="inlineStr">
        <is>
          <t>Amazon.com</t>
        </is>
      </c>
      <c r="D148" t="inlineStr">
        <is>
          <t>indeed</t>
        </is>
      </c>
      <c r="E148">
        <f>HYPERLINK("https://www.indeed.com/viewjob?jk=1076b657188349dc", "https://www.indeed.com/viewjob?jk=1076b657188349dc")</f>
        <v/>
      </c>
      <c r="F148">
        <f>HYPERLINK("https://www.amazon.jobs/jobs/3058473/senior-product-manager--tech-fire-tv?cmpid=DA_INAD200785B", "https://www.amazon.jobs/jobs/3058473/senior-product-manager--tech-fire-tv?cmpid=DA_INAD200785B")</f>
        <v/>
      </c>
      <c r="G148" t="inlineStr">
        <is>
          <t>Sunnyvale, CA, US</t>
        </is>
      </c>
      <c r="H148" s="3" t="n">
        <v>45855</v>
      </c>
      <c r="I14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in-8057182b2ff9518b</t>
        </is>
      </c>
      <c r="B149" t="inlineStr">
        <is>
          <t>Senior Product Manager - Technical, Alexa Communications</t>
        </is>
      </c>
      <c r="C149" t="inlineStr">
        <is>
          <t>Amazon.com</t>
        </is>
      </c>
      <c r="D149" t="inlineStr">
        <is>
          <t>indeed</t>
        </is>
      </c>
      <c r="E149">
        <f>HYPERLINK("https://www.indeed.com/viewjob?jk=8057182b2ff9518b", "https://www.indeed.com/viewjob?jk=8057182b2ff9518b")</f>
        <v/>
      </c>
      <c r="F149">
        <f>HYPERLINK("https://www.amazon.jobs/jobs/3034220/senior-product-manager--technical-alexa-communications?cmpid=DA_INAD200785B", "https://www.amazon.jobs/jobs/3034220/senior-product-manager--technical-alexa-communications?cmpid=DA_INAD200785B")</f>
        <v/>
      </c>
      <c r="G149" t="inlineStr">
        <is>
          <t>Seattle, WA, US</t>
        </is>
      </c>
      <c r="H149" s="3" t="n">
        <v>45851</v>
      </c>
      <c r="I14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in-b6ead610131b6423</t>
        </is>
      </c>
      <c r="B150" t="inlineStr">
        <is>
          <t>Senior Product Manager - Technical, Alexa Communications</t>
        </is>
      </c>
      <c r="C150" t="inlineStr">
        <is>
          <t>Amazon.com</t>
        </is>
      </c>
      <c r="D150" t="inlineStr">
        <is>
          <t>indeed</t>
        </is>
      </c>
      <c r="E150">
        <f>HYPERLINK("https://www.indeed.com/viewjob?jk=b6ead610131b6423", "https://www.indeed.com/viewjob?jk=b6ead610131b6423")</f>
        <v/>
      </c>
      <c r="F150">
        <f>HYPERLINK("https://www.amazon.jobs/jobs/3034220/senior-product-manager--technical-alexa-communications?cmpid=DA_INAD200785B", "https://www.amazon.jobs/jobs/3034220/senior-product-manager--technical-alexa-communications?cmpid=DA_INAD200785B")</f>
        <v/>
      </c>
      <c r="G150" t="inlineStr">
        <is>
          <t>Sunnyvale, CA, US</t>
        </is>
      </c>
      <c r="H150" s="3" t="n">
        <v>45851</v>
      </c>
      <c r="I15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in-d185eeccddbcf1e7</t>
        </is>
      </c>
      <c r="B151" t="inlineStr">
        <is>
          <t>Principal Product Manager Tech - Devices, Fire TV Devices</t>
        </is>
      </c>
      <c r="C151" t="inlineStr">
        <is>
          <t>Amazon.com</t>
        </is>
      </c>
      <c r="D151" t="inlineStr">
        <is>
          <t>indeed</t>
        </is>
      </c>
      <c r="E151">
        <f>HYPERLINK("https://www.indeed.com/viewjob?jk=d185eeccddbcf1e7", "https://www.indeed.com/viewjob?jk=d185eeccddbcf1e7")</f>
        <v/>
      </c>
      <c r="F151">
        <f>HYPERLINK("https://www.amazon.jobs/jobs/3029783/principal-product-manager-tech--devices-fire-tv-devices?cmpid=DA_INAD200785B", "https://www.amazon.jobs/jobs/3029783/principal-product-manager-tech--devices-fire-tv-devices?cmpid=DA_INAD200785B")</f>
        <v/>
      </c>
      <c r="G151" t="inlineStr">
        <is>
          <t>Sunnyvale, CA, US</t>
        </is>
      </c>
      <c r="H151" s="3" t="n">
        <v>45844</v>
      </c>
      <c r="I15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in-9c6546e4f13d9ce0</t>
        </is>
      </c>
      <c r="B152" t="inlineStr">
        <is>
          <t>Principal Product Manager Tech - Devices, Fire TV Devices</t>
        </is>
      </c>
      <c r="C152" t="inlineStr">
        <is>
          <t>Amazon.com</t>
        </is>
      </c>
      <c r="D152" t="inlineStr">
        <is>
          <t>indeed</t>
        </is>
      </c>
      <c r="E152">
        <f>HYPERLINK("https://www.indeed.com/viewjob?jk=9c6546e4f13d9ce0", "https://www.indeed.com/viewjob?jk=9c6546e4f13d9ce0")</f>
        <v/>
      </c>
      <c r="F152">
        <f>HYPERLINK("https://www.amazon.jobs/jobs/3029783/principal-product-manager-tech--devices-fire-tv-devices?cmpid=DA_INAD200785B", "https://www.amazon.jobs/jobs/3029783/principal-product-manager-tech--devices-fire-tv-devices?cmpid=DA_INAD200785B")</f>
        <v/>
      </c>
      <c r="G152" t="inlineStr">
        <is>
          <t>Seattle, WA, US</t>
        </is>
      </c>
      <c r="H152" s="3" t="n">
        <v>45844</v>
      </c>
      <c r="I15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in-9437c3cf8279172c</t>
        </is>
      </c>
      <c r="B153" t="inlineStr">
        <is>
          <t>Principal Product Manager-Technical, AGI, Artificial General Intellgence</t>
        </is>
      </c>
      <c r="C153" t="inlineStr">
        <is>
          <t>Amazon.com</t>
        </is>
      </c>
      <c r="D153" t="inlineStr">
        <is>
          <t>indeed</t>
        </is>
      </c>
      <c r="E153">
        <f>HYPERLINK("https://www.indeed.com/viewjob?jk=9437c3cf8279172c", "https://www.indeed.com/viewjob?jk=9437c3cf8279172c")</f>
        <v/>
      </c>
      <c r="F153">
        <f>HYPERLINK("https://www.amazon.jobs/jobs/3017572/principal-product-managertechnical-agi-artificial-general-intellgence?cmpid=DA_INAD200785B", "https://www.amazon.jobs/jobs/3017572/principal-product-managertechnical-agi-artificial-general-intellgence?cmpid=DA_INAD200785B")</f>
        <v/>
      </c>
      <c r="G153" t="inlineStr">
        <is>
          <t>Boston, MA, US</t>
        </is>
      </c>
      <c r="H153" s="3" t="n">
        <v>45824</v>
      </c>
      <c r="I15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in-73dc19910461a3cb</t>
        </is>
      </c>
      <c r="B154" t="inlineStr">
        <is>
          <t>Principal Product Manager-Technical, AGI, Artificial General Intellgence</t>
        </is>
      </c>
      <c r="C154" t="inlineStr">
        <is>
          <t>Amazon.com</t>
        </is>
      </c>
      <c r="D154" t="inlineStr">
        <is>
          <t>indeed</t>
        </is>
      </c>
      <c r="E154">
        <f>HYPERLINK("https://www.indeed.com/viewjob?jk=73dc19910461a3cb", "https://www.indeed.com/viewjob?jk=73dc19910461a3cb")</f>
        <v/>
      </c>
      <c r="F154">
        <f>HYPERLINK("https://www.amazon.jobs/jobs/3017572/principal-product-managertechnical-agi-artificial-general-intellgence?cmpid=DA_INAD200785B", "https://www.amazon.jobs/jobs/3017572/principal-product-managertechnical-agi-artificial-general-intellgence?cmpid=DA_INAD200785B")</f>
        <v/>
      </c>
      <c r="G154" t="inlineStr">
        <is>
          <t>Bellevue, WA, US</t>
        </is>
      </c>
      <c r="H154" s="3" t="n">
        <v>45824</v>
      </c>
      <c r="I15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in-7b09914957de464e</t>
        </is>
      </c>
      <c r="B155" t="inlineStr">
        <is>
          <t>Principal Product Manager-Technical, AGI, Artificial General Intellgence</t>
        </is>
      </c>
      <c r="C155" t="inlineStr">
        <is>
          <t>Amazon.com</t>
        </is>
      </c>
      <c r="D155" t="inlineStr">
        <is>
          <t>indeed</t>
        </is>
      </c>
      <c r="E155">
        <f>HYPERLINK("https://www.indeed.com/viewjob?jk=7b09914957de464e", "https://www.indeed.com/viewjob?jk=7b09914957de464e")</f>
        <v/>
      </c>
      <c r="F155">
        <f>HYPERLINK("https://www.amazon.jobs/jobs/3017572/principal-product-managertechnical-agi-artificial-general-intellgence?cmpid=DA_INAD200785B", "https://www.amazon.jobs/jobs/3017572/principal-product-managertechnical-agi-artificial-general-intellgence?cmpid=DA_INAD200785B")</f>
        <v/>
      </c>
      <c r="G155" t="inlineStr">
        <is>
          <t>Sunnyvale, CA, US</t>
        </is>
      </c>
      <c r="H155" s="3" t="n">
        <v>45824</v>
      </c>
      <c r="I15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in-ee25b9166156ec88</t>
        </is>
      </c>
      <c r="B156" t="inlineStr">
        <is>
          <t>Sr. Product Manager Technical, Deal Tooling &amp; Insights, Strategic Customer Engagements</t>
        </is>
      </c>
      <c r="C156" t="inlineStr">
        <is>
          <t>Amazon Web Services</t>
        </is>
      </c>
      <c r="D156" t="inlineStr">
        <is>
          <t>indeed</t>
        </is>
      </c>
      <c r="E156">
        <f>HYPERLINK("https://www.indeed.com/viewjob?jk=ee25b9166156ec88", "https://www.indeed.com/viewjob?jk=ee25b9166156ec88")</f>
        <v/>
      </c>
      <c r="F156">
        <f>HYPERLINK("https://www.amazon.jobs/jobs/3138889/sr-product-manager-technical-deal-tooling--insights-strategic-customer-engagements?cmpid=DA_INAD200785B", "https://www.amazon.jobs/jobs/3138889/sr-product-manager-technical-deal-tooling--insights-strategic-customer-engagements?cmpid=DA_INAD200785B")</f>
        <v/>
      </c>
      <c r="G156" t="inlineStr">
        <is>
          <t>Dallas, TX, US</t>
        </is>
      </c>
      <c r="H156" s="3" t="n">
        <v>45994</v>
      </c>
      <c r="I1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7">
      <c r="A157" t="inlineStr">
        <is>
          <t>in-30b97df86a40f4b4</t>
        </is>
      </c>
      <c r="B157" t="inlineStr">
        <is>
          <t>Sr. Product Manager Technical, Deal Tooling &amp; Insights, Strategic Customer Engagements</t>
        </is>
      </c>
      <c r="C157" t="inlineStr">
        <is>
          <t>Amazon Web Services</t>
        </is>
      </c>
      <c r="D157" t="inlineStr">
        <is>
          <t>indeed</t>
        </is>
      </c>
      <c r="E157">
        <f>HYPERLINK("https://www.indeed.com/viewjob?jk=30b97df86a40f4b4", "https://www.indeed.com/viewjob?jk=30b97df86a40f4b4")</f>
        <v/>
      </c>
      <c r="F157">
        <f>HYPERLINK("https://www.amazon.jobs/jobs/3138889/sr-product-manager-technical-deal-tooling--insights-strategic-customer-engagements?cmpid=DA_INAD200785B", "https://www.amazon.jobs/jobs/3138889/sr-product-manager-technical-deal-tooling--insights-strategic-customer-engagements?cmpid=DA_INAD200785B")</f>
        <v/>
      </c>
      <c r="G157" t="inlineStr">
        <is>
          <t>New York, NY, US</t>
        </is>
      </c>
      <c r="H157" s="3" t="n">
        <v>45994</v>
      </c>
      <c r="I1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8">
      <c r="A158" t="inlineStr">
        <is>
          <t>in-f31816a8ad0b1752</t>
        </is>
      </c>
      <c r="B158" t="inlineStr">
        <is>
          <t>Sr. Product Manager Technical, Deal Tooling &amp; Insights, Strategic Customer Engagements</t>
        </is>
      </c>
      <c r="C158" t="inlineStr">
        <is>
          <t>Amazon Web Services</t>
        </is>
      </c>
      <c r="D158" t="inlineStr">
        <is>
          <t>indeed</t>
        </is>
      </c>
      <c r="E158">
        <f>HYPERLINK("https://www.indeed.com/viewjob?jk=f31816a8ad0b1752", "https://www.indeed.com/viewjob?jk=f31816a8ad0b1752")</f>
        <v/>
      </c>
      <c r="F158">
        <f>HYPERLINK("https://www.amazon.jobs/jobs/3138889/sr-product-manager-technical-deal-tooling--insights-strategic-customer-engagements?cmpid=DA_INAD200785B", "https://www.amazon.jobs/jobs/3138889/sr-product-manager-technical-deal-tooling--insights-strategic-customer-engagements?cmpid=DA_INAD200785B")</f>
        <v/>
      </c>
      <c r="G158" t="inlineStr">
        <is>
          <t>Herndon, VA, US</t>
        </is>
      </c>
      <c r="H158" s="3" t="n">
        <v>45994</v>
      </c>
      <c r="I1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9">
      <c r="A159" t="inlineStr">
        <is>
          <t>in-3c378228f0f3b9e7</t>
        </is>
      </c>
      <c r="B159" t="inlineStr">
        <is>
          <t>Sr. Product Manager Technical, Deal Tooling &amp; Insights, Strategic Customer Engagements</t>
        </is>
      </c>
      <c r="C159" t="inlineStr">
        <is>
          <t>Amazon Web Services</t>
        </is>
      </c>
      <c r="D159" t="inlineStr">
        <is>
          <t>indeed</t>
        </is>
      </c>
      <c r="E159">
        <f>HYPERLINK("https://www.indeed.com/viewjob?jk=3c378228f0f3b9e7", "https://www.indeed.com/viewjob?jk=3c378228f0f3b9e7")</f>
        <v/>
      </c>
      <c r="F159">
        <f>HYPERLINK("https://www.amazon.jobs/jobs/3138889/sr-product-manager-technical-deal-tooling--insights-strategic-customer-engagements?cmpid=DA_INAD200785B", "https://www.amazon.jobs/jobs/3138889/sr-product-manager-technical-deal-tooling--insights-strategic-customer-engagements?cmpid=DA_INAD200785B")</f>
        <v/>
      </c>
      <c r="G159" t="inlineStr">
        <is>
          <t>Austin, TX, US</t>
        </is>
      </c>
      <c r="H159" s="3" t="n">
        <v>45994</v>
      </c>
      <c r="I1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0">
      <c r="A160" t="inlineStr">
        <is>
          <t>in-74255d4fc5e0b9de</t>
        </is>
      </c>
      <c r="B160" t="inlineStr">
        <is>
          <t>Sr. Product Manager Technical, Deal Tooling &amp; Insights, Strategic Customer Engagements</t>
        </is>
      </c>
      <c r="C160" t="inlineStr">
        <is>
          <t>Amazon Web Services</t>
        </is>
      </c>
      <c r="D160" t="inlineStr">
        <is>
          <t>indeed</t>
        </is>
      </c>
      <c r="E160">
        <f>HYPERLINK("https://www.indeed.com/viewjob?jk=74255d4fc5e0b9de", "https://www.indeed.com/viewjob?jk=74255d4fc5e0b9de")</f>
        <v/>
      </c>
      <c r="F160">
        <f>HYPERLINK("https://www.amazon.jobs/jobs/3138889/sr-product-manager-technical-deal-tooling--insights-strategic-customer-engagements?cmpid=DA_INAD200785B", "https://www.amazon.jobs/jobs/3138889/sr-product-manager-technical-deal-tooling--insights-strategic-customer-engagements?cmpid=DA_INAD200785B")</f>
        <v/>
      </c>
      <c r="G160" t="inlineStr">
        <is>
          <t>Arlington, VA, US</t>
        </is>
      </c>
      <c r="H160" s="3" t="n">
        <v>45994</v>
      </c>
      <c r="I1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1">
      <c r="A161" t="inlineStr">
        <is>
          <t>in-57126522c77db09f</t>
        </is>
      </c>
      <c r="B161" t="inlineStr">
        <is>
          <t>Sr. Product Manager Technical, Deal Tooling &amp; Insights, Strategic Customer Engagements</t>
        </is>
      </c>
      <c r="C161" t="inlineStr">
        <is>
          <t>Amazon Web Services</t>
        </is>
      </c>
      <c r="D161" t="inlineStr">
        <is>
          <t>indeed</t>
        </is>
      </c>
      <c r="E161">
        <f>HYPERLINK("https://www.indeed.com/viewjob?jk=57126522c77db09f", "https://www.indeed.com/viewjob?jk=57126522c77db09f")</f>
        <v/>
      </c>
      <c r="F161">
        <f>HYPERLINK("https://www.amazon.jobs/jobs/3138889/sr-product-manager-technical-deal-tooling--insights-strategic-customer-engagements?cmpid=DA_INAD200785B", "https://www.amazon.jobs/jobs/3138889/sr-product-manager-technical-deal-tooling--insights-strategic-customer-engagements?cmpid=DA_INAD200785B")</f>
        <v/>
      </c>
      <c r="G161" t="inlineStr">
        <is>
          <t>Seattle, WA, US</t>
        </is>
      </c>
      <c r="H161" s="3" t="n">
        <v>45994</v>
      </c>
      <c r="I1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2">
      <c r="A162" t="inlineStr">
        <is>
          <t>in-7624cba3570d732e</t>
        </is>
      </c>
      <c r="B162" t="inlineStr">
        <is>
          <t>Sr. Product Manager - Tech, WHS Data-Tech</t>
        </is>
      </c>
      <c r="C162" t="inlineStr">
        <is>
          <t>Amazon.com</t>
        </is>
      </c>
      <c r="D162" t="inlineStr">
        <is>
          <t>indeed</t>
        </is>
      </c>
      <c r="E162">
        <f>HYPERLINK("https://www.indeed.com/viewjob?jk=7624cba3570d732e", "https://www.indeed.com/viewjob?jk=7624cba3570d732e")</f>
        <v/>
      </c>
      <c r="F162">
        <f>HYPERLINK("https://www.amazon.jobs/jobs/3156736/sr-product-manager--tech-whs-datatech?cmpid=DA_INAD200785B", "https://www.amazon.jobs/jobs/3156736/sr-product-manager--tech-whs-datatech?cmpid=DA_INAD200785B")</f>
        <v/>
      </c>
      <c r="G162" t="inlineStr">
        <is>
          <t>Nashville, TN, US</t>
        </is>
      </c>
      <c r="H162" s="3" t="n">
        <v>45836</v>
      </c>
      <c r="I16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3">
      <c r="A163" t="inlineStr">
        <is>
          <t>in-ce66b7db0e89fff6</t>
        </is>
      </c>
      <c r="B163" t="inlineStr">
        <is>
          <t>Sr. Product Manager - Tech, WHS Data-Tech</t>
        </is>
      </c>
      <c r="C163" t="inlineStr">
        <is>
          <t>Amazon.com</t>
        </is>
      </c>
      <c r="D163" t="inlineStr">
        <is>
          <t>indeed</t>
        </is>
      </c>
      <c r="E163">
        <f>HYPERLINK("https://www.indeed.com/viewjob?jk=ce66b7db0e89fff6", "https://www.indeed.com/viewjob?jk=ce66b7db0e89fff6")</f>
        <v/>
      </c>
      <c r="F163">
        <f>HYPERLINK("https://www.amazon.jobs/jobs/3156736/sr-product-manager--tech-whs-datatech?cmpid=DA_INAD200785B", "https://www.amazon.jobs/jobs/3156736/sr-product-manager--tech-whs-datatech?cmpid=DA_INAD200785B")</f>
        <v/>
      </c>
      <c r="G163" t="inlineStr">
        <is>
          <t>Bellevue, WA, US</t>
        </is>
      </c>
      <c r="H163" s="3" t="n">
        <v>45836</v>
      </c>
      <c r="I16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4">
      <c r="A164" t="inlineStr">
        <is>
          <t>in-e02d737ddb23eb37</t>
        </is>
      </c>
      <c r="B164" t="inlineStr">
        <is>
          <t>Sr. Product Manager - Tech, WHS Data-Tech</t>
        </is>
      </c>
      <c r="C164" t="inlineStr">
        <is>
          <t>Amazon.com</t>
        </is>
      </c>
      <c r="D164" t="inlineStr">
        <is>
          <t>indeed</t>
        </is>
      </c>
      <c r="E164">
        <f>HYPERLINK("https://www.indeed.com/viewjob?jk=e02d737ddb23eb37", "https://www.indeed.com/viewjob?jk=e02d737ddb23eb37")</f>
        <v/>
      </c>
      <c r="F164">
        <f>HYPERLINK("https://www.amazon.jobs/jobs/3156736/sr-product-manager--tech-whs-datatech?cmpid=DA_INAD200785B", "https://www.amazon.jobs/jobs/3156736/sr-product-manager--tech-whs-datatech?cmpid=DA_INAD200785B")</f>
        <v/>
      </c>
      <c r="G164" t="inlineStr">
        <is>
          <t>Arlington, VA, US</t>
        </is>
      </c>
      <c r="H164" s="3" t="n">
        <v>45836</v>
      </c>
      <c r="I16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65">
      <c r="A165" t="inlineStr">
        <is>
          <t>in-50783dbea78becfd</t>
        </is>
      </c>
      <c r="B165" t="inlineStr">
        <is>
          <t>Principal Product Manager - Tech, Recommender Systems, Prime Video Personalization &amp; Discovery</t>
        </is>
      </c>
      <c r="C165" t="inlineStr">
        <is>
          <t>Amazon.com</t>
        </is>
      </c>
      <c r="D165" t="inlineStr">
        <is>
          <t>indeed</t>
        </is>
      </c>
      <c r="E165">
        <f>HYPERLINK("https://www.indeed.com/viewjob?jk=50783dbea78becfd", "https://www.indeed.com/viewjob?jk=50783dbea78becfd")</f>
        <v/>
      </c>
      <c r="F165">
        <f>HYPERLINK("https://www.amazon.jobs/jobs/2956622/principal-product-manager--tech-recommender-systems-prime-video-personalization--discovery-?cmpid=DA_INAD200785B", "https://www.amazon.jobs/jobs/2956622/principal-product-manager--tech-recommender-systems-prime-video-personalization--discovery-?cmpid=DA_INAD200785B")</f>
        <v/>
      </c>
      <c r="G165" t="inlineStr">
        <is>
          <t>Seattle, WA, US</t>
        </is>
      </c>
      <c r="H165" s="3" t="n">
        <v>45753</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in-6a4cedffa57ec778</t>
        </is>
      </c>
      <c r="B166" t="inlineStr">
        <is>
          <t>Principal Product Manager - Tech, Recommender Systems, Prime Video Personalization &amp; Discovery</t>
        </is>
      </c>
      <c r="C166" t="inlineStr">
        <is>
          <t>Amazon.com</t>
        </is>
      </c>
      <c r="D166" t="inlineStr">
        <is>
          <t>indeed</t>
        </is>
      </c>
      <c r="E166">
        <f>HYPERLINK("https://www.indeed.com/viewjob?jk=6a4cedffa57ec778", "https://www.indeed.com/viewjob?jk=6a4cedffa57ec778")</f>
        <v/>
      </c>
      <c r="F166">
        <f>HYPERLINK("https://www.amazon.jobs/jobs/2956622/principal-product-manager--tech-recommender-systems-prime-video-personalization--discovery-?cmpid=DA_INAD200785B", "https://www.amazon.jobs/jobs/2956622/principal-product-manager--tech-recommender-systems-prime-video-personalization--discovery-?cmpid=DA_INAD200785B")</f>
        <v/>
      </c>
      <c r="G166" t="inlineStr">
        <is>
          <t>Washington, DC, US</t>
        </is>
      </c>
      <c r="H166" s="3" t="n">
        <v>45753</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in-27fd5b06cafc1179</t>
        </is>
      </c>
      <c r="B167" t="inlineStr">
        <is>
          <t>Technical Program Manager, Leo Security</t>
        </is>
      </c>
      <c r="C167" t="inlineStr">
        <is>
          <t>Amazon.com</t>
        </is>
      </c>
      <c r="D167" t="inlineStr">
        <is>
          <t>indeed</t>
        </is>
      </c>
      <c r="E167">
        <f>HYPERLINK("https://www.indeed.com/viewjob?jk=27fd5b06cafc1179", "https://www.indeed.com/viewjob?jk=27fd5b06cafc1179")</f>
        <v/>
      </c>
      <c r="F167">
        <f>HYPERLINK("https://www.amazon.jobs/jobs/3142213/technical-program-manager-leo-security?cmpid=DA_INAD200785B", "https://www.amazon.jobs/jobs/3142213/technical-program-manager-leo-security?cmpid=DA_INAD200785B")</f>
        <v/>
      </c>
      <c r="G167" t="inlineStr">
        <is>
          <t>Redmond, WA, US</t>
        </is>
      </c>
      <c r="H167" s="3" t="n">
        <v>45991</v>
      </c>
      <c r="I167"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in-905f607e761dd05b</t>
        </is>
      </c>
      <c r="B168" t="inlineStr">
        <is>
          <t>Technical Program Manager, Leo Security</t>
        </is>
      </c>
      <c r="C168" t="inlineStr">
        <is>
          <t>Amazon.com</t>
        </is>
      </c>
      <c r="D168" t="inlineStr">
        <is>
          <t>indeed</t>
        </is>
      </c>
      <c r="E168">
        <f>HYPERLINK("https://www.indeed.com/viewjob?jk=905f607e761dd05b", "https://www.indeed.com/viewjob?jk=905f607e761dd05b")</f>
        <v/>
      </c>
      <c r="F168">
        <f>HYPERLINK("https://www.amazon.jobs/jobs/3142213/technical-program-manager-leo-security?cmpid=DA_INAD200785B", "https://www.amazon.jobs/jobs/3142213/technical-program-manager-leo-security?cmpid=DA_INAD200785B")</f>
        <v/>
      </c>
      <c r="G168" t="inlineStr">
        <is>
          <t>Arlington, VA, US</t>
        </is>
      </c>
      <c r="H168" s="3" t="n">
        <v>45991</v>
      </c>
      <c r="I168"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li-4366354016</t>
        </is>
      </c>
      <c r="B2" t="inlineStr">
        <is>
          <t>Principal Product Manager, Data Innovation</t>
        </is>
      </c>
      <c r="C2" t="inlineStr">
        <is>
          <t>Cint</t>
        </is>
      </c>
      <c r="D2" t="inlineStr">
        <is>
          <t>linkedin</t>
        </is>
      </c>
      <c r="E2" t="inlineStr"/>
      <c r="F2" t="inlineStr"/>
      <c r="G2" t="inlineStr">
        <is>
          <t>New York, NY</t>
        </is>
      </c>
      <c r="H2" t="inlineStr"/>
      <c r="I2"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The anticipated pay range for this role is $175,000 to $218,000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3">
      <c r="A3" t="inlineStr">
        <is>
          <t>li-4356032940</t>
        </is>
      </c>
      <c r="B3" t="inlineStr">
        <is>
          <t>Product Manager - Ads</t>
        </is>
      </c>
      <c r="C3" t="inlineStr">
        <is>
          <t>Netflix</t>
        </is>
      </c>
      <c r="D3" t="inlineStr">
        <is>
          <t>linkedin</t>
        </is>
      </c>
      <c r="E3" t="inlineStr"/>
      <c r="F3" t="inlineStr"/>
      <c r="G3" t="inlineStr">
        <is>
          <t>Los Angeles, CA</t>
        </is>
      </c>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Role**
 We are looking for a dynamic and experienced Product Manager to join the Enterprise GenAI team, focused on partnering with Netflix Ads to scale ads operations and workflows through agentic capabilities. In this role, you will own and drive the roadmap for Ads generative AI solutions, helping accelerate a rapidly growing and highly complex part of the business. This is a high\-impact role for someone who thrives in fast\-paced, collaborative environments, excels in ambiguous settings, and is excited to ship cutting\-edge AI solutions.
**About You**
 You are curious and creative, with proven experience applying product management frameworks to build impactful enterprise or consumer products. You have hands\-on experience with generative AI products and a strong background in Ads, Sales or similar workflows, enabling you to identify high\-value use cases and translate them into scalable solutions. You bring a keen eye for design, adapt quickly to change, and become more inventive (not less) when faced with ambiguity. You love solving problems and excel at driving clarity, especially with large groups of stakeholders and partners.
 You are biased toward execution and can lead cross\-functional teams to take projects from concept to launch. You are data\-driven, using quantitative and qualitative insights to uncover opportunities and inform decisions. You are equally comfortable partnering with engineers, Ads stakeholders, other product managers, and leaders.
**Responsibilities**
* Develop and own the product vision, strategy, and roadmap for Enterprise GenAI solutions supporting Netflix Ads, aligning with business goals, platform teams, and cross‑functional product priorities.
* Identify and prioritize high‑impact GenAI use cases to streamline Ads operations and Sales workflows, driving clarity in ambiguous problem spaces, defining clear success metrics, and translating opportunities into scalable product solutions.
* Partner closely with engineering, design, and data science to translate requirements into clear product specifications and deliver high‑quality product experiences on time and at scale.
* Collaborate with internal Ads and Sales stakeholders to deeply understand operational workflows, pain points, and opportunities where GenAI and agentic capabilities can materially improve productivity and decision‑making.
* Monitor product performance, adoption, and engagement, and use both quantitative metrics and qualitative feedback to guide prioritization and continuous improvement.
* Stay current on market trends, emerging GenAI capabilities, and the competitive landscape—bringing fresh, informed thinking into product strategy and execution for Ads and enterprise use cases.
* Drive effective change management and enablement to support the successful rollout and adoption of new AI‑powered tools across Ads and adjacent teams.
* Ensure GenAI solutions are developed and deployed in alignment with Netflix’s values around safety, fairness, and transparency. Collaborate with legal, privacy, security, and ethics teams to mitigate risk and ensure compliance.
**Requirements**
* 6\+ years of Product Management experience, successfully launching and scaling products that support complex enterprise workflows and processes (e.g., Ads, Sales, Finance, Operations).
* Proven track record of building or integrating solutions that use data, automation, integrations, and AI to deliver insights and drive productivity.
* Solid foundational understanding of machine learning concepts and terminology (e.g., model training, fine‑tuning, embeddings, evaluation metrics), with specific experience in or exposure to Generative AI.
* Experience leading internal change management and enablement efforts to support the adoption of new AI technologies in large or complex organizations.
* Ability to think strategically and envision scalable platforms, while also diving deep into edge cases, architectural considerations, and implementation details.
* Highly self‑directed and effective in decentralized, fast‑paced environments; comfortable operating with autonomy and accountability.
* Deep empathy for internal users and a knack for translating complex business needs into elegant, usable product experiences.
* Strong analytical skills and the ability to influence decisions with data and key performance metrics.
* Exceptional written and verbal communication skills, with the ability to align and influence a wide range of stakeholders, including executives, technical teams, and operational partners.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
      <c r="A4" t="inlineStr">
        <is>
          <t>li-4366009464</t>
        </is>
      </c>
      <c r="B4" t="inlineStr">
        <is>
          <t>Senior Product Manager</t>
        </is>
      </c>
      <c r="C4" t="inlineStr">
        <is>
          <t>Nuvei</t>
        </is>
      </c>
      <c r="D4" t="inlineStr">
        <is>
          <t>linkedin</t>
        </is>
      </c>
      <c r="E4" t="inlineStr"/>
      <c r="F4" t="inlineStr"/>
      <c r="G4" t="inlineStr"/>
      <c r="H4" t="inlineStr"/>
      <c r="I4" t="inlineStr">
        <is>
          <t>**Job Summary**
**Product Management Job Description**
 The Senior Product Manager role will be responsible for specific product portfolio activities related to our Nuvei Integrated Platforms. As a Senior Product Manager, you will play the lead role in liaising with the development team, initiating and translating requests into workable user stories, managing assigned roadmap/backlog, and creating new features from definition all the way through general market strategy and commercialization. This role will be heavily cross\-functional and will be the "quarterback" for specific activity related to new product creation and enhancements. Additionally, this person will work with department leads and key stakeholders to identify strategy and supporting use cases, relevant KPIs and business requirements for successful product development and prioritization. This person will also be able to competently interface with, and lead engineering and development teams through project scoping and ensure timely delivery. The ideal candidate is highly motivated, a self\-starter, and has drive to identify, develop, and improve process workflow with the idea of betterment for the business and customer.
**Responsibilities**
* Create and manage product strategies, roadmaps, project plans, and product specifications
* Collaborate with sales, marketing, operations, and engineering on product development during the discovery phase through implementation
* Solicit feedback from external customers through QBR participation or sales calls to understand and anticipate their needs and translate them into product requirements
* Own the feature set and act as the product evangelist to build awareness
* Analyze market trends and performance drivers to identify new opportunities
* Prioritize and create detailed product specifications to be used in business rules, flows and use cases to meet internal and external user needs
* Plan and prioritize work that will be done within a sprint, release, quarter and/or year to achieve the greatest strategic impact on the business, optimally balancing and integrating short\-term requirements with long\-term strategic needs (e.g., sales and ROI)
* Develop realistic, detailed plans (e.g., action steps, timelines) that fully consider contingencies, constraints, and process needs to accomplish objectives
* Regularly report on the status of multiple initiatives to stakeholders and actively work to identify and remove potential roadblocks
* Ensure successful product rollouts by working cross\-functionally with business development, sales, marketing, operations, risk, and engineering
* Ensure that roadmap and prioritization processes are well communicated and understood across the organization
* Take immediate, decisive, and when necessary, independent action to resolve issues or problems in a timely manner
* Support the QA process by identifying key use cases and defining priority of any identified issues
* Manage the development of training materials for new product features, documenting existing capabilities, and acting as Tier 3/troubleshooting support as needed
**Qualifications And Requirements**
* 4\+ years of product management experience and 12\+ years of pertinent payments industry experience
* Knowledge of payments industry, either directly or closely related to work at a Software Provider and/or Merchant preferred
* Virtual terminal, transactional APIs, tokenization/vault understanding, reporting, and transaction reconciliation knowledge is a plus
* Understanding of NACHA regulations and ACH transaction processing preferred
* Aptitude for business, critical thinking and ability to probe deeply into issues, looking past symptoms to determine root cause and solutions
* Ability to easily engage and establish rapport with business professionals (development, clients, and software partners) and fully utilize/apply the best available knowledge, information, and expertise (e.g., of self or others) in decision\-making
* Ability to define and translate a vision into detailed and actionable plans
* Strong knowledge of Agile principles, processes, and tools (Jira, Azure DevOps)
* Outstanding verbal, written, and presentation skills, as well as the ability to persuade, inspire, and motivate others
* Constructively and resourcefully adapts to changing needs, conditions, priorities, or opportunities (e.g., ability to develop novel solutions for handling challenges)
* A proven track record of success in a fast\-paced, dynamic environment with multiple competing and sometimes conflicting priorities
* Passion for great user experience, including the experience of internal operations and partners
* Ability and drive to work independently and as a team contributor
* Must be a self\-motivated, goal\-oriented individual with excellent organizational skills
* Strong quantitative and analytical skills with willingness to dive deep and interpret complex data (Excel, BI tools, etc)
* Exceptional at communicating with senior management as well as with colleagues from technical and non\-technical backgrounds
* Proficient with use of Outlook, Microsoft Teams, MS Office 365 (Word, Excel, PowerPoint, SharePoint etc.), Azure DevOps, Aha! Preferred
* Experience utilizing AI based tools to assist with daily tasks preferred
**Education Requirements**
* Bachelor's degree in business, IT/technology, or other related field, or equivalent work experience (5\-10\+ years)
* Agile certification preferred</t>
        </is>
      </c>
    </row>
    <row r="5">
      <c r="A5" t="inlineStr">
        <is>
          <t>li-4356123288</t>
        </is>
      </c>
      <c r="B5" t="inlineStr">
        <is>
          <t>Product Manager</t>
        </is>
      </c>
      <c r="C5" t="inlineStr">
        <is>
          <t>Enumerate</t>
        </is>
      </c>
      <c r="D5" t="inlineStr">
        <is>
          <t>linkedin</t>
        </is>
      </c>
      <c r="E5" t="inlineStr"/>
      <c r="F5" t="inlineStr"/>
      <c r="G5" t="inlineStr"/>
      <c r="H5" t="inlineStr"/>
      <c r="I5" t="inlineStr">
        <is>
          <t>Enumerate is a leader in the property management space offering a robust ERP system called Central that delivers Community Accounting, Management, Communications, Engagement and Reporting all on one easy to use platform. It is the most comprehensive solution for property management, powerful enough to support large scale Property Managers, yet easy enough for Self\-Management Associations. Enumerate is hiring an experienced
 **Product Manager** 
 who will contribute to defining our strategy and vision for our Central platform, with a particular focus on Operations Management (the jobs our customers need to get done).
 At Enumerate, we put the Customer First in everything we do, delivering customer\-centric solutions and finding ways to say YES! We aim to win and act on our goals and vision with the right amount of planning and execution. We have an incredible team atmosphere where egos don’t exist, and we credit others for contributions, accomplishments and success!
**Job Summary**
* Define, prioritize and execute product roadmap that delivers robust Operations Management capabilities for Property Managers and Self\-Management Associations and their customers.
* Drive AI\-powered automation of core workflows including data ingestion, classification, reconciliation, exception handling, and workflow orchestration
* Design and deliver GenAI\-powered capabilities such as copilots, assistants, and agent\-based workflows embedded directly into core product experiences
* Enable predictive and prescriptive insights that help customers proactively manage operations, optimize workflows, and scale without increasing headcount
* Directly partner with new and existing customers to understand Operations Management capabilities, processes and challenges customers face with a variety of workflows. Work with Product Leadership to incorporate Customer Feedback and remove friction from product usage.
* Work closely with Engineering to set prioritization and backlog of work, maintaining the backlog. Participate in Agile ceremonies, including Planning, Sprint Reviews and refinements.
* Be a strong internal advocate that regularly engages with the organization to train on capabilities, workflow changes and overall value proposition of our solution.
* Partner closely with Engineering, Data, and Architecture teams to deliver scalable, secure, explainable, and production\-ready solutions
* Support go to market activities that enable Marketing, Sales, Customer Success and Operations to drive product adoption and grow revenue.
* Maintain a close pulse on market trends and competitors to ensure Enumerate remains a leader in AI\-enabled property management
**Education And Experience**
* 3\-5 years of Product Management experience on a successful software product
* Experience in FinTech/Payments and/or Accounts Payable space strongly preferred
* BA/BS, in a relevant business or technical discipline preferred (or equal work experience)
* Excellent client\-facing and internal communication skills
* Strong verbal, written, presentation and interpersonal skills are preferred
* Positive, self\-motivated, team player, action \&amp; results oriented
 This is a remote role for candidates located within the United States.
**About Enumerate**
 Enumerate is a best\-in\-class provider of property management software and payments solutions for community associations. We make it easier to run associations by digitizing and optimizing their accounting processes, operational workflows, AR \&amp; AP payments, and resident engagement, ultimately reducing administrative tasks by over 75%. With tens of thousands of communities and millions of homes managed, Enumerate is a leader in supporting communities across America.
 Enumerate was born from industry veterans joining together to operate under the most comprehensive end\-to\-end offering in the community association management market. As the only player offering a combination of SaaS, Services and Payments products, we are creating a modern, digitally native experience for both homeowners and property managers and are uniquely positioned for continued growth in a category that is already growing 25\-30% YoY.
 The pay range is inclusive of base salary plus any applicable bonuses or commissions.
 Total compensation pay range (annual salary):: $110,000 USD \- $130,000 USD</t>
        </is>
      </c>
    </row>
    <row r="6">
      <c r="A6" t="inlineStr">
        <is>
          <t>li-4366333915</t>
        </is>
      </c>
      <c r="B6" t="inlineStr">
        <is>
          <t>Product Owner</t>
        </is>
      </c>
      <c r="C6" t="inlineStr">
        <is>
          <t>ConnectPay Payroll Services</t>
        </is>
      </c>
      <c r="D6" t="inlineStr">
        <is>
          <t>linkedin</t>
        </is>
      </c>
      <c r="E6" t="inlineStr"/>
      <c r="F6" t="inlineStr"/>
      <c r="G6" t="inlineStr">
        <is>
          <t>Mansfield, MA</t>
        </is>
      </c>
      <c r="H6" t="inlineStr"/>
      <c r="I6" t="inlineStr">
        <is>
          <t>ConnectPay provides comprehensive payroll and HR solutions specifically designed for small and medium\-sized businesses. Our mission is to simplify payroll processes while ensuring full compliance with tax regulations, enabling our clients to focus on growing their businesses.
 At ConnectPay, we pride ourselves on combining cutting\-edge technology with a personalized, human\-first approach. We understand that every business is unique, so we tailor our services—including payroll processing, tax compliance, and HR support—to meet the specific needs of our clients.
 We believe that our employees are our most valuable asset. By fostering a culture of innovation, collaboration, and professional growth, we empower our team to deliver exceptional service and create meaningful daily impact for our clients.
 As a Product Owner, you will work closely with product managers, engineering, and design to turn strategy into clear, actionable requirements. You’ll help refine features, prioritize backlog items, and ensure our payroll, tax, and HRIS capabilities continue to evolve in ways that deliver value to small business customers. This role is ideal for someone early in their product career who enjoys problem solving, collaborating with cross functional teams, and owning day\-to\-day product execution.
**Key Responsibilities**
 Backlog \&amp; Requirements
* Translate high\-level product strategy into detailed user stories, acceptance criteria, and functional requirements.
* Maintain and prioritize the product backlog to ensure clarity and alignment with business and customer needs.
* Work with engineering to refine requirements and support sprint planning activities.
 Customer \&amp; Market Insights
* Conduct user interviews, analyze support trends, and gather feedback to understand customer pain points.
* Review product usage data to identify patterns, opportunities, and areas for improvement.
 Cross Functional Collaboration
* Partner with design to support user flows, prototypes, and UX decisions.
* Work with engineering throughout the development cycle, ensuring clarity and alignment on scope and objectives.
* Collaborate with compliance teams to understand core payroll and tax requirements.
* Coordinate with go\-to\-market teams to communicate upcoming releases and product updates.
 Execution \&amp; Delivery
* Assist in defining release goals and supporting successful feature launches.
* Participate in sprint ceremonies (standups, retros, planning, grooming).
* Test new features, validate acceptance criteria, and troubleshoot issues when needed.
**Qualifications**
* 1–3 years of experience in product ownership, business analysis, or a related role.
* Exposure to SaaS, HRIS, payroll, or financial/operations software is a plus.
* Strong communication and documentation skills.
* Ability to break complex problems into clear, structured requirements.
* Basic understanding of agile methodologies.
**Preferred Qualifications**
* Experience working with API driven products or integrations.
* Familiarity with small business customer needs.
* Comfort with data analysis tools (e.g., SQL, product analytics platforms).
 CP Payroll believes in fair and equitable pay. A reasonable estimate of this role’s hiring base salary range is $88,000 \- $107,000\. The actual salary will depend on a variety of factors, including but not limited to a candidate’s education, training, experience, location, and internal equity. In addition to base salary, all CP Payroll team members receive equity and participate in either an annual bonus plan, based on company and individual performance, or a role\-based sales incentive plan.
 This role is eligible for an annual bonus with a target of 7\.5% of base salary, based on company and individual performance.
 At CP Payroll, we are proud to offer a comprehensive team member benefits package, including 401(k) with company contributions, group medical, dental, and vision coverage, life insurance, short and long\-term disability insurance, and flexible spending accounts.
 CP Payroll is an equal opportunity employer. We are committed to a work environment free from discrimination and harassment. All employment decisions are made without regard to race, color, religion, gender, sexual orientation, gender identity or expression, national origin, age, disability, marital status, veteran status, or any other protected characteristic under applicable law.</t>
        </is>
      </c>
    </row>
    <row r="7">
      <c r="A7" t="inlineStr">
        <is>
          <t>li-4254365963</t>
        </is>
      </c>
      <c r="B7" t="inlineStr">
        <is>
          <t>Product Manager</t>
        </is>
      </c>
      <c r="C7" t="inlineStr">
        <is>
          <t>Meta</t>
        </is>
      </c>
      <c r="D7" t="inlineStr">
        <is>
          <t>linkedin</t>
        </is>
      </c>
      <c r="E7" t="inlineStr"/>
      <c r="F7" t="inlineStr"/>
      <c r="G7" t="inlineStr">
        <is>
          <t>New York, NY</t>
        </is>
      </c>
      <c r="H7" t="inlineStr"/>
      <c r="I7"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li-4256729089</t>
        </is>
      </c>
      <c r="B8" t="inlineStr">
        <is>
          <t>Product Manager (Reload)</t>
        </is>
      </c>
      <c r="C8" t="inlineStr">
        <is>
          <t>Epic Games</t>
        </is>
      </c>
      <c r="D8" t="inlineStr">
        <is>
          <t>linkedin</t>
        </is>
      </c>
      <c r="E8" t="inlineStr"/>
      <c r="F8" t="inlineStr"/>
      <c r="G8" t="inlineStr"/>
      <c r="H8" t="inlineStr"/>
      <c r="I8"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**What You'll Do**
 We are looking for a Product Manager to support Fortnite Battle Royale \&amp; Reload. You will use both creative and analytical skills to identify opportunities, define product strategy, support roadmap development, execute live operations, and contribute to strategic planning. You are responsible for driving better experience through disciplined analytics and experimentation.
**In this role, you will**
* Plan, execute, and measure impact from new growth initiatives, supporting go\-to\-market for launch and subsequent major content beats for Fortnite Battle Royale \&amp; Reload
* Partner closely with internal stakeholders and development teams to prioritize, plan, and implement the product roadmap
* Drive product improvements by providing product and market insights in partnership with analytics and user research
* Contribute to product reviews and long\-term business planning and forecasting; support reporting efforts shared with the senior leadership
* Manage partnerships with cross\-functional teams, such as partnerships, legal, finance, and production
* Define measurable features and initiative goal,s as well as create detailed business and product requirements that are used to guide design and technical specifications
**What We're Looking For**
* 3\+ years of experience in product management, strategy, analytics, or similar roles
* A passion for games (Shooter \&amp; Battle Royale genre) and a deep understanding of growth, engagement, and retention principles and mechanics
* Experience analyzing large data sets to identify actionable insights; Excel, SQL, and Tableau proficiency are required
* Demonstrated ability to contribute in a fast\-paced, collaborative team environment
* Experience in designing and implementing tests in a live environment
* Outstanding written and oral communication skills
* Business, quantitative, technical, or design degree is a plus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New York City Base Pay Range
 $157,151—$261,918 USD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9">
      <c r="A9" t="inlineStr">
        <is>
          <t>li-4195252962</t>
        </is>
      </c>
      <c r="B9" t="inlineStr">
        <is>
          <t>Product Manager, AI Quality</t>
        </is>
      </c>
      <c r="C9" t="inlineStr">
        <is>
          <t>Glean</t>
        </is>
      </c>
      <c r="D9" t="inlineStr">
        <is>
          <t>linkedin</t>
        </is>
      </c>
      <c r="E9" t="inlineStr"/>
      <c r="F9" t="inlineStr"/>
      <c r="G9" t="inlineStr"/>
      <c r="H9" t="inlineStr"/>
      <c r="I9"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Glean’s PM for Glean Model Hub, you will evaluate LLM models, define the roadmap for growing Glean’s LLM portfolio, manage relationships with inference and model providers, and determine product strategy for allowing customers to experiment with different LLMs. You will own projections of LLM usage, cost, and capacity planning while driving customer enablement and their upgrade adoption journey for the latest LLMs and LLM\-native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4\+ years of experience in product management at SaaS companies, primarily serving large enterprises with responsibilities spanning AI/ML Ops and external\-facing platform capabilities.
* Having built or worked with LLMs for at\-scale products is a major plus.
* You have a strong technical background and experience with both UX and API driven products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$160,000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0">
      <c r="A10" t="inlineStr">
        <is>
          <t>li-4366312561</t>
        </is>
      </c>
      <c r="B10" t="inlineStr">
        <is>
          <t>Product Manager- SaaS</t>
        </is>
      </c>
      <c r="C10" t="inlineStr">
        <is>
          <t>TP-Link Systems Inc.</t>
        </is>
      </c>
      <c r="D10" t="inlineStr">
        <is>
          <t>linkedin</t>
        </is>
      </c>
      <c r="E10" t="inlineStr"/>
      <c r="F10" t="inlineStr"/>
      <c r="G10" t="inlineStr">
        <is>
          <t>Irvine, CA</t>
        </is>
      </c>
      <c r="H10" t="inlineStr"/>
      <c r="I10"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TP\-LINK Systems is seeking an experienced
 **Senior Product Manager** 
 to lead the strategy, development, and growth of our
 **Software\-as\-a\-Service (SaaS)** 
 offerings that complement our
 **Home Networking and Smart Home** 
 product ecosystem.
 This role is ideal for a product leader who thrives at the intersection of technology, user experience, and business impact — driving innovative
 **subscription services and connected software experiences** 
 that enhance how customers connect, automate, and manage their smart homes and networks.
 Key Responsibilities
 Product Strategy \&amp; Definition
* Partner with senior product leaders to define product goals, requirements, and success metrics that align with TP\-Link's SaaS strategy
* Conduct market research, gather customer feedback, and analyze usage data to identify trends and opportunities for improvement
* Assist in translating business needs and customer insights into actionable product specifications and user stories
 Product Development \&amp; Execution
* Collaborate with engineering, design, QA, and operations to manage product development timelines and ensure successful feature delivery
* Maintain and prioritize the product backlog to balance short\-term improvements with long\-term roadmap goals
* Support day\-to\-day coordination of product releases, including testing and documentation efforts
 Lifecycle \&amp; Portfolio Support
* Assist in tracking product performance across its lifecycle, gathering insights for continuous iteration and enhancement
* Help evaluate customer feedback and competitive trends to maintain strong product\-market fit
* Support cross\-functional reviews of roadmap priorities and release planning
**Requirements**
 Qualifications:
* Bachelor's degree in Business, Computer Science, Engineering, or related field
* 2\-5 years of experience in product management, product operations, or related roles—preferably within SaaS, cloud services, or consumer technology
* Familiarity with agile development methodologies and tools (e.g., Jira, Confluence)
* Strong analytical and problem\-solving skills, with the ability to interpret data and transform insights into action
* Excellent communication and collaboration skills across technical and non\-technical teams
* Interest or experience in networking, IoT, or smart home ecosystems is a plus
**Benefits**
 Benefits:
 Salary range $130,000 to $170,000
* Fully paid medical, dental, and vision insurance (partial coverage for dependents)
* Contributions to 401k funds (Quarterly Employer Contributions)
* 15 days accrued vacation
* 11 paid holidays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t>
        </is>
      </c>
    </row>
    <row r="11">
      <c r="A11" t="inlineStr">
        <is>
          <t>li-4365954680</t>
        </is>
      </c>
      <c r="B11" t="inlineStr">
        <is>
          <t>Product Owner</t>
        </is>
      </c>
      <c r="C11" t="inlineStr">
        <is>
          <t>HD Supply</t>
        </is>
      </c>
      <c r="D11" t="inlineStr">
        <is>
          <t>linkedin</t>
        </is>
      </c>
      <c r="E11" t="inlineStr"/>
      <c r="F11" t="inlineStr"/>
      <c r="G11" t="inlineStr">
        <is>
          <t>Atlanta, GA</t>
        </is>
      </c>
      <c r="H11" t="inlineStr"/>
      <c r="I11" t="inlineStr">
        <is>
          <t>**Preferred Qualifications**
* Bachelor’s degree in business administration or a related field.
* 2\+ years of experience analyzing Agile metrics such as velocity, cycle time, and burndown charts to assess team performance.
* 1\+ years of experience in wholesale distribution or supply chain management.
* Certified Scrum Master (CSM), Product Owner (CSPO), or equivalent certification.
* Experience collaborating with UX teams or knowledge of user\-centered design principles.
**Job Summary**
 Designs, develops, troubleshoots, and debugs moderately complex software applications for enhancements and new products. Performs coding, configuration, debugging, testing, and troubleshooting throughout the application development process.
**Major Tasks, Responsibilities, And Key Accountabilities**
* Collaborates with the Product Manager to execute the defined product vision, roadmap, and priorities.
* Refines and manages the product backlog, ensuring alignment with business objectives and stakeholder needs.
* Writes clear and concise user stories with acceptance criteria, ensuring backlog items are well\-groomed and ready for development.
* Acts as a liaison between business and technical teams, ensuring clear communication and shared understanding.
* Facilitates Agile ceremonies, including sprint planning, daily stand\-ups, sprint reviews, and retrospectives.
* Monitors sprint progress, tracks key performance metrics, and communicates updates to stakeholders.
* Ensures adherence to Agile best practices to drive team efficiency and continuous improvement.
* Advocates for customer needs by integrating feedback into product development and prioritization.
**Nature and Scope**
* Demonstrates skill in data analysis techniques by resolving missing/incomplete information and inconsistencies/anomalies in more complex research/data.
* Nature of work requires increasing independence; receives guidance only on unusual, complex problems or issues. Work review typically involves periodic review of output by a supervisor and/or direct customers of the process.
* May provide general guidance/direction to or train junior level support or professional personnel.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2\-5 years of experience in a related field OR MS/MA and generally 2\-4 years of experience in a related field. Certification is required in some areas.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12">
      <c r="A12" t="inlineStr">
        <is>
          <t>li-4309206474</t>
        </is>
      </c>
      <c r="B12" t="inlineStr">
        <is>
          <t>Product Manager</t>
        </is>
      </c>
      <c r="C12" t="inlineStr">
        <is>
          <t>Orkes</t>
        </is>
      </c>
      <c r="D12" t="inlineStr">
        <is>
          <t>linkedin</t>
        </is>
      </c>
      <c r="E12" t="inlineStr"/>
      <c r="F12" t="inlineStr"/>
      <c r="G12" t="inlineStr">
        <is>
          <t>Cupertino, CA</t>
        </is>
      </c>
      <c r="H12" t="inlineStr"/>
      <c r="I12" t="inlineStr">
        <is>
          <t>**About Us**
 Orkes is a platform for developers to build durable, distributed event driven applications. Based on the popular open source orchestration engine Conductor, Orkes lets developers focus on faster go to market with applications, scaling them to handle billions of workflows without having to worry about failures, scalability or visibility into the executions.
 We are looking for a Product Manager with a focus on identifying, defining and launching products and services that will drive the adoption of Orkes with engineering teams. In this role, you will be pivotal in shaping our user journey, driving customer onboarding, activation, and conversion. If you are passionate about data\-driven decision\-making, optimizing user experiences, and driving customer activation and conversion, this role is perfect for you.
**Your Day\-to\-day At Orkes**
* Take ownership of the first days of a user journey and ensure a seamless and engaging experience.
* Implement strategies to improve user onboarding, reduce friction, and enhance user satisfaction during initial interactions with our product.
* Collaborate with cross\-functional teams (Engineering, DevRel, Sales, Marketing) to define and track key performance metrics related to user acquisition, activation, conversion and expansion.
* Analyze the user journey, from initial onboarding to conversion and beyond, and identify areas for improvement.
* Continuously monitor and improve conversion rates throughout the user journey. Collaborate with Product Engineering and Design teams to implement changes that enhance conversion at key touch points.
* Regularly analyze user behavior and engagement data to uncover insights and trends. Use these insights to make informed decisions and iterate on growth strategies as well as continuous product evolution across core Conductor and cloud offerings.
* Embrace a culture of experimentation.
* Test hypotheses, run A/B tests, and iterate on features based on real\-time data and user feedback.
* Create and deliver regular reports on growth metrics and initiatives to company leadership. \-Clearly communicate progress, challenges, and opportunities to stakeholders.
* Utilize data analytics to measure and analyze key performance indicators.
* Make informed decisions based on data insights and continuously optimize strategies.
**Qualities That Will Help You Succeed**
* Proven experience as a Product Manager for a technology product (preferably a product for application developers) with a track record of driving growth and optimization.
* Previous exposure to and understanding of product\-led growth strategies, including alignment with Go\-to\-Market (GTM) teams.
* Proven experience bringing structured thinking and prioritization to what needs to be built and launched while thriving in an environment where there is ambiguity
* Results\-oriented mindset with a focus on driving measurable outcomes.
* A deep understanding of user\-centered design principles and user experience best practices.
* Excellent project management skills with the ability to prioritize and manage multiple initiatives simultaneously.
* Strong analytical and problem\-solving skills and a bias for action.
* Reverse engineering from customer needs.
* Excellent communication and interpersonal skills to collaborate effectively with distributed cross\-functional teams.
**You Will Have a Fast Start If**
* Engineering background (e.g., you wrote some code before)
* You have defined and launched SaaS offerings in the cloud infrastructure space
*The requirements listed in the job descriptions are guidelines. You don’t have to satisfy every requirement or meet every qualification listed. If your skills are transferable we would still love to hear from you.*
**More Details**
 The base salary for this role is between $150,000 and $180,000 USD. When determining compensation, a number of factors will be considered: skills, experience, job scope, location, and competitive compensation market data.
* Start Date: As soon as possible
* Status: Full Time
* Type: Hybrid, 2\-3x per week in office
* Location: Seattle or San Francisco Bay Area
* Department: Product Engineering
* Reports to: CPO
**Benefits**
* Comprehensive health coverage including medical, dental, and vision
* Flexible PTO
* Support for personal development
 At Orkes, we are committed to building a team that reflects a rich tapestry of perspectives, identities, and professional experiences. We believe that diversity is not just a checkbox, but a driving force behind innovation, creativity, and success. By embracing a variety of backgrounds, we cultivate an inclusive environment where every team member feels valued and empowered to bring their authentic selves to work.
 Join us at Orkes and be a part of a team where your unique perspectives are not only welcomed but celebrated. Together we are shaping the future technology by leveraging the strength that comes from embracing diversity in all its forms. Your Journey with us is an opportunity to contribute to something greater and make a lasting impact.</t>
        </is>
      </c>
    </row>
    <row r="13">
      <c r="A13" t="inlineStr">
        <is>
          <t>li-4320959060</t>
        </is>
      </c>
      <c r="B13" t="inlineStr">
        <is>
          <t>Sr Product Manager</t>
        </is>
      </c>
      <c r="C13" t="inlineStr">
        <is>
          <t>The Walt Disney Company</t>
        </is>
      </c>
      <c r="D13" t="inlineStr">
        <is>
          <t>linkedin</t>
        </is>
      </c>
      <c r="E13" t="inlineStr"/>
      <c r="F13" t="inlineStr"/>
      <c r="G13" t="inlineStr">
        <is>
          <t>Orlando, FL</t>
        </is>
      </c>
      <c r="H13" t="inlineStr"/>
      <c r="I13" t="inlineStr">
        <is>
          <t>Join us at Disney Experiences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(DX) Technology \&amp; Digital is the dynamic force behind the technical solutions that power the Walt Disney Parks and Resorts. We're seeking a passionate Senior Technical Product Manager to join our Disney Store product team. In this role, you'll lead the delivery of Disney Store features, bringing surprise and delight to our Guests.
 The ideal candidate is able to drive initiatives from concept to delivery with a knack for creating and executing a product vision, all while possessing a passion for learning. If you thrive on taking ownership, driving action, and contributing to the growth of product organizations, leveraging cutting\-edge technologies like artificial intelligence (AI) and machine learning (ML) to transform the way the Walt Disney Company interacts with its guests, we want to hear from you!
**What You'll Do**
* Shape the strategy: Architect the product vision, strategy, and roadmap throughout the entire product delivery process.
* Create clarity: Lead requirement gathering, user story creation, prioritization, and execution with cross\-functional teams, ensuring consistent communication with peers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design, commercial, and customer support.
* Set the priority: Prioritize with our business, product, and engineering partners, managing technical discussions to drive alignment.
* Deliver excellence: Coordinate and communicate iterative product releases and updates, ensuring timely delivery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landscapes, and customer needs.
**Qualifications**
* A minimum of 5\+ years of product management experience, with a technical focus.
* A bachelor's degree in a related field
* Demonstrated success in launching and scaling products by recognizing customer needs, creating a vision, building roadmaps, identifying success measurements, and executing excellence with peers.
* Strong technical knowledge with experience leading initiatives that span several teams and functional areas.
* Drive delivery excellence, manage risks and dependencies, ensure OKRs and KPIs are met, and unblock cross\-functional teams to meet deadlines.
* Proven ability to translate customer and business needs through requirements and user stories.
* Proven experience leading teams within an agile, collaborative environment.
* Strong communicator with proven ability to bring clarity and direction through written and verbal communication skills.
* Data and hypothesis\-driven aptitude, with the ability to flex business and technical thinking.
* Familiarity with collaboration tools such as Jira, Smartsheet, and Confluence.
* Frameworks: Agile/Scrum, OKRs, AI/ML Ops.
**Preferred Qualifications**
* Experience with consumer\-facing experiences and services.
* Experience within the eCommerce and merchandizing industries.
* Experienced in Microsoft Office applications.
* Familiarity with design principles and best practices.
* Familiarity with DevOps and test automation principles.</t>
        </is>
      </c>
    </row>
    <row r="14">
      <c r="A14" t="inlineStr">
        <is>
          <t>li-4327607884</t>
        </is>
      </c>
      <c r="B14" t="inlineStr">
        <is>
          <t>Senior Product Manager, Software</t>
        </is>
      </c>
      <c r="C14" t="inlineStr">
        <is>
          <t>PROCEPT BioRobotics</t>
        </is>
      </c>
      <c r="D14" t="inlineStr">
        <is>
          <t>linkedin</t>
        </is>
      </c>
      <c r="E14" t="inlineStr"/>
      <c r="F14" t="inlineStr"/>
      <c r="G14" t="inlineStr">
        <is>
          <t>San Jose, CA</t>
        </is>
      </c>
      <c r="H14" t="inlineStr"/>
      <c r="I14" t="inlineStr">
        <is>
          <t>**Company Overview** 
 Embark on an enriching journey with PROCEPT BioRobotics, where our vision, mission, and values guide everything we do as a company. At PROCEPT, we put the patient first in everything we do and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We're seeking a talented Senior Product Manager to play a pivotal role in shaping the future of PROCEPT. You will be responsible for the software product lifecycle for the HYDROS™ Robotic system, from ideation to launch, driving the development of cutting\-edge solutions that enhance the surgical experience and patient outcomes.  In addition, you will lead the development of new features and capabilities such as AI features, hardware connectivity, customer\-facing portals (e.g., surgeon dashboards) as well as sales and internal\-facing portals that integrate clinical data and business insights. This includes defining the product vision, gathering and prioritizing customer needs, collaborating with cross\-functional teams to execute product development, and ensuring successful market adoption.
 This is an excellent opportunity for someone who wants to help transform patient care from the ground up as part of a small, energetic team in a dynamic company. The ideal candidate will have the ability to think creatively and execute flawlessly, with a proven track record of success in software product launches. Get ready to transform lives and shape the future of Urology!
**What Your Role Will Involve:** 
* **Product Strategy:**
* Develop and execute a comprehensive product strategy for the software portfolio, AI capabilities, and system connectivity aligning with PROCEPT’s overall vision
* Conduct market research and competitive analysis to identify opportunities and threats
* Define product roadmaps and scope features based on customer needs and business objectives
* Plan, manage, and incorporate Voice of Customers and Voice of Sales into product strategy and planning
* Lead the strategy of an integrated digital ecosystem, including cloud services, data workflows, and secure remote access to robots, to ensure interoperability across the robotic platform and deliver a unified, insight\-driven user experience
**Product Management:** 
* Own the entire product lifecycle, from ideation to launch and post\-launch support
* Develop in\-depth technical and clinical knowledge of Aquablation therapy, urological anatomy, disease states, procedures, and associated products
* Experience in developing hardware connectivity concepts, defining requirements, and partnering with engineering and design teams to develop and implement connectivity features
* Familiarity with cybersecurity for connected medical devices, including secure remote access, data protection, network integration, and compliance with healthcare security standards (e.g., SOC\-2, ISO 27001, HIPAA)
* Experience in developing customer\-facing portals (e.g., surgeon dashboards) as well as sales and internal\-facing portals that integrate clinical data, workflow tools, and insights to enhance decision\-making and user engagement across stakeholders
* Lead user research and in\-field feedback collection to inform product improvements, working closely with clinical teams to ensure exceptional user experiences, and translating customers and sales team feedback into intuitive, user\-friendly UI designs throughout development
**Cross\-Functional Collaboration:** 
* Proven ability to lead cross\-functional teams and influence decision\-making at all levels
* Build strong relationships with key internal stakeholders and external customers (e.g. surgeons)
**Market Launch and Adoption:** 
* Manage product releases, ensuring timely, high\-quality delivery, and develop comprehensive launch plans in collaboration with commercial support teams
* Support the development of training materials, clinical documentation, and educational resources for internal teams and customers
* Support initial product launches by supporting initial cases during LMR (Limited Market Release).
**The Qualifications We Need You to Possess** 
* Bachelor's degree in engineering, computer science, or a related field
* Minimum 7 years of experience of software\-based product management in the medical device industry, or another industry with significant cybersecurity and/or regulatory requirements
* Comfort with various software development methodologies (e.g. Agile, Scrum, Waterfall).
* The position requires critical, analytical, and strategic thinking, the ability to take initiative and lead change, and the ability to ask the right questions to assess fundamental needs while working effectively with a diverse team
* Ability to travel up to 15% of the time
* Hybrid (3 days per week minimum)
**The Qualifications We Would Like You to Possess** 
* Advanced degree (MBA or MS).
* Familiarity with AI software development concepts, cybersecurity, and HIPAA
* Possess knowledge of licensing and upgrading concepts (ideally with past experience), define requirements, and work with engineering to build and launch these capabilities from the ground up, leveraging SaaS, subscription, and other software business model experience where applicable.
* Experience with Jira
 For US\-Based Candidates Only
 Work Authorization Status: Citizen / Permanent Resident
**Understanding PROCEPT's Culture** 
 At
 **PROCEPT** 
 ,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**PROCEPT BioRobotics – Applicant Privacy Notice
 When you submit an application on this site, PROCEPT BioRobotics collects the personal information you provide. This may include your name, email address, phone number, résumé or CV, LinkedIn profile, and any optional demographic information you choose to share, such as gender or ethnicity. We use this information to review your application and assess your suitability for the role.
 To learn more about how we handle personal information, including your rights under applicable privacy regulations, please read our full Privacy Notice at:
**\[**
**Privacy Policy**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position also includes an annual bonus, RSUs at offer, and flexible time off!**</t>
        </is>
      </c>
    </row>
    <row r="15">
      <c r="A15" t="inlineStr">
        <is>
          <t>li-4338867993</t>
        </is>
      </c>
      <c r="B15" t="inlineStr">
        <is>
          <t>Principal Product Manager, Gusto Pro</t>
        </is>
      </c>
      <c r="C15" t="inlineStr">
        <is>
          <t>Gusto</t>
        </is>
      </c>
      <c r="D15" t="inlineStr">
        <is>
          <t>linkedin</t>
        </is>
      </c>
      <c r="E15" t="inlineStr"/>
      <c r="F15" t="inlineStr"/>
      <c r="G15" t="inlineStr"/>
      <c r="H15" t="inlineStr"/>
      <c r="I1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We’re looking for a Principal Product Manager to lead Growth for Gusto Pro, our product specifically built for Accountants. Accountants play a critical role within the Gusto ecosystem. They are one of our largest user groups, but also act as a one\-to\-many growth engine by referring their small business clients to use Gusto as their payroll provider, generating a substantial portion of our total revenue.
 We have ambitious plans to become the most efficient platform for accountants to deliver payroll \&amp; advisory services to their clients and help millions of small businesses as a result. If you enjoy uncovering \&amp; solving big customer problems, driving experimentation, and identifying new ways to propel the growth of a referral\-driven business model, we’d love to hear from you.
**Here’s What You’ll Do Day\-to\-day**
* Ownership: Lead product discovery to uncover/deeply understand customer problems and test risky assumptions
* North Star: Create a long\-term vision and strategy that defines the big problems we can solve well with durable competitive advantage
* Collaborate: Partner closely with Engineering, Design, and Data Science on all stages of the product development process, and the Revenue teams to co\-create hypotheses and support a sales and product\-driven growth engine
* Run A/B tests and lean experiments to quickly prove out hypotheses and test new concepts, always looking for ways to get stronger signal on new ideas
* Rapidly execute and iterate with an emphasis on user delight, impact, and learning. Regularly take risks and make calculated tradeoffs
* Define, measure, and improve key product and business metrics
**Here’s What We're Looking For**
* 8\+ years of hands\-on Product Management experience
* Proven track record of leading growth teams and running clean A/B tests that deliver impactful results
* The intangibles: Natural curiosity, grit, customer obsession, and humility
* Strong product discovery and analytics skills
* The ability to tell a compelling story that drives alignment and inspires action
* Strong collaboration skills; ability to quickly build trust with Revenue and Product teams
* A passion for helping small and medium size businesses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6">
      <c r="A16" t="inlineStr">
        <is>
          <t>li-4311414300</t>
        </is>
      </c>
      <c r="B16" t="inlineStr">
        <is>
          <t>Product Manager, Custody</t>
        </is>
      </c>
      <c r="C16" t="inlineStr">
        <is>
          <t>Crypto.com</t>
        </is>
      </c>
      <c r="D16" t="inlineStr">
        <is>
          <t>linkedin</t>
        </is>
      </c>
      <c r="E16" t="inlineStr"/>
      <c r="F16" t="inlineStr"/>
      <c r="G16" t="inlineStr"/>
      <c r="H16" t="inlineStr"/>
      <c r="I16" t="inlineStr">
        <is>
          <t>We are looking for Product Managers to drive product initiatives from inception through execution. This is a unique opportunity for someone with vision to architect and manage an industry\-changing platform that helps change the way we deal with money. You will be able to drive impact and launch products/features across our global footprint. You will collaborate closely with engineers, designers, analysts, marketers, and other cross\-functional team members to ship remarkable features and products.
**Job Responsibilities** 
* Create and maintain the team’s roadmap, milestones, and dependencies with strategic priorities in mind
* Define features, write product specifications, facilitate user studies, iterate on feedback, help write test plans with QA, manage the backlog, and ultimately ship products/features in a timely manner
* Interview and interact with customers to build empathy, ensuring that their needs are met
* Prioritize initiatives and projects appropriately and weigh tradeoffs that must be made
* Perform market research and analysis
* Represent the team in communication with cross\-functional teams
* Manage specific features within a product line
**Job Requirements** 
* Experience with settlement operations is a plus
* Experience with regulated financial products for institutional clients will be beneficial
* Domain knowledge of digital assets, private key management is preferred
* A data\-informed work style, viewed through a compassionate lens of the user
* A passion for building delightful customer\-facing products and experiences
* Experience shipping and iterating on successful Software or Financial products at scale
* Demonstrated leadership, taking initiative and producing results
* The ability to collaborate well with designers, engineers, QA, Marketing, compliance, growth
* Diligent and open to learning new things
* Bring humility to your work and how you work with others
* Good aptitude for understanding technical concepts and applying them is preferred
**Why we do it
 Here at
 Crypto.com
 we are committed to creating an environment where internal talent is recognised and career growth and opportunities are presented to everyone in a fair and transparent way.
 We want everyone to feel empowered in taking ownership of their careers and openly encourage our people leaders to nurture and develop Talent within their teams and across the organization to realize our true ambition of being here for good.
 Our colleagues around the world are our biggest asset and we want our people to be able to grow their careers with us, making it easy to move internally as easily as it is to move externally.
 Internal Transfer Policy click
 here
 .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row>
    <row r="17">
      <c r="A17" t="inlineStr">
        <is>
          <t>li-4348454690</t>
        </is>
      </c>
      <c r="B17" t="inlineStr">
        <is>
          <t>Associate Product Manager</t>
        </is>
      </c>
      <c r="C17" t="inlineStr">
        <is>
          <t>AVIDA</t>
        </is>
      </c>
      <c r="D17" t="inlineStr">
        <is>
          <t>linkedin</t>
        </is>
      </c>
      <c r="E17" t="inlineStr"/>
      <c r="F17" t="inlineStr"/>
      <c r="G17" t="inlineStr">
        <is>
          <t>San Francisco, CA</t>
        </is>
      </c>
      <c r="H17" t="inlineStr"/>
      <c r="I17" t="inlineStr">
        <is>
          <t>Avida helps fitness coaches build thriving online businesses — and we’re hiring a Product Manager to strengthen our product execution, documentation, and cross\-team alignment.
 You’ll support our engineering, design, and operations teams by driving clear prioritization, writing crisp product specs, and ensuring we maintain a high bar for product quality. This is a role for someone who is smart, organized, analytical, and excited to help ship product at a fast\-moving Series A startup.
**What You’ll Do**
**Product Execution \&amp; Documentation**
* Create clear, structured PRDs, feature specs, user stories, and acceptance criteria.
* Maintain accurate product documentation across Notion, Linear, and internal workflows.
* Translate business needs into well\-defined requirements with rationale and tradeoffs.
**Prioritization \&amp; Roadmapping**
* Help maintain the product roadmap by sequencing work based on impact, complexity, and dependencies.
* Partner with senior PMs and leadership to run lightweight prioritization processes.
* Manage sprint planning inputs and ensure teams have what they need to execute.
**Quality \&amp; Delivery**
* Hold engineering to a high standard of product quality — functional, visual, and experiential.
* Review builds before release; validate functionality against requirements.
* Coordinate QA efforts, run checklists, and ensure defects are addressed quickly.
**Analytics \&amp; Insight Gathering**
* Use SQL queries and our BI tooling to ask questions to understand performance and user behavior.
* Track success metrics for features (adoption, usage, retention, quality).
* Synthesize insights from data, user feedback, and coach conversations.
**Cross\-Team Collaboration**
* Work closely with engineering, design, operations, and coach\-facing teams.
* Drive alignment through clear communication, structured updates, and fast follow\-ups.
* Support discovery work through research, light user interviews, and competitive scans.
**What You Bring**
* 1–3 years of product management or product\-adjacent experience (product ops, business operations, data/analytics, associate PM, etc.).
* Ability to produce crisp documentation and structure ambiguous problems.
* Strong organizational skills with attention to detail and follow\-through.
* Comfort digging into data — SQL basics, dashboards, pulling reports.
* Experience working with engineering teams and understanding basic technical concepts.
* Clear communication skills and the ability to build trust across functions.
* A high personal bar for product quality, polish, and user experience.
**Bonus Skills**
* Previous experience in consumer apps, wellness, fitness, or creator products.
* Experience in a startup environment with rapid iteration cycles.
* Light design literacy (Figma) or technical literacy (APIs, architecture basics).
**Location:** 
 Remote (US, Canada or Western Europe\-based, must be open to signficiant overlap with US\-PT hours)
**Compensation**
 The salary range for this role is
 **$80\-120k USD** 
 plus equity. Actual compensation may vary by location and experience.
**Why Avida**
 At Avida, we help fitness creators build meaningful, scalable businesses — and we’re building AI\-powered tools that make world\-class coaching accessible to anyone. Joining Avida means working with a fast\-moving, deeply collaborative remote team where product quality, velocity, and impact matter.
 If you enjoy bringing clarity to complexity, building strong documentation, and helping a team ship excellent product, this role is for you.
**Apply now to help build the future of online fitness coaching.**
 Compensation Range: $80K \- $120K</t>
        </is>
      </c>
    </row>
    <row r="18">
      <c r="A18" t="inlineStr">
        <is>
          <t>li-4366332204</t>
        </is>
      </c>
      <c r="B18" t="inlineStr">
        <is>
          <t>Group Product Manager, Rider Experience</t>
        </is>
      </c>
      <c r="C18" t="inlineStr">
        <is>
          <t>Uber</t>
        </is>
      </c>
      <c r="D18" t="inlineStr">
        <is>
          <t>linkedin</t>
        </is>
      </c>
      <c r="E18" t="inlineStr"/>
      <c r="F18" t="inlineStr"/>
      <c r="G18" t="inlineStr">
        <is>
          <t>San Francisco, CA</t>
        </is>
      </c>
      <c r="H18" t="inlineStr"/>
      <c r="I18" t="inlineStr">
        <is>
          <t>**About The Role**
 Uber is on a mission to power movement \-\- around the world. We're looking for a visionary and strategic consumer experience leader to join our dynamic and fast\-paced team. As a Lead Product Manager or Group Product Manager on the Rider Experience and Growth team, you will be directly responsible for aspects of the core rider journey for Uber \- powering billions of trips and defining the future of transportation. You'll set strategy and vision for the experience, align with cross\-functional partners and executive leaders across the company, and lead a team responsible for driving that vision forward daily.
 In this role, you'll work closely with Product Design, Data Science, Engineering, Business teams and other partners across Uber's businesses and geographies. You will lead with deep customer insights and empathy, relying on data and UXR to make informed decisions grounded in strong product intuition. You'll be both creative and bring deep expertise in consumer product to the table, as well as analytically rigorous, driving experimentation and knowing your metrics. You'll operate with an owner's mindset, obsessing over every detail of the end\-to\-end experience.
**What The Candidate Will Do**
* Collaborate with cross\-functional teams, including Design, Data Science, Engineering and Ops, to identify opportunities to make the experience better and drive business outcomes.
* Distill the vision and strategy for the team and effectively present and communicate to cross\-functional partners and executive leadership to generate enthusiasm and drive alignment.
* Develop and maintain a roadmap of product initiatives, and implement data\-driven experiments to improve the core Rider experience for Uber.
* Anticipate and remove obstacles that slow down or prevent the team from delivering on operational, product, and business objectives.
* Build and lead a high performing product team.
**Basic Qualifications**
* 8\+ years of Product Management experience delivering highly successful and innovative products with your fingerprints all over them. You should be familiar with systems thinking, analytics and experiment design, and have a solid understanding of software development processes and concepts.
* Bachelors degree in Computer Science, Engineering, or similar. Masters preferred.
* Leadership. Direct experience building and managing a team of technical product managers as well as setting and delivering on a strategy you crafted, where you were accountable for the outcomes.
* Consumer product experience with a track record of delivering highly successful and innovative products with your fingerprints all over them.
* Experience building and leading scaled businesses, including ownership and optimization of business performance metrics.
* Experience leading geographically distributed cross\-functional teams in an energetic, high\-octane environment.
**Preferred Qualifications**
* Customer obsession. You have a knack for taking on complex product challenges and finding elegant solutions that are delightfully simple for our users.
* A Driver mindset.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 Attention to detail. Obsess over every pixel and underlying detail that drives the way users experience Uber Eats. No problem is too big or to small.
* Finger\-tippiness with data. You find a way to get the data you need and whip it into an insightful story with no help. You know how to demonstrate this data to make decisions without getting stuck in analysis paralysis.
* A high bar across the board \-\- from your own contributions to the people you work with, to the products you work on.
* A true passion for Uber's mission, our products, and the company's hybrid technology/operations nature.
* A never\-ending desire to grow and learn.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9">
      <c r="A19" t="inlineStr">
        <is>
          <t>li-4366357797</t>
        </is>
      </c>
      <c r="B19" t="inlineStr">
        <is>
          <t>Product Manager, Business Scalability</t>
        </is>
      </c>
      <c r="C19" t="inlineStr">
        <is>
          <t>GlossGenius</t>
        </is>
      </c>
      <c r="D19" t="inlineStr">
        <is>
          <t>linkedin</t>
        </is>
      </c>
      <c r="E19" t="inlineStr"/>
      <c r="F19" t="inlineStr"/>
      <c r="G19" t="inlineStr">
        <is>
          <t>New York, NY</t>
        </is>
      </c>
      <c r="H19" t="inlineStr"/>
      <c r="I19"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been empowering independent entrepreneurs in the beauty, health and wellness space to follow their dreams and successfully grow their businesses. We're redefining what's possible for small to large business owners by solving complex problems through innovative technology that puts intelligence at the center of everything we build.
 As we continue to scale, we're strengthening our Product Team to enhance the foundational experiences that drive success for our users. As a Product Manager on the Business Scalability Team, you will help build the future of scalable excellence through products and platforms that empower and protect our professionals, supercharge internal teams, and transform cost centers into competitive advantages. This work ensures our platform is frictionless, enables smooth internal operations, protects against abuse and fraud, and empowers our internal teams to support customers effectively.
 You will think creatively about how to leverage AI and emerging technologies to build intelligent systems that scale effortlessly. You will define product priorities and partner closely with engineering, design, and cross\-functional stakeholders to build robust, innovative solutions that safeguard the user experience and strengthen platform integrity.
 You must be commutable to our NYC headquarters and will operate in a hybrid environment. We default to being in\-office 3\-4 days per week with required attendance on Tuesdays and Thursdays.
**What You’ll Do** 
* Drive end\-to\-end product execution—from zero to one to scale—bringing customer facing experiences, new internal tools and trust \&amp; safety systems from concept to launch with urgency and precision.
* Own and prioritize the roadmap, balancing external customer needs with internal team needs, operational efficiency, and platform integrity with broader business impact.
* Move fast and build. Rapidly test, iterate, and deliver high\-quality tools and systems.
* Think creatively about problems and explore innovative approaches, including AI\-powered solutions, to build smarter, more scalable systems that reduce manual effort and increase efficiency.
* Deeply understand operational workflows, customer support pain points, and trust \&amp; safety risks to proactively identify opportunities and mitigate threats.
* Partner cross\-functionally with Design, Engineering, Ops, Risk, Sales, and Support.
* Set ambitious goals and define clear success metrics. Analyze outcomes, gather feedback, and refine quickly to maximize impact.
* Own the narrative. Communicate priorities, decisions, and learnings with clarity and influence—from leadership to internal tool users on the frontlines.
**What We’re Looking For** 
* 3\+ years of product management experience, ideally within SaaS or startup environments; bonus for experience with internal tools and/or trust \&amp; safety platforms
* Strong ownership mindset – you take full accountability for outcomes, drive projects forward with minimal oversight, and proactively solve problems before they become blockers
* Creative problem solver who thinks beyond conventional solutions and explores innovative approaches to complex challenges
* Curious and AI\-forward – actively explores how to leverage AI and emerging technologies to solve customer and operational problems; stays informed on industry trends and experiments with new tools
* Impact\-oriented with execution rigor – focused on delivering meaningful business outcomes while maintaining high quality standards and attention to detail throughout the product development process
* Demonstrated ability to drive features from concept to launch, partnering closely with design and engineering to execute with quality and speed
* Solid product intuition with the ability to understand user needs, identify opportunities, and contribute to the product vision
* Passionate about empowering independent business owners; brings empathy and a customer\-first mindset to everything they build
* A clear, concise communicator who can work effectively with cross\-functional partners and build alignment across the team
**Benefits \&amp; Perks** 
* Flexible PTO
* Competitive health \&amp; dental insurance options, with premiums partially covered by GG
* Fertility and adoption benefits via Carrot and Kindbody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stipend
* Team Bonding: As a distributed team, being able to build meaningful bonds both virtually and in person is incredibly important to us! We are constantly evaluating how we accomplish this and currently, teams are given opportunities to gather in person throughout the year.
*The starting base salary for this role in New York is between $155,000\-$180,000 \+ target equity \+ benefits. The base salary offered is dependent upon many factors including skills, experience, location, and education. The base pay range is subject to change and may be modified in the future.*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20">
      <c r="A20" t="inlineStr">
        <is>
          <t>li-4343800651</t>
        </is>
      </c>
      <c r="B20" t="inlineStr">
        <is>
          <t>Group Product Manager</t>
        </is>
      </c>
      <c r="C20" t="inlineStr">
        <is>
          <t>ClickUp</t>
        </is>
      </c>
      <c r="D20" t="inlineStr">
        <is>
          <t>linkedin</t>
        </is>
      </c>
      <c r="E20" t="inlineStr"/>
      <c r="F20" t="inlineStr"/>
      <c r="G20" t="inlineStr"/>
      <c r="H20" t="inlineStr"/>
      <c r="I20"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**About The Role**
 As a Group Product Manager, you will lead a team of Product Managers to drive the vision, strategy, and execution for a portfolio of high\-impact product areas within the core product. You will manage a team of 4\-6 Product Managers at various levels. You can expect \~30% of your time dedicated to individual contributions within the core product, leading by example.
 Key Responsibilities
* Lead and mentor a team of Product Managers across multiple squads.
* Set product vision and strategy aligned with company goals.
* Own the group roadmap, balancing quick wins with long\-term initiatives.
* Collaborate cross\-functionally with engineering, design, analytics, GTM teams, and EPD leadership.
* Stay on top of metrics for all areas
* Establish product rituals and processes to streamline operations across the organization.
* Conduct market research and analyze user feedback.
* Define and track key performance metrics.
* Foster a culture of ownership and continuous improvement.
* Build strong stakeholder relationships.
* Present strategy and results to executives.
* Contribute as an IC on a specific area of your team.
* Hire and onboard Product Managers to the product organization.
**Qualifications**
* 10\+ years in Product Management, with 5\+ years managing a team of Product Managers.
* Proven experience in building and scaling B2B SaaS products in high\-growth environments.
* Strong analytical and data\-driven decision\-making skills.
* Excellent communication and stakeholder management abilities.
* Demonstrated ownership of business metrics and results.
* Comfortable with ambiguity, a fast pace, and high expectations.
* Experience in startups and/or at scale.
* High standards for product quality and user experience.
* Passionate about AI
 Nice to Have
* Experience in leading AI\-driven products
* Background in developer platforms or productivity tools.
* Familiarity with ClickUp’s product areas (e.g., Views, Tasks, Whiteboard, Mobile, Chrome extension).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21">
      <c r="A21" t="inlineStr">
        <is>
          <t>li-4324048220</t>
        </is>
      </c>
      <c r="B21" t="inlineStr">
        <is>
          <t>Senior Product Manager</t>
        </is>
      </c>
      <c r="C21" t="inlineStr">
        <is>
          <t>Rally UXR</t>
        </is>
      </c>
      <c r="D21" t="inlineStr">
        <is>
          <t>linkedin</t>
        </is>
      </c>
      <c r="E21" t="inlineStr"/>
      <c r="F21" t="inlineStr"/>
      <c r="G21" t="inlineStr"/>
      <c r="H21" t="inlineStr"/>
      <c r="I21" t="inlineStr">
        <is>
          <t>**Role at a glance**
 As a Senior Product Manager, you’ll help our customers run better user research and bring the voice of the user into every product decision.
* What: You’ll shape the roadmap and product strategy across Rally’s core User Research CRM and adjacent product surfaces, turning continuous customer insight into clear, focused priorities.
* Impact: You’ll be Rally’s first dedicated PM, setting the vision and focus for engineering and design so they can build faster and smarter, and creating leverage across the entire product organization.
* Team: You’ll collaborate directly with our co\-founders and Head of Design, and partner closely with Engineering, Product Marketing, Sales, and Customer Success.
* Work style: Remote\-first within the United States, with regular async collaboration and periodic in\-person offsites.
**About Rally UXR**
 Rally is the User Research CRM that helps product, design, and research teams talk to their users quickly, safely, and at scale. We streamline recruiting, outreach, screening, scheduling, consent, and incentives so teams can spend less time wrestling with spreadsheets and manual workflows and more time learning from customers. We’re trusted by companies like Google, Figma, Perplexity, Adobe, and others who use Rally to make user research a continuous input into product decisions.
 User Research is a nascent but fast\-growing function inside SaaS companies and has historically relied on disjointed tools and manual processes. Rally exists to fix that: we’re building the infrastructure layer that makes high\-quality research easier to run, easier to scale, and impossible to ignore.
**About The Team**
 Rally’s product and engineering team is a small, highly collaborative group obsessed with craft, clarity, and user empathy.
* We work closely with UX Researchers, Research Ops leaders, designers, and product managers at some of the world’s most user\-centric companies.
* We use Rally to build Rally—talking to our own users frequently, running studies on our platform, and feeding insights straight into the roadmap.
* We favor small, empowered teams, high ownership, and a tight feedback loop between customers, product, and engineering.
**The opportunity**
 Until now, Rally’s product direction has been driven by our founders, designers, and engineers. It’s worked, but it’s time to add a partner who brings structure to that intuition. As our first PM, you’ll help define what product management means at Rally and how it scales.
 You’ll own high\-leverage problems across our core CRM \+ recruitment platform and new product surfaces, set the vision and focus for the team, and ensure we’re investing in the most impactful bets for our customers and business.
**What You’ll Do**
* Set product vision and strategy across Rally’s core CRM \+ recruitment platform and new product surfaces, aligning the team on the most important problems to solve.
* Run continuous discovery: talk to users weekly, synthesize insights, and translate them into clear priorities and product decisions.
* Bring clarity to execution: collaborate with engineers and designers to define MVPs, manage trade\-offs, and unblock progress throughout the development lifecycle.
* Drive data\-informed decisions: partner with engineering to instrument analytics, define success metrics, and share insights that guide roadmap and prioritization.
* Represent enterprise users: build trusted relationships with large customers, translate their needs into scalable solutions, and balance short\-term commitments with the long\-term product vision.
* Champion focus and quality: prioritize fewer, more impactful bets; say “no” thoughtfully; and keep the team focused on the highest\-leverage problems.
* Collaborate cross\-functionally: work with Product Marketing, Sales, and CS to gather market and customer insights and ensure cohesive launches and customer experiences.
* Shape product culture: help define Rally’s PM rituals, documentation standards, and hiring DNA as we grow the product organization.
**What You’ll Bring**
* 5–7\+ years as a Product Manager shipping B2B SaaS products, including enterprise use cases.
* Strong product sense and data fluency—you’re comfortable moving between qualitative insight, quantitative analysis, and crisp product decisions.
* Exceptional written and verbal communication skills; you bring clarity in documents, specs, and meetings with both ICs and executives.
* Comfortable working with tools, i.e., Figma/Linear, to collaborate with design and engineering.
* Demonstrated ability to set direction for cross\-functional teams, manage trade\-offs, and deliver outcomes in a high\-ownership, fast\-moving environment.
* Alignment with Rally’s philosophy on AI and how it can create leverage for product and research teams.
**Nice to have**
* Experience as a first or early PM, especially defining product management practices from scratch at a startup.
* Background working closely with UX Research, Research Ops, or Design teams.
* Familiarity with enterprise SaaS, especially products used by product, design, or research organizations.
 If you’re excited about Rally and this role but don’t meet every requirement, we’d still encourage you to apply—we’re interested in what you can do, not just what you’ve done.
**How We Work**
 Rally is a remote\-first company with teammates across the US and Canada. We default to async communication, rely on clear written documentation, and save meetings for collaboration, decision\-making, and relationship\-building.
* Remote\-first: Work from anywhere in the US, with core collaboration hours that overlap across US time zones.
* In\-person connection: We bring people together for periodic team or company offsites to build relationships, do deep\-dive strategy work, and celebrate wins.
* High ownership: You’ll have real responsibility from day one and a lot of trust to figure out the best way to get to outcomes.
* Customer\-driven: We talk to users constantly and use those insights to drive decisions across Product, Design, Engineering, and Go\-To\-Market.
**Compensation \&amp; Benefits**
 Base salary range (US): $170,000 – $200,000 USD per year. This range reflects the minimum and maximum target for new hires in this role across the United States. Within the range, individual pay is determined by factors such as job\-related skills, experience, and location.
 Additional compensation: This role may be eligible for equity awards in accordance with Rally’s applicable plans. Any such compensation is not guaranteed and is determined at Rally’s discretion under the terms of those plans.
**Benefits For US\-based Full\-time Employees Currently Include**
* Competitive compensation and meaningful equity
* Flexible / unlimited PTO policy
* Medical, dental, and vision insurance
* Paid parental leave
* 401(k) retirement plan
* Home office set\-up support
* Monthly remote work stipend
* Quarterly in\-person team or company gatherings
 Benefits may vary based on role, level, and location, and are subject to change as Rally grows.
**Our hiring process**
 While the exact steps can vary by role, here’s what you can generally expect for this role:
* Initial conversations: Short calls with members of the team (for example, our CTO and Head of Design) to learn more about your background and share more about Rally.
* Take\-home exercise: A practical exercise aligned with the day\-to\-day work.
* Presentation \&amp; deep dive: A session to walk through your exercise, followed by product\-focused conversations with future teammates and cross\-functional partners.
* Final conversations: Additional time with leadership and/or key partners to answer remaining questions and align on mutual fit.
 We’ll share details at each stage so you know what’s coming and how to prepare!
 Rally strives to recruit and retain exceptional talent from diverse backgrounds while ensuring pay equity across our team. Our salary ranges are based on competitive market data for our size, stage, and industry, and may adjust over time as the market evolves.
 Rally is an equal opportunity employer. We do not discriminate on the basis of race, religion, color, national origin, gender (including pregnancy, childbirth, or related medical conditions), sexual orientation, gender identity or expression, age, disability, veteran status, or any other legally protected characteristic.
 We’re committed to providing reasonable accommodations to candidates with disabilities throughout the application and interview process. If you need support or an adjustment at any point, please email us at hello@rallyuxr.com and let us know how we can help.
 This job description is intended to describe the general nature and level of work for this role. It is not a complete list of all responsibilities, duties, and skills required. Employment with Rally is “at will,” which means either you or Rally may terminate the employment relationship at any time, with or without cause or notice, subject to applicable law.
 Compensation Range: $175K \- $200K</t>
        </is>
      </c>
    </row>
    <row r="22">
      <c r="A22" t="inlineStr">
        <is>
          <t>li-4194502227</t>
        </is>
      </c>
      <c r="B22" t="inlineStr">
        <is>
          <t>Product Manager II - Financial Platform</t>
        </is>
      </c>
      <c r="C22" t="inlineStr">
        <is>
          <t>Coinbase</t>
        </is>
      </c>
      <c r="D22" t="inlineStr">
        <is>
          <t>linkedin</t>
        </is>
      </c>
      <c r="E22" t="inlineStr"/>
      <c r="F22" t="inlineStr"/>
      <c r="G22" t="inlineStr"/>
      <c r="H22" t="inlineStr"/>
      <c r="I2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Financial Platform team is key to Coinbase’s mission to create an open financial system for the world. The Financial Platform team powers all trading flows \&amp; products at Coinbase, including hundreds of billions of dollars of transactions per year. In this role, you will lead the most\-trusted company in crypto as we approach the upcoming bull run.
 We are looking for an entrepreneurial, self\-motivated product manager who thrives in a fast\-paced startup environment. You have experience with financial products including customer financial records, and you’ve led these products at scale. You are comfortable dealing with ambiguity, able to think through complex challenges, and able to align cross\-functional teams effectively to launch products. 
**What You'll Be Doing:** 
* Determine the vision and strategy for the platforms which power the entirety of Coinbase’s trading flows and products
* Build robust, scalable solutions that maintain a high quality bar for customer financial data
* Define the roadmap to scale to 1B users and steer execution on that vision
* Prioritize the roadmap towards highest value to our customers, leveraging metrics to guide product development
* Consider new customer and business opportunities such as externalizing our APIs to the developer community
* Become an expert in financial and crypto products, performing competitive and data analyses to guide decision\-making
**What We Look For In You:** 
* 5\+ years of product management experience
* Computer Science degree or Software Engineering experience
* Knowledge in financial products, including financial record keeping and Accounting pipelines
* Experience building robust, scalable solutions for fund movements, customer balances, and/or portfolio performance
* Demonstrated success leading business\-critical systems in a fast\-paced environment
* Ability to motivate a range of senior stakeholders including CFO, Accounting, Product \&amp; Engineering towards a common vision
**Nice to Haves:** 
* Experience designing, implementing and executing automated financial controls
* Knowledge of financial processes (audit, treasury, FP\&amp;A) and financial applications (ERP systems, accounting platforms, budgeting tools, etc.)
 ID: GPPM05US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23">
      <c r="A23" t="inlineStr">
        <is>
          <t>li-4335080232</t>
        </is>
      </c>
      <c r="B23" t="inlineStr">
        <is>
          <t>Senior Product Manager, AdTech</t>
        </is>
      </c>
      <c r="C23" t="inlineStr">
        <is>
          <t>KAYAK</t>
        </is>
      </c>
      <c r="D23" t="inlineStr">
        <is>
          <t>linkedin</t>
        </is>
      </c>
      <c r="E23" t="inlineStr"/>
      <c r="F23" t="inlineStr"/>
      <c r="G23" t="inlineStr">
        <is>
          <t>Concord, MA</t>
        </is>
      </c>
      <c r="H23" t="inlineStr"/>
      <c r="I23"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The
 **KAYAK Network team** 
 powers travel discovery across our global brands and hundreds of affiliate partners helping millions of travelers find and book their perfect trip. We build inspiring ad experiences and powerful tools that connect partners with the most relevant audiences.
 As the
 **Senior Product Manager, Adtech** 
 , you’ll own the strategy and execution of KAYAK’s auction platform, driving advertiser value, user engagement, and revenue growth. This is a highly technical role at the intersection of machine learning, systems engineering, and pricing strategy. You’ll collaborate with exceptional teams to design, test, and scale the future of our auction dynamics.
**This position is required to work from one of our Massachusetts offices at least 3 days per week.**
**In This Role, You Will**
* Experiment and optimize: Define clear, measurable hypotheses to improve key metrics, design experiments to validate them, and use insights to drive long\-term growth.
* Lead cross\-functional collaboration: Partner closely with technical and business teams to shape strategy and deliver sustainable growth through auctions.
* Own the roadmap: Set quarterly goals for the team and guide features from concept to launch.
* Stay ahead of the curve: Keep a pulse on industry trends, competitors, and emerging technologies to inform innovation.
* Champion customer needs: Collaborate with business and product design teams to identify opportunities and solve for partner and traveler needs across all segments.
* Measure what matters: Define, track, and influence the metrics that represent auction health and success.
* Dig into data: Conduct hands\-on analysis of large, complex datasets to uncover insights that maximize partner ROI and user engagement.
**Please Apply If You Have**
* Experience championing a product vision and being accountable for its success.
* Experience structuring work around clear goals and measurable impact.
* Strong track record of collaborating with technical and data science teams.
* Experience with A/B testing, data visualization, and statistical modeling.
* High attention to detail and fluency interpreting and using data to make decisions
* BS/BA, MBA or similar experience
* Excellent communication and collaboration skills to facilitate working across different cultures and timezones
**Preferred Qualifications**
* 7\+ years experience in Product Management, Tech or other related fields.
* Knowledge of auction theory, bidding and pacing strategies, dynamic pricing models or machine learning concepts related to auctions.
* Experience in B2C marketplaces or e\-commerce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There are a variety of factors that go into determining a salary range, including but not limited to external market benchmark data, geographic location, and years of experience sought/required. The range for this United States based role is $150,000 \- 170,000\.00, not inclusive of annual bonus and recurring RSU grants.
 We offer a competitive base salary and benefits including: health benefits; flexible spending account; retirement benefits; life insurance; paid time off (including PTO, paid sick leave, medical leave, bereavement leave, floating holidays and paid holidays); and parental leave benefits.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t>
        </is>
      </c>
    </row>
    <row r="24">
      <c r="A24" t="inlineStr">
        <is>
          <t>li-4330410366</t>
        </is>
      </c>
      <c r="B24" t="inlineStr">
        <is>
          <t>Senior Product Manager- CIAM</t>
        </is>
      </c>
      <c r="C24" t="inlineStr">
        <is>
          <t>GM Financial</t>
        </is>
      </c>
      <c r="D24" t="inlineStr">
        <is>
          <t>linkedin</t>
        </is>
      </c>
      <c r="E24" t="inlineStr"/>
      <c r="F24" t="inlineStr"/>
      <c r="G24" t="inlineStr">
        <is>
          <t>Irving, TX</t>
        </is>
      </c>
      <c r="H24" t="inlineStr"/>
      <c r="I24"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**About The Role**
 The role of the Senior Product Manager at GM Financial is crucial in driving innovation and continuous improvement across the B2C and B2B channels. The Senior Product Manager, reporting to the VP Servicing Systems, will be responsible for defining and leading the execution of a roadmap of features and experiences that exceed customer expectations and meet business objectives. As a collaborative team player, you will work closely with developers, Conversation designers, marketers, analytics teams and operations leaders to ensure the success of the product. Your expertise in some of GM Financial's key digital consumer channels will make you a recognized advocate for putting the customer at the center of everything we do. In your role as the Senior Product Manager of the GMF Contact Center, you will be responsible for gathering requirements, prioritizing tasks, and executing the product features. Working closely with the other Contact Center product manager, you will accelerate the contact center product portfolio, and with our Analytics teams, you will ensure that the new features are being reported on.
**Responsibilities**
**What makes you an ideal candidate?**
* Understand and articulate the vision, strategic priorities and goals of the organization, translating them into a roadmap of features and enhancements that provide remarkable customer experiences.
* Establish and nurture relationships with key stakeholders and other influencers who contribute to the definition and ongoing support of B2C and B2B strategies through stewardship, influence, motivation and change leadership.
* Lead the high\-level prioritization of initiatives, aligning experiences across channels and touchpoints to ensure the best business results.
* Lead planning for the future direction of B2C and B2B channels and features by combining customer needs and insights with quantifiable business cases to establish program roadmaps and strategies that are built on consensus and buy\-in from senior leadership.
* Lead and nurture a team of direct and/or indirect team members charged with implementing the product roadmap.
* Continually monitor competitors and industry developments.
* Deep understanding of and experience in product management and software product lifecycle in an agile environment.
* Strong knowledge and experience in Scaled Agile Framework (SAFe).
* Strong analytical skills, with the ability to assemble and interpret data, create executive summaries and deliver business insights.
* Exceptional interpersonal, communication (verbal and written), cross\-collaboration and team skills.
* Ability to dive into performance measurements with teams to help optimize and find key insights into performance.
* Ability to manage multiple projects simultaneously.
* Ability to synthesize analytic results into relevant and strategic recommendations.
* Ability to understand and explain complex issues and clearly identify and communicate the situation at a high level.
* Excellent persuasive and negotiation skills.
* Excellent presentation skills.
* Excellent skills creating and managing a roadmap of features and enhancements.
* Conversational AI and contact center experience preferred.
**Qualifications**
**Experience:**
* Bachelor’s Degree in related field or equivalent work experience required
* 4\-7 years’ experience as a Product Owner/Manager on an Agile Scrum Team required
* 2\-4 years Leadership experience required
**Licenses/Certifications**
* Agile Certifications required
**What We Offer:** 
 Benefits effective day 1, 401K, Bonding leave for new parents (12 weeks, 100% paid), Pet insurance, training, certifications
**Our Culture:** 
 Our team members define and shape our culture — an environment that welcomes innovative ideas, fosters integrity, and creates a sense of community and belonging. Here we do more than work — we thrive.
**Compensation:** 
 Competitive pay
**Work Life Balance:** 
 Flexible hybrid work environment
**Benefits Package:** 
 Generous benefits package</t>
        </is>
      </c>
    </row>
    <row r="25">
      <c r="A25" t="inlineStr">
        <is>
          <t>li-4343820281</t>
        </is>
      </c>
      <c r="B25" t="inlineStr">
        <is>
          <t>Principal Product Manager, Subscriptions &amp; Monetization</t>
        </is>
      </c>
      <c r="C25" t="inlineStr">
        <is>
          <t>Headspace</t>
        </is>
      </c>
      <c r="D25" t="inlineStr">
        <is>
          <t>linkedin</t>
        </is>
      </c>
      <c r="E25" t="inlineStr"/>
      <c r="F25" t="inlineStr"/>
      <c r="G25" t="inlineStr">
        <is>
          <t>San Francisco, CA</t>
        </is>
      </c>
      <c r="H25" t="inlineStr"/>
      <c r="I25" t="inlineStr">
        <is>
          <t>**About the Principal Product Manager, Subscriptions \&amp; Monetization** 
**at Headspace:** 
 We are seeking a highly strategic and experienced
 **Principal Product Manager, Subscriptions \&amp; Monetization** 
 to drive Headspace’s global subscription, pricing, and revenue strategy across all platforms (web, mobile, and partner channels). This Principal PM will be responsible for defining, building, and optimizing the product experience around how members discover, purchase, and manage their Headspace subscription. You will be the product leader who unlocks significant revenue growth and LTV (Lifetime Value) by defining new monetization strategies, improving our payment customer experience, and strategically packaging our offerings. This role requires a unique blend of product management excellence, deep analytical skills, and a strong commercial acumen to drive the financial health and growth of the business. At Headspace, product leaders are expected to model experimentation with purpose, share feedback with care, and a deep commitment to the member journey.
**What you will do:** 
 As a
 **Principal Product Manager, Subscriptions \&amp; Monetization** 
 , you will be responsible for a variety of tasks crucial to the success of the Headspace Product team. Your day\-to\-day responsibilities will include:
* **Monetization Strategy \&amp; Vision:** 
 Define the multi\-year product vision, strategy, and roadmap for Headspace’s core monetization streams, including subscription packaging, paywalls, and feature differentiation to maximize revenue and user retention.
* **Pricing \&amp; Experimentation:** 
 Lead the strategy, design, and execution of pricing and promotional experiments (A/B testing) to optimize conversion rates and average revenue per user (ARPU) across different customer segments and markets.
* **Payment Customer Experience (CX):** 
 Own and optimize the end\-to\-end payment and billing experience (including checkout flows, recurring billing, dunning, and alternative payment methods) to reduce involuntary churn and minimize transactional friction.
* **Subscription Offerings \&amp; Packaging:** 
 Define and launch new subscription tiers, packaged offerings, and bundles that align with customer value and Headspace's overall go\-to\-market strategy.
* **Technical Product Ownership:** 
 Work closely with Engineering to define and prioritize requirements for the core subscription platform, billing systems, and APIs that ensure security, scalability, and financial accuracy.
* **General Manager Mindset:** 
 Establish and rigorously track key business and product/business metrics (e.g., Conversion Rate, ARPU, Churn Rate, LTV) and use data modeling to forecast financial impact and inform strategic product decisions.
* **Cross\-Functional Collaboration:** 
 Serve as the primary product partner for Core Experience Product, Finance, Legal, Data Science, and Marketing teams to ensure alignment on monetization goals, revenue targets, and go\-to\-market plans.
**What you will bring** 
 :
 To excel in this role, you should possess a strong foundation in both technical and commercial skills related to subscription models.
**Required Skills:** 
* 8\+ years of experience in Product Management, with at least 2\+ years focused specifically on subscription models, monetization, pricing, or billing platforms.
* Proven track record of defining and launching successful products that directly contributed to revenue growth and/or improved customer Lifetime Value (LTV).
* Exceptional strategic thinking and analytical skills, capable of translating complex business problems and financial goals into clear product roadmaps and specifications.
* Deep understanding of subscription economics and hands\-on experience with A/B testing and experimentation for monetization features.
* Strong communication and interpersonal skills, with the ability to influence and align stakeholders at all levels.
**Preferred Skills:** 
* Experience with global payment systems, billing systems (e.g., Zuora, Recurly, Stripe), and related financial compliance.
* Experience in the digital health, wellness, or consumer subscription SaaS sectors.
* Familiarity with multiple monetization models (e.g., freemium, tiered subscriptions, usage\-based pricing).
**Location: We are currently hiring this role in San Francisco (hybrid),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**$162,000 \- $258,700**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26">
      <c r="A26" t="inlineStr">
        <is>
          <t>li-4366344253</t>
        </is>
      </c>
      <c r="B26" t="inlineStr">
        <is>
          <t>Product Manager</t>
        </is>
      </c>
      <c r="C26" t="inlineStr">
        <is>
          <t>Microsoft</t>
        </is>
      </c>
      <c r="D26" t="inlineStr">
        <is>
          <t>linkedin</t>
        </is>
      </c>
      <c r="E26" t="inlineStr"/>
      <c r="F26" t="inlineStr"/>
      <c r="G26" t="inlineStr">
        <is>
          <t>Redmond, WA</t>
        </is>
      </c>
      <c r="H26" t="inlineStr"/>
      <c r="I26" t="inlineStr">
        <is>
          <t>**Overview**
 Overview
 Microsoft is seeking a highly experienced Principal Product Manager (Level 66\) to lead the strategy, vision, and execution of advanced AI agents that transform how sales organizations operate. In this role, you will drive endtoend product direction for autonomous and assistive AI solutions that improve prospecting, deal management, customer success, and account management. You will influence company\-wide AI initiatives, partner across engineering and field organizations, and define the next wave of AIpowered innovation for sellers.
 This role is ideal for a product leader who brings deep AI product expertise, strong strategic instincts, and a passion for building highimpact solutions at enterprise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articulate the longterm product vision and multiyear roadmap for AI Sales Agents that empower sellers across prospecting, qualification, opportunity management, and customer success.
* Lead strategy and execution across engineering, design, data science, field sales, and marketing, ensuring clarity of goals and a shared definition of success.
* Define and prioritize highimpact features and capabilities based on customer needs, seller workflows, and business objectives at global scale.
* Establish rigorous AI evaluation frameworks, success metrics, and continuous improvement loops to ensure highquality model behavior and measurable business outcomes.
* Drive rapid prototyping and experimentation using codegeneration frameworks and modern AI development tools to validate concepts and accelerate innovation.
* Synthesize insights across customer feedback, telemetry, research, and competitive trends to inform product decisions and shape longterm strategy.
* Champion Responsible AI principles, ensuring privacy, safety, and compliance standards are embedded across the entire product lifecycle.
* Communicate strategy, progress, and insights to executive stakeholders, providing clear narratives and datadriven recommendations.
* Influence crossorg partners across Microsoft to align on technology stack, strategy, platform architecture, and GTM execution.
**Qualifications**
**Required Qualifications:**
* Bachelor's Degree AND 8\+ years experience in product/service/program management or software development
+ OR equivalent experience.
**Preferred Qualifications**
* 10\+ years of product management experience, including 2\+ years driving AI or machine learning products.
* Own and articulate the long term product vision and multiyear roadmap for AI Sales Agents that empower sellers across prospecting, qualification, opportunity management, and customer success.
* Lead strategy and execution across engineering, design, data science, field sales, and marketing, ensuring clarity of goals and a shared definition of success.
* Define and prioritize high impact features and capabilities based on customer needs, seller workflows, and business objectives at global scale.
* Establish rigorous AI evaluation frameworks, success metrics, and continuous improvement loops to ensure high\-quality model behavior and measurable business outcomes.
* Drive rapid prototyping and experimentation using code generation frameworks and modern AI development tools to validate concepts and accelerate innovation.
* Synthesize insights across customer feedback, telemetry, research, and competitive trends to inform product decisions and shape long\-term strategy.
* Champion Responsible AI principles, ensuring privacy, safety, and compliance standards are embedded across the entire product lifecycle.
* Communicate strategy, progress, and insights to executive stakeholders, providing clear narratives and data driven recommendations.
* Influence cross org partners across Microsoft to align on technology stack, strategy, platform architecture, and GTM execution.
* 8\+ years of product management experience, including 2\+ years driving AI or machine learning products.
* Proven ability to define AI evaluation methodologies, quality benchmarks, and production ready success criteria.
* Demonstrated experience building prototypes using AI code generation or modern AI development frameworks.
* Exceptional analytical, problem solving, and organizational skills.
* Strong collaboration skills with experience leading cross functional teams in agile environments.
* Track record of shipping complex, customer facing AI or enterprise products at scale.
* Familiarity with responsible AI standards, privacy requirements, and enterprise compliance frameworks.
 \#BICJOBS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li-4350282758</t>
        </is>
      </c>
      <c r="B27" t="inlineStr">
        <is>
          <t>Product Manager II</t>
        </is>
      </c>
      <c r="C27" t="inlineStr">
        <is>
          <t>Bamboo Health</t>
        </is>
      </c>
      <c r="D27" t="inlineStr">
        <is>
          <t>linkedin</t>
        </is>
      </c>
      <c r="E27" t="inlineStr"/>
      <c r="F27" t="inlineStr"/>
      <c r="G27" t="inlineStr"/>
      <c r="H27" t="inlineStr"/>
      <c r="I27" t="inlineStr">
        <is>
          <t>Bamboo Health is the leader in Real\-Time Care Intelligence™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country’s largest health plans to improve more than 1 billion patient encounters annually. Join us in improving lives during pivotal care moments!
**Summary**
 As a Product Manager, you will be working closely with a cross\-functional team and end users to identify and solve problems that allow our customers to successfully coordinate care for patients. You will lead the design, prototype, test, and iterate on solutions that delight users and facilitate the success of critical customer initiatives. This role will also provide strategic product leadership across data\-centric domains, including reporting, analytics, and data ingestion workflows. We’re looking for a Product Manager who deeply understands and can champion our internal and external customers in a complex B2B and B2C environment. Our customers include state agencies, pharmacy chains and care centers from provider offices to acute care facilities.
**What You’ll Do**
* Launch products and execute the entire product development lifecycle using agile methodologies.
* Develop and manage long\-term product roadmaps for more than one product, involving sales, marketing, implementations, clients, prospects, partners, and other groups.
* Manage 1\-2 Product Owners responsible for day\-to\-day sprint and backlog management.
* Provide coaching, direction, and accountability for Product Owners working on reporting, analytics, and data ingestion, ensuring they understand customer needs, technical constraints, and delivery expectations.
* Partner closely with data engineering, analytics, and reporting teams to define requirements, prioritize data ingestion enhancements, and guide development of scalable data solutions.
* Explore opportunities to enhance workflows through AI or automation tools (e.g., document summarization, task routing, or data parsing).
* Stay curious about emerging AI tools and how they can streamline or enhance work within your function.
**What Success Looks Like…**
****In 3 months…****
* You understand the existing processes \&amp; tools for facilitating core use cases of the Bamboo Health system.
* You are providing daily guidance to the team to plan and clearly understand deliverables, while coordinating with the broader product organization to contribute to the medium\- to long\-term roadmap.
* You are triaging, prioritizing, and making tradeoffs daily, balancing competing needs \&amp; interests.
* You have established clear expectations, communication cadences, and goals with your Product Owners to ensure alignment and accountability.
* You have begun evaluating reporting workflows, data ingestion processes, and analytics needs within your area, identifying early opportunities for improvement.
* Identify at least one opportunity in your role to pilot or apply AI or automation (e.g., streamlining a task, summarizing data, generating content).
* Share one use case or insight from trying out an AI tool (e.g., ChatGPT, CoPilot, Zapier) with your team or manager.
****In 6 months…****
* You are working collaboratively with the agile team, internal stakeholders (operations, support, sales), and end users to drive effective execution and strategy.
* You utilize user metrics and instrumentation to identify opportunities to unblock product growth and adoption.
* You are actively guiding your Product Owners in defining reporting deliverables, documenting data transformations, and improving ingestion workflows that support customer\-facing products, while aligning short\-term data product priorities with upcoming roadmap milestones and customer deliverables.
* Your Product Owners are operating with increasing autonomy, driving effective sprint execution and proactive backlog management under your mentorship.
****In 12 months…****
* You manage the long\-term product roadmap aligned to Bamboo Health’s KPIs, overall strategy, and key customer problem themes, including a forward\-looking vision for reporting, analytics, and data ingestion that ensures the platform scales, meets emerging requirements, and delivers high\-quality, accessible data.
* You are recognized internally as a leader in the data product space, translating complex data needs into clear product direction and driving measurable improvements in reporting accuracy, data availability, and analytics capabilities.
* You have developed and retained a high\-performing Product Owner team, fostering strong execution, accountability, and a culture of continuous improvement across product delivery.
**What You Need**
* BA/BS in Business, Engineering, other relevant field of study or equivalent experience.
* 5\+ years of product management experience delivering software products used daily by end users.
* Experience or familiarity with data ingestion pipelines, reporting tools, data quality considerations, or analytics workflows (either direct experience or through managing team members who specialize in these areas).
* Ability to translate customer reporting and analytics needs into clear product requirements and long\-term strategic plans.
* Experience launching products, executing entire product development lifecycle, and developing long\-term strategy for products.
* A strong background in agile development methodologies and tools such as Confluence and Jira.
* Comfort jumping into both the big picture strategy as well as on the ground details.
* Experience mentoring peers or providing informal leadership or guidance to others \- prior people management experience a plus.
* Product Management experience at an enterprise SaaS company is a plus.
* Familiarity with Prescription Drug Monitoring Programs (PDMPs), different healthcare data exchange formats ex, PMIX) and healthcare delivery generally, is a plus.
* Comfort using or learning AI\-supported tools (e.g., ChatGPT, CoPilot, or role\-specific tools) to improve daily workflows.
* A forward\-thinking, curious mindset with an openness to experimenting with new technologies.
* Strong analytical and problem\-solving skills, with sound judgment and creativity in designing solutions.
* Proven ability to thrive in fast\-paced, high\-growth, and rapidly evolving environments.
* Ability to work effectively in a remote\-first environment, ensuring high\-quality virtual interactions with minimal distractions.
* The ability to travel periodically for work.
**What You Get**
* Join one of the most innovative healthcare technology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 solutions enable healthcare professionals to see and treat every individual as a whole person by providing the right information, at the right time – regardless of physical, behavioral or social barriers.
 We’re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Bamboo Health GDPR/RODO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t>
        </is>
      </c>
    </row>
    <row r="28">
      <c r="A28" t="inlineStr">
        <is>
          <t>li-4366154691</t>
        </is>
      </c>
      <c r="B28" t="inlineStr">
        <is>
          <t>Product Manager</t>
        </is>
      </c>
      <c r="C28" t="inlineStr">
        <is>
          <t>Underdog.io -Apply to top tech jobs in 60 seconds. A place where companies apply to you</t>
        </is>
      </c>
      <c r="D28" t="inlineStr">
        <is>
          <t>linkedin</t>
        </is>
      </c>
      <c r="E28" t="inlineStr"/>
      <c r="F28" t="inlineStr"/>
      <c r="G28" t="inlineStr"/>
      <c r="H28" t="inlineStr"/>
      <c r="I28"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9">
      <c r="A29" t="inlineStr">
        <is>
          <t>li-4292666335</t>
        </is>
      </c>
      <c r="B29" t="inlineStr">
        <is>
          <t>Senior Product Manager</t>
        </is>
      </c>
      <c r="C29" t="inlineStr">
        <is>
          <t>Gainsight</t>
        </is>
      </c>
      <c r="D29" t="inlineStr">
        <is>
          <t>linkedin</t>
        </is>
      </c>
      <c r="E29" t="inlineStr"/>
      <c r="F29" t="inlineStr"/>
      <c r="G29" t="inlineStr">
        <is>
          <t>California, United States</t>
        </is>
      </c>
      <c r="H29" t="inlineStr"/>
      <c r="I29" t="inlineStr">
        <is>
          <t>***We’re building the AI\-driven future of customer success, from retention to growth!***
 Gainsight is the AI\-powered retention engine behind the world’s most customer\-centric companies. The Gainsight CustomerOS platform orchestrates the customer journey from onboarding to outcomes to advocacy. More than 2,000 companies trust Gainsight’s applications and AI agents to drive learning, adoption, community connection, and success for their customers. To explore how our suite of solutions is shaping the future of customer success, check out the link.
**About This Role**
 We’re looking for a full\-time Senior Product Manager to join our Product team reporting to the SVP, Atlas. This role is a remote role based in the United States.
 In this role, you’ll play a key role in shaping Gainsight’s new Atlas suite, which is redefining how post\-sales teams operate by delivering AI\-powered autonomous agents that elevate customer success, professional services, and revenue expansion. You’ll do this by taking agents from napkin sketch to in\-production usage with Fortune 500 design partners—balancing vision, ruthless prioritization, and hands\-on execution in a fast\-moving startup environment. This is a great opportunity for someone who thrives in building from zero\-to\-one and enjoys working cross\-functionally with design, engineering, and go\-to\-market teams. The ideal candidate brings strong skills in product strategy, execution, and cross\-functional collaboration.
**What You'll Do**
* Own the agent roadmap. Frame the product vision, turn ambiguous problems into hypotheses and MVPs, and maintain a clear, data\-backed backlog that ladders to Atlas and Gainsight OKRs.
* Partner with customers. Conduct discovery with Sales, CS, and Professional Services leaders to deeply understand workflows, pricing sensitivities, and success criteria after the deal closes. Validate solutions via rapid prototypes and live pilots.
* Drive execution with engineering \&amp; design. Write crisp PRDs / specs, craft prompts, and iterate quickly with LLMs and tools like Lovable, Cursor, etc. Facilitate sprint rituals and unblock the team.
* Measure \&amp; iterate. Define success metrics, set up analytics, and run A/B tests to optimize agent performance, usability, and commercial impact.
* Evangelize \&amp; enable. Train Sales and CS on positioning and pricing, craft release notes and demos, and present progress to exec sponsors and enterprise customers.
*This is not a complete list of responsibilities, and the scope of the role may evolve with the needs of the team and business.*
**What We're Looking For**
 Must\-have skills or experience:
* 3–5 \+ years of SaaS PM experience shipping production\-grade products (ideally AI/ML\-driven) with meaningful user adoption.
* Ability to speak enterprise post\-sales fluently. You’ve built or sold tools for Customer Success, Renewals, Professional Services, or adjacent revenue teams, and know their KPIs and pain points.
* Prototype with AI daily. You’re comfortable prompting GPT\-4o, chaining calls, evaluating models vs. RAG pipelines, and hacking quick demos in Python/TypeScript or no\-code tools.
* Experience of making data your co\-pilot. You interrogate Snowflake or BigQuery, run funnel analyses, and translate insights into product bets.
* Communicating like a founder. Whether writing a one\-pager, running a customer call, or debating trade\-offs with engineers, you clarify the “why,” inspire action, and welcome feedback.
* Thriving in ambiguity. Deadlines excite you, hats are interchangeable, and “good enough this week” beats “perfect next quarter.”
**Nice\-to\-have Skills Or Experience**
* Prior software engineering, data\-science, or agentic\-framework (LangChain, AutoGen, CrewAI, etc.) experience.
* Exposure to pricing \&amp; packaging for consumption\-based or value\-based SaaS models.
* Track record co\-developing products with large enterprises or strategic design partners.
**Why You’ll Love It Here**
 Gainsight is a place where innovation is shaped through collaboration, curiosity, and a shared focus on solving real\-world problems. With a growing suite of products across customer success, product experience, community, education, and AI\-powered relationship intelligence, we continue to evolve with the needs of our customers. When people with diverse strengths, a strong sense of community, and true passion for our mission come together, they drive greater impact and create lasting value. What underpins it all is a culture that offers the stability, trust, and support that people need \- not just to do the job, but to show up as themselves and feel connected to the work they do. Gainsters love working here for several reasons. Here are a few:
**Our Compensation and Benefits** 
 : At Gainsight, we believe great work happens when teammates feel fully supported.
* The starting base salary range for this role is $227,000 \- $257,000 USD annually. This role is also eligible for commission based on performance and participation in Gainsight’s equity program. Actual compensation may vary based on factors such as skills, experience, and location.
* We offer a comprehensive benefits package including fully covered medical premiums (employee\-only), flexible PTO, 401(k) plan, dental and vision coverage, and remote work options. Additional benefits include a $10,000 lifetime fertility stipend and access to coworking spaces around the globe. You'll also enjoy dedicated Recharge Holidays \- one long weekend each quarter to relax and reset.
**Our Core Values** 
**:** 
 We are guided by our values and our mission to be living proof you can win in business while being Human\-First. Learn more here.
**Our Growth Opportunities** 
**:** 
 From mentoring to career development opportunities, we’re passionate about helping our teammates learn, grow, and thrive.
**Our Parody Videos:** 
 No explanation needed. Just watch them here!
**If this sounds like the right role for you, we’d love to hear from you.**
**Additional Information**
*We’re committed to creating an inclusive, fair, and transparent hiring process. As an equal opportunity employer, we celebrate diversity and are committed to creating a welcoming experience for all candidates.*
*If you require accommodations or have questions about how your personal data will be used during the hiring process, please let the recruiting team know.*
*If you are based in San Francisco, we will consider qualified applicants with arrest and conviction records, in accordance with the San Francisco Fair Chance Ordinance.*</t>
        </is>
      </c>
    </row>
    <row r="30">
      <c r="A30" t="inlineStr">
        <is>
          <t>li-4365991180</t>
        </is>
      </c>
      <c r="B30" t="inlineStr">
        <is>
          <t>Sr Product Manager</t>
        </is>
      </c>
      <c r="C30" t="inlineStr">
        <is>
          <t>RemoteHunter</t>
        </is>
      </c>
      <c r="D30" t="inlineStr">
        <is>
          <t>linkedin</t>
        </is>
      </c>
      <c r="E30" t="inlineStr"/>
      <c r="F30" t="inlineStr"/>
      <c r="G30" t="inlineStr"/>
      <c r="H30" t="inlineStr"/>
      <c r="I30" t="inlineStr">
        <is>
          <t>About the Opportunity:
 A rapidly growing SaaS company is transforming how Durable Medical Equipment (DME) and Home Medical Equipment (HME) providers operate through an all\-in\-one platform that streamlines business operations. The Sr Product Manager will lead and expand the product team, driving product vision, roadmap, and execution to support clients’ goals and maintain the platform’s market leadership.
 Responsibilities:
 • Develop and own the product vision and roadmap aligned with business goals and customer needs
 • Collaborate with internal teams to deliver products on time and within scope
 • Identify opportunities to improve and expand the platform using market research, customer feedback, and emerging technologies
 • Assess and prioritize product initiatives based on market demand, customer feedback, and ROI
 • Communicate the vision and roadmap to internal teams, customers, and executives
 • Define and track key performance indicators (KPIs) to evaluate product success
 • Partner with Customer Success and Sales teams to understand user pain points and refine the product
 • Develop processes and frameworks to support efficient product development and delivery in a fast\-paced environment
 Requirements:
 • 5\+ years of product development experience with at least 3 years in a leadership role in a SaaS environment
 • Solid understanding of AI/ML tools, frameworks, and practical applications
 • Ability to interpret complex data and translate it into actionable product insights
 • Proven ability to bring new products and features to market with measurable business outcomes
 • Experience engaging with stakeholders at all levels and clearly articulating product vision
 • Deep knowledge of Agile and iterative development processes
 • Proficiency with product tools such as Jira and Confluence
 • Strong focus on understanding customer needs and delivering exceptional user experiences
 Bonus Points:
 Experience working with SaaS solutions in the healthcare industry
 Benefits \&amp; Perks:
 • Fully remote role
 • Must be based in the U.S. or Canada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li-4366361669</t>
        </is>
      </c>
      <c r="B31" t="inlineStr">
        <is>
          <t>Technical Product Manager</t>
        </is>
      </c>
      <c r="C31" t="inlineStr">
        <is>
          <t>ARC by ChargeItSpot</t>
        </is>
      </c>
      <c r="D31" t="inlineStr">
        <is>
          <t>linkedin</t>
        </is>
      </c>
      <c r="E31" t="inlineStr"/>
      <c r="F31" t="inlineStr"/>
      <c r="G31" t="inlineStr">
        <is>
          <t>Philadelphia, PA</t>
        </is>
      </c>
      <c r="H31" t="inlineStr"/>
      <c r="I31" t="inlineStr">
        <is>
          <t>**About ChargeItSpot \| ARC** 
 ChargeItSpot is working to build an unrivaled ecosystem of enterprise solutions that solve real\-world problems in mobile device security, charging, and management. ARC™ by ChargeItSpot is a device management solution that stores, secures, tracks and charges company\-owned handheld devices that employees use to do their jobs. With ARC, companies reduce device shrink, recover lost productivity, and eliminate wasted payroll consumed by managers and associates. 
 At ChargeItSpot, we surround ourselves with independent thinkers who are detail oriented and customer obsessed. Our clients have routinely called us “the most talented team they’ve ever worked with.” We value determination, resourcefulness, imagination, and follow through; we want people who are ready to get things done. 
 Check out our core values to learn more!
**Role Responsibilities** 
* Using a thorough understanding of our software’s logic, develop detailed product requirements, technical API/platform specifications, user stories, and acceptance criteria.
* Partner with internal stakeholders, clients and integration partners to identify, specify, and deliver new APIs and platform services.
* Advocate for resilient, observable, and scalable platform design that delivers reliable experiences for internal and external consumers.
* Ensure alignment of product requirements with customer needs and business objectives.
* Use production metrics, logs, and incident/postmortem data to drive platform improvements and technical debt reduction.
* Work collaboratively with product managers, developers, and other stakeholders to ensure successful implementation of product requirements.
* Actively participate in backlog grooming sessions to review and refine the product backlog items.
* Attend Scrum ceremonies (Daily Stand up, Backlog Grooming, Sprint Planning, Demo, Retrospective)
* Work closely with the QA team to evaluate testing, ensuring product quality and adherence to product requirements.
**Qualifications** 
* 3\+ years of experience in a Product Management role.
* 1\+ year of experience as a Product Owner of an API\-focused software team is strongly preferred.
* Strong analytical skills and excellent written, verbal and presentation skills. You are an attentive listener and compelling explainer with the ability to focus on a problem, ask the right questions, and gain expertise quickly.
* Strong technical product user experience instinct: you have delivered products that leverage APIs, integrations, and platform capabilities
* Experience working with RESTful APIs, webhooks, and integration patterns; comfortable reading API docs and discussing system architecture.
* Experience defining non\-functional requirements (performance, reliability, security, scalability) for platform services.
* Demonstrated success in cross\-functional and technical communication to both technical and non\-technical audiences.
* Familiarity with with modern product work management, documentation, and analytics tools, including Jira, Confluence, Trello, Productboard, UsabilityHub, SQL, Looker, and New Relic.
* Demonstrated experience working directly with customers to understand needs and translating them into clear software requirements.
* Experience working at the intersection of hardware and software is a plus.
* Experience running and deploying applications on major cloud platforms (GCP, AWS, etc.), with broader cloud services knowledge is a plus.
* Experience working at a startup is a plus.
**Location** 
 We are headquartered in Philadelphia, PA, but have moved to an office\-optional work environment – so long as the successful candidate works on East Coast business hours. Hybrid candidates preferred, remote candidates will be considered. You must be authorized to work in the United States.
**Benefits** 
* Health, dental and vision insurance
* Health care FSA
* Short and long term disability
* 401k plan with matching company contributions
* Paid time off and company holidays
* Hybrid or remote work environment
 Check us out at experiencearc.com  
 If you have the unique combination of skills and qualities we are looking for, please submit your resume and a cover letter expressing your motivation to apply to this position to careers@chargeitspot.com. 
*ChargeItSpot is an Equal Opportunity employer. Personnel are chosen on the basis of ability without regard to race, color, religion, sex, national origin, disability, marital status or sexual orientation, in accordance with federal and state law.*</t>
        </is>
      </c>
    </row>
    <row r="32">
      <c r="A32" t="inlineStr">
        <is>
          <t>li-4355984959</t>
        </is>
      </c>
      <c r="B32" t="inlineStr">
        <is>
          <t>Principal Product Manager</t>
        </is>
      </c>
      <c r="C32" t="inlineStr">
        <is>
          <t>Palo Alto Networks</t>
        </is>
      </c>
      <c r="D32" t="inlineStr">
        <is>
          <t>linkedin</t>
        </is>
      </c>
      <c r="E32" t="inlineStr"/>
      <c r="F32" t="inlineStr"/>
      <c r="G32" t="inlineStr">
        <is>
          <t>Santa Clara, CA</t>
        </is>
      </c>
      <c r="H32" t="inlineStr"/>
      <c r="I3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Are We**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Description**
 Your Career In this role, you will help shape Palo Alto Networks’ Prisma Browser in the age of AI and Agentic Browsers. You will own the strategy for adapting and developing browser\-based features for the AI era, stepping up to help our customers get the best out of AI in a secure and productive way. Join our team to define the strategy and plan the features that will make a significant impact in this evolving market. Your Impact Own and drive the strategy for developing browser\-based features for the AI era, including agentic browser capabilities and securing AI workflows. Conduct market, competitor, and technology research to develop and maintain a clear product strategy, vision, and roadmap. Prioritize features for development, define detailed technical requirements, and collaborate closely with a dedicated engineering squad to drive delivery. Work with product designers to create compelling and intuitive user interface and experience (UI/UX) designs. Proactively collaborate with field teams, customers, and market partners to gather direct feedback and insights that inform product decisions and ensure alignment. Serve as the domain expert and primary point of contact for Prisma Browser AI features within the organization.
**Qualifications (Additional Job Description)**
 Your Experience Minimum of 5 years of product management experience in the cybersecurity, browser, or IT industry. Deep experience in at least one of the following domains: AI/AI agents development, Cyber security product management, Browser development, Network Security (Firewall, Proxy), or Host Protection (EDR/EPP). Solid technical background with a strong understanding of software development principles and web technologies. Experience analyzing data from multiple sources to drive product strategy and decisions. Proven track record of bringing a product from its early stages to market maturity. Experience in high\-tier support or escalations management. Experience with Identity Management, Data Leakage Prevention (DLP), or Remote Browser Isolation (RBI) technologies. Demonstrated experience with both inbound (defining requirements) and outbound (go\-to\-market) product management activities. Excellent presentation, communication, and creative skills.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 /yr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3">
      <c r="A33" t="inlineStr">
        <is>
          <t>li-4303073779</t>
        </is>
      </c>
      <c r="B33" t="inlineStr">
        <is>
          <t>Product Owner</t>
        </is>
      </c>
      <c r="C33" t="inlineStr">
        <is>
          <t>Samaritan's Purse</t>
        </is>
      </c>
      <c r="D33" t="inlineStr">
        <is>
          <t>linkedin</t>
        </is>
      </c>
      <c r="E33" t="inlineStr"/>
      <c r="F33" t="inlineStr"/>
      <c r="G33" t="inlineStr">
        <is>
          <t>Coppell, TX</t>
        </is>
      </c>
      <c r="H33" t="inlineStr"/>
      <c r="I33" t="inlineStr">
        <is>
          <t>**Job Description**
**Get Involved!**
 Samaritan's Purse has an incredible opportunity for a new Product Owner to join our IT team, working in Coppell, TX! This strategic leader is responsible for discovering and delivering technology products that solve real user problems in ways that are valuable, usable, feasible, and aligned with ministry objectives. The Product Owner drives product discovery, vision, and delivery in close partnership with design, development, QA, and stakeholders. If you are searching for more than just a job but a career with lasting impact come see how we accomplish that. Come use your giftings in technology to help spread the Gospel every day!
**A Day In The Life Of a Product Owner**
 At Samaritans Purse, the Gospel really is the center of all we do! We start each day with a time of devotions and spend time praying for each other, our staff and volunteers who serve around the globe.
 In the role of
 ****Product Owner****
 , you will have the opportunity to:
* Maintain your personal relationship with Jesus Christ and be an effective witness for Him.
* Own and refine the product backlog by creating, sequencing, and prioritizing user stories based on ministry value, user insights, and strategic objectives. Ensure all backlog items are well\-defined, include clear acceptance criteria, and deliver maximum business and user value.
* Evangelize the product internally and externally by building strong relationships with business users and stakeholders. Conduct discovery to deeply understand user needs and ensure feedback is continuously integrated into the product roadmap and backlog.
* Mentor and guide the Product Business Analyst to ensure high\-quality requirements gathering, user story development, and stakeholder analysis, aligning the analysts work with product vision and backlog priorities.
* Partner with UI/UX, QA, and development teams throughout sprints to provide ongoing feedback, clarification, and strategic direction. Accept or reject work based on alignment with user needs and quality standards, and redirect sprints when product goals or strategy shift.
* Articulate and maintain a clear, compelling product vision that guides sprint goals and keeps the team aligned with ministry and organizational goals.
* Lead and participate in planning activities such as sprint planning, stand\-ups, retrospectives, demos, and release planning to ensure consistent alignment between team execution and product vision.
* Provide regular progress updates to IT leadership and clearly communicate status to stakeholders for transparency and shared understanding.
* All other duties as assigned.
 Learn more about serving with Samaritans Purse.
**Qualifications \&amp; Experience**
* Bachelor's degree in a related field and 5 or more years of related experience
* Thorough knowledge of the software development lifecycle (SDLC), including Agile methodologies
* Comprehensive knowledge of customer\-facing and data\-centric digital products
* Strong knowledge of relational databases and enterprise systems, with the ability to analyze data structures and support data\-driven decision\-making
* Proven ability to work independently and thrive as a collaborative team member
* Thorough knowledge of software testing practices and techniques, including acceptance criteria, defect triage, and quality assurance processes
* Comprehensive knowledge of customer\-facing and data\-centric digital products
* 12 credit hours of college\-level Biblical Studies (strongly preferred)
****Job Location:****
 Coppell, TX (On\-Site)
****Type:****
 Full\-Time
****Language Requirement:****
 Fluency in English (required)
**Benefits**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5:16,17,18;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34">
      <c r="A34" t="inlineStr">
        <is>
          <t>li-4343667169</t>
        </is>
      </c>
      <c r="B34" t="inlineStr">
        <is>
          <t>Product Manager</t>
        </is>
      </c>
      <c r="C34" t="inlineStr">
        <is>
          <t>Ulbrich Stainless Steels &amp; Special Metals, Inc.</t>
        </is>
      </c>
      <c r="D34" t="inlineStr">
        <is>
          <t>linkedin</t>
        </is>
      </c>
      <c r="E34" t="inlineStr"/>
      <c r="F34" t="inlineStr"/>
      <c r="G34" t="inlineStr">
        <is>
          <t>North Haven, CT</t>
        </is>
      </c>
      <c r="H34" t="inlineStr"/>
      <c r="I34" t="inlineStr">
        <is>
          <t>Ulbrich was established in 1924 and is family\-owned and privately held. An international corporation with subsidiaries located in the US, Mexico, Germany and Austria. Ulbrich employs over 700 people worldwide.
 At Ulbrich, we are
 ***Improving Lives with More Than Metal.***
 We work hard for each other, our families, and the communities we live in. The respect and integrity of Ulbrich team members, dedication to their professions, collaborative participation in lean, and ensuring that safety comes first, has created a culture that has a positive impact on the lives of many. We connect with the world through our responsibility to produce critical products that benefit mankind.
 The Ulbrich culture is guided by a set of shared values we call
 ***Our Core Tenets* 
 .** 
 The tenets we live by each day are Continuous Improvement, Quality Commitment, Family Values, Total Company Involvement, and Customer Responsiveness. Through practicing these shared values, we drive profitable growth and success.
 Come join the Ulbrich team and become part of a greater purpose and a promising future!
**Job Description**
 Ulbrich is seeking a
 ***Product Manager***
 who is looking for an exciting opportunity with an industry leader in the metals field. In conjunction with company objectives and annual budgetary targets, the Product Manager is responsible for the development and implementation of effective product sales strategies to expand product applications, sales and customer base. Specific job responsibilities include, but are not limited to:
* Proactively work and interact with inside sales, territory managers, sales management, manufacturing and general management to build effective communication linkages.
* Participate in product training sessions, regional sales meetings, new product development, and other company operational meetings as required.
* Assist/Advise on the forecast process improvement and technology integration.
* Participate in setting sales forecasts and associated budgets.
* Work with management to effectively coordinate raw material sourcing, pricing, pricing resets, price gaps, and price page modifications based on post cost data and inventory requirements.
* Manage inventory control, forecasting of stock levels, JIT programs, layout routings, and consignments.
* Align pricing strategies and contracts with corporate goals and objectives.
* Facilitate relationship development, lead projects, and communications with key accounts for market/targeted application growth.
* Mentor, train, and advise Sales group on pricing strategies and standard work procedures.
* Participate and coach A3 teams on lean principles, process improvements, and efficiencies to meet company goals and objectives.
* Perform cost analysis on quotations, order entry, pre\-costs, and where relevant, post\-costs, direct changes where necessary to meet gross margin and profit objectives.
* Utilizing the most current technology (i.e., Power BI) to research, identify, and analyze business trends in sales, marketing, and profitability opportunities.
* Partner with Marketing in pursuit of new opportunities.
* Identify new application opportunities within, or outside of, current capabilities and determine the viability of the opportunity through a commercial filtering process with a focus on strategy and profitability.
* An understanding of Strengths, Weaknesses, Opportunities, and Threats for the organization and how it impacts the relationship with the customer and the sale.
* Partner with sales to create, manage and strengthen customer relationships to drive objectives including targeted blue sheet opportunities.
* Initiate appropriate steps to resolve technical, quality, delivery, credit or other issues related to customer satisfaction.
* Participate at Trade Shows as assigned and develop appropriate follow\-up techniques for contacts and inquiries resulting from Trade Shows.
* Keep abreast of current industry and market conditions, buying trends and competitors, and effectively recommend and take advantage of sales and marketing opportunities. Conduct market research on any and all new applications to support either the addition of any capital equipment, define potential and costs, and to expand our opportunity for business in the marketplace.
* Follow the product development process on all new product orders, acting as liaison between manufacturing and the customer.
* Analyze products, end uses, and manufacturing methods, including customer manufacturing methods.
**Qualifications**
 A Bachelor’s Degree in Engineering, Material Sciences, or Business is preferred, plus a minimum of 5 years of industry experience; a strong understanding of competitive and SWOT analysis techniques; strong understanding of metals/foils industry capabilities and applications; demonstrated project leadership skills from concept through implementation supporting cross\-functional business needs; the ability and willingness to make ethical, business decisions within the scope of knowledge with the ability to be persuasive; energetic, focused, with sense of urgency; proven versatility in strategic and tactical business planning; a self\-starter and independent decision maker; effective communication skills – verbal, written, presentation; intermediate skills with MS Office, Excel and marketing databases; strong customer service skills; a strong technical aptitude; a solid background with product development from inception to completion is required. Travel as required.
**Additional Information**
 This position offers competitive salary and benefits and the opportunity to expand your skills within a company that offers both a diverse workforce and a welcoming company culture.
 Ulbrich is an Equal Opportunity Employer.</t>
        </is>
      </c>
    </row>
    <row r="35">
      <c r="A35" t="inlineStr">
        <is>
          <t>li-4365996218</t>
        </is>
      </c>
      <c r="B35" t="inlineStr">
        <is>
          <t>Principal Product Manager - Innovation Partnerships</t>
        </is>
      </c>
      <c r="C35" t="inlineStr">
        <is>
          <t>Pacific Gas and Electric Company</t>
        </is>
      </c>
      <c r="D35" t="inlineStr">
        <is>
          <t>linkedin</t>
        </is>
      </c>
      <c r="E35" t="inlineStr"/>
      <c r="F35" t="inlineStr"/>
      <c r="G35" t="inlineStr">
        <is>
          <t>Oakland, CA</t>
        </is>
      </c>
      <c r="H35" t="inlineStr"/>
      <c r="I35" t="inlineStr">
        <is>
          <t>Requisition ID \# 169591
 Job Category: Customer Support / Operations
 Job Level: Manager/Principal
 Business Unit: Engineering, Planning \&amp; Strategy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Washington; Watsonville; West Sacramento; Wheatland; Whitmore; Willits; Willow Creek; Willows; Windsor; Winters; Woodland; Yuba City
**Department Overview**
 The Strategy and Innovation team is focused on engaging high\-impact customers whose energy needs and interactions propel California toward an electrified 2040 future with 100% clean energy that reduce rates.
 The Innovation Partnerships group’s mission is to engage strategically with external entities over structured long periods on innovation projects that create significant downward pressure on customer rates. In pursuit of this mission the team:
* Serves as an initial filter for external parties offering PG\&amp;E a potential solution, evolving energy system problem statements, building relationships with innovation community within and outside of PG\&amp;E.
* Structures partnerships that drive bi\-directional value, ensuring PG\&amp;E and partner commit resources and share risk .
* Engage deeply with PG\&amp;E stakeholders to understand key pain points across the energy systems innovation problem statements and leverage leading innovation management processes.
* Build and maintain deep relationships with the innovation community (e.g., venture capitalists, Big Tech, startups) to encourage more activity aimed toward energy system PG\&amp;E challenges.
 The team is organized according to the PG\&amp;E R\&amp;D Strategy Report to align with the company’s True North Strategy (TNS) goals. This breadth means each member of the team is given autonomy and responsibility to drive meaningful outcomes while embodying PG\&amp;E values: Trustworthy, empathetic, curious, tenacious, and nimble, with a mission to deliver for hometowns, serve the planet, and lead with love. Team members are equal parts innovation strategy consultants, venture capital analysts, and corporate entrepreneurs who are expected to create a vision and collaboratively lead others toward its creation.
**Position Summary**
 A principal product manager is being hired to:
* Lead the Charge: Take ownership of Load Management Solutions (LMS) and Integrated Grid Planning (IGP) focus areas in PG\&amp;E’s R\&amp;D Strategy Report, identifying and executing breakthrough innovation projects that address critical R\&amp;D challenges and drive significant downward pressure on customer rates.
* Be a Strategic Advisor: Guide functional teams on how innovation can help achieve their True North Strategy goals, breaking down barriers and unlocking new possibilities.
* Forge Powerful Partnerships: Build and nurture relationships with top innovators—venture capitalists, Big Tech, startups, academia, and energy leaders—to co\-create solutions that solve real\-world energy challenges.
* Shape the Future: Develop and refine processes, policies, and partnership frameworks that set new standards for collaboration and success.
 This position is hybrid, working from your remote office and your assigned work location based on business need. The assigned work location will be within the PG\&amp;E Service Territory and will be agreed upon by the successful candidate and hiring leader. The preferred work location is Oakland, CA.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to the midpoint of the range. The final decision will be made on a case\-by\-case basis related to the factors above.** 
 This job is also eligible to participate in PG\&amp;E’s discretionary incentive compensation programs.
 Bay Area Minimum: $140,000\.00
 Bay Area Midpoint: $189,000\.00
 Bay Area Maximum: $238,000\.00
 California Minimum: $133,000\.00
 California Midpoint: $180,000\.00
 California Maximum: $226,000\.00
**Job Responsibilities**
* Design and deliver innovation \&amp; partnership solutions that advance PG\&amp;E’s True North Strategy.
* Establish and grow relationships with internal and external stakeholders, drive innovation and shared success.
* Recommend and structure strategic partnerships using standard contracts and MOUs.
* Champion process improvement and operational excellence across Load Management and IGP initiatives.
* Evaluate market trends and competitive offerings to ensure PG\&amp;E’s solutions are uniquely positioned for sustainable success.
* Manage stakeholder engagement and milestone achievement with transparency and collaboration. .
* Work alongside Load Management and IGP\-related lines of business, acting as an advisory innovation, bringing innovation assessment, strategy, management, process, and partnership support as necessary.
* Follow the partnership assessment framework and filtering process to say “no” as well as “yes” at the right times and document all decisions and learnings.
* Develop policies and procedures for the product, service, or related process.
**Qualifications**
 Minimum:
* Bachelor of Arts or Bachelor of Science in Business, Economics, Marketing, Psychology, or related.
* 10\+ years of related experience
 Desired:
* Master’s degree or equivalent experience
* Independent judgment, creativity, and humility
* Expert systems thinker and dot connector
* Proven track record of driving cross\-functional change management and process health
* Operational, planning, and process experience
* Ability to lead complex projects and to co\-create compelling business cases with input and alignment from multiple departments
* Adept at addressing issues with diplomacy and tact
* Excellent communication skills and attitude necessary to establish and maintain positive working relationships and results with all management and personnel
* Experience with managing complex software projects from inception to scale at an enterprise level
* Familiarity with Load Management solutions, market dynamics, and policies including experience working with aggregators in California.</t>
        </is>
      </c>
    </row>
    <row r="36">
      <c r="A36" t="inlineStr">
        <is>
          <t>li-4355965958</t>
        </is>
      </c>
      <c r="B36" t="inlineStr">
        <is>
          <t>Principal Product Manager</t>
        </is>
      </c>
      <c r="C36" t="inlineStr">
        <is>
          <t>Palo Alto Networks</t>
        </is>
      </c>
      <c r="D36" t="inlineStr">
        <is>
          <t>linkedin</t>
        </is>
      </c>
      <c r="E36" t="inlineStr"/>
      <c r="F36" t="inlineStr"/>
      <c r="G36" t="inlineStr">
        <is>
          <t>Santa Clara, CA</t>
        </is>
      </c>
      <c r="H36" t="inlineStr"/>
      <c r="I36"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As a Product Manager for our SaaS network security management platform, you will be responsible for understanding customer problems, defining a product vision, and guiding feature development to simplify daily operations for Network Security Administrators. You will work with cross\-functional teams including engineering, UX, and marketing to drive the product roadmap and ensure the successful delivery of market\-leading solutions. Key Responsibilities Own the product vision, strategy, and roadmap for features including activation, onboarding, identity management, and platform scaling. Translate customer needs into clear user stories and acceptance criteria to guide development efforts and ensure solutions address user pain points. Proactively collaborate with UX, engineering, and other product teams to deliver high\-quality, differentiated, and automated solutions. Partner with product marketing to develop compelling messaging, impactful sales tools, and marketing content to support go\-to\-market efforts. Act as the voice of the customer, engaging with users, partners, and sales teams to gather feedback, evangelize the product, and drive continuous improvement. Define and analyze key performance indicators (KPIs) to track product success, identify areas for optimization, and inform data\-driven decisions. Conduct thorough market research and competitive analysis to identify industry trends and inform product strategy and priorities. Enable field teams by collaborating with technical marketing and support to assist with training, beta programs, and critical issue escalations.
**Qualifications (Additional Job Description)**
 Required Qualifications BS/MS in a technical field or equivalent practical/military experience. 8\+ years of product management experience. Direct experience in one or more of the following areas: Networking, Network Management, Network Security, or Next\-Generation Firewalls. Proven analytical and problem\-solving skills with the ability to translate complex concepts into clear product requirements. Excellent written, verbal, and interpersonal communication skills with the ability to influence stakeholders at all levels. Preferred Qualifications Hands\-on experience building and launching SaaS products that improve IT operational efficiency. Experience with the full device lifecycle, from onboarding to decommissioning. Demonstrated ability to make data\-driven product decisions. Experience thriving in fast\-paced environments with overlapping project deliverables.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$171,200\.00 \- $276,825\.00/yr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7">
      <c r="A37" t="inlineStr">
        <is>
          <t>li-4330402131</t>
        </is>
      </c>
      <c r="B37" t="inlineStr">
        <is>
          <t>Product Manager</t>
        </is>
      </c>
      <c r="C37" t="inlineStr">
        <is>
          <t>Equifax</t>
        </is>
      </c>
      <c r="D37" t="inlineStr">
        <is>
          <t>linkedin</t>
        </is>
      </c>
      <c r="E37" t="inlineStr"/>
      <c r="F37" t="inlineStr"/>
      <c r="G37" t="inlineStr">
        <is>
          <t>Atlanta, GA</t>
        </is>
      </c>
      <c r="H37" t="inlineStr"/>
      <c r="I37" t="inlineStr">
        <is>
          <t>This Technical Product Manager for the core credit exchange is a strategic and hands\-on leader who bridges market needs with technical execution. This person will be responsible for contributing to the overall product vision, assessing market opportunities, and defining the product roadmap. A key function of the role is to get hands\-on with the team's two Product Owners, creating and defining complex epics and features. This includes providing and documenting detailed business and technical requirements, managing cross\-functional dependencies, and collaborating with key partners like Legal and Compliance.
****What you’ll do****
* Capability Assessment: Provides inputs on Opportunity Assessment (Stakeholdering) for the product capabilities managed; Identify customer capability needs by partnering with Business Product Managers and other internal stakeholders, reviewing intake mechanisms for internal requests; Participates in the evaluation of market trends and research to identify and articulate high\-potential product capability opportunities; Conduct validation through review and testing of concepts with internal users and external customers (voice of customer, customer advisory)
* Product Vision and Strategy: Provides inputs in product strategy and planning sessions; Provides inputs to connect the execution KPIs with the strategic goals; Understand and communicate the product vision and can connect the dots with the larger strategy of the product line and BU
* Product Definition and Planning: Provides inputs to determine the right delivery increments that balance commercial and technical goals and constraints; Provides inputs in the process of identifying dependencies and synergies for the delivery plan and partners with teams to align timelines; Provides inputs in the evaluation of delivery alternatives including build, buy and partner; Supports development of business cases (articulating scope, approach, return on investment, capacity planning and delivery milestones of the plan) and define product roadmap used in planning sessions across the Product Delivery Value Stream; Track attainment of objectives through Key Performance Indicators (KPIs)
* Product Delivery and Launch: Provide Business/Technical requirements for product development, inclusive of functional and cross\-functional requirements; Able to answer questions and document answers regarding how specific requirements connect to the WHY of the solution; Collaborate with delivery partners (Product Owners, technology, D\&amp;A and others) to identify and document the need for trade\-offs; Participates in the work with business product managers to align requirements with Legal \&amp; compliance and Operations to ensure compliance with applicable controls; Collaborates with internal partners (ie Operations, Sales, Marketing) for delivery, including supporting documentation, demos and training; Collect and process feedback from the different increment demos to adjust and evolve the product roadmap; Continuously track upstream and downstream dependencies and synergies that will drive the success of the plan
* Growth and Portfolio Management : Monitor product adoption and use, and collect customer feedback; Track, monitor and ensure effective performance of the product including attainment of revenue, unit cost and margin objectives; Manage product offerings to ensure new capabilities meet customer/market needs; Collect, analyze and interpret data to reach conclusions and/or present insights and findings to drive product lifecycle management decisions including enhancements and sunsetting
**What Experience You Need**
* Bachelor's degree in a related discipline strongly preferred; equivalent experience may be considered
* 4\-7 years of product owner experience in a cloud\-based and/or SaaS environment
* Demonstrated experience with pragmatic marketing frameworks, Lean product management, and Agile concepts a plus
* Demonstrated experience with data structures, data analytics and AI concepts
* Demonstrated ability to work with cross functional teams
* Cloud certification strongly preferred
****What could set you apart****
* Demonstrated expertise in the credit industry.
* Experience collaborating with diverse stakeholders, including Legal, Sales, and Marketing, to ensure the successful delivery and launch of new capabilities.
* Possess technical knowledge and be able to demonstrate the ability to connect requirements to the strategic "why" for the entire team.</t>
        </is>
      </c>
    </row>
    <row r="38">
      <c r="A38" t="inlineStr">
        <is>
          <t>li-4366354032</t>
        </is>
      </c>
      <c r="B38" t="inlineStr">
        <is>
          <t>Product Manager- SaaS</t>
        </is>
      </c>
      <c r="C38" t="inlineStr">
        <is>
          <t>TP-Link</t>
        </is>
      </c>
      <c r="D38" t="inlineStr">
        <is>
          <t>linkedin</t>
        </is>
      </c>
      <c r="E38" t="inlineStr"/>
      <c r="F38" t="inlineStr"/>
      <c r="G38" t="inlineStr">
        <is>
          <t>Irvine, CA</t>
        </is>
      </c>
      <c r="H38" t="inlineStr"/>
      <c r="I38" t="inlineStr">
        <is>
          <t>**Description**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TP\-LINK Systems is seeking an experienced
 **Senior Product Manager** 
 to lead the strategy, development, and growth of our
 **Software\-as\-a\-Service (SaaS)** 
 offerings that complement our
 **Home Networking and Smart Home** 
 product ecosystem.
 This role is ideal for a product leader who thrives at the intersection of technology, user experience, and business impact — driving innovative
 **subscription services and connected software experiences** 
 that enhance how customers connect, automate, and manage their smart homes and networks.
 Key Responsibilities
 Product Strategy \&amp; Definition
* Partner with senior product leaders to define product goals, requirements, and success metrics that align with TP\-Link’s SaaS strategy.
* Conduct market research, gather customer feedback, and analyze usage data to identify trends and opportunities for improvement.
* Assist in translating business needs and customer insights into actionable product specifications and user stories.
 Product Development \&amp; Execution
* Collaborate with engineering, design, QA, and operations to manage product development timelines and ensure successful feature delivery.
* Maintain and prioritize the product backlog to balance short\-term improvements with long\-term roadmap goals.
* Support day\-to\-day coordination of product releases, including testing and documentation efforts.
 Lifecycle \&amp; Portfolio Support
* Assist in tracking product performance across its lifecycle, gathering insights for continuous iteration and enhancement.
* Help evaluate customer feedback and competitive trends to maintain strong product\-market fit.
* Support cross\-functional reviews of roadmap priorities and release planning.
**Requirements**
 Qualifications:
* Bachelor’s degree in Business, Computer Science, Engineering, or related field.
* 2–5 years of experience in product management, product operations, or related roles—preferably within SaaS, cloud services, or consumer technology.
* Familiarity with agile development methodologies and tools (e.g., Jira, Confluence)
* Strong analytical and problem\-solving skills, with the ability to interpret data and transform insights into action.
* Excellent communication and collaboration skills across technical and non\-technical teams.
* Interest or experience in networking, IoT, or smart home ecosystems is a plus
**Benefits**
 Benefits:
 Salary range $130,000 to $170,000
* Fully paid medical, dental, and vision insurance (partial coverage for dependents)
* Contributions to 401k funds (Quarterly Employer Contributions)
* 15 days accrued vacation
* 11 paid holidays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t>
        </is>
      </c>
    </row>
    <row r="39">
      <c r="A39" t="inlineStr">
        <is>
          <t>li-4366365012</t>
        </is>
      </c>
      <c r="B39" t="inlineStr">
        <is>
          <t>Product Manager - Business Operation &amp; First Line Products</t>
        </is>
      </c>
      <c r="C39" t="inlineStr">
        <is>
          <t>Baylor Scott &amp; White Health</t>
        </is>
      </c>
      <c r="D39" t="inlineStr">
        <is>
          <t>linkedin</t>
        </is>
      </c>
      <c r="E39" t="inlineStr"/>
      <c r="F39" t="inlineStr"/>
      <c r="G39" t="inlineStr">
        <is>
          <t>Dallas, TX</t>
        </is>
      </c>
      <c r="H39" t="inlineStr"/>
      <c r="I39" t="inlineStr">
        <is>
          <t>**Job Summary**
**Hybrid position \- will be onsite one day per week**
 This position serves as a Process Owner for the Business Squad, managing a team of analysts to design, execute, and continuously improve IT processes and products. The role drives Agile delivery, assists in the backlog prioritization, and governance across the Business Apps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**Product Owner** 
 for technologies supporting these processes.
 The role also ensures redundancy and domain expertise for First Line sub\-products, which include Public Safety, Environmental Care, Emergency Management, and Building Automation Systems, while fostering Agile transformation and operational excellence.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Agile (Scrum) preferred.
* Experience: 5\+ years in IT Service Management, Agile product management, or related fields.
* Prior experience with SDLC, and ServiceNow required.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t>
        </is>
      </c>
    </row>
    <row r="40">
      <c r="A40" t="inlineStr">
        <is>
          <t>li-4356153067</t>
        </is>
      </c>
      <c r="B40" t="inlineStr">
        <is>
          <t>Sr. Product Manager</t>
        </is>
      </c>
      <c r="C40" t="inlineStr">
        <is>
          <t>Palo Alto Networks</t>
        </is>
      </c>
      <c r="D40" t="inlineStr">
        <is>
          <t>linkedin</t>
        </is>
      </c>
      <c r="E40" t="inlineStr"/>
      <c r="F40" t="inlineStr"/>
      <c r="G40" t="inlineStr">
        <is>
          <t>Santa Clara, CA</t>
        </is>
      </c>
      <c r="H40" t="inlineStr"/>
      <c r="I4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As a Senior Product Manager for our SASE solution, you will shape the strategy and roadmap for core Prisma Access, including cloud infrastructure and service architecture. You will own the delivery of innovative features that align with our high standards, managing the entire lifecycle from conception to post\-release. This role is central to our world\-class product organization, requiring a self\-motivated individual passionate about solving significant technical challenges in enterprise network security. Key Responsibilities Spearhead the creation and deployment of a new public cloud security platform by enhancing and expanding Prisma Access. Manage the entire feature lifecycle from conception and definition through development, release, and post\-release activities. Proactively collaborate and exchange information with Product Marketing to create compelling sales tools and marketing content. Work with cross\-functional teams including NPI, certification, and professional services to ensure comprehensive product readiness and support. Ensure alignment with legal, InfoSec, and engineering teams to maintain adherence to various privacy and data protection regulations. Engage directly with customers for executive briefings, product evangelism, and requirements gathering to inform the product roadmap. Challenge the status quo by curiously and positively identifying opportunities to improve our cloud infrastructure and overall security architecture.
**Qualifications (Additional Job Description)**
 Required Qualifications BS/MS degree in Computer Science, another engineering/technical field, or Business. Minimum of 4 years in product management, OR a minimum of 8 years of related technical experience in the enterprise networking and cloud networking space. Demonstrated ability to own the full product lifecycle, from writing requirements and collaborating with engineering to working with sales to drive adoption. Deep understanding of Layer\-2, Layer\-3, and Layer\-4 networking protocols, VPN/tunneling technologies, and cloud compute/network solutions. Practical experience and strategic insight in emerging AI domains, including Generative AI (GenAI) and Agentic AI systems. Preferred Qualifications Master of Business Administration (MBA). Proven success in a Technical Marketing Engineer role within the networking and/or security domain. Experience in customer engagement and relationship development for executive briefings and requirements gathering. Strong analytical skills with expertise in market analysis, business case creation, and product strategy.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$148,700\.00 \- $240,525\.00/yr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41">
      <c r="A41" t="inlineStr">
        <is>
          <t>li-4356123488</t>
        </is>
      </c>
      <c r="B41" t="inlineStr">
        <is>
          <t>Product Manager - HashiCorp</t>
        </is>
      </c>
      <c r="C41" t="inlineStr">
        <is>
          <t>IBM</t>
        </is>
      </c>
      <c r="D41" t="inlineStr">
        <is>
          <t>linkedin</t>
        </is>
      </c>
      <c r="E41" t="inlineStr"/>
      <c r="F41" t="inlineStr"/>
      <c r="G41" t="inlineStr">
        <is>
          <t>San Jose, CA</t>
        </is>
      </c>
      <c r="H41" t="inlineStr"/>
      <c r="I41"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As a Technical Product Manager, you will create and deliver technical assets to demonstrate user experience and related offering value props. You will have deep domain and business expertise to drive business strategies and product vision. Your primary responsibilities will include:
* Develop Product Vision and Roadmap: Build the product vision and roadmap, credibly selling it to internal stakeholders, and driving prioritization and plan releases with engineering based on market facts.
* Identify Market Opportunities: Identify target markets and opportunities based on user problems, trends, and market dynamics, determining the right business strategies to pursue.
* Collaborate with Development Teams: Function as a "product owner" for development teams, determining an acceptable scope and schedule for releases in the context of other business requirements and technical debt.
* Conduct Product Technology Assessments: Perform robust product technology assessments and benchmarks to ensure differentiation.
* Translate Market Needs: Translate market needs to development plans based on a deep understanding of product portfolio capabilities.
**Preferred Education**
 High School Diploma/GED
**Required Technical And Professional Expertise**
* Deep Domain Expertise: Experience with creating and delivering technical assets to demonstrate user experience and related offering value props, showcasing a deep understanding of the domain and business.
* Product Vision Development: Experience in building product visions and roadmaps, and credibly selling them to internal stakeholders, driving prioritization and plan releases with engineering based on market facts.
* Market Opportunity Identification: Experience with identifying target markets and opportunities based on user problems, trends, and market dynamics, determining the right business strategies to pursue.
* Technical Product Ownership: Experience functioning as a "product owner" for development teams, determining an acceptable scope and schedule for releases in the context of other business requirements and technical debt.
* Product Technology Assessment: Experience performing robust product technology assessments and benchmarks to ensure differentiation.
**Preferred Technical And Professional Experience**
* Deep Domain Knowledge: Experience with creating and delivering technical assets to demonstrate user experience and related offering value props, showcasing a deep understanding of the domain and business.
* Product Portfolio Familiarity: Experience with translating market needs to development plans based on a deep understanding of product portfolio capabilities.
* Technical Benchmarking Skills: Experience performing robust product technology assessments and benchmarks to ensure differentiation.</t>
        </is>
      </c>
    </row>
    <row r="42">
      <c r="A42" t="inlineStr">
        <is>
          <t>li-4366350167</t>
        </is>
      </c>
      <c r="B42" t="inlineStr">
        <is>
          <t>Principal Product Manager</t>
        </is>
      </c>
      <c r="C42" t="inlineStr">
        <is>
          <t>Microsoft</t>
        </is>
      </c>
      <c r="D42" t="inlineStr">
        <is>
          <t>linkedin</t>
        </is>
      </c>
      <c r="E42" t="inlineStr"/>
      <c r="F42" t="inlineStr"/>
      <c r="G42" t="inlineStr">
        <is>
          <t>Redmond, WA</t>
        </is>
      </c>
      <c r="H42" t="inlineStr"/>
      <c r="I42"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UX, Data Science, Engineering, AI research, and Product Marketing teams.
* Define goals and performance indicators, set up and oversee experiments, measure success with data and research.
* Collaborate effectively and communicate clearly with cross\-functional teams, including product managers, designers, and other engineers, to build exceptional consumer\-grade applications.
* Embody our Culture and Values.
**Qualifications**
**Required Qualifications:**
* Bachelor's Degree AND 8\+ years experience in product/service/program management or software development
+ OR equivalent experience.
**Preferred Qualifications**
* 5\+ years experience delivering products that include Advertising technology, with a focus on audiences, profiling and/or data collection.
* Deep knowledge of identity graphs, user profiling and signal maximization to drive effective personalization through audience products.
* 7\+ years of experience building Ads products.
* 3\+ years building platform products (e.g., identity graphs, audience platforms, user profile).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li-4366345259</t>
        </is>
      </c>
      <c r="B43" t="inlineStr">
        <is>
          <t>Sr. Product Manager-App Software-Consumer Electronics</t>
        </is>
      </c>
      <c r="C43" t="inlineStr">
        <is>
          <t>TP-Link</t>
        </is>
      </c>
      <c r="D43" t="inlineStr">
        <is>
          <t>linkedin</t>
        </is>
      </c>
      <c r="E43" t="inlineStr"/>
      <c r="F43" t="inlineStr"/>
      <c r="G43" t="inlineStr">
        <is>
          <t>Irvine, CA</t>
        </is>
      </c>
      <c r="H43" t="inlineStr"/>
      <c r="I43" t="inlineStr">
        <is>
          <t>**Description**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We are looking for an experienced App Software Product Manager to manage consumer electronics software and design and optimize smart home app features. This role requires you to manage the full lifecycle of features, from planning and design to development, release, and continuous optimization, ensuring our app remains at the forefront of the industry. You will collaborate closely with cross\-functional teams to drive product innovation and improve user experience.
**Key Responsibilities**
* Manage the software for consumer electronics products, including mobile applications and cloud features, overseeing the entire lifecycle of features (from conception, definition, design, development, release, and ongoing optimization).
* Lead the design of smart home product software features, ensuring that the app’s overall experience and functionality meet user needs and drive product iterations and innovations.
* Conduct industry competitive analysis and market research, develop smart home app software feature plans and development strategies to ensure our app provides an industry\-leading user experience.
* Analyze industry trends, competitive products, and emerging technologies to drive innovative product features and enhance user experience.
* Monitor key performance indicators (KPIs) for the app, gather user feedback, and develop plans for feature optimization and iteration to improve user satisfaction.
* Collaborate with the design department to ensure the software design aligns with the usage habits and needs of target market users.
**Requirements**
 Bachelor’s degree or higher, preferably in Computer Science, Electronics, Communications, Software Engineering, or related fields, required.
* At least 6 years of experience as a software product manager, with experience in consumer electronics software preferred.
* Extensive experience as a product manager, particularly on mobile or web platforms, with a proven ability to independently design and develop large\-scale software products or core functional modules.
* Familiar with the software development lifecycle, with substantial experience writing software functional PRDs (Product Requirement Documents), able to clearly define functional requirements and drive team execution.
* Strong user insight, the ability to understand and anticipate user needs, and excellent product design skills aimed at enhancing user experience.
* Excellent communication skills, capable of driving cross\-department coordination and execution, with experience collaborating with remote teams.
* Strong self\-awareness, a desire for continuous learning and improvement, and a proactive attitude toward facing challenges and enhancing personal capabilities.
**Preferred Qualifications**
* Possess a background in consumer electronics education or relevant software work experience.
* Experience using smart home products, with a profound understanding of the concept of smart homes changing lifestyles.
**Benefits**
 Salary Range: 160,000\-180,000
* Fully paid medical, dental, and vision insurance (partial coverage for dependents)
* Contributions to 401k funds
* 15 days accrued vacation
* 11 paid holidays
* Bi\-annual pay increases
* Health and wellness benefits, including free gym membership
* Quarterly team\-building events
* Free lunch Friday
*Please, no third\-party agency inquiries, and we are unable to offer visa sponsorships at this time.*</t>
        </is>
      </c>
    </row>
    <row r="44">
      <c r="A44" t="inlineStr">
        <is>
          <t>li-4302499877</t>
        </is>
      </c>
      <c r="B44" t="inlineStr">
        <is>
          <t>Product Manager III - AI Agent Experiences</t>
        </is>
      </c>
      <c r="C44" t="inlineStr">
        <is>
          <t>Expedia Group</t>
        </is>
      </c>
      <c r="D44" t="inlineStr">
        <is>
          <t>linkedin</t>
        </is>
      </c>
      <c r="E44" t="inlineStr"/>
      <c r="F44" t="inlineStr"/>
      <c r="G44" t="inlineStr">
        <is>
          <t>San Francisco, CA</t>
        </is>
      </c>
      <c r="H44" t="inlineStr"/>
      <c r="I4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**Product Manager III \- AI Agent Experiences (Discovery Team)**
**Introduction to the Team:** 
 The Product Team creates high\-quality end\-to\-end experiences for travelers, partners, and Expedia Group. Our customer\-first mindset focuses on developing products that encourage loyalty and repeat business from our travelers and partners. We partner closely with teams across Expedia Group to achieve growth and results for our customers and company.
 Are you ready to revolutionize the way people discover and plan their travel experiences? Join our AI Agent Product team as we push the boundaries of what's possible in travel technology. We're at the forefront of integrating cutting\-edge AI into the travel journey, creating experiences that are not just smart, but truly magical.
 Join us in shaping the future of travel through AI. Together, we'll create experiences that turn travel dreams into reality, one conversation at a time.
**In this role, you will:** 
* Lead the charge in developing next\-generation conversational UI and smart suggestions that make travel planning a breeze
* Pioneer the integration of multimodal inputs \- voice, image, gestures, geo, and device signals \- to create seamless, context\-aware interactions
* Collaborate with design teams to evolve our design system, ensuring cohesion, fluidity, and support for emerging patterns in AI\-driven interfaces
* Drive the strategy for AI\-powered trip discovery, transforming how travelers explore, compare, and choose their perfect getaway
* Analyze global AI adoption trends in travel planning and strategize ways to keep Expedia Group ahead of the curve
* Partner with cross\-functional teams to accelerate our AI capabilities, ensuring we remain competitive in a rapidly evolving landscape
* Own the roadmap for AI Agent experience improvements, balancing innovation with user needs and business goals
* Collaborate with tech teams to evaluate and integrate emerging AI technologies that can give us a competitive edge
**Minimum Qualifications:** 
* Bachelor's degree in Computer Science, Engineering, or related technical field; or equivalent related professional experience
* 5\+ years of Product Management experience; with a track record of delivering innovative, user\-centric products
* Experience with conversational UI and chat\-based interaction models
* Experience with front end products
**Preferred Qualifications:** 
* Deep understanding of AI technologies; particularly in areas of natural language processing, computer vision, and multimodal interactions
* Strong user advocate and bias to action
* Proven ability to translate complex technical concepts into compelling user experiences
* Strong analytical skills with the ability to derive insights from data to inform product decisions
* Excellent communication and storytelling skills, able to inspire and influence stakeholders at all levels
* Agile mindset with the ability to pivot quickly in response to user feedback and market changes
* Passion for travel and a keen interest in how AI is reshaping the industry
 The total cash range for this position in San Jose is $149,000\.00 to $208,500\.00\. Employees in this role have the potential to increase their pay up to $238,500\.00, which is the top of the range, based on ongoing, demonstrated, and sustained performance in the role.
 The total cash range for this position in Seattle is $137,500\.00 to $192,500\.00\. Employees in this role have the potential to increase their pay up to $220,000\.00, which is the top of the range, based on ongoing, demonstrated, and sustained performance in the role. The total cash range for this position in San Francisco is $149,000\.00 to $208,500\.00\. Employees in this role have the potential to increase their pay up to $238,500\.00,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45">
      <c r="A45" t="inlineStr">
        <is>
          <t>li-4227552316</t>
        </is>
      </c>
      <c r="B45" t="inlineStr">
        <is>
          <t>Product Manager - Asset Backed Financing</t>
        </is>
      </c>
      <c r="C45" t="inlineStr">
        <is>
          <t>KKR</t>
        </is>
      </c>
      <c r="D45" t="inlineStr">
        <is>
          <t>linkedin</t>
        </is>
      </c>
      <c r="E45" t="inlineStr"/>
      <c r="F45" t="inlineStr"/>
      <c r="G45" t="inlineStr">
        <is>
          <t>New York, United States</t>
        </is>
      </c>
      <c r="H45" t="inlineStr"/>
      <c r="I45" t="inlineStr">
        <is>
          <t>**Company Overview**
 KKR is a leading global investment firm that offers alternative asset management as well as capital markets and insurance solutions. KKR aims to generate attractive investment returns by following a patient and disciplined investment approach, employing world\-class people, and supporting growth in its portfolio companies and communities. KKR sponsors investment funds that invest in private equity, credit and real assets and has strategic partners that manage hedge funds. KKR’s insurance subsidiaries offer retirement, life and reinsurance products under the management of Global Atlantic Financial Group. References to KKR’s investments may include the activities of its sponsored funds and insurance subsidiaries.
**Team Overview**
 The Investment Lifecycle Product team, part of KKR’s Technology organization, develops technology solutions for clients and KKR teams with the objective to deliver exceptional experiences, enable firm growth, and mitigate firm risks. It collaborates closely with the Investment teams and other Technology teams, as well as Compliance, Enterprise Risk, Finance, Internal Audit, Legal, and Marketing.
**Position Summary**
 We are seeking a product manager with deep expertise in Asset\-Based Finance (ABF), risk management, and data analytics to lead the strategy, roadmap, and development of portfolio management, deal modelling and performance platforms supporting our Global ABF investment business. This individual will be responsible for delivering innovative, data\-driven solutions that enable Investment Teams and their partners to make informed decisions across a diverse set of ABF asset classes, including consumer credit (auto, credit card, personal loans), residential mortgages (agency/non\-agency RMBS), high\-grade structured credit (ABS, CLOs), and non\-performing loans (charged\-off receivables, distressed real estate, restructured debt).
 As a domain expert, the product manager will bring strategic vision, strong relationship\-building skills, and cross\-functional leadership to ensure risk assessment and mitigation are seamlessly embedded into investment processes. This role requires a blend of product ownership, technical fluency, and user understanding—delivering platforms that combine risk measurement, scenario analysis, visualization, and performance insights.
**Responsibilities**
* Global Product Strategy \&amp; Roadmap: Define and drive a comprehensive global product strategy and multi\-year roadmap for Asset\-Based Finance (ABF), ensuring alignment with firm\-wide objectives and regional needs. Establish clear OKRs to track progress and impact, continuously refining the roadmap based on stakeholder input, market dynamics, and evolving risk management priorities.
* Strategic Product Leadership: Lead a team of product managers focused on ABF tools and platforms. Provide strategic direction across the entire product lifecycle—from ideation and development through launch and iteration—ensuring product alignment across geographies and consistency in user experience throughout the investment lifecycle.
* Advanced Risk Analytics \&amp; Reporting: Spearhead the development of sophisticated risk analytics and real\-time reporting tools to support global ABF risk oversight. Define and implement standardized risk metrics and dashboards in partnership with Engineering and external data providers, ensuring high\-quality, actionable insights into exposures, mitigation strategies, and investment performance.
* Cross\-Functional Collaboration: Foster deep partnerships with global stakeholders—including Investment Teams, Risk, Operations, Legal, and Technology—to align on strategic goals, gather localized requirements, and ensure adoption of scalable, risk\-aligned solutions. Promote a unified product vision while accommodating regional regulatory and business nuances.
* Vendor and Partner Management: Lead buy vs. build assessments, select the right partners, and manage ongoing vendor relationships to ensure high\-quality product solutions for the firm’s risk management needs.
* Platform\-Mindset: Advocate for a platform\-based approach that emphasizes interoperability, reusability, and scalability across ABF and adjacent investment verticals. Ensure ABF product architecture integrates seamlessly with broader investment and risk management ecosystems.
* Technology and Company\-Wide Contribution: Actively contribute to Technology and company\-wide priorities, offering input beyond the immediate product role to support broader company objectives and initiatives.
**Qualifications**
* 10\+ years of experience in product management, data analytics, business analysis, asset management, and or software development, with a deep focus on Global Asset\-Based Finance (ABF) products. Expertise spans the full spectrum of ABF sub\-asset types, including consumer credit (auto loans, credit cards, personal loans), residential mortgages (agency and non\-agency RMBS), high\-grade structured credit (ABS, CLOs), and non\-performing loans (distressed real estate, restructured debt, charged\-off receivables). Proven ability to lead product strategy and roadmap execution aligned with firm objectives, balancing innovation with scalable, cost\-effective delivery.
* Hands\-on experience using Intex to model, analyze, and evaluate structured deals across RMBS, ABS, and CLOs. Proficient in scenario analysis, tranche modeling, waterfall structures, and cash flow forecasting to support product design, risk management, and investment decision\-making. Adept at integrating Intex outputs with proprietary risk analytics for a holistic view of exposures across multiple ABF asset classes.
* Deep understanding of unique risk characteristics and performance drivers across ABF segments—from delinquency and prepayment in consumer credit, to default timing and severity modeling in non\-performing loan pools. Skilled in developing asset\-specific KPIs and dashboards to deliver actionable insights for investment and risk stakeholders.
* Extensive experience working with asset managers, investment professionals, and operations teams to tailor tools for each ABF vertical. Implement structured feedback loops and human\-centered design to create intuitive, high\-utility solutions that enhance decision\-making and operational efficiency.
* Consistently deliver high\-quality, scalable products across complex ABF domains while maintaining rigorous standards in performance, usability, and stakeholder alignment. Experience in launching and maintaining tools supporting both primary issuance and secondary trading of structured credit and distressed assets.
* Skilled at translating technical ABF concepts into actionable strategies for cross\-functional and senior leadership audiences. Proven ability to drive alignment and execution across Product, Engineering, Risk, and Investment teams globally.
* Work closely with engineering teams to develop scalable architectures supporting structured product workflows. Design and implement data models and workflow automation for asset\-specific processes.
 This is the expected annual base salary range for this New York\-based position. Actual salaries may vary based on factors, such as skill, experience, and qualification for the role. Employees may be eligible for a discretionary bonus, based on factors such as individual and team performance.
 Base Salary Range
 $150,000—$200,000 USD
 KKR is an equal opportunity employer. Individuals seeking employment are considered without regard to race, color, religion, national origin, age, sex, marital status, ancestry, physical or mental disability, veteran status, sexual orientation, or any other category protected by applicable law.</t>
        </is>
      </c>
    </row>
    <row r="46">
      <c r="A46" t="inlineStr">
        <is>
          <t>li-4366010173</t>
        </is>
      </c>
      <c r="B46" t="inlineStr">
        <is>
          <t>AI Product Owner</t>
        </is>
      </c>
      <c r="C46" t="inlineStr">
        <is>
          <t>HUB International</t>
        </is>
      </c>
      <c r="D46" t="inlineStr">
        <is>
          <t>linkedin</t>
        </is>
      </c>
      <c r="E46" t="inlineStr"/>
      <c r="F46" t="inlineStr"/>
      <c r="G46" t="inlineStr">
        <is>
          <t>Chicago, IL</t>
        </is>
      </c>
      <c r="H46" t="inlineStr"/>
      <c r="I46" t="inlineStr">
        <is>
          <t>**ABOUT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Position Overview
 HUB is seeking an AI Product Owner to drive the business use cases, roadmap, and execution of enterprise AI solutions. This critical role sits at the intersection of business, AI technology, development, and user experience; responsible for translating HUB's AI vision into tangible products that deliver measured value. The AI Product Owner will own the product lifecycle for AI; to scale AI adoption from while ensuring responsible AI practices across the enterprise.
 Key Responsibilities
**AI Product Strategy \&amp; Vision** 
* Collaborate with stakeholders to align AI initiatives with business objectives and strategic priorities
* Identify and prioritize AI use cases across insurance value chains including underwriting, claims, policy servicing, and sales enablement
* Develop investment thesis documentation for emerging AI capabilities (Digital D2C, Voice AI, Agentic Coding)
* Monitor AI industry trends, competitive landscape, and emerging technologies to inform product direction
**Product Development \&amp; Delivery** 
* Own the product backlog for AI initiatives, facilitate AI solution groups, acceptance criteria, and technical specifications
* Lead discovery phases for new AI products
* Partner with engineering, data science, and design teams to deliver AI solutions through agile sprints
* Define MVP scope, success criteria, and pilot implementation strategies for new AI capabilities
* Manage vendor relationships and technical integrations with AI platform partners
**User Experience \&amp; Adoption** 
* Champion the voice of the AI user, conducting working sessions to understand pain points and opportunities for AI solutions
* Drive user adoption of AI users through compelling experiences
* Partner with Innovation Cohorts and AI Business Champions to gather feedback, validate solutions, and scale successful use cases
* Design intuitive AI interfaces that balance powerful capabilities with ease of use for diverse user personas
* Develop training materials, documentation, and change management strategies to support AI rollouts
**Governance \&amp; Responsible AI** 
* Ensure AI products comply with HUB's AI governance framework, security policies, and regulatory requirements
* Champion responsible AI practices including fairness, transparency, explainability, data privacy and more
* Support AI Center of Excellence with product recommendations and prioritization decisions
* Document AI capabilities, value creation, limitations, and appropriate use cases for enterprise deployment
* Establish model performance metrics, monitoring dashboards, and continuous improvement processes
**Metrics \&amp; Value Realization** 
* Define and track KPIs for AI product success including adoption rates, time savings, and business impact metrics
* Build ROI models and business cases to justify AI investments and demonstrate value to executive leadership
* Report on AI program health, user adoption trends, and value creation across the enterprise
* Quantify productivity and communicate success stories
 Required Qualifications
* 7\+ years of experience in product management, product ownership, or related roles
* 3\+ years of direct experience with AI/ML products, data science initiatives, or enterprise AI deployments
* Strong understanding of generative AI capabilities, large language models (LLMs), and AI application patterns
* Proven experience facilitating AI Solutioning, user stories, and technical specifications
* Experience with Agile/Scrum methodologies and working with cross\-functional development teams
* Excellent stakeholder management and executive communication skills
* Bachelor’s degree in business, Computer Science, Data Science, or related field
 Preferred Qualifications
* Experience with enterprise AI platforms (Anthropic Claude, OpenAI, Microsoft Copilot, Google Gemini)
* Insurance or financial services industry experience
* Experience with RAG (Retrieval Augmented Generation), prompt engineering, and AI agent architectures
* Product management certifications (CSPO, PSPO, or equivalent)
* Master's degree or MBA
* Experience with AI governance frameworks and responsible AI practices
* Technical background with ability to understand data pipelines, APIs, and AI model architectures
 Key Competencies
* Strategic thinking with ability to translate AI capabilities into business value
* User empathy and design thinking mindset
* Data\-driven decision making with strong analytical skills
* Excellent written and verbal communication across technical and non\-technical audiences
* Entrepreneurial mindset with ability to navigate ambiguity and drive innovation
* Collaborative leadership style with ability to influence without authority
* Integrity and commitment to responsible AI development
 What We Offer You
 At HUB International, we're invested in your success—both inside and outside of work. Our benefits include:
* Competitive base salary plus performance\-based bonus
* Comprehensive medical, dental, and vision coverage
* 401(k) with company match
* Paid time off and company holidays
* Professional development and certification reimbursement
* Access to cutting\-edge AI tools and technologies
* Opportunity to shape the AI strategy of a leading insurance brokerage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*Disclosure required under applicable law in California, Colorado, Illinois, Maryland, Minnesota, New York, New Jersey, and Washington states: The expected salary range for this position is $150K to $190K and will be impacted by factors such as the successful candidate’s skills, experience and working location, as well as the specific position’s business line, scope and level. If you believe that your qualifications and experience surpass the minimum requirements for this role, we encourage you to submit your application. By doing so, we will be able to keep your application on file for consideration for potential future positions within our organization. HUB International is proud to offer comprehensive benefit and total compensation packages which could include health/dental/vision/life/disability insurance, FSA, HSA and 401(k) accounts, paid\-time\-off benefits such as vacation, sick, and personal days, and eligible bonuses, equity and commissions for some positions.*</t>
        </is>
      </c>
    </row>
    <row r="47">
      <c r="A47" t="inlineStr">
        <is>
          <t>li-4365997036</t>
        </is>
      </c>
      <c r="B47" t="inlineStr">
        <is>
          <t>Product Owner - Courts</t>
        </is>
      </c>
      <c r="C47" t="inlineStr">
        <is>
          <t>RemoteHunter</t>
        </is>
      </c>
      <c r="D47" t="inlineStr">
        <is>
          <t>linkedin</t>
        </is>
      </c>
      <c r="E47" t="inlineStr"/>
      <c r="F47" t="inlineStr"/>
      <c r="G47" t="inlineStr"/>
      <c r="H47" t="inlineStr"/>
      <c r="I47" t="inlineStr">
        <is>
          <t>About the Opportunity:
 This organization is a technology\-driven software application company providing enterprise management software solutions across private and semi\-private club, foodservices, construction, metal service centers, moving \&amp; storage, and attractions \&amp; leisure, fitness \&amp; sports industries. With multiple respected brands, it serves over 8000 customers in 15 countries and operates offices in Canada, the United States, the United Kingdom, and the Caribbean. The Product Owner \- Courts role involves managing internal projects within the Product team, overseeing product planning, quality assurance, and documentation around product releases. The position requires close collaboration with engineering, sales, marketing, and support to meet customer satisfaction and align product outcomes with the organization’s strategy. This role also acts as an industry consultant for private club staff on racquet and athletic software, reporting to the Head of Product and managing 1\-2 QA Analysts.
 Responsibilities:
 • Oversee product development from ideation to deployment
 • Ensure on\-time, on\-budget product launches that meet customer expectations
 • Conduct market research to understand customer needs and industry trends
 • Prioritize features aligned with strategic goals to focus the product roadmap
 • Collaborate with engineering, marketing, sales, and other teams for product launch and management
 • Participate actively in sprint planning meetings
 • Create Product Requirements Documents with prioritized features and justifications
 • Design wireframe mockups for enhancements and new product interfaces
 • Manage QA resources to meet user expectations and address bugs and product enhancements
 • Run beta and pilot programs, including client enlistment, training, and collaboration
 • Write internal and external product release notes and agreement language for new products
 • Continuously monitor and optimize products to maintain competitiveness and meet evolving needs
 • Represent the product at tradeshows, webinars, demos, and occasional client site visits
 Requirements:
 • 2\-5 years of experience as Product Owner, Manager, or Analyst
 • Familiarity with the private club industry
 • Strong communication skills to convey product vision, strategy, and progress; comfortable leading webinars
 • Ability to balance client and business needs effectively
 • Skilled at translating user and business requirements into detailed specifications
 • Proficient in conflict resolution and problem\-solving
 • Evidence\-based decision\-making and rigorous prioritization abilities
 • Ability to say “no” with clear explanations understood by stakeholders
 • Transparency in prioritization and roadmap processes
 • Proven success in defining and launching products
 • Technical background with software product management experience
 • Understanding of UI and UX best practices
 • Strong teamwork and cross\-functional influence skills without formal authority
 • Experience working with external third parties on partnerships and integrations
 • Entrepreneurial, self\-starting work style
 • Excellent organizational, interpersonal, and communication skills
 • Ability to work well with designers and engineers
 • Skilled at tactfully communicating progress to senior management
 • User advocacy and understanding of user motivation
 • Comfortable managing change and ambiguity with composure under pressure
 • Commitment to meeting expectations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li-4354549358</t>
        </is>
      </c>
      <c r="B48" t="inlineStr">
        <is>
          <t>Sr. Staff Product Manager, NovaSeq X Series</t>
        </is>
      </c>
      <c r="C48" t="inlineStr">
        <is>
          <t>Illumina</t>
        </is>
      </c>
      <c r="D48" t="inlineStr">
        <is>
          <t>linkedin</t>
        </is>
      </c>
      <c r="E48" t="inlineStr"/>
      <c r="F48" t="inlineStr"/>
      <c r="G48" t="inlineStr">
        <is>
          <t>San Diego, CA</t>
        </is>
      </c>
      <c r="H48" t="inlineStr"/>
      <c r="I48"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We are actively seeking an experienced Senior Staff Product Manager to join our High\-Throughput Platforms team. In this key role, you will drive product strategy, definition, and cross\-functional execution for a major next\-phase platform initiative within Illumina’s high\-throughput sequencing portfolio.
 This position is ideal for a seasoned product leader with deep experience in Next\-Generation Sequencing who can connect customer workflows, technology capabilities, and sequencing economics to guide complex, multi\-year platform programs. You will collaborate across R\&amp;D, Operations, Commercial, and strategic partners to help deliver the next wave of innovation in high\-throughput sequencing—grounded in a clear, customer\-first perspective. It is critical that you think beyond the sequencer and develop product strategies that meet customer needs in emerging high intensity sequencing applications.
**Responsibilities**
* Provide product leadership for a complex, multi\-year platform program, including business case framing, customer and market analysis, requirements definition, and strategic decision support.
* Lead market input to design decisions by understanding workflow needs, application requirements, competitive trends, and ecosystem dynamics (library prep, automation, informatics).
* Represent the customer as a critical member of the development core team, by advocating for their needs and ensuring trade off decisions do not impact Illumina’s ability to serve our customers.
* Engage directly with high\-throughput customers—genome centers, clinical labs, research institutes, and service providers—to bring a deep, workflow\-informed voice of customer into product strategy and development.
* Anchor product decisions in a customer\-first understanding of operational constraints, workflow bottlenecks, application needs, and adoption drivers.
* Partner closely with R\&amp;D teams to translate customer needs and workflow insights into clear, testable product requirements and acceptance criteria.
* Drive cross\-functional execution across chemistry, hardware, software, operations, and commercial stakeholders to ensure program alignment and readiness.
* Support cross\-functional teams in modeling adoption patterns, sequencing volume drivers, workflow considerations, and platform economics to inform platform and portfolio decisions.
* Collaborate with Regional Marketing, Product Management, and the Commercial Organization to align on messaging, positioning, launch plans, and customer engagement strategies.
* Develop clear materials and frameworks to support executive decision\-making, including product trade\-offs, opportunity assessments, and roadmap recommendations.
* Work with commercial teams to create and deliver sales tools, positioning guidance, objection handling, and customer\-facing content.
* Build strong relationships with internal and external partners, key opinion leaders, and ecosystem stakeholders to stay ahead of emerging customer and technology trends.
* Represent the platform strategy across internal teams and drive clarity on product direction, customer value, and business impact.
**Requirements**
* Typically requires a minimum of 12 years of related experience with a Bachelor's degree; or 12 years and a Master's degree; or a PhD with 8 years of experience; or equivalent experience
* Strong technical knowledge of NGS platforms, workflows, and high\-throughput sequencing applications.
* Demonstrated ability to integrate customer insights, technical constraints, and business drivers into clear product strategy and requirements.
* Demonstrated ability to operate as a customer\-first product leader, grounding product decisions in real customer workflows, technical realities, and long\-term adoption dynamics.
* Experience working in highly cross\-functional, matrixed environments with R\&amp;D, Operations, Finance, and Commercial teams.
* Proven analytical strength, with the ability to interpret complex data, model businesses cases and link analysis to strategic decisions.
* Strong communication and executive\-level presentation skills.
* Experience supporting or launching products in clinical genomics, high\-throughput research, or sequencing operations is highly desirable.
* Demonstrated understanding of ecosystem dependencies (workflow integration, automation, informatics, sample logistics) and how they influence customer adoption.
* Up to 30% travel may be required.
 The estimated base salary range for the Sr. Staff Product Manager, NovaSeq X Series role based in the United States of America is: $155,600 \- $233,400\.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t>
        </is>
      </c>
    </row>
    <row r="49">
      <c r="A49" t="inlineStr">
        <is>
          <t>li-4366340309</t>
        </is>
      </c>
      <c r="B49" t="inlineStr">
        <is>
          <t>Senior Product Manager - Copilot in Office</t>
        </is>
      </c>
      <c r="C49" t="inlineStr">
        <is>
          <t>Microsoft</t>
        </is>
      </c>
      <c r="D49" t="inlineStr">
        <is>
          <t>linkedin</t>
        </is>
      </c>
      <c r="E49" t="inlineStr"/>
      <c r="F49" t="inlineStr"/>
      <c r="G49" t="inlineStr">
        <is>
          <t>Redmond, WA</t>
        </is>
      </c>
      <c r="H49" t="inlineStr"/>
      <c r="I49" t="inlineStr">
        <is>
          <t>**Overview**
 Microsoft 365 Copilot is transforming productivity by combining large language models (LLMs) with your data in the Microsoft Graph and the M365 apps millions rely on daily.
 This role is in the Office AI org which is central to the development of M365 Copilot, and where we design and deliver AI\-native experiences in Word, Excel, PowerPoint, and Outlook. As a
 **Senior Product Manager** 
 , you’ll work full stack: from crafting intuitive user experiences to designing shared components and underlying technical infrastructure, all while working across our many app team partners. We’re looking for someone who thinks deeply and boldly about what AI can unlock, not just as a feature, but as a paradigm shift in how people work.
 Office AI is where Microsoft bets big on what’s next in productivity. This fast\-paced environment is ideal for product managers with intuitive product knowledge, technical depth, and experience delivering customer\-facing solutions through cross\-functional collaboration. If you're energized by the opportunity to shape the future of productivity through AI\-first thinking, this is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product vision and strategy by creating scenarios that satisfy customer needs, accrue business outcomes, and drive future product investments.
* Partner with engineering teams to develop experience and platform investments which align to product needs.
* Build and develop strong relationships across M365 app teams (Word, Excel, PowerPoint, Outlook, Teams, etc.) to align on vision, plans, and processes, and to help drive clarity across all stakeholders.
* Manage strategic development cycles and define key milestones, including workback schedules, research and design dependencies, and tooling.
* Foresee and resolve bottlenecks, anticipate and balance trade\-offs, and weigh customer and business needs against technical limitations.
* Embody our culture and values.
**Qualifications**
**Required Qualifications:**
* Bachelor's Degree AND 5\+ years experience in product/service/program management or software development
+ OR equivalent experience. .
**Preferred Qualifications**
* Bachelor's Degree AND 8\+ years experience in product/service/program management or software development
+ OR equivalent experience.
* 4\+ years experience improving product metrics for a product, feature, or experience in a market (e.g., growing customer base, expanding customer usage, avoiding customer churn).
* 2\+ years experience taking a product, feature, or experience to market (e.g., design, addressing product market fit, and launch, internal tool/framework).
* 4\+ years experience disrupting a market for a product, feature, or experience (e.g., competitive disruption, taking the place of an established competing product).
* Proven ability to remain resilient, self‑directed, and effective when faced with ambiguity.
* Consistently exercises sound judgment while operating in high‑volume, fast‑moving settings.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li-4356004846</t>
        </is>
      </c>
      <c r="B50" t="inlineStr">
        <is>
          <t>Sr IT Product Manager</t>
        </is>
      </c>
      <c r="C50" t="inlineStr">
        <is>
          <t>Palo Alto Networks</t>
        </is>
      </c>
      <c r="D50" t="inlineStr">
        <is>
          <t>linkedin</t>
        </is>
      </c>
      <c r="E50" t="inlineStr"/>
      <c r="F50" t="inlineStr"/>
      <c r="G50" t="inlineStr">
        <is>
          <t>Santa Clara, CA</t>
        </is>
      </c>
      <c r="H50" t="inlineStr"/>
      <c r="I5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IT is building a world class IT product management team and continues to look for top\-notch IT product managers to expand the team. We are looking for an exceptional leader for introducing new products that support Palo Alto Partners, Distributors and Marketplaces. In this role, you will partner with various Palo Alto Networks partners, distributors, product, engineering and business stakeholders to introduce a portfolio of new products that support expansion of Palo Alto networks business via partners. In addition to your thought leadership and creativity, you will partner closely with IT Software Engineers, Product Managers, Engineering, Legal, Finance, Revenue, Sales/Partner Operations, and Global Customer Support to ensure new features and products are robust and the experience for our partners and internal stakeholders is seamless. Having a software engineering background and experience supporting the channels or partner functions is critical for success in this challenging and rewarding role. Your Impact Define vision and strategy for partner facing products that support indirect sales motions. Partner with Channels GTM, Sales GTM, Product Management and engineering teams to develop products aligned with the product vision. Drive products from ideation to launch Responsible for defining and driving the business process, solution and writing of user stories which will translate into products Responsible for IT product roadmap development and building excellent partnerships with various leaders within the company Partner with business, product management and engineering to define requirements, develop functional specifications, and estimate delivery timelines Manage all aspects of the product life cycle including end\-user feedback, requirements and issues. Analyze and evaluate product performance and make recommendations Manage business expectations, be proactive in planning for new offerings, and build excellent partnerships with various leaders within the company Mentor and grow junior product managers
**Qualifications (Additional Job Description)**
 Your Experience Strong 10\-12\+ Yrs of experience working as a Product Manager in high tech company Extensive experience working with partners and distributors is a must Experience driving innovate partner solutions using AI Experience creating mockups using lovable or similar tools Knowledge and experience with Salesforce CRM, CPQ and Communities or equivalent is a must. Strong desire to take ownership of a set of new products and design capabilities to support indirect motion Drive to design something new, innovative, and disruptive Experience with developing API’s for partners or customers Experience in developing solutions/products that integrate with different cloud service providers is a plus Bachelor's Degree in computer science, engineering or an equivalent combination of skills, training, and experience \- Master’s degree preferred Software development background is a plus Excellent written and verbal communication skills Superlative collaboration mindset – this is a highly cross\-functional role A do\-what\-it\-takes attitude Local in SF Bay Area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$141,000\.00 \- $229,000\.00/yr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1">
      <c r="A51" t="inlineStr">
        <is>
          <t>li-4366351640</t>
        </is>
      </c>
      <c r="B51" t="inlineStr">
        <is>
          <t>Product Manager - Global Security, Vice President</t>
        </is>
      </c>
      <c r="C51" t="inlineStr">
        <is>
          <t>JPMorganChase</t>
        </is>
      </c>
      <c r="D51" t="inlineStr">
        <is>
          <t>linkedin</t>
        </is>
      </c>
      <c r="E51" t="inlineStr"/>
      <c r="F51" t="inlineStr"/>
      <c r="G51" t="inlineStr">
        <is>
          <t>New York, NY</t>
        </is>
      </c>
      <c r="H51" t="inlineStr"/>
      <c r="I51"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in Global Security,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In this role, you will be empowered to shape and influence the strategic vision, and execution for two foundation horizontal platforms \- Data Integration, Messaging \&amp; Enablement DIME and Unified Event Management (UEM) \- that underpin our ability to ingest, analyze, and act on mission\-critical information. Partnering with Engineering, Data \&amp; Analytics, User and Employee Experience (UX/EX), Security Operations, and Product Delivery Managers, you will embed robust data governance, auditable event/incident workflows, and capability enhancements to drive operational efficiency. You will also help design and roll out a unified data\-sharing framework that accelerates business outcomes, improves time\-to\-value for our stakeholders, and help position Global Security at the forefront of data\-driven innovation.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Conduct deep analyses of end\-to\-end business processes, tooling, and data flows—supplemented by stakeholder interviews, market research, and user feedback—to validate problems, uncover gaps, and define high\-impact opportunities for DIME and UEM.
* Facilitate cross\-functional workshops and design sessions with Engineering, UX/EX, Security Operations and Data Owners to capture requirements, drive consensus and align on solution architectures.
* Refine and prioritize the product backlog: author epics, user stories and acceptance criteria in Jira/Confluence, manage dependencies with Product Delivery Managers, and update release plans.
* Embed data governance, security controls and compliance requirements into every feature through cross\-functional partnerships to deliver audit\-ready, enterprise\-grade solutions.
* Lead Agile delivery for UEM — leading sprint planning, coordinating QA/UAT, managing release deployments, and driving swift defect and production\-issue resolution — to ensure on\-time, high\-quality releases.
* Collaborate with the Automation, Reporting \&amp; Intelligent Analytics (ARIA) platform product to integrate predictive models, automated workflows and advanced dashboards that accelerate detection and response efforts.
* Define, track, and report on key success metrics (adoption, data quality, incident response times, reliability, risk posture), using interactive dashboards and retrospectives to drive continuous improvement.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Hands\-on Product Management experience in enterprise security, data\-integration or incident\-management domains, with a proven track record launching large\-scale SaaS/platform products
* Deep expertise in Agile methodologies and tools (Jira/Confluence), including backlog prioritization, epic/user\-story definition, release planning, and full product lifecycle management
* Strong understanding of data governance and metadata management principles, API\-first design, event\-driven architectures and integration technologies (e.g., Kafka, REST/GraphQL)
* Excellent analytical and problem\-solving skills, with the ability to conduct deep analyses of complex datasets and translate insights into actionable product enhancements
* Exceptional communication, influencing and executive\-presence skills—adept at driving consensus in highly matrixed environments, distilling diverse stakeholder feedback, and delivering compelling executive presentations
* Proven ability to lead end\-to\-end product discovery, ideation, market research and translate business requirements into strategic roadmap priorities
* Demonstrated success working with SaaS or enterprise\-scale platform products, managing competing priorities, and building cross\-functional partnerships across engineering, UX/EX, operations and delivery teams
**Preferred Qualifications, Capabilities, And Skills**
* Demonstrated prior experience working in a highly matrixed, complex organization
* Bachelor’s degree in Computer Science, Engineering, Business or related field; advanced degree preferred
* Experience with cloud data lake platforms and orchestration tools
* Familiarity with SIEM/SOAR platforms, unified command\-and\-control systems or Security Operations Centers (SOCs)
* Experience partnering with AI/ML and analytics teams to embed predictive models, automated workflows and advanced dashboards into production systems, accelerating data\-driven decision\-making
* Experience leveraging process\-mining and task\-mining tools and intelligent automation to optimize and streamline business workflows
* Knowledge of data\-sharing frameworks, metadata cataloging, entitlement services and broader data\-governance best practices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2">
      <c r="A52" t="inlineStr">
        <is>
          <t>li-4365999638</t>
        </is>
      </c>
      <c r="B52" t="inlineStr">
        <is>
          <t>Product Manager Entitlements</t>
        </is>
      </c>
      <c r="C52" t="inlineStr">
        <is>
          <t>hackajob</t>
        </is>
      </c>
      <c r="D52" t="inlineStr">
        <is>
          <t>linkedin</t>
        </is>
      </c>
      <c r="E52" t="inlineStr"/>
      <c r="F52" t="inlineStr"/>
      <c r="G52" t="inlineStr">
        <is>
          <t>New York, NY</t>
        </is>
      </c>
      <c r="H52" t="inlineStr"/>
      <c r="I52" t="inlineStr">
        <is>
          <t>***hackajob** 
 is collaborating with
 **J.P. Morgan** 
 to connect them with exceptional tech professionals for this role.*
**Job Description**
 The Chief Data \&amp; Analytics Office at JPMorgan Chase is at the forefront of shaping the firm's artificial intelligence strategy and driving its adoption across the organization. As the largest bank in America, we recognize that AI as a transformative force essential for maintaining our competitive edge
 As a Senior Entitlements Product Manager within the Chief Data \&amp; Analytics Office (CDAO) Product and Platform team at JPMorgan Chase, you will own the end\-to\-end strategy, roadmap and delivery of firm wide data entitlements for AI/ML use cases. You will define policy models, enforce industry standards, and partner with architecture, engineering, security, legal and business stakeholders to enable governed, low\-friction access to data across the bank. Your deep expertise in RBAC, ABAC, policy authoring and entitlement technologies will ensure our platform scales securely while controlling risk and compliance exposure.
**Job Responsibilities**
* Develop and socialize a cohesive product strategy and roadmap for firm wide data entitlements in support of AI/ML, analytics and data science initiatives
* Define and author entitlement policies using RBAC, ABAC and hybrid models, aligned to industry standards (e.g., ORDL) for machine readability/processing
* Partner with Identity \&amp; Access Management, Security, Architecture and Engineering teams to integrate policy engines, SSO/LDAP directories and entitlement services
* Collaborate with Legal, Compliance and Privacy to embed governance controls and audit capabilities into product releases
* Drive end\-user and stakeholder engagement—conduct working sessions, demos and training to ensure adoption of entitlement best practices
* Monitor usage metrics, entitlement violations and risk indicators; iterate on policy and tooling to reduce over\-provisioning and insider threat
* Maintain awareness of emerging standards, competitor offerings and regulatory changes to continuously evolve the entitlement platform
**Required Qualifications, Capabilities, And Skills**
* 5\+ years of product management experience, focusing on entitlements, access control or identity governance
* Deep understanding of entitlement paradigms, including Role\-Based Access Control (RBAC), Attribute\-Based Access Control (ABAC) and policy\-driven models
* Hands\-on experience with policy authoring frameworks and entitlement enforcement engines
* Technical fluency in integrating entitlement services via APIs, micro\-service architectures and cloud IAM (AWS IAM, Azure AD, GCP IAM)
* Strong stakeholder management and communication skills, with a track record of influencing senior executives and cross\-functional teams
* Analytical mindset, capable of translating risk and compliance requirements into scalable product features
* Familiarity with audit, logging and monitoring tools to demonstrate entitlement compliance and drive continuous improvement
**Preferred Qualifications, Capabilities, And Skills**
* Recognized thought leader within a related field
* Degree in Computer Science, Information Security, Business or related field
* Prior experience in financial services or highly regulated environments
* Prior experience leading Product in financial / data platforms
* Certifications in Identity Governance (e.g., Certified Identity and Access Manager), Product Management or Agile/Scrum
* Exposure to emerging technologies such as Model Context Protocol (MCP) and Explainable AI (EAI)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3">
      <c r="A53" t="inlineStr">
        <is>
          <t>li-4366008140</t>
        </is>
      </c>
      <c r="B53" t="inlineStr">
        <is>
          <t>Senior Technical Product Manager (AI) - HyperPersonalization</t>
        </is>
      </c>
      <c r="C53" t="inlineStr">
        <is>
          <t>Vanguard</t>
        </is>
      </c>
      <c r="D53" t="inlineStr">
        <is>
          <t>linkedin</t>
        </is>
      </c>
      <c r="E53" t="inlineStr"/>
      <c r="F53" t="inlineStr"/>
      <c r="G53" t="inlineStr">
        <is>
          <t>Malvern, PA</t>
        </is>
      </c>
      <c r="H53" t="inlineStr"/>
      <c r="I53" t="inlineStr">
        <is>
          <t>**Responsibilities**
* Leads product management activities for multiple products, or one strategic product, with cross\-divisional impact. Drives the design and continuous improvement of AI/ML technical solutions.
* Influences and collaborates with cross\-functional teams to create best practices that drive significant change to the client experience. Ensures business outcomes are linked to business case drivers.
* Coaches technical product teams towards AI/ML best practices and learnings. Oversees product teams' support of the messaging, communication, and customer outreach as necessary.
* Facilitates strong business support through working with team members to promote a consistent approach to decisions/impacts and client propositions. Drives connection across all appropriate internal and external stakeholders.
* Leads the planning, development and implementation of new AI/ML technical products with cross\-divisional impact. Defines and analyzes AI/ML markets, developing detailed product features and requirements, and developing implementation plans.
* Influences and employs a variety of qualitative and quantitative analysis techniques to continually improve the user experience.
* Participates in and influences ongoing business planning and departmental prioritization activities.
* Drives the team’s engineering practices in development, continuous integration, and automated deployment.
* Participates in special projects and performs other duties as assigned.
* Manages the complete product lifecycle from strategy and planning to development and go\-to\-market execution for AI/ML\-based products.
* Conducts market research and analyzes trends to identify opportunities for AI/ML product innovation and enhancement.
* Determines features and functional specifications in collaboration with cross\-functional teams.
* Prepares product documentation and enables internal stakeholders (including sales and marketing) with the required product knowledge and technical expertise.
* Uses customer feedback and product performance data to evaluate current functionality and shape the direction of future releases.
**Qualifications And Skills**
* Minimum 10 years of experience in product management, technical project management, or AI/ML product leadership roles, including four years of experience managing AI/ML or data\-driven solutions.
* Bachelor’s degree in Computer Science, Engineering, Artificial Intelligence, or a related technical field required; Master’s degree or MBA preferred.
* Good to have skills in AI/ML product lifecycle management, stakeholder engagement, market research, data\-driven decision\-making, and technical collaboration across engineering and data science teams.
* Experience working with agile development methodologies, AI/ML frameworks (e.g., TensorFlow, PyTorch), and cloud platforms (e.g., AWS, Azure, GCP) is expected.
* Strong verbal and written communication, problem\-solving, critical thinking, cross\-functional collaboration, and organizational skills.
* Preferred certifications include Pragmatic Product Management, Certified Scrum Product Owner (CSPO), or Google Cloud/AWS Machine Learning certifications.
* Ability to adapt quickly in a fast\-paced environment, work with ambiguity, and lead products that are technically complex and strategically impactful.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54">
      <c r="A54" t="inlineStr">
        <is>
          <t>li-4356123510</t>
        </is>
      </c>
      <c r="B54" t="inlineStr">
        <is>
          <t>Principal IT Product Manager</t>
        </is>
      </c>
      <c r="C54" t="inlineStr">
        <is>
          <t>Palo Alto Networks</t>
        </is>
      </c>
      <c r="D54" t="inlineStr">
        <is>
          <t>linkedin</t>
        </is>
      </c>
      <c r="E54" t="inlineStr"/>
      <c r="F54" t="inlineStr"/>
      <c r="G54" t="inlineStr">
        <is>
          <t>Santa Clara, CA</t>
        </is>
      </c>
      <c r="H54" t="inlineStr"/>
      <c r="I54"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In this role, you will be responsible for envisioning, planning, and implementing our entitlement system that drives product activation, consumption measurement, reporting, and case management and more. You will build integrations with other IT and product engineering systems, plan and execute customer migrations, and leverage AI to offer innovative features and increase team velocity. Your Impact 100% accurate, audit ready entitlement data across all Palo Alto Networks customers and products Delivery of a robust system to manage complete entitlement life cycle Support product activation, consumption, case creation, and reporting Drive velocity improvements to significantly reduce time to market for new product introductions Key Responsibilities Create, maintain and drive product roadmap for entitlement system and other functions Own the delivery and quality of product specifications including product requirements, project epics and user stories. Own product backlogs to drive continuous improvements and product capabilities and features Serve as a bridge among functions – business, R\&amp;D, IT Architecture, engineering, QA – ensuring seamless product development. Collaborate closely with engineering teams throughout the product life cycle Act as a domain expert and go\-to leader within the organization Analyze case trends and engineering escalations to identify patterns, prioritize fixes, and influence the product backlog Define and monitor success criteria and metrics for the product, including usage and quality measures. Analyze user feedback and refine strategy
**Qualifications (Additional Job Description)**
 Your Experience 12\+ years of product management experience in technology or IT, with some years in SaaS or subscription based business Experience with entitlement management systems, subscription lifecycle management, usage tracking and metering, billing models, integration with CRM, ERP, and billing systems Bachelor’s or Master’s degree in Computer Science, Engineering, or a related field Strong technical background with understanding and/or hands on experience in software development, databases and SQL, cloud platforms, programming languages, and Microservices Experience building products that leverage AI for natural language querying (NLQ), data quality \&amp; governance, automated insights, and diagnostics Experience mentoring junior product managers and contributing to the development of product management best practices within an organization. Few years of team management experience is nice to have Excellent communication and presentation skills, with the ability to effectively articulate product vision, strategy, and progress to diverse audiences. Proven ability to influence stakeholders at all levels, including executive leadership. Proficiency in Agile/Scrum methodologies, with experience leading sprint planning, daily stand\-ups, and retrospectives Must be local to the SF Bay area to be onsite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$164,000\.00 \- $266,000\.00/yr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5">
      <c r="A55" t="inlineStr">
        <is>
          <t>li-4343810151</t>
        </is>
      </c>
      <c r="B55" t="inlineStr">
        <is>
          <t>Senior Product Manager, Umo Pass/cFlex</t>
        </is>
      </c>
      <c r="C55" t="inlineStr">
        <is>
          <t>Cubic Corporation</t>
        </is>
      </c>
      <c r="D55" t="inlineStr">
        <is>
          <t>linkedin</t>
        </is>
      </c>
      <c r="E55" t="inlineStr"/>
      <c r="F55" t="inlineStr"/>
      <c r="G55" t="inlineStr">
        <is>
          <t>San Diego, CA</t>
        </is>
      </c>
      <c r="H55" t="inlineStr"/>
      <c r="I55"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We’re looking for a Product Owner to join our Mobility Essentials team to drive our vision, strategy, and roadmap. Umo Mobility and cFlex are our cloud\-hosted, full\-featured electronic fare payment system for Transit Agencies. We’re a pure agile team which means that experience with Agile, Kanban, or Scrum is a must. You will be working closely with our product management team, our customers, business owners, and other stakeholders to define and prioritize user stories with the Mobility Essentials team. This role will focus on shaping and delivering an innovative experience to our agencies while improving the experience for their riders. You will be fully aligned with our product roadmap and strategic plan and drive product development with our team. Your ultimate goal is to maximize value delivered in the minimum amount of time. To do this, you’ll use your experience to partner with key Umo stakeholders in the business and technology teams as you evolve our platform strategy. Ultimately, you will “own” Umo Pass and cFlex product delivery, and with your team, drive success to our existing and future customer base.
**Who We’re Looking For**
 We’re looking for someone who knows how to see what needs to be done and does it without being asked. They should spend time thinking and learning every day regardless of how busy it might get and must always be dedicated to making things incrementally better. We put a lot of trust and faith in our team members and this person must instinctively know how to use that for the betterment of our product, team, and customers. They must have experience in surprising and delighting customers and in driving operational efficiency in both process and product. Finally, experience being bottom\-line responsible for delivering products is a must with special attention given to those that specialize in the “last mile” and “where the rubber meets the road”, without excuses. You will be hands\-on. Always.
**What You’ll Be Doing**
* Using your experience with cloud\-hosted platforms to innovate solutions that drive customer value, reduce cost, and increase flexibility
* Bringing your industry experience with automated fare collection, fare payment, or high technology solutions to a team of bright, industry innovators who strongly believe in “first principles”
* Keeping current (or ahead) in the Fare Collection Industry space to drive novel concepts that fit the needs our customers didn’t even know they had
* Obsessing over the speed of delivery for our new agency customers but through efficient and automated processes instead of manual labor
* Refining the program backlog and maintaining it over time. Our Product Owners work closely with our system architects, engineering teams, business owners, and stakeholders to ensure that our backlog is prioritized effectively based on value, time, and team dependencies.
* Accepting stories upon completion
* Collaborating with the broader Umo product team to drive cross\-team collaboration within the broader Umo solution portfolio
* Designing Umo Pass to be flexible and adaptable with our other Umo offerings and our 3rd party partners
* Working with product, program, and engineering team members to drive operational efficiency and a return on investment capital
* Identifying new market opportunities and partnerships in conjunction with our business development team that allows future partnerships to develop and advantage the Umo Pass solution
* Closely working with engineers to find that “bang\-for\-the\-buck” that drives maximum value in the minimum amount of time
* Having a constant, insatiable need to gather and understand our customers’ challenges to overcome them with truly innovative solutions
**Minimum Qualifications**
* Four\-year college degree or equivalent experience
* 3 years of Product Owner, product management, or related experience
* An absolute passion for improving the customer experience and the journeys of their customers
* Advanced abilities to prioritize, triage, and ultimately address unexpected challenges
* Demonstrated ability to use knowledge and data to evolve product strategy
* A refined ability to thrive in a fast\-paced environment while still having fun
**Preferred Qualifications**
* Diversity of experience in product management, project management, vendor management, user experience, or customer support
* Direct experience with Software\-As\-A\-Service business models
* Success driving strategy through behavioral analytics tools, use of feature flags, and customer engagement platforms
* SAFe, Scrum, or other related Agile practice certifications
 Still with us? Sound interesting? Let’s talk!
*The description provided above is not intended to be an exhaustive list of all job duties, responsibilities and requirements. Duties, responsibilities and requirements may change over time and according to business need.*
 ‎
**Cubic Pay Range**
 $146,000\.00 \- $200,000\.00\* \+ benefits.
 ‎ ‎
* Our compensation reflects the cost of labor across several US geographic markets. The base pay for this position ranges from our lowest geographic market up to our highest geographic market.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56">
      <c r="A56" t="inlineStr">
        <is>
          <t>li-4356093525</t>
        </is>
      </c>
      <c r="B56" t="inlineStr">
        <is>
          <t>Sr IT Product Manager</t>
        </is>
      </c>
      <c r="C56" t="inlineStr">
        <is>
          <t>Palo Alto Networks</t>
        </is>
      </c>
      <c r="D56" t="inlineStr">
        <is>
          <t>linkedin</t>
        </is>
      </c>
      <c r="E56" t="inlineStr"/>
      <c r="F56" t="inlineStr"/>
      <c r="G56" t="inlineStr">
        <is>
          <t>Santa Clara, CA</t>
        </is>
      </c>
      <c r="H56" t="inlineStr"/>
      <c r="I56"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is a revolutionary and dynamic company creating next generation network security products. If you are a motivated, intelligent, creative, and hardworking individual who wants to contribute and make a difference, this job is for you! The role of a Sr Technical Product Manager is to work with business and IT leaders in defining the capabilities needed to support the growing customer success organizations at Palo Alto Networks. This role will also be responsible for transforming these capabilities defined into specifications or user stories for software developers. Your Impact Lead AI\-Driven Strategy: Drive leadership analytics for the Customer Experience portfolio, moving beyond traditional BI to leverage Generative AI and Predictive Modeling for portfolio optimization. First Principles thinking: apply first principles thinking to deconstruct complex business and technical challenges, deriving novel solutions from core, grounded on truths, cut through the noise and aligned to driving business outcome. Executive presence: Frequently interact with executive leadership and are a master of clearly articulating value, progress, and where help is needed. Analytical Innovation: Combine research and data intuition to deliver deep insights on churn and upsell opportunities, utilizing AI to identify early\-warning signals in unstructured customer data. Operational Excellence: Identify opportunities for process improvement and data automation (using LLMs for sentiment analysis or ticket categorization) to optimize costs and decrease turnaround time. Balanced Delivery: Drive high\-stakes analytics initiatives while balancing urgent problem\-solving with a proactive, AI\-first technical vision.
**Qualifications (Additional Job Description)**
 Your Experience Overall 8\+ years of experience in Data/Analytics Domain Experience in Product management including managing delivery of data / analytics / AI products from start to finish Must have worked in Sales or Post\-sales systems or analytics teams in the past Excellent attention to detail and proven ability to build simple, elegant and impactful Executive dashboards/products Demonstrated ability to thrive in fast\-paced and ambiguous environments Strong background in AI/ML \- well\-versed in LLMs Ability to manage multiple tasks, projects, priorities, and deadlines Excellent analytical, written and verbal communication skills and master influencer through the use of data Team player with a can do approach Education: 8 years of related experience with a Bachelor’s degree; or 6 years and a Master’s degree; or a PhD with 3 years experience Location: Must be local to the SF Bay Area (Hybrid/On\-site as required).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$141,000\.00 \- $229,000\.00/yr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7">
      <c r="A57" t="inlineStr">
        <is>
          <t>li-4292578072</t>
        </is>
      </c>
      <c r="B57" t="inlineStr">
        <is>
          <t>Insurance Product Manager</t>
        </is>
      </c>
      <c r="C57" t="inlineStr">
        <is>
          <t>Cover Genius</t>
        </is>
      </c>
      <c r="D57" t="inlineStr">
        <is>
          <t>linkedin</t>
        </is>
      </c>
      <c r="E57" t="inlineStr"/>
      <c r="F57" t="inlineStr"/>
      <c r="G57" t="inlineStr"/>
      <c r="H57" t="inlineStr"/>
      <c r="I57" t="inlineStr">
        <is>
          <t>**The Company**
 Cover Genius is a Series E insurtech that protects the global customers of the world’s largest digital companies including Booking Holdings, owner of Priceline, Kayak and Booking.com, Intuit, Uber, Hopper, Ryanair, Turkish Airlines, Descartes ShipRush, Zip and SeatGeek. We’re also available at Amazon, Flipkart, eBay, Wayfair and SE Asia’s largest company, Shopee. Our partners integrate with XCover, our award\-winning insurance distribution platform, to embed protection for millions of customers worldwide each year.
 Our team and products have been recognized with dozens of awards including by the Financial Times which ranked Cover Genius as the \#1 fastest\-growing company in APAC in 2020\. Our diverse team across 20\+ countries and many language groups commit itself to diverse cultural programs, in particular “CG Gives” which makes social entrepreneurs out of us all and funds development initiatives in global communities.
**Our People are**
 Bold, Authentic, Purposeful and Inspired
**Our People are not**
 Perfect, Traditional, Complacent or Cautious
**About The Role**
 Cover Genius
 **Insurance Product Managers** 
 are the resident experts on specific product lines, serving as the go\-to resource for coverage analysis, pricing, and regulatory filings. This role is responsible for leading all aspects of products, including developing product line strategies and supporting our partnerships team to increase market penetration.
 We are seeking an experienced Insurance Product Manager to join our team and manage our
 **Travel, Ticketing and Cruise products** 
 . To drive success in this role, you will need experience developing and modifying insurance programs, negotiating, and working cross\-functionally. Regular collaboration with the pricing, partnerships, compliance, and development teams will be key in designing profitable, scalable, and partner\-suited products.
**Key Responsibilities**
* Developing new products across various business verticals relating to travel, ticketing, cruise, cancel for any reason, and logistics insurance and support of partnerships team with customer\-centric solutions.
* Day to day management existing product portfolios, including reporting and improvements to underwriting, product and policy wording.
* General management of and guiding of underwriting efforts and policy requirements/issues including supply side partner management.
* Weekly and monthly general reporting including presenting commentary at meetings as needed
* Continuing development of depth of knowledge of insurance products, including coverage innovations and pricing changes, and regulatory developments.
* Work closely with the partnership team on developing new partnerships and preparing proposals and financial modeling.
**Qualifications**
* The ideal candidate has experience as a project manager and knows how to translate the opinions of others into concrete actions.
* Possess relevant experience in developing insurance products, pricing and/or underwriting at an insurer or broker.
* Comprehensive experience in full\-cycle insurance product management.
* Track record in ongoing product and portfolio management.
* Experience in designing and writing policies and other insurance related documentation.
* Bachelor's degree in business or a relevant field. A postgraduate degree and/or record of academic achievement is also desirable.
**What You Will Have**
* Ability to communicate complex ideas in a clear, concise manner both verbally and in writing.
* Problem solving and advocating for customer solutions.
* Proven ability to foster and develop relationships with key external and internal stakeholders.
* Excellent organizational skills and the ability to independently take initiative on projects.
* Ability to adapt quickly to a start\-up pace environment and culture.
* Produce reports and analyze performance to maximize opportunity and market share.
* A clear understanding of product design and proposition \- what makes it a success or failure.
* Experience working in producing business in multiple markets around the world is an advantage.
* Experience in product entry strategies, product designs and growing revenue.
**Why Cover Genius?**
 Cover Genius not only cares about being the best in our industry, we care about our team. We’re a business that understands life can be fluid and so we flex to ensure we provide the environment to suit that. What does that mean?
* Flexible PTO. Taking time out is important for our teams to enjoy life and stay fresh.
* Employee Stock Options \- we want our people to share in our success, we reward them with ownership for their contribution in creating a world\-class company.
* Work with like\-minded people who are passionate about both the work we're doing and giving back.
 Our CG Gives programs enables us to all become philanthropists through our peer recognition and rewards system.
* Social Initiatives \- pictures speak a thousand words!
 Sound interesting? If you think you have the best composition of the above, send us your resume and let's chat!
* Cover Genius promotes diversity and inclusivity. We don't tolerate discrimination, demeaning treatment of anyone, or harassment due to race, national origin, gender, gender identity, sexual orientation, protected veteran status, disability, age, or any other legally protected status.
*By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 
*rivacy Policy.*
* The cash compensation range for this role is $125,000 \- $150,000\. Compensation will vary based on experience and location.</t>
        </is>
      </c>
    </row>
    <row r="58">
      <c r="A58" t="inlineStr">
        <is>
          <t>li-4343567665</t>
        </is>
      </c>
      <c r="B58" t="inlineStr">
        <is>
          <t>Solutions Product Manager, Agentforce for Supply Chain</t>
        </is>
      </c>
      <c r="C58" t="inlineStr">
        <is>
          <t>Salesforce</t>
        </is>
      </c>
      <c r="D58" t="inlineStr">
        <is>
          <t>linkedin</t>
        </is>
      </c>
      <c r="E58" t="inlineStr"/>
      <c r="F58" t="inlineStr"/>
      <c r="G58" t="inlineStr">
        <is>
          <t>Austin, TX</t>
        </is>
      </c>
      <c r="H58" t="inlineStr"/>
      <c r="I58"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Solutions Product Manager is responsible for designing, implementing, and optimizing automated business process solutions ("Blueprints") using the platform's existing capabilities. This role is hands\-on and execution\-focused, partnering closely with customer\-facing teams and AI agents to transform manual processes into automated workflows. Unlike a traditional PM responsible for product feature development, this role is focused on blueprint creation, process improvement, and identifying automation opportunities while suggesting enhancement to the product through structured feedback.
**Responsibilities**
* Partner with customer\-facing team leaders to map and analyze customer requirements for new solutions
* Identify operational inefficiencies, manual processes, and automation opportunities for each solution
* Build solution blueprints and workflow automations using current platform features
* Work directly with AI agents and prompting tools to design automated solutions
* Validate, test, and iterate blueprints for accuracy, consistency and performance
* Document solution architecture, demonstrations, and implementation guidelines
* Provide detailed feedback to Product Managers regarding feature gaps and enhancements needed to support solution scalability
* Support rollout and enablement of blueprint solutions across teams and customers
**Qualifications**
* 6\+ years of experience in Product Management, Process Automation, Business Analysis, or Solutions Consulting
* Strong understanding of business workflow mapping, process modeling, and process improvement methodologies
* Proven experience translating business requirements into structured automated workflows or solutions
* Hands\-on technical experience with automation tools, workflow builders, AI prompting, or low/no\-code platforms
* Excellent communication and collaboration skills across both technical and non\-technical audiences
* Analytical mindset with ability to measure solution impact through data
**Preferred Qualifications**
* Experience in SaaS, AI automation, contact center operations, or customer experience technology
* Experience with prompt design or agent\-based automation solutions
* Familiarity with feature prioritization and product feedback processes
* Lean, Six Sigma, or related process certification
* A related technical degree
**Success Metrics**
* Efficiency improvements and measurable reduction in manual work
* Blueprint adoption and usage outcomes
* Quality and clarity of roadmap feedback influencing platform improvements
* Time\-to\-value and scalability of solution deployments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$157,600 \- $216,700 annually. In select cities within the San Francisco and New York City metropolitan area, the base salary range for this role is $172,000 \- $236,500 annually. The range represents base salary only, and does not include company bonus, incentive for sales roles, equity or benefits, as applicable.</t>
        </is>
      </c>
    </row>
    <row r="59">
      <c r="A59" t="inlineStr">
        <is>
          <t>li-4330513429</t>
        </is>
      </c>
      <c r="B59" t="inlineStr">
        <is>
          <t>Sr. Technical Program Manager, Product Development AI and Data Science</t>
        </is>
      </c>
      <c r="C59" t="inlineStr">
        <is>
          <t>Rivian</t>
        </is>
      </c>
      <c r="D59" t="inlineStr">
        <is>
          <t>linkedin</t>
        </is>
      </c>
      <c r="E59" t="inlineStr"/>
      <c r="F59" t="inlineStr"/>
      <c r="G59" t="inlineStr">
        <is>
          <t>Palo Alto, CA</t>
        </is>
      </c>
      <c r="H59" t="inlineStr"/>
      <c r="I5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 Sr. Technical Program Manager who will drive the scaling of our Product Development AI and Data Science initiatives. The ideal candidate is capable of developing technical
 roadmaps in close collaboration with a wide range of stakeholders and functional teams working on programs at varying levels of maturity. They are adept at evaluating existing program management processes to identify opportunities for optimization and lead their execution.
 The right candidate will be able to assess ambiguous problem spaces and collaborate with business, engineering, and data science partners to align on the right technical approaches and timelines needed to successfully deliver impactful solutions supporting company\-wide and organizational priorities.
**Responsibilities**
* Program Roadmaps and Delivery: Manage complex dependencies between data science and AI projects and across cross\-functional teams to ensure seamless execution. Use roadmaps as inputs to inform broader planning including future headcount needs
* Ensure Business Value and Scope Control: Clearly define business requirements, timelines, and measurable results (KPIs) for all initiatives, acting as the primary point of contact for stakeholders to balance additional scope requests against available resources.
* Risk Management and Resolution: Proactively identify, track, and mitigate risks and issues that could impede program delivery, escalating critical barriers to leadership.
* Drive Team Planning and Prioritization: Establish and manage the intake process for new projects, ensuring they are properly scoped, prioritized, and aligned with the team's strategic roadmap before work begins, and facilitate the team’s quarterly and annual planning cycles, including the development and tracking of team OKRs.
* Develop and Standardize Processes: Identify opportunities and implement improvements to existing project management processes, standardizing how projects are initiated, tracked, and delivered as the team scales.
* Develop effective reporting: on progress to different audiences including stakeholders and leadership at varying cadences including weekly updates, monthly newsletters, and annual executive\-level presentations.
* Technical Coordination and Cost Management: Coordinate needs from upstream data partners. Track and manage team’s spending on costs like software and cloud computing resources. Develop processes and standards to reduce costs in environments like Databricks and AWS.
**Qualifications**
* Bachelor’s or master's degree in a quantitative, STEM, or business\-oriented field
* 3\-5 years of technical program management or relevant program/project management experience in technical environments, preferably in data science or software development use collaboration tools like Jira and Confluence
* Familiarity with approaches to using AI and machine learning applications to solve business and engineering problems
* Strong problem\-solving skills with an emphasis on product development
* Excellent written and verbal communication skills for coordinating across teams and leading cross\-functional efforts
* A drive to learn and master new technologies and techniques
**Nice To Have**
* MBA
* Experience working in some combination of electric vehicles, hardware engineering, or IoT
* Basic Python and SQL proficiency
**Pay Disclosure**
 The salary range for this role is USD 132,100 \- 165,100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February 20,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60">
      <c r="A60" t="inlineStr">
        <is>
          <t>li-4320416975</t>
        </is>
      </c>
      <c r="B60" t="inlineStr">
        <is>
          <t>Senior Project / Product Manager - Precision Healthcare Tech</t>
        </is>
      </c>
      <c r="C60" t="inlineStr">
        <is>
          <t>Andiamo</t>
        </is>
      </c>
      <c r="D60" t="inlineStr">
        <is>
          <t>linkedin</t>
        </is>
      </c>
      <c r="E60" t="inlineStr"/>
      <c r="F60" t="inlineStr"/>
      <c r="G60" t="inlineStr">
        <is>
          <t>Boston, MA</t>
        </is>
      </c>
      <c r="H60" t="inlineStr"/>
      <c r="I60" t="inlineStr">
        <is>
          <t>Project Manager – Biotech and Health Technology
**Overview**
 We are seeking a dynamic and detail\-oriented Project Manager to drive the successful delivery of complex initiatives within the biotechnology and health technology sectors. This role requires an individual who thrives in a fast\-paced environment, balancing strategic oversight with hands\-on execution. You will ensure projects are delivered on time, within scope, and on budget, while fostering cross\-functional collaboration and maintaining the highest standards of quality and compliance.
 This is an exciting opportunity for a professional who excels at transforming ambitious ideas into tangible results and enjoys working at the intersection of science, technology, and business innovation.
 Key Responsibilities
* Oversee all phases of project execution, from planning and initiation through completion and evaluation.
* Develop and maintain comprehensive project plans, ensuring alignment with organizational priorities and stakeholder expectations.
* Facilitate collaboration across research, engineering, operations, and clinical teams to maintain transparency and drive progress.
* Monitor project performance, track key performance indicators (KPIs), and generate clear, data\-driven progress reports for leadership.
* Identify risks and dependencies early, developing proactive strategies to mitigate issues before they impact timelines or budgets.
* Coordinate cross\-functional communication and decision\-making, ensuring all parties remain aligned on objectives and deliverables.
* Lead regular project meetings, prepare executive summaries, and maintain documentation that supports governance and compliance.
* Continuously evaluate processes to identify opportunities for efficiency and improvement within project management practices.
 Core Skills and Attributes
* Exceptional organizational skills with the ability to manage multiple complex projects simultaneously.
* Strong communication and leadership capabilities, with a talent for uniting technical and non\-technical stakeholders around shared goals.
* Proven success managing projects within biotech, medtech, or health technology environments.
* Analytical mindset with experience using metrics to measure project success and inform strategic decisions.
* Proactive, solutions\-oriented approach with a commitment to driving results and fostering collaboration.
* PMP or equivalent project management certification preferred.
 Education and Experience
* Bachelor’s or Master’s degree in Life Sciences, Engineering, Business Administration, or a related field.
* At least five years of project management experience, ideally within the biotechnology, pharmaceutical, or health technology industries.
* Demonstrated ability to manage budgets, timelines, and cross\-functional teams in a regulated or research\-driven environment.
 What This Role Offers
 This position provides an opportunity to shape impactful projects that advance innovation in health and biotechnology. You will be at the center of scientific and technological progress, guiding teams that are improving lives through research, development, and data\-driven insight. If you are a motivated leader who enjoys bringing structure to complexity and delivering excellence at every stage, we invite you to join this mission\-driven work.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1">
      <c r="A61" t="inlineStr">
        <is>
          <t>li-4327817739</t>
        </is>
      </c>
      <c r="B61" t="inlineStr">
        <is>
          <t>Senior Product Manager, Drone Hardware Platforms &amp; Sensors</t>
        </is>
      </c>
      <c r="C61" t="inlineStr">
        <is>
          <t>Skydio</t>
        </is>
      </c>
      <c r="D61" t="inlineStr">
        <is>
          <t>linkedin</t>
        </is>
      </c>
      <c r="E61" t="inlineStr"/>
      <c r="F61" t="inlineStr"/>
      <c r="G61" t="inlineStr">
        <is>
          <t>San Mateo, CA</t>
        </is>
      </c>
      <c r="H61" t="inlineStr"/>
      <c r="I6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As a Senior Product Manager for Drone Hardware Platforms \&amp; Sensors, you will work closely with our customers and our hardware and embedded software engineering teams to help define and shape Skydio’s current and next\-gen drone platforms, controllers, cameras, and accessories ecosystem. You’ll ensure that we are building and delivering the right products to solve the most important problems across enterprise, government, and public safety. This is an incredible opportunity to have an outsized impact in service of our customers.
**Location**
 This position is based onsite 5 days/week at our HQ in San Mateo, CA, with \~25% travel. We offer relocation assistance if needed.
**How You'll Make An Impact**
* Help shape our overall vehicle and hardware strategy in collaboration with our CEO and engineering executives, including the development of new hardware products, including new vehicle form factors.
* Engage with customers, prospects, and internal stakeholders to understand core business problems and develop visions and strategies to solve them.
* Draw upon direct customer experiences and ride\-alongs as well as usage analytics to solve the most important and impactful problems for our customers.
* Continually develop, own, and publish product requirement documents and roadmaps for Skydio’s vehicle hardware, controllers, cameras/sensors and embedded software.
* Partner with designers and engineering leaders spanning hardware, firmware, computer vision, AI, and machine learning to execute your product vision and requirements.
* Capture, document, and distill feedback from customers and prospects to steer product development.
* Collaborate closely with sales and customer success to build and maintain close customer relationships and ensure success.
* Partner with product marketing to develop launch plans, product positioning and messaging to bring your products to market.
**What Would Make You a Strong Fit**
* 5\+ years of proven success in defining and delivering complex hardware products with integrated software.
* Deep technical understanding of IoT or camera/sensors product technologies.
* Experience launching robust hardware products for Enterprise, Public Safety or Defense Customers.
* Detail\-oriented with exceptional written and oral communication skills.
* Direct or indirect experience with engineering that allows you to actively participate in deep discussions with engineers on complex technical architecture challenges and tradeoffs.
* Highly facilitative team player who strives to enable others to do their best work.
* A passion for speaking with \-\- and learning from \-\- customers.
* A background in electrical engineering, mechanical engineering, or computer science.
* An advanced degree or an MBA would be a plus, but is not required.
* Background experience in utilities, public safety or federal (ISR) workflows
* Experience with enterprise/professional robotics or drones
* Expertise in camera interfaces, either in photography, videography, and/or for drone cameras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$150,000 \- $190,000\*.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62">
      <c r="A62" t="inlineStr">
        <is>
          <t>li-4258344211</t>
        </is>
      </c>
      <c r="B62" t="inlineStr">
        <is>
          <t>Sr Product Manager (Heavy Equipment)</t>
        </is>
      </c>
      <c r="C62" t="inlineStr">
        <is>
          <t>JLG Industries</t>
        </is>
      </c>
      <c r="D62" t="inlineStr">
        <is>
          <t>linkedin</t>
        </is>
      </c>
      <c r="E62" t="inlineStr"/>
      <c r="F62" t="inlineStr"/>
      <c r="G62" t="inlineStr">
        <is>
          <t>Hagerstown, MD</t>
        </is>
      </c>
      <c r="H62" t="inlineStr"/>
      <c r="I62" t="inlineStr">
        <is>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products—including mobile elevating work platforms, telehandlers, utility vehicles and accessories—can be found all over the world.**
 The Sr. Product Manager –
 **Aerial Work Platforms** 
 leads JLG’s product strategy, driving innovation and ensuring successful product launches. This role requires a versatile, agile leader with experience in
 **whole goods, heavy equipment, or construction equipment** 
 . The ideal candidate will thrive in a global business environment, collaborating across New Product Development, Operations, and Sales. By connecting stakeholders, aligning strategic goals, and building strong relationships with customers, suppliers, and global counterparts, this leader will play a key role in shaping JLG’s growth and market leadership.
**Essential Duties And Responsibilities**
**Leadership \&amp; Team Development**
* Provide leadership and guidance to direct reports, coaching and mentoring junior team members to drive performance.
* Model JLG’s People First principles, demonstrating resilience, flexibility, and tenacity in achieving results.
**Product Strategy \&amp; Lifecycle Management**
* Own the full product lifecycle for aerial work platforms, including Multi Generation Product/Enhancement Plans (MGPP/MGEP), new product ideas, improvements, simplification, aftermarket alignment, and adjacent business opportunities.
* Partner with Engineering to prioritize projects and ensure market timing alignment.
* Deliver on Gate review requirements and ensure successful product launches.
* Promote productivity by implementing effective systems and processes.
**Market Insight \&amp; Positioning**
* Gather voice\-of\-customer (VOC), Jobs\-to\-be\-Done, and competitive insights to inform product positioning, messaging, and go\-to\-market plans.
* Develop pricing strategies, track market dynamics, and assess portfolio competitiveness.
* Act as subject matter expert, monitoring performance metrics such as margin, market share, and portfolio health.
**Cross\-Functional Collaboration**
* Partner with Sales, Service, Training, Marketing Communications, and Quality to meet customer needs and strengthen product adoption.
* Collaborate with global and cross\-functional teams to align portfolio and market priorities.
* Create communication tools (sales manuals, specification sheets, demos) to highlight value\-based selling propositions.
* Support field trial activities, demonstrations, and customer engagements to validate product performance.
* Other duties may be assigned as needed.
**Minimum Qualifications**
* Bachelor’s degree in Business, Marketing, Engineering, or related field.
* Minimum of eight (8\) years of related Product Management experience.
* Demonstrated experience managing the full lifecycle of manufactured products, from concept and design through production, market launch, growth, and end\-of\-life.
* Minimum of two (2\) years of management experience.
* Proven ability to successfully execute Essential Duties \&amp; Responsibilities.
* Ability to travel up to 30%, depending on business needs.
**Preferred Qualifications**
* Master’s degree (MBA, Marketing, Engineering, or related field).
* Direct experience in whole goods, heavy equipment, or construction equipment industries.
* Proven expertise in product lifecycle management, value\-based pricing, and go\-to\-market execution.
**Why Join JLG**
**Benefits**
 At JLG, you’ll join a dynamic, people\-first team that values innovation, growth, and collaboration. We’re committed to helping you succeed — both professionally and personally — with a competitive and comprehensive benefits package, including:
* Day 1 eligibility for medical, prescription, dental, and vision insurance
* Tuition reimbursement for Associates, Bachelor’s, or Master’s degree programs (up to $10,000 annually)
* 401(k) with company match
* Competitive paid\-time off plans
* Company bonus plan, plus free life insurance, short\-term, and long\-term disability coverage
* Health Savings Account (HSA) with company contribution
* Hybrid work schedule for flexibility
* And many more benefits that make JLG a great place to build your career!
* OSK1917
**Pay Range**
 $118,700\.00 \- $211,300\.00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row>
    <row r="63">
      <c r="A63" t="inlineStr">
        <is>
          <t>li-4354660784</t>
        </is>
      </c>
      <c r="B63" t="inlineStr">
        <is>
          <t>Investment Data Product Owner, Investment Data Office</t>
        </is>
      </c>
      <c r="C63" t="inlineStr">
        <is>
          <t>Invesco</t>
        </is>
      </c>
      <c r="D63" t="inlineStr">
        <is>
          <t>linkedin</t>
        </is>
      </c>
      <c r="E63" t="inlineStr"/>
      <c r="F63" t="inlineStr"/>
      <c r="G63" t="inlineStr">
        <is>
          <t>Atlanta, GA</t>
        </is>
      </c>
      <c r="H63" t="inlineStr"/>
      <c r="I63" t="inlineStr">
        <is>
          <t>**About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 people are at the very core of our success. Invesco employees get more out of life through our comprehensive compensation and benefit offerings including:
* Flexible paid time off
* Hybrid work schedule
* 401(K) matching of 100% up to the first 6% with a discretionary supplemental contribution
* Health \&amp; wellbeing benefits
* Parental Leave benefits
* Employee stock purchase plan
**Job Description**
**You will be Responsible For:**
* Design and lead Core Data Warehouse data strategy and roadmap across all projects. Carry out and oversee business analysis and detailed requirements gathering activities across project(s) and delivery squads as required
* Partner with business and technology leaders to ensure priorities are agreed and deliverables executed with diligence and in accordance with business needs
* Manage dependencies across projects requiring aggregated investment data as an input, escalating risks to Investment Data Office leadership as required
* In line with business use cases and requirements, translate to data requirements, and partner with technology in functional and technical design discussions to ensure the end data product meets business needs
* Translate requirements into executable Epic's for all impacted Squads
* Advise Investment Data Office leadership to ensure that data related business requirements align to broader business goals
* Evaluate strategic impacts of necessary technology and architecture priorities such as Cloud\-first strategy and Tech Debt remediation and ensure the same are reflected in solution recommendations
* Lead data related Business Change Management activities as part of their project(s) to drive business user engagement and adoption and mitigate impact
* Implement opportunities for continuous improvement of data management processes to reduce complexity, improve data quality, and increase efficiency throughout the data delivery lifecycle. Interface with and articulating value of data strategy to relevant business areas, individual users and technology partners
* Ensure all activities are in line with Invesco’s Conduct principles.
**The Experience You Bring:**
* 5 to 7 years product ownership and roadmap management experience.
* Minimum of 15 years working with investment data
* Track record of working on large, complex projects preferably within an Agile framework
* Strategic understanding of data capabilities, practices, and frameworks including concepts related to master data management, data governance, business intelligence, and analytics and their practical applications to deliver data products
* Extended understanding of common data platforms and how data technologies function, with a lens towards practical application to business needs
* Strong ability to handle multiple requests from varied stakeholders, in a way that maintains clear priority, and ability to adjust when needed
* Strong ability to build relationships, collaborate, mentor, motivate, and influence internal and external teams
* Bachelor's degree in software engineering, computer science, data analytics or a related field
**Full Time / Part Time**
 Full time
**Worker Type**
 Employee
**Job Exempt (Yes / No)**
 Yes
**Workplace Model**
 Pursuant to Invesco’s Workplace Policy, employees are expected to comply with the firm’s most current workplace model, which as of October 1, 2025, includes spending at least four full days each week working in an Invesco office. This reflects our belief that spending time together in the office helps us build stronger relationships, collaborate more easily, and support each other’s growth and development.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t>
        </is>
      </c>
    </row>
    <row r="64">
      <c r="A64" t="inlineStr">
        <is>
          <t>li-4343627521</t>
        </is>
      </c>
      <c r="B64" t="inlineStr">
        <is>
          <t>Solutions Product Manager, Agentforce for Supply Chain</t>
        </is>
      </c>
      <c r="C64" t="inlineStr">
        <is>
          <t>Salesforce</t>
        </is>
      </c>
      <c r="D64" t="inlineStr">
        <is>
          <t>linkedin</t>
        </is>
      </c>
      <c r="E64" t="inlineStr"/>
      <c r="F64" t="inlineStr"/>
      <c r="G64" t="inlineStr">
        <is>
          <t>Chicago, IL</t>
        </is>
      </c>
      <c r="H64" t="inlineStr"/>
      <c r="I64"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Solutions Product Manager is responsible for designing, implementing, and optimizing automated business process solutions ("Blueprints") using the platform's existing capabilities. This role is hands\-on and execution\-focused, partnering closely with customer\-facing teams and AI agents to transform manual processes into automated workflows. Unlike a traditional PM responsible for product feature development, this role is focused on blueprint creation, process improvement, and identifying automation opportunities while suggesting enhancement to the product through structured feedback.
**Responsibilities**
* Partner with customer\-facing team leaders to map and analyze customer requirements for new solutions
* Identify operational inefficiencies, manual processes, and automation opportunities for each solution
* Build solution blueprints and workflow automations using current platform features
* Work directly with AI agents and prompting tools to design automated solutions
* Validate, test, and iterate blueprints for accuracy, consistency and performance
* Document solution architecture, demonstrations, and implementation guidelines
* Provide detailed feedback to Product Managers regarding feature gaps and enhancements needed to support solution scalability
* Support rollout and enablement of blueprint solutions across teams and customers
**Qualifications**
* 6\+ years of experience in Product Management, Process Automation, Business Analysis, or Solutions Consulting
* Strong understanding of business workflow mapping, process modeling, and process improvement methodologies
* Proven experience translating business requirements into structured automated workflows or solutions
* Hands\-on technical experience with automation tools, workflow builders, AI prompting, or low/no\-code platforms
* Excellent communication and collaboration skills across both technical and non\-technical audiences
* Analytical mindset with ability to measure solution impact through data
**Preferred Qualifications**
* Experience in SaaS, AI automation, contact center operations, or customer experience technology
* Experience with prompt design or agent\-based automation solutions
* Familiarity with feature prioritization and product feedback processes
* Lean, Six Sigma, or related process certification
* A related technical degree
**Success Metrics**
* Efficiency improvements and measurable reduction in manual work
* Blueprint adoption and usage outcomes
* Quality and clarity of roadmap feedback influencing platform improvements
* Time\-to\-value and scalability of solution deployments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$157,600 \- $216,700 annually. In select cities within the San Francisco and New York City metropolitan area, the base salary range for this role is $172,000 \- $236,500 annually. The range represents base salary only, and does not include company bonus, incentive for sales roles, equity or benefits, as applicable.</t>
        </is>
      </c>
    </row>
    <row r="65">
      <c r="A65" t="inlineStr">
        <is>
          <t>li-4327809620</t>
        </is>
      </c>
      <c r="B65" t="inlineStr">
        <is>
          <t>Lead Technology Program Manager</t>
        </is>
      </c>
      <c r="C65" t="inlineStr">
        <is>
          <t>Lowe's Companies, Inc.</t>
        </is>
      </c>
      <c r="D65" t="inlineStr">
        <is>
          <t>linkedin</t>
        </is>
      </c>
      <c r="E65" t="inlineStr"/>
      <c r="F65" t="inlineStr"/>
      <c r="G65" t="inlineStr">
        <is>
          <t>Mooresville, NC</t>
        </is>
      </c>
      <c r="H65" t="inlineStr"/>
      <c r="I65" t="inlineStr">
        <is>
          <t>**Do your Best Work in Mooresville**
 This position is based at our headquarters in Mooresville, North Carolina. Our corporate office is a space where you can collaborate and do your best work. Take a walk, grab a bite (or a cup of coffee), work out or get a check\-up – we invest in you so you can find your inspiration.
**Your Impact**
 This role serves as a strategic partner to the VP of Digital Commerce, driving alignment, operational excellence, and execution across a multi\-disciplinary digital organization spanning Organic Search \&amp; Discovery, Order Experience, and Customer care. This role ensures accountability for the overall planning, coordination, execution, and delivery of highly complex end to end associate and/or customer journeys across the enterprise to achieve expected strategic outcomes for the company in an agile, product environment. This includes responsibility for developing plans to meet technology priorities and deadlines, determining and carrying out processes, managing workflow and product delivery across multiple portfolio teams (i.e., facilitating Program Increment/Big Room planning and the prioritization of epics, etc.). This role will ensure resource capacity to accomplish goals, partnering internally and externally to drive timely and effective decisions, identifying/removing impediments, mitigating risks, and identifying and responding to opportunities for process improvements. Overall, this role leverages Lean\-Agile practices, tools, and mindsets to lead complex technology initiatives that play an important role in moving the organization forward and providing strategic technology improvements across technology.
 To be successful, the individual in this role must leverage a background working directly with or in the technology function and experience working in Product operating models and leveraging agile ways of working in a scaled agile environment within technology related portfolio, program and/or product management.
 Additionally, this role may operate as an extension of the portfolio leader to ensure strategic imperatives are carried throughout and technology portfolios are run as a business. This includes providing operational governance and expertise, partnering closely with technology leadership and Shared Services partners (i.e., HR, Finance, Vendor Management, Enterprise Strategic Sourcing, Technology Business Management, Internal Audit, Communications, etc.) to conduct portfolio level operational reviews and prepare executive communications with a focus on transparency.
**Work with a Winning Team**
 On our team, you'll have the chance to shape the future of retail technology while working alongside talented individuals and leaders who share your passion for innovation and excellence. Our CEO is forward\-thinking when it comes to tech, and with a technology team led by one of Forbes Top 50 CIOs you can come to work knowing you’ll have the tools, tech, and support needed to advance your skills.
 Since we’ve been in business for over 100 years, we’ve built an excellent track record of growth and success. We also know what it takes to create an inclusive culture that supports you. Here you have the freedom to team up and collaborate, explore your every curiosity, and help us shape the future of retail.
**What You Will Do**
* Owns overall planning, coordination, execution, and delivery of highly complex end to end associate and/or customer journeys across the enterprise to achieve expected strategic outcomes for the company.
* Builds and maintains relationships to serve as primary liaison to executive/senior leaders, technology sponsors, customers, vendors and other key stakeholders for strategic and functional initiatives that require alignment and coordination across the enterprise to deliver.
* Identifies and communicates clear vision and technical understanding of initiative goals and objectives and related cross\-portfolio dependencies, leading key stakeholders through process to create a well\-defined program increment schedule that meets organizational, portfolio and product objectives and key results.
* Influences and drives the prioritization and alignment of strategic and functional imperatives, deliverables, and decisions necessary for optimal delivery in an agile, product environment, ensuring alignment to value, driving cross\-portfolio epic\-level prioritization and sequencing decisions with key stakeholders through value vs effort estimation process, and recommending required resources.
* Manages and optimizes the flow of value through the initiative, using various tools and other information radiators, promoting a culture of self\-organizing and self\-managing teams.
* Sets expectations and holds cross\-portfolio teams accountable to ensure value delivery through measurement and reporting of progress against business cases.
* Fosters an environment of continuous planning by facilitating readiness sessions aligned with cross\-portfolio/product and enterprise planning cadences in an agile, product environment.
* Communicates and documents initiative level risks, impediments, decisions and scope changes.
* Manages and mitigates initiative level risks by performing the qualitative and quantitative analysis of risks and trigger events, planning risk response, establishing contingency plans, anticipating dependencies affected by ongoing changes, and recommending ways to mitigate future risks to leadership.
* Establishes cadences for strategic and functional initiatives and drives regular routines and process, ensuring the appropriate level of governance to achieve commitments and drive the right outcomes in an agile, product environment. Additionally, establishes and owns routines with product management and portfolio management.
* Engages with cross\-functional technical and business partners to ensure that non\-technical components are managed and delivered as needed to support overall delivery of the end to end customer/associate journey (i.e., change and process management).
* Provides operational governance and expertise, partnering closely with technology leadership and Shared Services partners (i.e., HR, Finance, Vendor Management, Enterprise Strategic Sourcing, Technology Business Management, Internal Audit, Communications, etc.) to conduct portfolio level operational reviews.
* Leads cross\-functional global workforce and 3rd party solution provider(s) to achieve desired business outcomes.
* Role provides expertise in financial acumen and may support processes for portfolio/product financial management.
* Change agent for technology Initiatives and process improvements in an agile, product environment, gaining alignment and adoption of technology policies, processes and procedures, including strategic and tactical execution of technology objectives.
* Monitors technology trends and influences leaders and teams in Lean\-Agile practices and mindsets as well as coaching more junior level associates, contributing to Communities of Practice and supporting recruiting efforts as needed.
* Serves as a subject\-matter\-expert for technology program management, and aware of ongoing changes and innovations in the technology industry
**Minimum Qualifications**
* Bachelor’s degree Business Administration, Computer Science, MIS, or related field or equivalent years of experience in lieu of education requirement, if applicable
* 8 years Experience in IT or technology focused business area
* 6 Years Experience leading and influencing technology portfolio/program/product teams (requiring integration of cross\-functional technology solutions), including experience providing direction, coaching and mentoring to team members
* 3 Years Experience supporting complex initiatives in a product and/or agile operating model, using JIRA or other agile tools for work transparency and tracking
* Experience translating data into quantifiable actions/deliverables
* Experience working closely with senior leadership cross\-functionally in a large organization
**Preferred Skills/Education**
* Master’s degree Business Administration, Computer Science, MIS, or related field
* 3 Years Experience supporting complex initiatives using a scaled agile environment
* Experience using formal business process improvement methodologies
* Corporate retail experience
* PMI\-Agile Certified Practitioner (PMI\-CACP)
* Portfolio Management Professional (PfMP)
* Disciplined Agile Value Stream Consultant (DAVSC)
* other portfolio management certification (eg SAFe LPM, ICP\-LPM, CSM, RTE, PMP, etc)
**Benefits**
* 401k with up to 4\.25% match
* Discounted Employee Stock Purchase Plan (15% discount of strike price)
* Tuition\-Free Education
* 10\-week Maternity/Parental Leave
* 10% Associate Discount
 For information about our benefit programs and eligibility, please visit https://talent.lowes.com/us/en/benefits.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$102,300\.00 \- $194,400\.00 annually Starting rate of pay may vary based on factors including, but not limited to, position offered, location, education, training, and/or experience. For information regarding our benefit programs and eligibility, please visit https://talent.lowes.com/us/en/benefits.</t>
        </is>
      </c>
    </row>
    <row r="66">
      <c r="A66" t="inlineStr">
        <is>
          <t>li-4293969063</t>
        </is>
      </c>
      <c r="B66" t="inlineStr">
        <is>
          <t>Sr. System Product Manager (26590)</t>
        </is>
      </c>
      <c r="C66" t="inlineStr">
        <is>
          <t>Supermicro</t>
        </is>
      </c>
      <c r="D66" t="inlineStr">
        <is>
          <t>linkedin</t>
        </is>
      </c>
      <c r="E66" t="inlineStr"/>
      <c r="F66" t="inlineStr"/>
      <c r="G66" t="inlineStr">
        <is>
          <t>San Jose, CA</t>
        </is>
      </c>
      <c r="H66" t="inlineStr"/>
      <c r="I66" t="inlineStr">
        <is>
          <t>****Job Req ID: 26590****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
**Essential Duties And Responsibilities**
**Includes the following essential duties and responsibilities (other duties may also be assigned):**
* Develop product roadmap and lead the development and integration of server/workstation system products
* Develop and deliver a clear strategy and partner closely with marketing, engineering, and business development to provide a complete server solutions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Provide product trainings to internal teams, sales teams and customers
* Provide 3rd level customer support to both internal and external as needed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 architecture
* Exceptional communication and presentation skill is a must, able to communicate effectively with customers to promote, answer questions, and receive feedback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67">
      <c r="A67" t="inlineStr">
        <is>
          <t>li-4365998274</t>
        </is>
      </c>
      <c r="B67" t="inlineStr">
        <is>
          <t>Senior Program Manager, Strategy &amp; Operations- Remote</t>
        </is>
      </c>
      <c r="C67" t="inlineStr">
        <is>
          <t>RemoteHunter</t>
        </is>
      </c>
      <c r="D67" t="inlineStr">
        <is>
          <t>linkedin</t>
        </is>
      </c>
      <c r="E67" t="inlineStr"/>
      <c r="F67" t="inlineStr"/>
      <c r="G67" t="inlineStr"/>
      <c r="H67" t="inlineStr"/>
      <c r="I67"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8">
      <c r="A68" t="inlineStr">
        <is>
          <t>li-4343920447</t>
        </is>
      </c>
      <c r="B68" t="inlineStr">
        <is>
          <t>Technical Program Manager, Chassis</t>
        </is>
      </c>
      <c r="C68" t="inlineStr">
        <is>
          <t>ALTEN Technology USA</t>
        </is>
      </c>
      <c r="D68" t="inlineStr">
        <is>
          <t>linkedin</t>
        </is>
      </c>
      <c r="E68" t="inlineStr"/>
      <c r="F68" t="inlineStr"/>
      <c r="G68" t="inlineStr">
        <is>
          <t>Foster City, CA</t>
        </is>
      </c>
      <c r="H68" t="inlineStr"/>
      <c r="I68"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As a Technical Program Manager (TPM), you will support the brakes/steering, and structures programs within the Vehicle Engineering Chassis team. Your role involves collaborating with our supplier partners to achieve our vehicle and company program milestones. You will work closely with engineers and suppliers to establish timelines for deliverables, identify and escalate risks, and develop mitigation plans. The TPM enhances the efficiency of the engineering team and focuses on improving processes to ensure that work is completed effectively.
 Responsibilities:
* Track component and subsystem deliverables to the Vehicle Program Design Release Gates
* Develop schedules based on company milestones and ensure that projects remain on track
* Track supplier SW/FW deliveries according to the FW Release Plan.
* Support the engineering team's issue resolution workstream and unblock roadblocks. Prioritize issues based on severity and priority, ensuring teams adhere to the program team's timing. Ensure status and next steps of issue tickets are up to date
* Support the engineers to provide concise and effective communications to key stakeholders on program status, issues/risks, and accomplishments,
* Assist the team with administrative and operational tasks, such as submitting shipping tickets and coordinating logistical processes, to improve efficiency.
* Drive alignment with cross\-functional teams of open deliverables and risks
* Proactively identify risks and drive mitigation efforts in collaboration with engineering teams
 Qualifications
* BS or MS in an engineering discipline or equivalent experience
* 4\-6 years of experience in developing electro\-mechanical systems for automotive or aerospace applications
* Familiarity with electro\-mechanical product development and manufacturing processes, and demonstrated delivery of components with engineering design and development partners
* Proven track record in managing complex cross\-functional projects
* Proficient in tools required to manage complex projects (i.e. JIRA, Gantt charts, ERP, PLM)
 Salary:
* $100,000\-110,000
*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69">
      <c r="A69" t="inlineStr">
        <is>
          <t>li-4343728887</t>
        </is>
      </c>
      <c r="B69" t="inlineStr">
        <is>
          <t>Research &amp; Innovation Program Manager - Senior Associate</t>
        </is>
      </c>
      <c r="C69" t="inlineStr">
        <is>
          <t>The Depository Trust &amp; Clearing Corporation (DTCC)</t>
        </is>
      </c>
      <c r="D69" t="inlineStr">
        <is>
          <t>linkedin</t>
        </is>
      </c>
      <c r="E69" t="inlineStr"/>
      <c r="F69" t="inlineStr"/>
      <c r="G69" t="inlineStr">
        <is>
          <t>Jersey City, NJ</t>
        </is>
      </c>
      <c r="H69" t="inlineStr"/>
      <c r="I69"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Research \&amp; Innovation Program Manager \- Senior Associate will be responsible for leading the orchestration of initiatives to drive the comprehensive adoption of emerging technologies across DTCC. This role will play a crucial role in ensuring the successful oversight and delivery of projects within the TRI portfolio. The candidate must be a self\-starter, possess strong written and verbal communication skills, and be able to engage both executive and technical audiences. The candidate must also demonstrate a positive and can\-do attitude and be a team player with the ability to push for target dates, while being empathetic to challenges and obstacles and be the team's voice in raising and mitigating risks with the help of senior management. In addition, the Senior Associate must be open to new and modern approaches to delivery, including agile Program Increment planning processes.
**Your Primary Responsibilities**
* Enterprise Enablement: Collaborate with various departments to facilitate the seamless integration of new technologies, promoting a culture that embraces change and technological advancement
* Project Portfolio Reporting: Track the entire innovation portfolio, resource allocation, budget, progress tracking and reporting. Maintain a clear view of the innovation pipeline and help drive data\-driven decisions to optimize resource allocation and project prioritization
* Stakeholder Engagement: Collaborate with internal and external stakeholders, including executive leadership, strategy, product teams, and external partners, to foster a culture of innovation and ensure alignment with organizational goals
* Adoption and Training: Develop and implement effective communication strategies to promote awareness of the innovation portfolio's goals, progress, and outcomes Conduct training sessions and workshops to educate teams on the innovation framework, methodologies, and best practices to help drive innovation from within DTCC
* Performance Measurement: Track key performance indicators (KPIs) to measure the success and impact of innovation projects. Regularly monitor and report on project progress, outcomes, and lessons learned
* Continuous Improvement: Drive a culture of continuous improvement by fostering a learning environment, promoting experimentation, and implementing best practices for innovation management
* Content and Communication: Develop clear and engaging content to communicate the benefits and applications of emerging technologies, ensuring alignment and understanding across the organization
**Qualifications**
* Minimum 6 years of related experience
* Bachelor's degree (preferred) or equivalent experience
* Expertise in managing Agile projects using Jira.
* Experience collaborating with globally dispersed project teams.
* Experience managing and delivering projects using AI and emerging technology (i.e., Digital Assets, Blockchain, etc.) is preferred.
 \*\*NOTE: The Primary Responsibilities of this role are not limited to the details above. \*\*
**Talents Needed For Success**
* Critical Thinking: Exceptional analytical, problem\-solving, and decision\-making abilities
* Presentation Mastery: Strong communication and presentation skills, with past experience directly interacting and presenting to executive leadership
* Strategic Vision: Able to see the big picture and chart a bold course toward future\-ready capabilities
* Influence \&amp; Collaboration: Skilled at engaging partners across all levels and building alignment
* Communication Excellence: Capable of synthesizing complex topics into clear, actionable messages
* Curiosity \&amp; Self\-Learning: Curious with a desire to stay ahead of tech trends and pivot with purpose
 We offer top class training and development for you to be an asset in our organization!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70">
      <c r="A70" t="inlineStr">
        <is>
          <t>li-4240000345</t>
        </is>
      </c>
      <c r="B70" t="inlineStr">
        <is>
          <t>Technical Program Manager</t>
        </is>
      </c>
      <c r="C70" t="inlineStr">
        <is>
          <t>KLA</t>
        </is>
      </c>
      <c r="D70" t="inlineStr">
        <is>
          <t>linkedin</t>
        </is>
      </c>
      <c r="E70" t="inlineStr"/>
      <c r="F70" t="inlineStr"/>
      <c r="G70" t="inlineStr">
        <is>
          <t>Milpitas, CA</t>
        </is>
      </c>
      <c r="H70" t="inlineStr"/>
      <c r="I70"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Film and Scatterometry Technology (FaST) Division provides industry leading metrology solutions for worldwide semiconductor IC manufacturers. The FaST Division portfolio of metrology products includes hardware and software solutions for optical film thickness, optical critical dimension (CD), composition, and resistivity measurement systems. These products are essential for the IC manufacturers as they provide critical metrology capabilities for the development and implementation of their advanced IC processes. The FaST division is committed to support our customers to achieve performance entitlement of our solution and we effectively partner with our customers from their early research and development phase to the high volume in\-line manufacturing implementation specific for their process needs. The division consists of a global team located in US, Israel, China, and India.
**Job Description/Preferred Qualifications**
 We are seeking a dynamic and results\-driven professional to lead cross\-functional initiatives and drive project success.
 Key responsibilities include:
* Project Planning \&amp; Execution Develop comprehensive project plans that define scope, timelines, budgets, and resource needs. Ensure alignment with divisional goals and strategic priorities.
* Risk Identification \&amp; Mitigation Proactively identify potential risks and issues throughout the project lifecycle. Implement effective mitigation strategies to minimize disruptions and safeguard deliverables.
* Cross\-Functional Collaboration Partner with engineering, manufacturing, service, marketing, and other key stakeholders to ensure seamless project execution. Facilitate transparent communication across teams and provide regular updates to senior leadership on progress, risks, and mitigation efforts.
* Technical Leadership Act as a subject matter expert in semiconductor manufacturing processes and/or metrology. Offer technical guidance and support to project teams to ensure high\-quality outcomes.
* Customer Engagement Build and nurture strong relationships with customers. Understand their needs and expectations to ensure project outcomes consistently meet or exceed requirements.
**Minimum Qualifications**
 Doctorate (Academic) Degree and related work experience of 3 years; Master's Level Degree and related work experience of 6 years; Bachelor's Level Degree and related work experience of 8 years
 Base Pay Range: $154,900\.00 \- $263,300\.00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71">
      <c r="A71" t="inlineStr">
        <is>
          <t>li-4365973292</t>
        </is>
      </c>
      <c r="B71" t="inlineStr">
        <is>
          <t>Technical Program Manager, SLED, Google Public Sector</t>
        </is>
      </c>
      <c r="C71" t="inlineStr">
        <is>
          <t>Google</t>
        </is>
      </c>
      <c r="D71" t="inlineStr">
        <is>
          <t>linkedin</t>
        </is>
      </c>
      <c r="E71" t="inlineStr"/>
      <c r="F71" t="inlineStr"/>
      <c r="G71" t="inlineStr">
        <is>
          <t>New York, NY</t>
        </is>
      </c>
      <c r="H71" t="inlineStr"/>
      <c r="I71" t="inlineStr">
        <is>
          <t>Note: By applying to this position you will have an opportunity to share your preferred working location from the following:
 **New York, NY, USA; Cambridge, MA, USA; Reston, VA, USA** 
 .
 **Minimum qualifications:**
* Bachelor's degree in a technical field, or equivalent practical experience.
* 5 years of experience in program management.
* Experience delivering digital transformation projects to organizations.
**Preferred qualifications:**
* Certification in Google Cloud Platform (GCP) and Project Management Professional (PMP).
* 5 years of experience managing cross\-functional or cross\-team projects.
* Experience working with new and emerging technologies, methodologies, and solutions in the cloud and broader enterprise technology transformation space.
* Experience leading the full business cycle for complex professional services engagements.
* Experience building relationships with government officials and C\-level stakeholders by developing a strong understanding of the customer business and managing in\-depth, data\-driven insights.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SLED East team is a high\-performing, integrated team within GPS services, focused on delivering comprehensive, security\-centric solutions to our State, Local, and Education (SLED) public sector customers in the East. We partner closely with our Go\-To\-Market teams and work collaboratively with state, local, and education entities to understand their unique challenges. By breaking down silos and leveraging our collective expertise, we activate technology across the complete Google Cloud solution set, empowering these organizations to achieve their mission\-critical objectives while maintaining the highest standards of data security, creating long\-term value and trust within their communities.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strategy, planning, and successful delivery of technical transformation engagements for Google's strategic public sector customers in the East region, overseeing execution across technical teams and partners.
* Serve as a strategic partner to the Go\-to\-Market team, leading the full business cycle for professional services engagements by proactively identifying customer challenges and needs to position Google Cloud products and solutions and drive account growth.
* Provide thought leadership, consulting, and technical outlook for customer engagements and the program portfolio, collaborating with Google's cross\-functional executives and key technical leaders to oversee solution planning and deployment, evaluate technical data, and lead technical decision\-making to ensure sound technical direction and excellence.
* Define the scope of projects and develop, execute, or manage project plans for supported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li-4365558531</t>
        </is>
      </c>
      <c r="B72" t="inlineStr">
        <is>
          <t>Program Manager</t>
        </is>
      </c>
      <c r="C72" t="inlineStr">
        <is>
          <t>Future Tech Enterprise, Inc.</t>
        </is>
      </c>
      <c r="D72" t="inlineStr">
        <is>
          <t>linkedin</t>
        </is>
      </c>
      <c r="E72" t="inlineStr"/>
      <c r="F72" t="inlineStr"/>
      <c r="G72" t="inlineStr">
        <is>
          <t>Fort Lauderdale, FL</t>
        </is>
      </c>
      <c r="H72" t="inlineStr"/>
      <c r="I72" t="inlineStr">
        <is>
          <t>Are you a strategic leader with a passion for IT service delivery and lifecycle program management? We are seeking a
 **Program Manager** 
 to oversee and drive the successful delivery of IT services within customer IT lifecycle programs. This role ensures efficiency, quality, and alignment with business objectives while managing service\-related processes, stakeholder engagement, and continuous improvement initiatives.
 The ideal candidate combines strategic leadership with hands\-on operational oversight—balancing high\-level program management with the detail\-oriented execution needed to navigate system constraints (ServiceNow) and customer\-specific business rules.
**We are looking for someone who will** 
 :
* Take ownership of program success
* Deep\-dive into Excel data models and performance metrics
* Drive process improvement and service alignment
 This is a
 **U.S.\-based remote position** 
 . The
 **work hours are from 8:30a \- 5:30p. Eastern time.** 
 Our benefit offerings include Medical, Dental, and Vision Insurance, 401k with Compnay match and PTO.
**This position involves working on client accounts that require U.S. Citizenship. This includes both on\-site visits to secure locations and remote work related to those accounts.**
**Key Responsibilities**
**IT Service Delivery \&amp; Operations**
* Oversee end\-to\-end IT service delivery for the PCaaS program, including order processing, customer support and strategic initiatives
* Ensure compliance with customer business rules, SLAs, and audit requirements
* Manage inventory, returns, and B Stock redeployment to maximize cost savings and efficiency
* Ensuring accurate order processing, ticket reconciliation, and reporting
* Develop and refine ServiceNow workflows for fulfillment, returns, and queue management, ensuring accurate asset record creation and updates
* Implement IT service management best practices to drive operational efficiency
* Monitor service performance metrics and drive continuous improvement efforts
**Data, Reporting \&amp; Continuous Improvement**
* Build and maintain Excel data models, pivot tables, dashboards, and tracking tools to manage KPIs, scope, and schedules
* Reconcile data across ServiceNow, ERP, and customer CMDBs to ensure accuracy
* Produce customer\-facing reports, including PMRs, QBRs, and executive summaries
* Identify gaps, risks, and process inefficiencies; implement improvement and automation initiatives where possible
* Create repeatable project plans with clear milestones, workstreams, and stakeholder responsibilities
**Stakeholder \&amp; Customer Engagement**
* Serve as the primary liaison between Future Tech, customers, depots, and third\-party partners
* Provide timely communication on ticket status, order fulfillment, and returns management
* Facilitate regular stakeholder meetings, gather feedback, and align services with evolving business needs
* Act as an escalation point for ServiceNow or ERP workflow issues that impact execution
**Team Leadership \&amp; Development**
* Lead and mentor queue managers, order processors, depot managers, and technical specialists
* Ensure teams are trained on both customer\-specific business rules and industry best practices
* Set clear goals, conduct performance reviews, and foster a culture of accountability and continuous improvement
**Service Management \&amp; Compliance**
* Implement ITIL\-based frameworks for incident, problem, and change management
* Ensure IT service operations comply with organizational policies, security standards, and customer regulations
* Oversee break/fix, warranty management, and asset lifecycle processes
* Develop streamlined processes for cancellations, repairs, refurbishments, and disposal, including certificates of destruction and audit reporting
**Innovation \&amp; Optimization**
* Continuously assess service performance, implementing technology and process improvements
* Stay informed on emerging IT service and PCaaS trends, leveraging them to enhance program delivery
**Qualifications \&amp; Requirements**
**Experience**
* 5\+ years of experience in IT service delivery, program management, or PC lifecycle services, with a strong focus on global operations and customer engagement
* Proven ability to manage both high\-level strategy and detailed operational execution
* Hands\-on experience with ServiceNow workflows and ERP processes (or similar systems)
* Strong background in reporting, data analysis, and executive\-level communication
* This position involves working on client accounts that require U.S. Citizenship. This includes both on\-site visits to secure locations and remote work related to those accounts
**Education \&amp; Certifications**
* Bachelor’s degree
* ITIL Foundation certification (preferred)
* PMP certification is a plus
**Skills \&amp; Proficiencies**
* Advanced Microsoft Excel (pivot tables, VLOOKUP, data modeling)
* Familiarity with asset lifecycle logistics
* Strong leadership and stakeholder management skills, with the ability to translate technical complexity into business insight
* Analytical, detail\-oriented, and able to thrive in high\-pressure environments
* Customer\-focused mindset with a commitment to continuous improvement
**About Future Tech Enterprise, Inc.**
 Future Tech Enterprise, Inc. is a recognized leader in delivering enterprise IT solutions and services to commercial, federal, and global clients. We are proud partners with technology innovators such as Dell Technologies, NVIDIA, Dell, Cisco, and others, helping our customers transform operations and drive digital modernization.
 Why Join Future Tech
* Influence the future of a rapidly evolving enterprise technology leader
* Collaborate with industry giants and public sector innovators to co\-create impactful solutions
* Enjoy a dynamic, entrepreneurial culture with a clear executive mandate for innovation
 \#FutureTechJobs</t>
        </is>
      </c>
    </row>
    <row r="73">
      <c r="A73" t="inlineStr">
        <is>
          <t>li-4365982084</t>
        </is>
      </c>
      <c r="B73" t="inlineStr">
        <is>
          <t>Senior Technical Program Manager, Memory</t>
        </is>
      </c>
      <c r="C73" t="inlineStr">
        <is>
          <t>Google</t>
        </is>
      </c>
      <c r="D73" t="inlineStr">
        <is>
          <t>linkedin</t>
        </is>
      </c>
      <c r="E73" t="inlineStr"/>
      <c r="F73" t="inlineStr"/>
      <c r="G73" t="inlineStr">
        <is>
          <t>Kirkland, WA</t>
        </is>
      </c>
      <c r="H73" t="inlineStr"/>
      <c r="I7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Austin, TX, USA; Kirkland, WA, USA** 
 .
 **Minimum qualifications:**
* Bachelor's degree in Business, Engineering, Supply Chain Management, or a related field, or equivalent practical experience.
* 10 years of experience in technical program management, sourcing, or engineering within the memory or semiconductor industry.
* Experience with memory manufacturing processes, test flows, and industry\-standard quality frameworks.
* Experience managing product life\-cycles, from silicon design/sourcing to system\-level integration.
**Preferred qualifications:**
* Master’s degree or PhD in a technical field.
* Knowledge of the memory industry landscape, including technologies, global capacity trends, and key supplier ecosystems.
* Ability to influence C\-suite leadership both internally and at external supplier organizations with excellent communication skills.
* Ability to lead root cause analysis for silicon\-to\-system reliability failures with advanced technical judgment.
* Ability to track record of leading multidisciplinary programs through significant ambiguity to deliver measurable business impact.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Senior Technical Program Manager for Memory, you will direct a portfolio of programs that secure and integrate Google’s memory technologies from silicon to the rack. You will be a recognized authority on the memory industry landscape, navigating global capacity trends and managing the life\-cycle of memory integration across Google’s global infrastructure. In this role, you will bridge the gap between commercial strategy and technical execution. You will partner with key suppliers to drive technical roadmaps, oversee manufacturing test flows, and lead the resolution of complex reliability failures from system\-level down to the silicon source. You will navigate ambiguity to drive proactive excellence in memory quality and performance, ensuring Google’s infrastructure scales effectively to meet the demands of AI and cloud computing.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Direct a multidisciplinary program portfolio for memory technology, defining strategies that accelerate business impact and align with Google’s long\-term infrastructure OKRs.
* Influence supplier technical and commercial strategies at the executive level, leveraging deep industry relationships to secure capacity and drive innovation in memory technologies.
* Lead cross\-functional teams to identify and solve systemic memory\-related reliability failures; govern the development of technical roadmaps and white papers to drive engineering excellence.
* Establish and optimize manufacturing test flows and quality standards across the memory supply chain to ensure product excellence.
* Build alliances with executive stakeholders across Engineering, Supply Chain, and Finance to reconcile priorities and land resource plans.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li-4350243741</t>
        </is>
      </c>
      <c r="B74" t="inlineStr">
        <is>
          <t>Sr. Technical Program Manager</t>
        </is>
      </c>
      <c r="C74" t="inlineStr">
        <is>
          <t>Electronic Arts (EA)</t>
        </is>
      </c>
      <c r="D74" t="inlineStr">
        <is>
          <t>linkedin</t>
        </is>
      </c>
      <c r="E74" t="inlineStr"/>
      <c r="F74" t="inlineStr"/>
      <c r="G74" t="inlineStr">
        <is>
          <t>Orlando, FL</t>
        </is>
      </c>
      <c r="H74" t="inlineStr"/>
      <c r="I7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Operations
 Central Technology Operations exists to empower innovation and enable scalability for teams across our organization. We strive for operational excellence to foster data\-driven decision\-making and enable teams to focus on transformative creativity. Joining Operations means working with strategic partners in world\-class technology teams, opportunities to streamline processes and eliminate barriers, and telling stories that support the evolution of interactive entertainment.
* (Hybrid Role)
 The Role
 As a Senior Technical Program Manager, you will join EA’s Central Technology Operations Team and lead large\-scale technology programs that enable seamless collaboration across product teams and departments. Reporting to the Director of Operations, you will drive operational excellence, optimize processes, and deliver strategic technology initiatives. This role requires strong technical expertise and focuses on driving technological innovation within EA’s gaming ecosystem.
 The Operations team serves as a cross\-functional partner, fostering efficiency and innovation. As a Senior Technical Program Manager, your expertise in technical program delivery, stakeholder management, and strategic planning will be vital in solving complex problems and advancing our technological capabilities.
 What You'll Do
* Lead Technical Programs: Build and lead technically\-focused programs and initiatives aimed at supporting EA’s innovation goals.
* Facilitate Collaboration: Senior leaders, product teams, engineering, and cross\-functional partners to define, plan, and execute technology programs aligned with organizational goals, ensuring technical requirements are met.
* Drive Alignment: Develop and maintain strong relationships with stakeholders; facilitate alignment and transparency on program goals, progress, risks, and dependencies.
* Communicate Effectively: Provide concise, data\-driven updates to stakeholders and leadership, adapting communication for technical and non\-technical audiences.
* Measure progress: Define, track, and analyze key performance indicators (KPIs), success criteria, and feedback mechanisms to evaluate program effectiveness and continuous improvement.
* Manage Change: Manage change initiatives to ensure smooth adoption of new processes or technologies, minimizing resistance and maximizing strategic value.
 What You'll Bring
* 8\+ years of experience in program or project management within technical or engineering environments.
* Technical acumen with experience working closely with software development, or technical operations teams.
* Exceptional stakeholder management skills with the ability to influence, challenge, and build consensus across organizational levels.
* Demonstrated leadership in managing multiple priorities, navigating ambiguity, and driving results independently.
* Expertise in change management, with the ability to facilitate organizational and technological transitions smoothly.
* Excellent communication skills, capable of translating technical details for diverse audiences.
* Self\-motivated, proactive, and resourceful, with a collaborative mindset and a passion for delivering impactful results.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75">
      <c r="A75" t="inlineStr">
        <is>
          <t>li-4365969523</t>
        </is>
      </c>
      <c r="B75" t="inlineStr">
        <is>
          <t>Senior Program Manager, Commercial Partnerships, Advanced Energy Technologies</t>
        </is>
      </c>
      <c r="C75" t="inlineStr">
        <is>
          <t>Google</t>
        </is>
      </c>
      <c r="D75" t="inlineStr">
        <is>
          <t>linkedin</t>
        </is>
      </c>
      <c r="E75" t="inlineStr"/>
      <c r="F75" t="inlineStr"/>
      <c r="G75" t="inlineStr">
        <is>
          <t>Seattle, WA</t>
        </is>
      </c>
      <c r="H75" t="inlineStr"/>
      <c r="I7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Seattle, WA, USA; San Francisco, CA, USA** 
 .
 **Minimum qualifications:**
* Bachelor's degree in Engineering, Business, Economics, a related field, or equivalent practical experience.
* 8 years of experience in program management.
* 5 years of experience in energy project development, commercial negotiations, or business development for infrastructure, power generation, data center projects, or related industries.
* Experience developing and negotiating energy or infrastructure partnerships (e.g., Power Purchase Agreements (PPAs) or utility interconnection agreements).
* Experience with energy technologies, such as next\-generation geothermal, advanced nuclear, energy storage (batteries or non\-electrochemical), and decarbonization solutions (e.g., carbon capture).
* Experience managing cross\-functional programs.
**Preferred qualifications:**
* 8 years of experience in the power generation, utility, or data center industry in distributed or onsite energy resources.
* Experience in programmatically scaling commercial models and partnerships for new or emerging technologies.
* Ability to develop and negotiate energy partnerships (e.g., Power Purchase Agreements) with developers, utilities, or government entities across international markets.
**About The Job**
 The Google Advanced Energy Technologies team is seeking an experienced and entrepreneurial Program Manager for Commercial Advanced Energy Partnerships. In this critical role, you will be instrumental in securing the strategic partnerships and commercial agreements to bring advanced energy technologies and new deployment approaches to meet Google's global data center energy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evaluate, and prioritize attractive commercial partners, project opportunities, and innovative deployment models for advanced energy solutions to meet Google's data center clean energy needs.
* Lead negotiations for a variety of complex agreements, including offtake, joint development agreements, and investments related to advanced energy projects.
* Drive alignment and buy\-in with internal and external stakeholders to secure project approvals and investment.
* Maintain up\-to\-date knowledge of the advanced energy landscape, including emerging technologies such as next\-generation geothermal, nuclear, energy storage, and carbon capture, translating technical advancements into viable commercial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6">
      <c r="A76" t="inlineStr">
        <is>
          <t>li-4366324238</t>
        </is>
      </c>
      <c r="B76" t="inlineStr">
        <is>
          <t>Principal Technical Program Manager</t>
        </is>
      </c>
      <c r="C76" t="inlineStr">
        <is>
          <t>Sallie Mae</t>
        </is>
      </c>
      <c r="D76" t="inlineStr">
        <is>
          <t>linkedin</t>
        </is>
      </c>
      <c r="E76" t="inlineStr"/>
      <c r="F76" t="inlineStr"/>
      <c r="G76" t="inlineStr">
        <is>
          <t>Newark, DE</t>
        </is>
      </c>
      <c r="H76" t="inlineStr"/>
      <c r="I76" t="inlineStr">
        <is>
          <t>**When you join Sallie Mae, you become a champion for all students.**
 We’re on a mission to power confidence as students begin their unique journey. To help them plan their higher education, successfully finish, and prepare for life after school. To help them Start smart. Learn big.
 Students need guidance navigating this important time in their life. They need someone who acknowledges that their education path is unique. They need a partner willing to evolve and not only meet but surpass their expectations. We’re changing. Because students need a better way.
 We’re looking for people who are excited to drive this transformation. To break barriers and think of new ways to adapt, help, and create better experiences for students—and for each other.
 This is where diverse backgrounds, beliefs, and perspectives matter. It’s where you’re empowered to bring your authentic self to work.
 Feeling your best allows you to do your best. Our benefits take care of the whole you—from physical and mental to financial and professional. You’ll get opportunities to further your education and career, support for you and your family (including your pets!), paid time off to volunteer for the things that matter to you, and more.
 We’re obsessed with impact and making a real difference. For us, that means putting relationships first, asking “why not?” when tackling challenges, and continuously learning new skills.
 Come do more than join something, change something. For students, for future generations, for the future of education.
 Would you like to work in an exciting fast\-paced start\-up place with the backing of a household name company like Sallie Mae to help millions of people meet their educational needs every day? Together, we’re connected by the same drive—to be a champion for all students and help them make smart decisions with confidence. Do more than join something—change something…for students, for future generations, and for the future of education.
 Our new venture, Sallie
 **SM** 
 , is looking for people like you to be the founding members who will define the future of education services for students and their families in the US. As the first education solutions company, we’re creating products and experiences that help students when they need it most. We’re connecting students to free money for school, providing tools and resources to plan for college, sharing inside advice on campus life, and so much more. Visit https://www.sallie.com/about to learn more about us.
**Key Job Responsibilities**
 We are looking for a strong technical program owner who has experience running complex technology and business initiatives supporting the mission of the organization. It is a highly visible and impactful role that connects the dots between the product, business development, engineering, and partner teams both inside and outside. A successful candidate will have extensive experience dealing with ambiguity, evangelizing the initiatives, making trade\-off decisions, influencing decision makers, and scaling solutions with invent\-and\-simplify approaches. They should also have deep technical understanding in the software development lifecycle, system integration, system architecture, quality assurance, and engineering best practices. They own the overall program health, project planning based on requirements, progress tracking, task prioritization, escalations, and reporting. As a principal\-level TPM, they are expected to set the bar for program excellence, anticipate risks, and mentor junior program managers. They will own the most complex, high\-impact initiatives across the organization. Knowledge on machine learning, modeling, and AdTech preferred!
 You must be able to thrive and succeed in an entrepreneurial, cross\-functional, and fast\-moving environment. This role offers an exciting opportunity to work with a diverse set of team members, stakeholders and senior leaders across the company to create and drive towards the strategic vision at Sallie.
**Technology Leadership**
* Lead technical discussions with both internal and external technology partners
* Design scalable integration architectures, APIs, automation workflows, and security protocols
* Translate complex technical concepts into clear plans and communication for executive and non\-technical audiences
**Program Management \&amp; Delivery**
* Own and drive execution of large, multi\-year, multi\-team technical programs with significant business impact
* Define program vision, scope, success metrics, dependencies, and delivery outcomes
* Develop project plans, milestones, and roadmaps balancing Scope, Time, and Cost
* Detect scope creep and proactively mitigate risks from requirements
**Cross\-Team Collaboration**
* Work with the product managers and engineers to translate business and product requirements into technical specifications
* Serve as the single point of accountability across engineering, product, design, operations, security, and external partners
* Influence without authority to align stakeholders around priorities and execution plans; facilitate executive reviews, decision forums, and milestone checkpoints
* Partner with stakeholders and risk partners vendor on technology selection, contracts and dependencies
**Team Leadership And Mentorship**
* Become to the go\-to\-person for technology related requests and questions throughout the company
* Establish and improve program management best practices, tooling, and governance
* Mentor and grow junior engineers and technical managers
**Basic Qualifications**
* 8\+ years of program or product management in technology experience
* Bachelor's degree
* 8\+ years of working directly with engineering teams
* 8\+ years of experience in managing technical projects across multiple teams
* Experience with project risk mitigation and prevention
* Experience with leading organizational roadmap, resource allocation, and assigning priorities
**Preferred Qualifications**
* Experience performing statistical analysis of data
* Experience with technology product development lifecycle
* Excellent communicator in writing and speaking
**Feeling Your Best Helps You Do Your Best**
 Our benefits take care of the whole you—so you can build your work around your life (not the other way around!).
* Competitive base salaries
* Bonus incentives
* Generous PTO, Floating Holidays and 12 Federal Holidays observed
* Support for financial\-well\-being and retirement 401k with employer match
* Comprehensive medical, dental, vision, hospital indemnity, critical illness, pet insurance and more
* Employer paid short\-term/long\-term disability and basic life insurance
* Flexible hybrid working arrangements.
* Paid parental leave and adoption reimbursement programs
* Free access to on\-site staffed fitness centers (in Delaware) and gym subsidy (for locations outside Delaware)
* Confidential counseling support (EAP), Health Advocacy services and Wellness program with financial incentives
* Tuition Reimbursement and Family Scholarship Programs
* Career development and training opportunities
 Not the right fit? Let us know you're interested in a future opportunity by clicking
 *Introduce Yourself* 
 in the top\-right corner of the page or create an account to set up email alerts as new job postings become available that meet your interest!
 Sallie Mae is proud to be an equal opportunity (EEO) employer. All qualified applicants will receive consideration for employment without regard to race, color, religion, sex, gender, sexual orientation, national origin, age, genetic information, gender identity, disability, Veteran status or any other characteristic protected by federal, state or local law. Click here to view the U.S. Pay Transparency Policy, here for federal job applicant notices, and here to view the California Employee Privacy Notice.
 Reasonable accommodations are available for applicants with disabilities in all phases of the application and employment process. To request an accommodation please call (855\) 756\-2007 and choose option 9\. All information you provide will be kept confidential and will be used only to the extent required to provide needed reasonable accommodations.</t>
        </is>
      </c>
    </row>
    <row r="77">
      <c r="A77" t="inlineStr">
        <is>
          <t>li-4343608279</t>
        </is>
      </c>
      <c r="B77" t="inlineStr">
        <is>
          <t>Program Manager, Ground Segment</t>
        </is>
      </c>
      <c r="C77" t="inlineStr">
        <is>
          <t>True Anomaly</t>
        </is>
      </c>
      <c r="D77" t="inlineStr">
        <is>
          <t>linkedin</t>
        </is>
      </c>
      <c r="E77" t="inlineStr"/>
      <c r="F77" t="inlineStr"/>
      <c r="G77" t="inlineStr">
        <is>
          <t>Long Beach, CA</t>
        </is>
      </c>
      <c r="H77" t="inlineStr"/>
      <c r="I77" t="inlineStr">
        <is>
          <t>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**Responsibilities**
 True Anomaly is seeking a highly accomplished Program Manager to lead the technical execution of a portion of our next\-generation missile defense program. This is a generational opportunity to build solutions for some of the most challenging mission sets in missile defense and aerospace engineering.
 You will be accountable for the cost, schedule, and performance of the ground segment effort within the missile program. Your responsibilities include developing and managing program plans, budgets, and schedules to meet contractual and technical objectives. You will coordinate across product, software, engineering, operations, and test teams to ensure program execution and delivery, while leading risk management, milestone tracking, and stakeholder communication.
**Qualifications**
 Required Qualifications \&amp; Experience
* 10\+ years Program Management experience for space programs, ground systems, and software development from concept through fielding
* Proven leadership of cross\-functional teams and major subcontracts
* Relevant experience briefing large integration forums, broad agency teams and senior leaders of all ranks key program artifacts
* Experience with missile defense systems and space vehicle programs
* Strong understanding of earned value management, risk assessment, and configuration control
* Deep experience in requirements decomposition efforts for a system of systems architecture
* Strong background in software development practices: requirements, verification, trade studies, interface control, and failure analysis
* Proven experience of integrating C2 Systems, w/ Ground Systems w/ Sensors \&amp; Effectors
* Ability to lead cross\-functional technical teams and coordinate across hardware and software boundaries
* Bachelors Degree in Computer Science, Engineering or related fields
* U.S. Citizen and eligible for DoW Secret Clearance
**Desired Qualifications \&amp; Experience**
* Advanced degree in Computer Science, Engineering or related field
* Strong track record leading cross\-functional engineering teams and managing the end\-end software product lifecycle
* Experience implementing a global network made up of terrestrial communications with MILSATCOM and other Space Data Networks
* Certification in established program management discipline (EVM, PMI, PgMP, etc)
* Background in systems engineering or technical program management
* TS/SCI clearance
**Compensation**
* Base Salary:  Denver: $175,000\-$240,000, Long Beach: $180,000\-$250,000
* Equity \+ Benefits including Health, Dental, Vision, HRA/HSA options, PTO and paid holidays, 401K, Parental Leave
*Your actual level and base salary will be determined on a case\-by\-case basis and may vary based on the following considerations: job\-related knowledge and skills, education and experience.* 
**Additional Requirements**
* Work Location—Successful candidates will be located near Denver, Colorado Springs, Long Beach, or Washington DC. Remote candidates will be considered. While we observe a hybrid work environment, some work must be done on site.
* Clearance \- Ability to maintain a DoW security clearance is a requirement for this position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is>
      </c>
    </row>
    <row r="78">
      <c r="A78" t="inlineStr">
        <is>
          <t>li-4362079459</t>
        </is>
      </c>
      <c r="B78" t="inlineStr">
        <is>
          <t>Supervisory DLA G-Invoicing Program Manager</t>
        </is>
      </c>
      <c r="C78" t="inlineStr">
        <is>
          <t>DLA Careers</t>
        </is>
      </c>
      <c r="D78" t="inlineStr">
        <is>
          <t>linkedin</t>
        </is>
      </c>
      <c r="E78" t="inlineStr"/>
      <c r="F78" t="inlineStr"/>
      <c r="G78" t="inlineStr">
        <is>
          <t>Fort Belvoir, VA</t>
        </is>
      </c>
      <c r="H78" t="inlineStr"/>
      <c r="I78" t="inlineStr">
        <is>
          <t>**Summary**
 See below for important information regarding this job.
 Battle Creek, MI: $147,945 \-$192,331
 Whitehall, OH: $154,378 \- $197,200
 Richmond, VA: $154,542 \- $197,200
 Philadelphia, PA: $163,023 \- $197,200
 Fort Belvoir, VA: $169,279 \- $197,200
 New Cumberland, PA: $169,279 \- $197,200
 Duties
 Help
* Serves as the Staff Director for the DLA G\-lnvoicing Program Management Office within the DLA Finance (J8\).
* Serves as an advocate for DLA and its stakeholders, DoD, and Federal trading partners in overseeing and executing the coordination, integration, and synchronization of G\-lnvoicing implementation.
* Manage the implementation of cross process Intra\-Governmental Transaction (IGT) requirements to achieve and sustain legislative requirements and regulatory mandates directed by US Treasury and OUSD.
* Responsible for improving the quality of intragovernmental Transactions (IGT) \- Buy/Sell data and reporting challenges.
* Translating the requirements, policies, procedures, and systems for both inbound and outbound reimbursable agreements into auditable, financially compliant transactions.
**Requirements**
 Help
 Conditions of employment
* Must be a U.S. citizen
* Tour of Duty: Flexible
* Security Requirements: Non\-Critical Sensitive with Secret Access
* Appointment is subject to the completion of a favorable suitability or fitness determination, where reciprocity cannot be applied; unfavorably adjudicated background checks will be grounds for removal.
* Fair Labor Standards Act (FLSA): Exempt
* Selective Service Requirement: Males born after 12\-31\-59 must be registered or exempt from Selective Service.
* Recruitment Incentives: Not Authorized
* Supervisory Probation: Required
* Completion of Supervisory Certification Program: Required
* Bargaining Unit Status: No
* Selectees are required to have a REAL ID or other acceptable identification documents to access certain federal facilities. See https://www.tsa.gov/real\-id for more information.
* This position requires DoD Financial Management Level 3 certification within 2 years in accordance with DoD Instruction 1300\.26, DoD Directive 5118\.03 and section 1599d of Title 10, U.S.C. Once obtained, you must maintain and improve proficiency.
**Qualifications**
 To qualify for a Supervisory Financial Analyst, your resume and supporting documentation must support: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Specialized Experience: One year of specialized experience that equipped you with the particular competencies to successfully perform the duties of the position and is directly in or related to this position. To qualify at the GS\-15 level, applicants must possess one year of specialized experience equivalent to the GS\-14 level or equivalent under other pay systems in the Federal service, military, or private sector. Applicants must meet eligibility requirements including time\-in\-grade (General Schedule (GS) positions only), time\-after\-competitive appointment, minimum qualifications, and any other regulatory requirements by the cut\-off/closing date of the announcement. Creditable specialized experience includes:
* Overseeing and executing the coordination, integration, and synchronization of G\-lnvoicing implementation.
* Developing and leading the implementation of a communication and change management strategy.
* Coordinating presentations for discussion and raising awareness of the G\-lnvoicing program amongst leadership through outreach.
* Implement intergovernmental transactions flow through G\-lnvoicing process for both inbound and outbound reimbursable agreements
 Education
 Substitution of education may not be used in lieu of specialized experience for this grade level.
 Additional information
**For Important General Applicant Information and Definitions go to:** 
 http://www.dla.mil/portals/104/documents/careers/GenAppInfoDef.pdf
**Reemployed Annuitants:** 
 This position does not meet criteria for appointment of Reemployed Annuitants. The DoD criteria for hiring Reemployed Annuitants can be found at: https://www.esd.whs.mil/Portals/54/Documents/DD/issuances/140025/140025\_vol300\.PDF
**Information for Veterans** 
 is available at: https://www.dla.mil/Careers/Programs/. As of 23 December 2016, Military retirees seeking to enter federal service in the Department of Defense now require a waiver if they would be appointed within 180 days following their official date of retirement.
**Drug\-Free Workplace Policy**
 The Defense Logistics Agency (DLA) is committed to maintaining a safe, drug\-free workplace. All DLA employees are required to refrain from illegal drug use on and off duty. DLA conducts pre\-employment, reasonable suspicion, post\-accident, and random drug testing.
 Applicants tentatively selected for employment in testing designated positions will undergo a urinalysis to screen for illegal drug use prior to appointment. Refusal to undergo testing or testing positive for illegal drugs will result in withdrawal of the tentative job offer and a six\-month denial of employment with DLA from the date of the drug test. Employees in drug testing designated positions are subject to random drug testing.
 The DLA drug testing panel tests for the following substances: marijuana, cocaine, opiates, heroin, phencyclidine, amphetamines, methamphetamines, fentanyl, norfentanyl, methylenedioxymethamphetamine (MDMA), methylenedioxyamphetamine (MDA), and opioids.
**ADVISORY: Use of cannabidiol (CBD) products may result in a positive drug test for marijuana. DLA employees are subject to Federal law and under Federal law, Marijuana is a Schedule I drug and is illegal.**
 Additional guidance on writing a federal resume can be found at: USAJOBS Help Center \- How do I write a resume for a federal job? The resume builder can help you create a resume using these recommendations and uses the information in your USAJOBS profile to help you get started.
 Candidates should be committed to improving the efficiency of the Federal government, passionate about the ideals of our American republic, and committed to upholding the rule of law and the United States Constitution.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t>
        </is>
      </c>
    </row>
    <row r="79">
      <c r="A79" t="inlineStr">
        <is>
          <t>li-4366322305</t>
        </is>
      </c>
      <c r="B79" t="inlineStr">
        <is>
          <t>Principal Technical Program Manager</t>
        </is>
      </c>
      <c r="C79" t="inlineStr">
        <is>
          <t>Sallie Mae</t>
        </is>
      </c>
      <c r="D79" t="inlineStr">
        <is>
          <t>linkedin</t>
        </is>
      </c>
      <c r="E79" t="inlineStr"/>
      <c r="F79" t="inlineStr"/>
      <c r="G79" t="inlineStr">
        <is>
          <t>Sterling, VA</t>
        </is>
      </c>
      <c r="H79" t="inlineStr"/>
      <c r="I79" t="inlineStr">
        <is>
          <t>**When you join Sallie Mae, you become a champion for all students.**
 We’re on a mission to power confidence as students begin their unique journey. To help them plan their higher education, successfully finish, and prepare for life after school. To help them Start smart. Learn big.
 Students need guidance navigating this important time in their life. They need someone who acknowledges that their education path is unique. They need a partner willing to evolve and not only meet but surpass their expectations. We’re changing. Because students need a better way.
 We’re looking for people who are excited to drive this transformation. To break barriers and think of new ways to adapt, help, and create better experiences for students—and for each other.
 This is where diverse backgrounds, beliefs, and perspectives matter. It’s where you’re empowered to bring your authentic self to work.
 Feeling your best allows you to do your best. Our benefits take care of the whole you—from physical and mental to financial and professional. You’ll get opportunities to further your education and career, support for you and your family (including your pets!), paid time off to volunteer for the things that matter to you, and more.
 We’re obsessed with impact and making a real difference. For us, that means putting relationships first, asking “why not?” when tackling challenges, and continuously learning new skills.
 Come do more than join something, change something. For students, for future generations, for the future of education.
 Would you like to work in an exciting fast\-paced start\-up place with the backing of a household name company like Sallie Mae to help millions of people meet their educational needs every day? Together, we’re connected by the same drive—to be a champion for all students and help them make smart decisions with confidence. Do more than join something—change something…for students, for future generations, and for the future of education.
 Our new venture, Sallie
 **SM** 
 , is looking for people like you to be the founding members who will define the future of education services for students and their families in the US. As the first education solutions company, we’re creating products and experiences that help students when they need it most. We’re connecting students to free money for school, providing tools and resources to plan for college, sharing inside advice on campus life, and so much more. Visit https://www.sallie.com/about to learn more about us.
**Key Job Responsibilities**
 We are looking for a strong technical program owner who has experience running complex technology and business initiatives supporting the mission of the organization. It is a highly visible and impactful role that connects the dots between the product, business development, engineering, and partner teams both inside and outside. A successful candidate will have extensive experience dealing with ambiguity, evangelizing the initiatives, making trade\-off decisions, influencing decision makers, and scaling solutions with invent\-and\-simplify approaches. They should also have deep technical understanding in the software development lifecycle, system integration, system architecture, quality assurance, and engineering best practices. They own the overall program health, project planning based on requirements, progress tracking, task prioritization, escalations, and reporting. As a principal\-level TPM, they are expected to set the bar for program excellence, anticipate risks, and mentor junior program managers. They will own the most complex, high\-impact initiatives across the organization. Knowledge on machine learning, modeling, and AdTech preferred!
 You must be able to thrive and succeed in an entrepreneurial, cross\-functional, and fast\-moving environment. This role offers an exciting opportunity to work with a diverse set of team members, stakeholders and senior leaders across the company to create and drive towards the strategic vision at Sallie.
**Technology Leadership**
* Lead technical discussions with both internal and external technology partners
* Design scalable integration architectures, APIs, automation workflows, and security protocols
* Translate complex technical concepts into clear plans and communication for executive and non\-technical audiences
**Program Management \&amp; Delivery**
* Own and drive execution of large, multi\-year, multi\-team technical programs with significant business impact
* Define program vision, scope, success metrics, dependencies, and delivery outcomes
* Develop project plans, milestones, and roadmaps balancing Scope, Time, and Cost
* Detect scope creep and proactively mitigate risks from requirements
**Cross\-Team Collaboration**
* Work with the product managers and engineers to translate business and product requirements into technical specifications
* Serve as the single point of accountability across engineering, product, design, operations, security, and external partners
* Influence without authority to align stakeholders around priorities and execution plans; facilitate executive reviews, decision forums, and milestone checkpoints
* Partner with stakeholders and risk partners vendor on technology selection, contracts and dependencies
**Team Leadership And Mentorship**
* Become to the go\-to\-person for technology related requests and questions throughout the company
* Establish and improve program management best practices, tooling, and governance
* Mentor and grow junior engineers and technical managers
**Basic Qualifications**
* 8\+ years of program or product management in technology experience
* Bachelor's degree
* 8\+ years of working directly with engineering teams
* 8\+ years of experience in managing technical projects across multiple teams
* Experience with project risk mitigation and prevention
* Experience with leading organizational roadmap, resource allocation, and assigning priorities
**Preferred Qualifications**
* Experience performing statistical analysis of data
* Experience with technology product development lifecycle
* Excellent communicator in writing and speaking
**Feeling Your Best Helps You Do Your Best**
 Our benefits take care of the whole you—so you can build your work around your life (not the other way around!).
* Competitive base salaries
* Bonus incentives
* Generous PTO, Floating Holidays and 12 Federal Holidays observed
* Support for financial\-well\-being and retirement 401k with employer match
* Comprehensive medical, dental, vision, hospital indemnity, critical illness, pet insurance and more
* Employer paid short\-term/long\-term disability and basic life insurance
* Flexible hybrid working arrangements.
* Paid parental leave and adoption reimbursement programs
* Free access to on\-site staffed fitness centers (in Delaware) and gym subsidy (for locations outside Delaware)
* Confidential counseling support (EAP), Health Advocacy services and Wellness program with financial incentives
* Tuition Reimbursement and Family Scholarship Programs
* Career development and training opportunities
 Not the right fit? Let us know you're interested in a future opportunity by clicking
 *Introduce Yourself* 
 in the top\-right corner of the page or create an account to set up email alerts as new job postings become available that meet your interest!
 Sallie Mae is proud to be an equal opportunity (EEO) employer. All qualified applicants will receive consideration for employment without regard to race, color, religion, sex, gender, sexual orientation, national origin, age, genetic information, gender identity, disability, Veteran status or any other characteristic protected by federal, state or local law. Click here to view the U.S. Pay Transparency Policy, here for federal job applicant notices, and here to view the California Employee Privacy Notice.
 Reasonable accommodations are available for applicants with disabilities in all phases of the application and employment process. To request an accommodation please call (855\) 756\-2007 and choose option 9\. All information you provide will be kept confidential and will be used only to the extent required to provide needed reasonable accommodations.</t>
        </is>
      </c>
    </row>
    <row r="80">
      <c r="A80" t="inlineStr">
        <is>
          <t>li-4268286751</t>
        </is>
      </c>
      <c r="B80" t="inlineStr">
        <is>
          <t>Senior Program Manager</t>
        </is>
      </c>
      <c r="C80" t="inlineStr">
        <is>
          <t>Astrion</t>
        </is>
      </c>
      <c r="D80" t="inlineStr">
        <is>
          <t>linkedin</t>
        </is>
      </c>
      <c r="E80" t="inlineStr"/>
      <c r="F80" t="inlineStr"/>
      <c r="G80" t="inlineStr">
        <is>
          <t>Aberdeen Proving Ground, MD</t>
        </is>
      </c>
      <c r="H80" t="inlineStr"/>
      <c r="I80" t="inlineStr">
        <is>
          <t>**Overview**
**Senior Program Manager**
**LOCATION:** 
 Onsite \- Aberdeen Proving Ground, MD
**JOB STATUS:** 
 Full\-time
**CLEARANCE:** 
 SECRET (TOP SECRET Eligible)
**CERTIFICATION:** 
 PMP or DAWIA Level 3
**TRAVEL:** 
 As Needed \- CONUS \&amp; OCONUS
**SALARY** 
**RANGE:** 
 $154K \- $231K
 Astrion has an exciting opportunity for a
 **Sr. Program Manager** 
 to support the U.S. Army Communications\-Electronics Command (CECOM) Worldwide Field Support (WFS) program at the Aberdeen Proving Ground in Maryland and OCONUS Locations. The Program Manager will provide leadership and direction for the CECOM WFS overseeing comprehensive logistics, sustainment, and maintenance services for current and future Command, Control, Computers, Communications, Cyber, Intelligence, Surveillance and Reconnaissance (C5ISR) systems and associated operational requirements across the globe. The successful candidate will demonstrate experience managing global operations, including CONUS and OCONUS locations.
**Required Qualifications / Skills**
* Citizenship: Must be a US citizen
* Clearance: Must have an Active Secret Clearance
* Education: Bachelor’s degree from an accredited college or university (management, business administration, and advanced degrees preferred).
* Proficiency in:
+ DoD acquisition, logistics, and sustainment processes
+ Microsoft Office Suite applications (Excel, PowerPoint, Word) and SharePoint.
* Experience with:
+ Active Project Management Professional (PMP) certification or Defense Acquisition Workforce Improvement Act (DAWIA) Level III certification in Program Management.
+ A minimum of fifteen (15\) years of experience in U.S. Army supply chain management, with demonstrated relevant experience within the past fifteen (15\) years.
+ A minimum of fifteen (15\) years of experience in areas such as business process optimization, strategic sourcing, managing suppliers and subcontractors, financial and cost control, field support, and readiness management.
+ Proven ability to manage large, complex government contracts, particularly within the defense sector, and to oversee all efforts by both prime and subcontractor teams.
+ Expertise in managing and tracking Government Furnished Equipment (GFE) and Contractor Acquired Property (CAP).
+ Capacity to identify and effectively mitigate program risks.
+ Ability to ensure program execution adheres to established cost, schedule, and performance targets.
**Preferred Qualifications / Skills**
* Direct experience directly supporting CECOM and/or the Army Field Support Brigades (AFSBs).
* Familiarity with the Synchronized Pre\-deployment and Operational Tracker (SPOT) system.
* Experience in leading multi\-functional teams (e.g., engineers, logisticians, Field Service Representatives).
* Knowledge of industry best practices for quality management, such as ISO 9001:2015\.
* Ability to analyze and interpret complex data for reporting and informed decision\-making.
**Responsibilities**
* Lead and supervise all activities conducted by cross\-functional team of prime contractor and subcontractor personnel to fulfill program objectives.
* Provide comprehensive program oversight, including administrative and clerical support, financial controls, cost and technical status reporting, and program reviews.
* Develop, maintain, and update a robust Program Management Plan (PMP) that details organizational structure, work breakdown structure (WBS), risk management strategies, communication protocols, quality control methodologies, and staffing plans.
* Ensure accurate and timely submission of all required Contract Data Requirements Lists (CDRLs), such as weekly activity reports, monthly status reports, and property accountability reports.
* Implement and manage a Quality Assurance Surveillance Plan (QASP) that aligns with ISO 9001:2015 standards, overseeing corrective actions and performance evaluations.
* Facilitate smooth and uninterrupted transition\-in and transition\-out phases for the program.
* Administer property accountability and control procedures for Government Furnished Equipment (GFE), Government Furnished Property (GFP), and Contractor Acquired Property (CAP), adhering to Army Regulations and DFARS.
* Ensure all contractor employees complete mandatory government training and maintain necessary certifications, including Information Assurance (IA/IT) levels.
* Collaborate with Program Executive Offices (PEOs) and system/equipment Program, Project, and Product Managers to foster effective communication and advance CECOM and Army Materiel Command (AMC) initiatives.
* Supervise supply support operations, encompassing the requisitioning of Class IX repair parts via GCSS\-A or commercial channels, inventory management, and addressing diminishing manufacturing sources.
* Contribute to the development of logistics sustainment plans, offer feedback on ongoing operations, and propose enhancements to support structures that may reduce footprint while preserving readiness.
* Maintain a high\-performing staff to execute the worldwide requirements of the program.
* Manage all travel aspects, ensuring compliance with Joint Travel Regulations (JTR), Federal Travel Regulations (FTR), and Department of State Standardized Regulations (DSSR), and securing prior approvals.
* Ensure strict adherence to all security requirements, including managing access to classified material (up to Top Secret/Sensitive Compartmented Information (SCI) with polygraph), and network systems (NIPRNET, SIPRNET, Joint Worldwide Intelligence Communications Systems (JWICS), National Security Agency Network (NSANET).
* Exercise oversight in administering policies and procedures related to the program.
* Direct and guide personnel in executing program activities, verifying compliance with applicable laws and regulations</t>
        </is>
      </c>
    </row>
    <row r="81">
      <c r="A81" t="inlineStr">
        <is>
          <t>li-4356162732</t>
        </is>
      </c>
      <c r="B81" t="inlineStr">
        <is>
          <t>Principal Program Manager, PMO</t>
        </is>
      </c>
      <c r="C81" t="inlineStr">
        <is>
          <t>Palo Alto Networks</t>
        </is>
      </c>
      <c r="D81" t="inlineStr">
        <is>
          <t>linkedin</t>
        </is>
      </c>
      <c r="E81" t="inlineStr"/>
      <c r="F81" t="inlineStr"/>
      <c r="G81" t="inlineStr">
        <is>
          <t>Santa Clara, CA</t>
        </is>
      </c>
      <c r="H81" t="inlineStr"/>
      <c r="I81"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seeking a Principal Program Manager to join our GTM/CX PMO team, focused on leading execution of complex, cross\-functional programs within one of our core go\-to\-market and customer experience domains: CPQ \&amp; Quote\-to\-Cash Sales, Account Management \&amp; Forecasting Partner Ecosystems \&amp; Integrations Customer Support, Success and Services platforms This role partners closely with business and technology leaders to translate strategy into well\-orchestrated delivery, ensuring initiatives are planned, aligned, and executed with rigor across people, process, and technology. The ideal candidate is a seasoned program leader who excels in driving execution in highly matrixed environments, navigating ambiguity, and enabling teams to deliver meaningful progress against critical GTM and CX priorities. Your Impact Program Delivery Leadership Lead end\-to\-end execution of strategic programs within a core GTM/CX domain, from planning through deployment and stabilization. Develop and maintain integrated program plans covering scope, milestones, dependencies, risks, and readiness activities. Ensure consistent delivery discipline across cross\-functional teams spanning IT, Sales, RevOps, Finance, Support, Customer Success and Services, Product, and external partners. Drive alignment on sequencing and tradeoffs to support timely, high\-quality delivery. Cross\-Functional Orchestration Serve as the central point of coordination across business and technology stakeholders to maintain momentum, clarity, and accountability. Manage interdependencies across CRM, CPQ, billing, entitlement, partner platforms, data/analytics, and support systems. Proactively identify execution risks related to process change, data readiness, system integrations, and enablement and drive resolution with appropriate owners. Partner with change management and enablement teams to support operational readiness and adoption. Delivery Quality \&amp; Outcomes Enablement Establish and track delivery success measures tied to program milestones, release readiness, and operational stability. Ensure teams are set up to achieve intended outcomes. Provide structured forums for issue resolution, dependency management, and decision escalation. Executive \&amp; Stakeholder Engagement Partner with senior leaders across Sales, Customer Success/Services, Support, Finance, and IT to maintain alignment on priorities, progress, and delivery risks. Provide clear, decision\-oriented updates on program status, tradeoffs, and execution implications. Build trust through consistency, transparency, and follow\-through, serving as a steady execution leader in complex initiatives. Represent the program in executive and cross\-functional forums.
**Qualifications (Additional Job Description)**
 Your Experience 12\+ years of program management experience leading large, cross\-functional initiatives in one or more of the following domains:CPQ / Quote\-to\-Cash Sales Operations, Account Management, Forecasting Partner Ecosystems, Integrations, and Co\-sell motions Customer Support, Customer Success and Services platforms Demonstrated success driving delivery across enterprise\-scale technology and operating model changes. Strong ability to work across business and IT, navigating complex stakeholder environments with credibility and influence. Excellent executive communication skills — able to convey status, risks, and implications clearly and succinctly. Proven capability to lead through influence, structure, and execution rigor rather than formal authority. Background in consulting, enterprise SaaS, or large\-scale GTM/CX transformations strongly preferred. Local SF Bay Area candidates who can be onsite 3 days/week.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$155,000\.00 \- $251,000\.00/yr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82">
      <c r="A82" t="inlineStr">
        <is>
          <t>li-4343922908</t>
        </is>
      </c>
      <c r="B82" t="inlineStr">
        <is>
          <t>Program Manager (Contract Manager)</t>
        </is>
      </c>
      <c r="C82" t="inlineStr">
        <is>
          <t>CDW</t>
        </is>
      </c>
      <c r="D82" t="inlineStr">
        <is>
          <t>linkedin</t>
        </is>
      </c>
      <c r="E82" t="inlineStr"/>
      <c r="F82" t="inlineStr"/>
      <c r="G82" t="inlineStr">
        <is>
          <t>Vernon Hills, IL</t>
        </is>
      </c>
      <c r="H82" t="inlineStr"/>
      <c r="I82"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The Program Manager leads a team of Contract Management professionals and provides direct support for an assigned portfolio of contracts. Program Managers are responsible for ensuring compliance of all regulatory and operational commitments made to customers and serve a vital role to minimize overall risk and maximize revenue and profit through each contract.
**What You'll Do**
* Supervise Contract Analyst and/or Deputy Program Manager coworkers
* Lead all efforts to operationalize and market contracts
* Respond to customer requests for audit and project manage process
* Conduct internal audits to measure regulatory and operational compliance
* Provide preliminary dispute resolution to ensure customer satisfaction
* Conduct presentations to senior leadership internally and externally
* Maximize contract productivity and profit
* Educate sellers, partners, and customers on proper contract usage
* Draft and negotiate master sales agreements, special programs, teaming agreements, amendments, addenda, and other contractual documents, as needed
* Conduct performance review of all existing and expiring agreements, make recommendations regarding strategic enhancements, and lead renewal efforts
* Conduct business reviews with the business and customers, as necessary
* Ensure compliance of all service levels committed to as part of contracts assigned
**What We Expect Of You**
 Minimum basic requirements
* Bachelor’s Degree
* Four (4\) years of relevant contracts management experience
* Effective communication skills (verbal and written)
* Experience presenting to senior and executive level management
* Strong problem\-solving skills
* Strong project management skills
* Proven success in negotiating complex contract matters
* Knowledge of standard procurement contracting and proposals process
* Ability to develop, analyze, and interpret complex statistical data and/or to develop contracting strategies based on this information
* Ability to work effectively and collaboratively to solve contract matters and drive desired business outcomes
* Operates autonomously with minimal guidance required
* Ability to influence decisions and motivate positive change
* Impeccable attention to detail and produces high quality work product
* Experience with handling sensitive, confidential matters appropriately
* Proficient in MS Excel, Word, Outlook, PowerPoint and Access
* Ability and willingness to travel 10% or as needed to other CDW locations, meeting and client site
**Preferred Skills, Experience, And Qualifies Needed**
* Five (5\) or more years of IT industry contract management experience
* Experience with E\-Rate
* Knowledge of CDW/G Business Systems
* Advanced in MS Excel, Word, PowerPoint, and Access
* Served as a team leader or influencer in previous roles
* Experienced presenter and/or trainer
* Contract negotiation experience
 Pay range: $88,000 \- $122,400 depending on experience and skill set
 Annual bonus target of 5%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83">
      <c r="A83" t="inlineStr">
        <is>
          <t>li-4347382066</t>
        </is>
      </c>
      <c r="B83" t="inlineStr">
        <is>
          <t>Data Center Operations Program Manager, JoinOCI</t>
        </is>
      </c>
      <c r="C83" t="inlineStr">
        <is>
          <t>Oracle</t>
        </is>
      </c>
      <c r="D83" t="inlineStr">
        <is>
          <t>linkedin</t>
        </is>
      </c>
      <c r="E83" t="inlineStr"/>
      <c r="F83" t="inlineStr"/>
      <c r="G83" t="inlineStr">
        <is>
          <t>Abilene, TX</t>
        </is>
      </c>
      <c r="H83" t="inlineStr"/>
      <c r="I83" t="inlineStr">
        <is>
          <t>**Job Description**
**Job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 Bachelor’s degree in Business, Engineering, Computer Science, or a related field; advanced degree preferred.
* 5\+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PgMP, or similar project management certification is an advantage.
* Demonstrated ability to lead teams and deliver results in a fast\-paced, matrixed organization.
**Additional Information:**
* Some roles may require travel based on program needs.
* This position may require handling confidential and sensitive information; strong ethics and adherence to company compliance and security guidelines are essential.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4">
      <c r="A84" t="inlineStr">
        <is>
          <t>li-4342453738</t>
        </is>
      </c>
      <c r="B84" t="inlineStr">
        <is>
          <t>Sr. HR Program Manager - Store Operations &amp; Merchandising - Seattle, WA (Hybrid)</t>
        </is>
      </c>
      <c r="C84" t="inlineStr">
        <is>
          <t>Nordstrom</t>
        </is>
      </c>
      <c r="D84" t="inlineStr">
        <is>
          <t>linkedin</t>
        </is>
      </c>
      <c r="E84" t="inlineStr"/>
      <c r="F84" t="inlineStr"/>
      <c r="G84" t="inlineStr">
        <is>
          <t>New York, NY</t>
        </is>
      </c>
      <c r="H84" t="inlineStr"/>
      <c r="I84" t="inlineStr">
        <is>
          <t>The Program Manager is part of the Merchandising and Operations HR Business Partner (HRBP) team and will play a critical role in supporting the HR leaders with operational planning and program management to ensure seamless execution of strategic HR priorities. This role will manage timelines, processes, and coordinates cross team efforts to deliver on team objectives. The Program Manager will be core to the day\-to\-day operations enabling the HR VP to focus on HR strategy and longer\-term vision. They will work closely with the HR COE, HRBPs and other stakeholders to ensure alignment across teams. The ideal candidate will have experience in standards of program management, concepts, and principles with the ability to independently manage small programs. They will have experience leveraging data to evaluate program effectiveness, inform recommendations, and communicate progress.
**A day in the life...**
* Prepare People Dashboards for client groups, including key HR metrics. Partner with HR Directors and COE teams to validate explanations for trends and outliers. Work with Finance team to enhance insight into Labor Cost.
* Aligning HR work across the Merch and Operations HR team into a cohesive, actionable roadmap and calendar to ensure HRBP team can effectively deliver and support the business.
* Facilitate process efficiencies to enable the HR team to focus on strategy and client support by managing operational details and logistics.
* Own coordination of regular Talent processes across the Merch and Ops HR Business Partner team, including preparation of Pay \&amp; Performance calibration sessions. Provide support to the HRBP team by creating presentation templates and data analyses.
* Manage the Voice of the Employee (Employee Survey) process across the Merchandising and Operations HR Business Partner team. Create templates, provide data analysis, and support preparation of materials across client groups. Monitor set up and follow\-through of action plans.
* Support HR priorities and Merchandising and Operations HRBP People Plan activities. Monitor progress against goals.
* Support stakeholder alignment by organizing meetings, synthesizing inputs, and managing follow\-ups to ensure accountability.
* Support Performance Management activities as needed.
* Develop and own Team SharePoint as centralized data repository and resource.
* Support ad hoc projects, as needed.
**You own this if you have...**
* 5\+ years of combined HR / project / program management experience
* Experience in partnering with business leaders to drive outcomes
* Strong organizational skills with attention to detail; capable of synthesizing information and creating \&amp; optimizing processes
* Ability to work independently, take ownership of deliverables, and proactively address challenges
* Clear and effective verbal and written communication skills, with the ability to synthesize complex information into clear, actionable plans at the appropriate level of detail based on the audience
* Strong analytical and data interpretation skills with an ability to apply insights to influence decisions
* Strong proficiency in Microsoft Office suite (e.g. Outlook, Excel, Word, PowerPoint, etc.)
* Ability to leverage AI tools to reduce manual work, optimize processes and improve work product
**Location:**
 This is a hybrid role requiring the selected candidate to work onsite four (4\) days per week and live within a commutable distance of Nordstrom's corporate offices in downtown Seattle, WA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$103,500\.00 \- $175,000\.00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85">
      <c r="A85" t="inlineStr">
        <is>
          <t>li-4366078216</t>
        </is>
      </c>
      <c r="B85" t="inlineStr">
        <is>
          <t>Product Manager AI</t>
        </is>
      </c>
      <c r="C85" t="inlineStr">
        <is>
          <t>Best NanoTech</t>
        </is>
      </c>
      <c r="D85" t="inlineStr">
        <is>
          <t>linkedin</t>
        </is>
      </c>
      <c r="E85">
        <f>HYPERLINK("https://www.linkedin.com/jobs/view/4366078216", "https://www.linkedin.com/jobs/view/4366078216")</f>
        <v/>
      </c>
      <c r="F85" t="inlineStr"/>
      <c r="G85" t="inlineStr">
        <is>
          <t>Manhattan, NY</t>
        </is>
      </c>
      <c r="H85" t="inlineStr"/>
      <c r="I85" t="inlineStr">
        <is>
          <t>**Title: Product Manager AI**
**Location: Iselin, NJ or Manhattan, NY (Onsite, Local Only)**
**Duration: 6\+ Months**
**Rate: $65/hr on W2**
**Video Interview**
**Role Overview**
* Manage roadmaps across all Platform pillars
* Insurance background mandatory
* Strong stakeholder management skills
* Ensure smooth communication across the business
* Active listener</t>
        </is>
      </c>
    </row>
    <row r="86">
      <c r="A86" t="inlineStr">
        <is>
          <t>li-4356241927</t>
        </is>
      </c>
      <c r="B86" t="inlineStr">
        <is>
          <t>Associate Product Owner</t>
        </is>
      </c>
      <c r="C86" t="inlineStr">
        <is>
          <t>IntePros</t>
        </is>
      </c>
      <c r="D86" t="inlineStr">
        <is>
          <t>linkedin</t>
        </is>
      </c>
      <c r="E86">
        <f>HYPERLINK("https://www.linkedin.com/jobs/view/4356241927", "https://www.linkedin.com/jobs/view/4356241927")</f>
        <v/>
      </c>
      <c r="F86" t="inlineStr"/>
      <c r="G86" t="inlineStr">
        <is>
          <t>New York, NY</t>
        </is>
      </c>
      <c r="H86" t="inlineStr"/>
      <c r="I86" t="inlineStr">
        <is>
          <t>**About The Role**
 We’re seeking an
 **Associate Product Owner** 
 to support our Product Owner in executing the product vision and roadmap. This role blends product ownership with strong
 **business analysis** 
 responsibilities, making it ideal for someone who enjoys translating business needs into clear, actionable requirements for delivery teams.
 You’ll work closely with product, engineering, UX, and business stakeholders to ensure priorities are well\-defined, documented, and delivered in an Agile environment.
**What You’ll Do**
* Partner with the Product Owner to execute the product vision, roadmap, and priorities.
* Support backlog grooming, sprint planning, and stakeholder alignment.
* Translate business needs into detailed user stories, requirements, and process documentation.
* Lead working sessions with business and technical teams to refine scope and solutions.
* Serve as a key liaison between Product, Development, UX, and business partners.
* Create and manage JIRA epics, stories, tasks, and dashboards to ensure transparency.
* Ensure story quality, acceptance criteria, and documentation meet internal standards.
* Maintain product and delivery documentation in Confluence (requirements, guides, sprint notes).
**Required Skills \&amp; Experience**
* 1–3 years of experience as a Business Analyst, Junior Product Owner, or similar role.
* Strong understanding of Agile methodologies (Scrum or Kanban).
* Proven experience writing user stories, business requirements, and process documentation.
* Ability to lead working sessions and communicate effectively with technical and business teams.
* Strong analytical, problem\-solving, and attention\-to\-detail skills.
* Hands\-on experience with JIRA and Confluence.
**Soft Skills**
* Highly organized with the ability to manage multiple priorities.
* Proactive, resourceful, and comfortable working independently with direction.
* Strong verbal and written communication skills.
* Collaborative, team\-oriented, and eager to learn and grow.
**Preferred Qualifications**
* Prior product experience preferred.
* Financial services industry experience is a plus.
* Bachelor’s degree in Business, Management, or a related field (or equivalent experience).</t>
        </is>
      </c>
    </row>
    <row r="87">
      <c r="A87" t="inlineStr">
        <is>
          <t>li-4329652433</t>
        </is>
      </c>
      <c r="B87" t="inlineStr">
        <is>
          <t>Product Manager</t>
        </is>
      </c>
      <c r="C87" t="inlineStr">
        <is>
          <t>Teak</t>
        </is>
      </c>
      <c r="D87" t="inlineStr">
        <is>
          <t>linkedin</t>
        </is>
      </c>
      <c r="E87">
        <f>HYPERLINK("https://www.linkedin.com/jobs/view/4329652433", "https://www.linkedin.com/jobs/view/4329652433")</f>
        <v/>
      </c>
      <c r="F87" t="inlineStr"/>
      <c r="G87" t="inlineStr"/>
      <c r="H87" t="inlineStr"/>
      <c r="I87" t="inlineStr">
        <is>
          <t>Teak is building better experiences for people attending live events, participating in sports, and booking travel. Our easy\-to\-embed, full\-service solutions let companies offer consumers flexibility and refundability right at the point of purchase. We have served over 12 million consumers and made over $1B worth of experiences refundable. Our business is growing quickly and is profitable. We’re a fully remote, fast\-moving, high\-impact team that thrives on solving complex problems. Every role here is mission\-critical, and every person has the opportunity to shape our company's future.
**Role Overview** 
 We seek an experienced Product Manager with a strong background in eCommerce, SaaS platforms, payment solutions, and highly regulated environments. The ideal candidate will possess robust quantitative skills and the ability to manage the end\-to\-end product lifecycle for complex financial products delivered on the industry's best SaaS platform. You will work closely with engineering, design, sales, customer success, and customer experience teams to analyze feature requests, address bug fixes, and drive new programs. This role involves translating these needs into precise, actionable product specifications that enhance client and consumer satisfaction and business outcomes. Driving strong collaboration across engineering, business development, and marketing teams, focusing on building and launching products that solve real customer needs, is critical in this role.
**Key Responsibilities** 
* Lead the end\-to\-end product lifecycle, from ideation through development, launch, and post\-launch optimizations.
* Collaborate closely with cross\-functional teams, including engineering, sales, marketing, and customer success, to ensure product alignment with business objectives.
* Define and prioritize features based on customer value, business objectives, and ensure regulatory compliance.
* Write clear and detailed product requirements documents (PRDs), user stories, and acceptance criteria for complex financial products.
* Work closely with development teams using Agile methodologies, leading sprints, managing backlogs, and facilitating continuous improvement.
* Gather and analyze market data, customer insights, and key performance indicators (KPIs) to drive data\-informed decisions.
* Ensure the seamless integration of e\-commerce and payment solutions within our product offerings.
* Translate requests into detailed product specifications, user stories, and acceptance criteria for the development team.
* Work closely with the QA team to develop comprehensive test plans and ensure rigorous testing of all features before release.
* Participate in user acceptance testing (UAT) to validate that features meet business and user requirements.
**Qualifications** 
* 4\-6 years of product management experience, ideally in SaaS, eCommerce, insurtech, or financial services.
* Bachelor’s Degree in Computer Science, Engineering, related field, or equivalent work experience.
* Experience working with APIs, embedded commerce solutions, or B2B2C models.
* Strong experience working with eCommerce platforms, payment solutions, and highly regulated industries.
* Proven ability to manage complex financial products with a deep understanding of compliance and regulatory considerations.
* Excellent quantitative, problem\-solving, and critical\-thinking skills, with the ability to analyze data, understand financial metrics, and make data\-driven decisions.
* Proficient in Agile methodologies (Scrum, Kanban), with hands\-on experience managing sprints, backlogs, and product roadmaps.
* Proficiency with Jira, Confluence, and other project management tools.
* Excellent communication and documentation skills, with experience drafting PRDs, user stories, and product presentations.
* Experience collaborating with cross\-functional teams, including engineering, legal, compliance, and sales.
* Strong attention to detail with the ability to manage multiple projects simultaneously.
* This is a remote position. Travel to Teak Hubs in Phoenix, San Francisco, Denver, Los Angeles, Austin, or Chicago may be required.
**Bonus Qualifications** 
* Familiarity with payment gateways, fraud prevention, and other fintech tools.
* Knowledge of the insurance or insurtech industry.
**Why Join Teak?** 
* Fully remote working environment
* Competitive salary and equity opportunities
* Unlimited paid time off
* Generous medical, dental, and vision benefits
* Reliable annual bonus program
* Exceptional 401k Match
* $100/month for Event Ticket Purchase</t>
        </is>
      </c>
    </row>
    <row r="88">
      <c r="A88" t="inlineStr">
        <is>
          <t>li-4366375961</t>
        </is>
      </c>
      <c r="B88" t="inlineStr">
        <is>
          <t>Senior Product Manager, AI</t>
        </is>
      </c>
      <c r="C88" t="inlineStr">
        <is>
          <t>GlossGenius</t>
        </is>
      </c>
      <c r="D88" t="inlineStr">
        <is>
          <t>linkedin</t>
        </is>
      </c>
      <c r="E88">
        <f>HYPERLINK("https://www.linkedin.com/jobs/view/4366375961", "https://www.linkedin.com/jobs/view/4366375961")</f>
        <v/>
      </c>
      <c r="F88" t="inlineStr"/>
      <c r="G88" t="inlineStr">
        <is>
          <t>New York, NY</t>
        </is>
      </c>
      <c r="H88" t="inlineStr"/>
      <c r="I88"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business operations. Joining its powerful, intuitive platform with its vibrant, distinguished brand, GlossGenius is the ideal combination of a fintech, SMB software, and consumer company all in one.
**About the Role** 
 GlossGenius has been empowering independent entrepreneurs in the beauty, health and wellness space to follow their dreams and successfully grow their businesses. As an AI\-first company, we're redefining what's possible for small to large business owners by solving complex problems through innovative technology that puts intelligence at the center of everything we build.
 As we continue to scale, we're looking for a Senior Product Manager to build AI\-first products that help our businesses grow. In this role, you will solve problems in innovative ways. You'll think creatively about leveraging AI and emerging technologies to build intelligent systems that scale effortlessly, transforming foundational experiences into competitive advantages.
 You will define product priorities and collaborate closely with design, engineering, and cross\-functional teams to build innovative solutions that maximize value for our users. And you will challenge ways of working, leveraging AI and other tools to build smarter and faster. You will report to our Head of Core Product and you must be commutable to our NYC headquarters.
 We default to being in\-office 3\-4 days per week with required attendance on Tuesdays and Thursdays.
**What You’ll Do** 
* Drive end\-to\-end product execution, from zero to one, scaling new ideas from concept to launch with urgency and precision.
* Think strategically about how to leverage AI and emerging technologies to build smarter, more intuitive core experiences that reduce friction and unlock new possibilities for our users.
* Own and shape the roadmap, making bold bets based on market insights, customer needs, and business impact.
* Move fast and build. Rapidly test, iterate, and ship high\-quality features that drive real outcomes for users and the business.
* Deeply understand the market, competition, and customer pain points, ensuring GlossGenius stays ahead with innovative, best\-in\-class experiences.
* Align and energize cross\-functional teams, including Design, Research, Engineering, Marketing, and Analytics, to execute at a high velocity.
* Set ambitious goals, analyze results, and pivot quickly to optimize for impact.
* Own the narrative. Clearly communicate strategy, priorities, and learnings across the company, influencing at all levels from execs to frontline teams.
**What We’re Looking For** 
* 5\+ years of experience in product management; ideally in a multi\-user SaaS and start\-up environment; experience building collaborative products is a plus
* ​​Experience building or shipping AI or ML\-powered features.
* AI\-forward profile – actively explores how to leverage AI and emerging technologies to transform core product experiences; stays informed on industry trends and champions experimentation with new tools
* Demonstrated experience in leading the development of products and features from inception to launch
* Technical and design fluency; comfort discussing concepts with engineering and design counterparts
* Strong product instincts; the ability to deeply understand user problems and business opportunities and define a vision on how to solve them
* Passion for empowering small business owners to be successful; possess a high level of empathy our customers and a strong desire to deeply understand their needs
* A great communicator who has the ability to influence and build alignment both within a product team and with stakeholders across the company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New York is between $180,000 \- $215,000 \+ target equity \+ benefits. The base salary offered is dependent upon many factors including skills, experience, location, and education. The base pay range is subject to change and may be modified in the future.*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89">
      <c r="A89" t="inlineStr">
        <is>
          <t>li-4366066448</t>
        </is>
      </c>
      <c r="B89" t="inlineStr">
        <is>
          <t>Product Manager</t>
        </is>
      </c>
      <c r="C89" t="inlineStr">
        <is>
          <t>Avenue Code</t>
        </is>
      </c>
      <c r="D89" t="inlineStr">
        <is>
          <t>linkedin</t>
        </is>
      </c>
      <c r="E89">
        <f>HYPERLINK("https://www.linkedin.com/jobs/view/4366066448", "https://www.linkedin.com/jobs/view/4366066448")</f>
        <v/>
      </c>
      <c r="F89" t="inlineStr"/>
      <c r="G89" t="inlineStr"/>
      <c r="H89" t="inlineStr"/>
      <c r="I89" t="inlineStr">
        <is>
          <t>**About The Opportunity**
 About the Role
 We are looking for a Product Manager with around 5 years of experience to help drive the execution of key technology initiatives across our family of brands.
 You’ll work closely with engineering, design, and business stakeholders to define clear product requirements, manage roadmaps, and ensure successful delivery of digital products and services. This is a hands\-on role ideal for someone who thrives in fast\-paced environments and is confident managing multiple workstreams.
**Responsibilities**
* Translate business goals and stakeholder inputs into structured product roadmaps and detailed requirements
* Write and maintain clear, actionable user stories, acceptance criteria, and technical documentation
* Collaborate daily with engineering teams to prioritize work, remove blockers, and ensure alignment
* Use Jira and Confluence to manage backlogs, sprints, and project documentation
* Support cross\-functional teams with product updates, status reports, and internal communications
* Facilitate sprint planning, retrospectives, and backlog grooming sessions
* Monitor product performance and user feedback to identify opportunities for improvement
* Help ensure timely delivery of high\-quality product increments
**Required Qualifications**
* Around 3\-5 years of experience as a Product Manager in technology or software development environments
* Having worked on AR/VR experience / WebGL based experiences
* Proven ability to work closely with engineering teams to define and deliver product features
* Strong experience with Agile methodologies, backlog management, and product documentation
* Comfortable using tools like Jira and Confluence to manage product work
* Strong written and verbal communication skills
* Detail\-oriented, organized, and able to manage multiple priorities independently
* Ability to synthesize input from multiple sources and turn it into clear, prioritized roadmaps
**Nice To Have Skills**
* Experience in retail, e\-commerce, or consumer digital products
* Familiarity with basic product analytics tools
* Exposure to UX/design collaboration tools like Figma or Miro
 Why Join Us?
 Join a digital\-first, design\-led company where product managers play a key role in building tools and experiences that reach millions of customers. You’ll be part of a collaborative, supportive team where your voice and ownership matter.
*Avenue Code discloses salary range information based on our commitment to fairness and transparency. We consider a wide range of factors such as internal equity, geographic location, relevant education, qualifications, certifications, experience, skills, seniority, business or organizational needs, and others. At Avenue Code, it is not typical for an individual to be hired at or near the top of the range for their role, and compensation decisions are dependent on the facts and circumstances of each case. A reasonable estimate of the current range for a Mid PM is from $100k to $110k yearly.*
*Avenue Code reinforces its commitment to privacy and to all the principles guaranteed by the most accurate global data protection laws, such as GDPR, LGPD, CCPA and CPRA. The Candidate data shared with Avenue Code will be kept confidential and will not be transmitted to disinterested third parties, nor will it be used for purposes other than the application for open positions. As a Consultancy company, Avenue Code may share your information with its clients and other Companies from the CompassUol Group to which Avenue Code’s consultants are allocated to perform its services.*</t>
        </is>
      </c>
    </row>
    <row r="90">
      <c r="A90" t="inlineStr">
        <is>
          <t>li-4355956948</t>
        </is>
      </c>
      <c r="B90" t="inlineStr">
        <is>
          <t>Senior Product Manager - Temporary</t>
        </is>
      </c>
      <c r="C90" t="inlineStr">
        <is>
          <t>Achieve</t>
        </is>
      </c>
      <c r="D90" t="inlineStr">
        <is>
          <t>linkedin</t>
        </is>
      </c>
      <c r="E90">
        <f>HYPERLINK("https://www.linkedin.com/jobs/view/4355956948", "https://www.linkedin.com/jobs/view/4355956948")</f>
        <v/>
      </c>
      <c r="F90" t="inlineStr"/>
      <c r="G90" t="inlineStr">
        <is>
          <t>Tempe, AZ</t>
        </is>
      </c>
      <c r="H90" t="inlineStr"/>
      <c r="I90"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Our business offers multiple lending products and we are in the midst of transforming our lending business driving best in class consumer and agent experiences. As a
 **Senior Product Manager \- Temporary** 
 , you will have a unique opportunity to define, shape, and deliver on strategic initiatives that form the technical backbone of our lending platform. Your initial focus will be on the critical data integrations with our partner banks, ensuring the seamless and accurate flow of information required to underwrite, originate, and fund loans.
 You will collaborate tightly with a team of researchers, designers and engineers to scale our consumer experience through new feature development and rapid experimentation. This role is highly visible and reports results regularly to senior and executive leadership.
 We’re looking for a driven, self\-starting product manager to work alongside the existing team to drive and execute on strategic priorities. You’ll have responsibility to drive growth for our business in loan origination volume, pull through, conversion, etc.
 This is a 6 month temporary assignment with the potential to convert to full time.
* Platform Integration \&amp; Delivery: Own the product strategy and development for all third\-party bank partner integrations. This entails understanding the entire lifecycle of loan application and enrollment, defining API requirements and data mapping, and managing ongoing performance and enhancements. You will be the central point of contact for ensuring data integrity, system reliability, and scalability between our ecosystem and our partners.
* Execution: Assume accountability for carrying out intricate initiatives from their inception to continually refining established features and user experiences. Collaborate with the cross functional team to deliver great products.
* Partnerships: Cultivate dependable internal and external relationships, particularly with Achieve Engineering and the technical and product teams at our partner banks. You will be responsible for creating and maintaining clear, detailed documentation, managing communication, and aligning roadmaps to ensure successful and efficient collaboration
* Roadmap Development: Independently propel and conceptualize new additions to the roadmap, demonstrating ingenuity and innovation while garnering a high level of confidence from the management team.
**Qualifications**
**What you’ll bring**
* Experience with lending and origination is highly desirable
* 6\-8 years of experience in Product Management, with a significant focus on managing complex system integrations, API\-based products, and data\-heavy platforms
* Experience creating clear API documentation, defining intuitive data schema, and building products that are reliable and easy to integrate
* Ability to translate complex technical requirements and constraints into clear, concise documentation for both technical and business audiences
* Ownership of success metrics, from definition to implementation and monitoring, primarily to ensure data fidelity between systems
* Proven ability to lead teams and work cross\-functionally in a highly collaborative environment
* Exceptional written and verbal communication skills, with a structured and rigorous thought process
* Ability to build iteratively \&amp; ship quickly with great personal organization and a long history of effectively managing multiple priorities \&amp; personal organization
* Solid understanding of key metrics and how digital customer acquisition works across within the loan origination process
* College degree, preferably in business or technology field of study
**Additional Information**
 All your information will be kept confidential according to EEO guidelines.
**Achieve well\-being with:**
* 401 (k) with employer match
* Medical, dental, and vision with HSA and FSA options
* Competitive vacation and sick time off, as well as dedicated volunteer days
* Access to wellness support through Employee Assistance Program, physical and mental health wellness programs
* Pet care discounts for your furry family members
* Financial support in times of hardship with our Achieve Care Fund
* A safe place to connect and a commitment to diversity and inclusion through our six employee resource groups
 We are proudly offering hybrid options in the San Mateo, CA and Phoenix, AZ metro market. In other locations throughout the country, we offer work from home.
 Salary Range: $75\.00 to $90\.00 per hour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91">
      <c r="A91" t="inlineStr">
        <is>
          <t>li-4356250591</t>
        </is>
      </c>
      <c r="B91" t="inlineStr">
        <is>
          <t>Group Product Manager, ClassPass Consumer</t>
        </is>
      </c>
      <c r="C91" t="inlineStr">
        <is>
          <t>Playlist</t>
        </is>
      </c>
      <c r="D91" t="inlineStr">
        <is>
          <t>linkedin</t>
        </is>
      </c>
      <c r="E91">
        <f>HYPERLINK("https://www.linkedin.com/jobs/view/4356250591", "https://www.linkedin.com/jobs/view/4356250591")</f>
        <v/>
      </c>
      <c r="F91" t="inlineStr"/>
      <c r="G91" t="inlineStr"/>
      <c r="H91" t="inlineStr"/>
      <c r="I91" t="inlineStr">
        <is>
          <t>About the Company:
 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**About the right team member**
 We’re looking for an experienced Group Product Manager to lead consumer growth and engagement strategy at ClassPass. You’ll oversee the vision and execution, lead a team of PMs and partner closely with cross\-functional stakeholders.
**This role is a good fit if you…**
* Have built and scaled consumer products during a hyper\-growth stage
* Can define a product vision that inspires and drives clarity for a team
* Are execution\-focused and know how to unblock teams while balancing speed and quality
* Act as a true product owner with a high bar for craft and detail
* Bring strong business acumen to decision making, weighing business impact and making tough trade\-offs
* Have a track record for incorporating experimentation into your build process; know how to construct an effective test and analyze the results
* Generate insights from both qualitative and quantitative data
* Are comfortable operating in ambiguity and shaping direction as you go
* Stay close to new and evolving technologies and apply them thoughtfully
* Enjoy owning a roadmap and collaborating deeply with engineering and business partners
* Value collaboration, iteration, and feedback as part of building great products
* Prefer shipping early and often, keeping solutions simple and avoiding unnecessary complexity
**Key Responsibilities**
* Lead Product Strategy \&amp; Roadmap
+ Define and communicate a clear product vision aligned with company goals and customer needs.
+ Drive roadmap prioritization using value\-vs\-effort frameworks to maximize impact and time to market.
+ Balance near\-term delivery with long\-term strategic investments.
* Execution \&amp; Delivery Excellence
+ Oversee the product lifecycle, from ideation through launch and post\-release optimization.
+ Collaborate closely with engineering to ensure feasibility, quality, and timely delivery.
+ Use tools such as Notion, Confluence, Jira, and other internal platforms to drive transparency, collaboration, and documentation across teams.
* Champion User\-Centric Product Development
+ Leverage customer insights, data, and market trends to guide product direction.
+ Foster a deep understanding of the needs on both sides of a consumer and wellness business marketplace.
+ Partner with UX and research to ensure products are intuitive, efficient, and easy to use.
* Leadership \&amp; Team Development
+ Lead, mentor, and inspire a team of product managers, ensuring they deliver measurable impact.
+ Promote a data\-driven, outcome\-oriented product culture.
+ Ensure the team follows best practices in product management and documentation, driving consistency and clarity across initiatives.
+ Encourage cross\-functional alignment between product, engineering, design, payments, marketing, and customer success.
* Stakeholder Engagement
+ Communicate product vision, roadmap, and progress to executive leadership and key customers.
+ Build strong relationships with partner businesses, gathering feedback to guide roadmap decisions.
+ Collaborate with sales and marketing to ensure successful product positioning and launches.
**Skills \&amp; experience**
* 7\+ years of product management experience, including 3\+ years leading and managing PMs.
* A strong track record building high quality consumer products.
* Deep experience with consumer mobile apps and consumer growth and engagement funnel optimization
* Strong analytical skills, with the ability to define, query, and interpret data independently.
* Excellent communication and collaboration skills, with experience partnering across functions and with data science.
* Sharp product intuition grounded in user feedback and data.
* Experience working in agile, full\-stack product teams from discovery through delivery.
* Comfort using modern product tools like Notion, Confluence, Jira, Figma, and Miro.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$175,000 to 210,000\. The total compensation package for this position may also include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Playlist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Mindbody,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92">
      <c r="A92" t="inlineStr">
        <is>
          <t>li-4366621019</t>
        </is>
      </c>
      <c r="B92" t="inlineStr">
        <is>
          <t>Product Manager</t>
        </is>
      </c>
      <c r="C92" t="inlineStr">
        <is>
          <t>Cardless</t>
        </is>
      </c>
      <c r="D92" t="inlineStr">
        <is>
          <t>linkedin</t>
        </is>
      </c>
      <c r="E92">
        <f>HYPERLINK("https://www.linkedin.com/jobs/view/4366621019", "https://www.linkedin.com/jobs/view/4366621019")</f>
        <v/>
      </c>
      <c r="F92">
        <f>HYPERLINK("https://www.adzuna.com/details/5501276320?v=6E7310D271D7BC0386664E784DE01799287A4A4F&amp;r=21147019&amp;ccd=734584d08f78aec87fb0d61e68376433&amp;frd=7a61a0c157aa4a01967eaae5d7b61b57&amp;utm_source=linkedin7&amp;utm_medium=organic&amp;chnlid=1931&amp;title=Product%20Manager&amp;a=e&amp;urlHash=nosG", "https://www.adzuna.com/details/5501276320?v=6E7310D271D7BC0386664E784DE01799287A4A4F&amp;r=21147019&amp;ccd=734584d08f78aec87fb0d61e68376433&amp;frd=7a61a0c157aa4a01967eaae5d7b61b57&amp;utm_source=linkedin7&amp;utm_medium=organic&amp;chnlid=1931&amp;title=Product%20Manager&amp;a=e&amp;urlHash=nosG")</f>
        <v/>
      </c>
      <c r="G92" t="inlineStr">
        <is>
          <t>San Francisco, CA</t>
        </is>
      </c>
      <c r="H92" t="inlineStr"/>
      <c r="I92" t="inlineStr">
        <is>
          <t>At Cardless, we’re building a credit card and loyalty platform that consumer businesses use to engage their customers. We’ve launched 14 credit cards, including for Alibaba and Qatar Airways. We help businesses bring imaginative card programs to life, and have pioneered technology to embed credit card features natively into their products.
 We value curiosity, humility, and intensity — we move fast and take ownership. This is a place where a motivated, resourceful individual can have an enormous impact on our trajectory. We're headquartered in San Francisco, and have raised about $90M in equity funding from top venture capital firms and angels.
 As a
 **founding Product Manager** 
 , you will help us further our mission to make credit better, by powering the next generation of credit cards. This means building a delightful experience for consumers, and powerful engagement and marketing tools for brands (all on a solid financial product foundation). You’ll get to work across different problem areas and across disciplines as you advocate for our
**What You’ll Do**
* Take a nascent, simple\-sounding project, flesh it out, and push it through the exhilarating/excruciating process of development and launch.
* Move from uninformed simplicity, to informed complexity, and ultimately to informed simplicity. Rinse and repeat.
* Own 2–3 complex projects at a time, each at different stages. Your success will hinge on delivering quickly and at high quality.
* Celebrate the little wins too \- we get customer feedback every day and deploy multiple times a week.
* Support our roadmap, sprint planning, and long\-term vision.
**Requirements**
* Preferred experience. You have 4\+ years of product management experience and a track record of building amazing fintech products. You know what great looks like, and you love the process. Ideally you have spent time at a B2B or platform company, and understand what it means to build a platform (not custom software).
* Attention to detail. You care about making really great things – and can think through problems at a deep level. You know the magic is in the details – but you also know when to be scrappy and move fast.
* Effective in high\-stakes rooms. You're comfortable in conversation with a wide array of stakeholders, even when the stakes are high. You value good preparation and a positive attitude. Ideally, you have experience working with large institutional customers / stakeholders.
* Interdisciplinary curiosity. You can get "nerdy" about a wide range of topics (in fintech and beyond). You're intellectually confident and humble: You admit when you don't know something. You listen, and ask great questions..
**Compensation And Benefits**
 This role has an annual starting salary range of $175,000\-$250,000 \+ equity \+ benefits (see above). Actual compensation is influenced by a wide array of factors including but not limited to skills, experience, and specific work location.
**Benefits**
 We're headquartered in San Francisco, CA, with a beautiful office in the Mission District. We're proud to offer our team excellent benefits:
 Meaningful Start\-up equity
 100% health, vision \&amp; dental primary coverage
 ➕ 75% health, vision \&amp; dental dependent coverage
 Catered lunches
 $250/month Commuter benefit
 Parental leave
 ✈️ Team building events \&amp; happy hours
 Flexible PTO with a minimum of 15 days off per year
 ️ Apple equipment
 401k plan
**Location**
 We're headquartered in San Francisco, CA, with a beautiful office in the Mission District (near Dolores Park). We welcome employees who want to work from this office; we offer additional benefits to those who do, and relocation assistance to those who'd like to.
 We regularly bring our team together for offsites \&amp; trips, about every 2 months, both for fun and for work. We cover all travel \&amp; lodging in these cases.</t>
        </is>
      </c>
    </row>
    <row r="93">
      <c r="A93" t="inlineStr">
        <is>
          <t>li-4356251065</t>
        </is>
      </c>
      <c r="B93" t="inlineStr">
        <is>
          <t>Senior Product Manager</t>
        </is>
      </c>
      <c r="C93" t="inlineStr">
        <is>
          <t>G2 Risk Solutions</t>
        </is>
      </c>
      <c r="D93" t="inlineStr">
        <is>
          <t>linkedin</t>
        </is>
      </c>
      <c r="E93">
        <f>HYPERLINK("https://www.linkedin.com/jobs/view/4356251065", "https://www.linkedin.com/jobs/view/4356251065")</f>
        <v/>
      </c>
      <c r="F93" t="inlineStr"/>
      <c r="G93" t="inlineStr">
        <is>
          <t>Burlingame, CA</t>
        </is>
      </c>
      <c r="H93" t="inlineStr"/>
      <c r="I93" t="inlineStr">
        <is>
          <t>**Company Description**
 G2 Risk Solutions has a large, valued, and diverse global client base and is the established leader in e‐commerce merchant risk and compliance intelligence and services. Headquartered in Burlingame, California, USA, G2 Risk Solutions helps acquirers, ISOs, PSPs, e\-com marketplaces, ad platforms, and other members of the payments value chain take on the appropriate level of risk in their merchant portfolios, while protecting against brand damage, illegal activity, and noncompliance assessments.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**Job Description**
 The Senior Product Manager for G2 Risk Solutions (G2RS) Bankruptcy Risk Solutions (BRS) will lead the execution of G2RS’ BRS strategy and roadmap of the product portfolio across the Americas. This role is responsible for defining product vision, prioritizing customer and market needs, and delivering innovative solutions that drive adoption, performance, and growth.
 As a key product leader, you will collaborate closely with Engineering, Data Science, Sales, and Operations to translate business requirements into actionable features and experiences. You’ll partner with clients and internal stakeholders to gather insights, validate solutions, and ensure the BRS products remain best in market for bankruptcy prediction, monitoring, and risk management.
 This role requires a proactive, strategic thinker who is comfortable owning a complex product suite end‑to‑end. You will apply strong analytical skills to evaluate performance, assess market trends, and inform prioritization. You’ll also manage product development workflows, write clear user stories, and keep initiatives aligned across cross‑functional teams.
**Key Responsibilities**
* Own the execution of product strategy and roadmap for Bankruptcy Risk Solutions, ensuring alignment with company goals, market needs, and customer feedback.
* Apply AI\-first thinking both in product development and daily workflows, incorporating responsible AI capabilities into the BRS roadmap while using AI tools to accelerate research, requirements development, customer insights synthesis, and execution.
* Define and prioritize features, writing clear requirements, user stories, and acceptance criteria for Engineering and Data Science partners.
* Conduct market, competitive, and customer research to identify opportunities, validate product direction, and drive continuous innovation within the BRS portfolio.
* Partner closely with Sales, Client Delivery, and Operations to gather insights, support go‑to‑market efforts and ensure product readiness for launch.
* Collaborate cross‑functionally to guide development, ensure delivery milestones are met, and remove roadblocks throughout the product lifecycle.
* Monitor product performance, using analytical methods to evaluate KPIs, customer outcomes, and risk model effectiveness.
* Leverage Jira to manage product backlogs, track development progress, and maintain clear communication with internal teams.
* Engage directly with key customers to understand use cases, gather feedback, validate hypotheses, and ensure product\-market fit.
* Champion a data‑driven approach to prioritization, experimentation, and product decisions.
* Support commercialization by partnering with marketing and sales to create product messaging, collateral, training, and onboarding materials.
 Qualifications
* 5\+ years of product management experience, ideally within risk, data, financial services, or enterprise SaaS.
* Demonstrated success managing complex data‑driven or analytical products, from concept through launch and iteration.
* Strong understanding of bankruptcy risk, credit risk, fraud, or related financial risk domains (preferred).
* Demonstrated ability to leverage AI tools in day\-to\-day product work (e.g., Copilot, generative AI assistants) and experience collaborating with Data Science to translate business problems into practical, ethical AI‑enabled product solutions.
* Proven ability to translate customer needs and business objectives into clear product requirements and actionable development plans.
* Excellent collaboration skills and experience working with Engineering, Data Science, Operations, and GTM teams.
* Strong analytical skills for modeling, KPI analysis, and trend evaluation.
* Exceptional communication skills, with the ability to present complex concepts to both technical and non‑technical audiences.
* Comfortable engaging with customers and external stakeholders to gather insights, validate assumptions, and build strong relationships.
* Bachelor’s degree in business, analytics, computer science, or related field (MBA or advanced degree a plus).
 Additional Information
 This position is a fantastic opportunity to work for a fast\-growing company. We offer a comprehensive benefits package including medical, dental, vision, LTD, Paid Time Off 401(k) and potential for annual bonus.
 Compensation: base salary up to $160,000 USD
**Why Join Us?**
 Be part of a team shaping the future of merchant lifecycle risk management. You’ll work with cutting edge solutions, EverC’s AI driven marketplace monitoring and G2RS’s merchant risk suite helping clients reduce fraud, enforce compliance, and scale safely in the digital commerce ecosystem.
 G2 Risk Solutions is an equal employment opportunity employer and strives to comply with all laws prohibiting discrimination based upon, as applicable, actual or perceived race, color, creed, religion (including religious dress, grooming practices and protective hairstyles), sex, sexual orientation, gender identity or gender expression, pregnancy, marital/domestic partner status, national origin, alienage or citizenship status, primary language, immigration status, military and veteran status (including whether honorably discharged or not), intern or volunteer status, status as a victim of domestic violence, sexual assault, or stalking, ancestry, age, physical or mental disability, AIDS, HIV and Hepatitis C status, medical condition, including cancer and genetic predisposition information or characteristics (or those of a family member), or any other category protected by federal, state or local laws.</t>
        </is>
      </c>
    </row>
    <row r="94">
      <c r="A94" t="inlineStr">
        <is>
          <t>li-4356005787</t>
        </is>
      </c>
      <c r="B94" t="inlineStr">
        <is>
          <t>Product Owner</t>
        </is>
      </c>
      <c r="C94" t="inlineStr">
        <is>
          <t>Norwegian Cruise Line Holdings Ltd.</t>
        </is>
      </c>
      <c r="D94" t="inlineStr">
        <is>
          <t>linkedin</t>
        </is>
      </c>
      <c r="E94">
        <f>HYPERLINK("https://www.linkedin.com/jobs/view/4356005787", "https://www.linkedin.com/jobs/view/4356005787")</f>
        <v/>
      </c>
      <c r="F94" t="inlineStr"/>
      <c r="G94" t="inlineStr">
        <is>
          <t>Miami, FL</t>
        </is>
      </c>
      <c r="H94" t="inlineStr"/>
      <c r="I94" t="inlineStr">
        <is>
          <t>**BASIC PURPOSE:** 
 Responsible for turning the reservation system strategy roadmap into specific scope / features and for organizing those items into a backlog for their team. Analyze available data, experiment as required, and determine which capabilities are most likely to achieve the business objectives defined in the product strategy. Work in heavy collaboration with stakeholders and with an understanding of our business model.
**POSITION RESPONSIBILITIES:** 
* Serve as the Owner and primary author to document improvement themes in confluence, epics in Jira, and stories / tasks in Jira with complete description, business rules and acceptance criteria to make sure objectives and vision are clear.
* Collaborate with the cross\-functional delivery team during team ceremonies and represent the product management viewpoint.
* Lead design thinking sessions with the delivery team and relevant stakeholders to clarify problem statements and objectives, identify potential solutions, and paths for investigation / experimentation / execution.
* Emphasize "fast feedback" within the team by being available to answer questions.
* Work closely with stakeholders to understand business needs and how users interact with reservation system product to incorporate into the product backlog.
* Utilize data and experimental evidence to generate and prioritize high\-value backlog items using a value vs effort analysis.
* Collaborate with portfolio and business relationship management teams to size and prioritize requests for new deliverables.
* Collaborate with architect owner and delivery coach to ensure that all team members are aware of the team's approach, progress, upcoming activities, and potential blockers.
* Facilitate demos to senior stakeholders as needed to serve as an "information radiator".
* Lead the execution of UAT testing by facilitating end\-to\-end testing as required.
* Perform other job\-related functions as assigned.
**KNOWLEDGE AND EXPERIENCE:** 
**EDUCATION:** 
 Bachelor's Degree in Business Management, Computer Science, Industrial Engineering, or other related field of study; or any combination of relevant work experience and education.
**EXPERIENCE:** 
 Minimum 3 years' of experience in the product management space in the role of Agile Product Owner, Experience with cruise, and travel industry a plus
**KNOWLEDGE \&amp; SKILLS:** 
 Excellent written and oral communication skills. Knowledge of modern product delivery practices (agile, lean, etc.) where product design and delivery are parallel activities. Knowledge of value canvasing and business case development. Ability to form essential links/partnerships between product owners and the team. Ability to adapt to a dynamic environment. Able to prioritize and execute tasks in a high\-pressure, fast\-paced environment. Keen attention to detail. Strong initiative, priority setting, and collaboration skills. Knowledge of product discovery approaches and conducting end\-user research. Knowledge of Microsoft Office Products, Jira, Confluence, and SQL querying a plus. Ability to effectively persuade, influence and motivate in order to achieve objectives. Knowledge of design thinking and ability to facilitate design thinking workshops. Knowledge of hypothesis driven development and product experimentations</t>
        </is>
      </c>
    </row>
    <row r="95">
      <c r="A95" t="inlineStr">
        <is>
          <t>li-4355968201</t>
        </is>
      </c>
      <c r="B95" t="inlineStr">
        <is>
          <t>Product Manager II, Conv AI Platform</t>
        </is>
      </c>
      <c r="C95" t="inlineStr">
        <is>
          <t>Uber</t>
        </is>
      </c>
      <c r="D95" t="inlineStr">
        <is>
          <t>linkedin</t>
        </is>
      </c>
      <c r="E95">
        <f>HYPERLINK("https://www.linkedin.com/jobs/view/4355968201", "https://www.linkedin.com/jobs/view/4355968201")</f>
        <v/>
      </c>
      <c r="F95" t="inlineStr"/>
      <c r="G95" t="inlineStr">
        <is>
          <t>San Francisco, CA</t>
        </is>
      </c>
      <c r="H95" t="inlineStr"/>
      <c r="I95" t="inlineStr">
        <is>
          <t>**About The Role**
 As a Product Manager II on the Customer Obsession (CO) team, you will help define the future of agentic Conversational AI at Uber. This role sits at the heart of how we build, test, and scale intelligent agents, working across AI reasoning, evaluation infrastructure, and platform tools that empower our next\-generation AI assistants to interact, adapt, and learn in complex support environments.
 We're looking for someone with strong product management fundamentals and practical experience building AI /LLM products \- whether that's in agents, platforms, model evaluation, or intelligent tools. You should be excited by the challenge of making AI work in real\-world, high\-scale customer settings and building the infrastructure that enables others to move fast with confidence.
**What The Candidate Will Need / Bonus Points**
 \-\-\-\- What the Candidate Will Do \-\-\-\-
* Product Thinking: Own roadmaps and prioritize work that balances long\-term platform investments with short\-term needs from various product teams \- ensuring alignment with company objectives.
* Customer Focus: Advocate for the end\-user by integrating design thinking and user research, ensuring AI products deliver delightful experiences.
* Execution \&amp; Ownership: Deeply engage with AI engineering teams to align and execute the product strategy for platform capabilities that improve how AI agents are evaluated, understood, and launched\-including testing frameworks, benchmarking infrastructure, and observability tools.
* Data\-Driven Decisions: Utilize data to prioritize features, make informed trade\-offs, and continually enhance product performance.
* Cross\-functional leadership: Work closely with engineering, AI/ML, and data science teams to design scalable systems that improve iteration speed and reliability across conversational AI products.
* Executive Communication: Present clear and compelling progress updates to senior leadership, aligning stakeholders and securing support.
**Basic Qualifications**
* Experience: 3\+ years of product management experience, including 1\+ years working on AI/ML or LLM\-driven tech \- either in platforms, tools, conversational AI, or intelligent applications.
* AI \&amp; Technical Fluency: Strong understanding of large language models, AI agent patterns, and ML workflows. You don't need to train models, but you know how they work, how to test them, and how to build great products on top of them.
* Track Record: Demonstrated ability to ship technical products with cross\-functional teams. You've taken complex systems from concept to launch, especially in ambiguous or fast\-moving environments.
* Communication: Exceptional ability to articulate complex AI concepts and product strategies to various audiences, from engineers to senior executives. Experience in crafting executive\-level presentations that convey product vision, progress, and business impact.
**Preferred Qualifications**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6">
      <c r="A96" t="inlineStr">
        <is>
          <t>li-4366039775</t>
        </is>
      </c>
      <c r="B96" t="inlineStr">
        <is>
          <t>Product Manager</t>
        </is>
      </c>
      <c r="C96" t="inlineStr">
        <is>
          <t>Nooks</t>
        </is>
      </c>
      <c r="D96" t="inlineStr">
        <is>
          <t>linkedin</t>
        </is>
      </c>
      <c r="E96">
        <f>HYPERLINK("https://www.linkedin.com/jobs/view/4366039775", "https://www.linkedin.com/jobs/view/4366039775")</f>
        <v/>
      </c>
      <c r="F96" t="inlineStr"/>
      <c r="G96" t="inlineStr">
        <is>
          <t>San Francisco, CA</t>
        </is>
      </c>
      <c r="H96" t="inlineStr"/>
      <c r="I96"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Toast,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http://Nooks.ai.
**Responsibilities**
* Own a product area end\-to\-end, from defining the vision and strategy to driving execution and adoption.
* Partner with engineering, design, and GTM teams to build AI\-powered experiences that make sales reps more productive.
* Translate customer pain points, market insights, and company goals into clear product requirements and roadmaps.
* Define success metrics and use data to inform decisions, measure outcomes, and iterate quickly.
* Collaborate closely with customers to gather feedback and validate hypotheses throughout the product lifecycle.
* Communicate priorities and progress across teams and ensure alignment with company objectives.
 Who we’re looking for
* Problem Focused: Able to deeply understand the core problems our users face and empathize with their jobs\-to\-be\-done.
* High Ownership: Owns outcomes; breaks through barriers to get things done.
* First principles thinker: Always asking why
* Enjoys collaborating in person: Ability to work in the San Francisco office 3\+ days per week
* Previous experience: Recommended 3\+ years of relevant experience (e.g., product manager, founder, etc.), but willing to consider ≥ 1\+ years of relevant experience for exceptional candidates.
 At Nooks You’ll Enjoy
* Building 0 → 1 and on frontier of the AI Application layer: In this role, you have the ability to build 0 → 1 and work on the frontier of the AI Application layer.
* World\-Class Team: Our product and eng team hail from the very best companies (e.g. DoorDash, Rippling) and universities (e.g. Stanford, MIT, UPenn).
* High Ownership: You’ve high ownership to execute and decide on product initiatives that are most impactful to the company
* Top\-of\-market compensation: We firmly believe that to attract A\+ players, you need to pay top of market.
 Compensation at Nooks for eligible roles includes base salary, equity, and benefits. Base salary is a single component of the total compensation package, which may also include equity in the form of options, comprehensive health, dental, and vision insurance, life and disability insurance, hybrid work, and unlimited paid time off. Note that benefits are subject to change and may vary based on the jurisdiction of employment.
 We offer competitive compensation to attract the best people and reward them for their contributions to our mission. Please reference the job posting’s subtitle for where this position will be located. For pay transparency purposes, the base salary range for this full\-time position in the location listed is: $180K \- $225K annually.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97">
      <c r="A97" t="inlineStr">
        <is>
          <t>li-4366058665</t>
        </is>
      </c>
      <c r="B97" t="inlineStr">
        <is>
          <t>Product Manager</t>
        </is>
      </c>
      <c r="C97" t="inlineStr">
        <is>
          <t>Mayo Clinic</t>
        </is>
      </c>
      <c r="D97" t="inlineStr">
        <is>
          <t>linkedin</t>
        </is>
      </c>
      <c r="E97">
        <f>HYPERLINK("https://www.linkedin.com/jobs/view/4366058665", "https://www.linkedin.com/jobs/view/4366058665")</f>
        <v/>
      </c>
      <c r="F97">
        <f>HYPERLINK("https://jobs.mayoclinic.org/job/rochester/product-manager/33647/91097985360&amp;urlHash=Rrcq", "https://jobs.mayoclinic.org/job/rochester/product-manager/33647/91097985360&amp;urlHash=Rrcq")</f>
        <v/>
      </c>
      <c r="G97" t="inlineStr">
        <is>
          <t>Rochester, MN</t>
        </is>
      </c>
      <c r="H97" t="inlineStr"/>
      <c r="I97" t="inlineStr">
        <is>
          <t>City Rochester
 State MN
 Remote NO
 Department Information Technology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Responsible for driving the vision, technical strategy, and technical requirements to align with business requirements, roadmap, and execution for assigned technical product/capability. Advocates for the end user experience through data and research driven product discovery and development methods. Ensures alignment between Engineering, Data Science, Product, Business and Platform priorities in context of Mayo Clinic's overall strategy and goals, while ensuring the end\-user needs are met. Assists in overseeing the entire life cycle of the assigned technical product, from defining and setting the vision, managing the team to hit OKRs, deriving feature intention maps, managing capacity against scope, building/acquiring the technology \- and ultimately creating a best\-in\-class user/customer experience, while on time and within budget. Accountable to the success of a cross\-functional team including, including experts in design, IT, analytics, data engineers, data scientists, and others. Applies Agile product methodologies. Responsible for driving the technical product strategy, vision, design, and development execution. Ensure delivery of high\-value products in alignment with business goals and user experience optimization. Assists in leading a high performing cross\-functional team effectively and efficiently that is collaborative with business partners, customers, and other stakeholders (Data Science, Engineering, UX/UI, Operations, Engagement, AI, etc.). Leverages market and customer feedback and data to inform and guide future product/feature development. Advocate for end\-users, and builds and improves features based on their pain points \-strives to make product technology and workflows easy to use. Proactively manages and monitors product and operational risks (regulatory, security, operational, etc.) in order to prevent and/or mitigate risks to the customer and business. Ability to establish deep partnerships with business stakeholders to ensure product achieves business requirements and aligns to other organizational strategies and priorities. Monitors and manages product schedules, scopes and budgets and delivering as scheduled. Manages external Mayo Clinic vendor and partnership relationships as assigned. Sets and manages to product performance scorecards and OKRs. Works collaboratively across all business partners (Practice, Education, Research, Administration, Platform, International, Provider Relations) and Mayo Clinic Shared Services. Works collaboratively with internal Mayo Clinic clients, including consultants, clinical and research professionals, administrators, and external business partners. Works collaboratively with internal Mayo Clinic clients, including consultants, clinical and research professionals, administrators, and external business partners.
**Qualifications**
 Bachelor's Degree and 3 yrs of technical digital product management experience (3 yrs with digital products and platforms); or minimum of 7 years direct digital product management with HS diploma/GED required.
* Prior health care experience preferred.
* Experience in managing complex products or a family of multiple products required.
* Experience in SDLC.
* Certification in Scrum Product Owner within 1 year
**Exemption Status**
 Exempt
**Compensation Detail**
 $106,080 \- $159,224 / year.
**Benefits Eligible**
 Yes
**Schedule**
 Full Time
**Hours/Pay Period**
 80
**Schedule Details**
 Mon \- Fri 8 to 5 flexible
**Weekend Schedule**
 As needed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Tonya Calabro</t>
        </is>
      </c>
    </row>
    <row r="98">
      <c r="A98" t="inlineStr">
        <is>
          <t>li-4356183755</t>
        </is>
      </c>
      <c r="B98" t="inlineStr">
        <is>
          <t>Associate Product Manager</t>
        </is>
      </c>
      <c r="C98" t="inlineStr">
        <is>
          <t>Curb Mobility</t>
        </is>
      </c>
      <c r="D98" t="inlineStr">
        <is>
          <t>linkedin</t>
        </is>
      </c>
      <c r="E98">
        <f>HYPERLINK("https://www.linkedin.com/jobs/view/4356183755", "https://www.linkedin.com/jobs/view/4356183755")</f>
        <v/>
      </c>
      <c r="F98" t="inlineStr"/>
      <c r="G98" t="inlineStr">
        <is>
          <t>Queens, NY</t>
        </is>
      </c>
      <c r="H98" t="inlineStr"/>
      <c r="I98" t="inlineStr">
        <is>
          <t>**About Curb** 
 Curb is re\-architecting urban mobility.
 Our platform powers live transportation systems — payments, routing, compliance, and marketplace integrations — across 100,000\+ taxis and for\-hire vehicles worldwide. We operate continuously, moving millions of riders each year from the world’s largest on\-demand platforms into professional, regulated fleets.
 We’re becoming an AI\-led company, embedding AI throughout how we build, operate, and improve our products — from automated analysis and integration testing to intelligent performance optimization. This role sits directly at the center of that transformation.
**The Role** 
 We’re hiring an Associate Product Manager to drive execution across some of Curb’s most complex work: multi\-party platform integrations and new market launches.
 This is a hands\-on, execution\-first role. You’ll translate requirements into specs, build test plans, debug integrations, and coordinate launches — while using AI tools to accelerate learning, surface insights, and build automation that improves system reliability and marketplace performance.
 As you master the fundamentals, you’ll increasingly shape how AI is used to make our platform faster, smarter, and more resilient.
**What You’ll Work On** 
**Execution \&amp; Integrations** 
* Translate partner and internal requirements into clear specs and test plans
* Validate end\-to\-end integrations; debug issues across APIs, workflows, and data flows
* Configure and launch new markets, ensuring operational and technical readiness
**AI\-Powered Product Operations** 
* Use AI tools to analyze logs, performance metrics, and acceptance rates
* Build lightweight automation that surfaces anomalies, trends, and risks
* Generate automated insights (e.g., integration health summaries, performance alerts)
**Performance \&amp; Optimization** 
* Analyze ride acceptance, supply\-demand balance, and integration reliability
* Form data\-backed hypotheses and work with engineering to improve outcomes
**Product Craft \&amp; Collaboration** 
* Create PRDs, sequence diagrams, API specs, and runbooks (AI\-accelerated)
* Coordinate across engineering, QA, operations, and external partners
* Keep complex, fast\-moving initiatives unblocked and on track
**Who Thrives in This Role** 
**You use AI as a force multiplier** 
 You already rely on AI tools to learn faster, analyze data, and get unstuck — and you’re excited to push that further in a real production environment.
**You bring order to chaos** 
 When multiple launches, bugs, and partner dependencies collide, you build systems that make progress visible and manageable.
**You learn aggressively and systematically** 
 You might not know a domain on day one, but within weeks you’re debugging it confidently — using AI to compress the learning curve.
**You’re hands\-on but systems\-minded** 
 You’re comfortable in the weeds today and motivated to build automation that prevents the same problems tomorrow.
**You thrive in fast, lean environments** 
 You’re energized by velocity, ambiguity, and responsibility — not slowed down by them.
**What You Bring** 
**Required** 
* 1–3 years in Product, Product Ops, Technical PM, or implementation\-focused roles
* Experience managing complex technical projects end to end
* Familiarity with APIs, integrations, or technical systems
* Comfort working with data (SQL, Python, Excel, or similar)
* Active use of AI tools (ChatGPT, Claude, Cursor, etc.) in your workflow
**Strongly Valued** 
* Experience building automation or internal tooling
* Marketplace, mobility, logistics, or real\-time systems exposure
* B2B2C or platform product experience
* Programming or scripting skills (or willingness to learn with AI support)
**We care most about** 
* How you use AI to multiply impact
* How you organize work under pressure
* How quickly and independently you learn
* Whether you take ownership or wait for direction
**Why Join Curb** 
* Shape AI transformation: Your automation and workflows will influence how the company operates
* High\-impact execution: Your work directly affects millions of real\-world trips
* Rapid skill growth: Learn complex technical domains with AI\-assisted acceleration
* Clear growth path: Strong execution \+ AI fluency \= future strategic PM leverage
* Mission\-driven team: Improving the livelihoods of professional drivers
* Lean culture: Fast shipping, real ownership, minimal bureaucracy
* Competitive package: Salary, equity, and comprehensive benefits
*Curb is proud to be an equal opportunity employer.*</t>
        </is>
      </c>
    </row>
    <row r="99">
      <c r="A99" t="inlineStr">
        <is>
          <t>li-4356155370</t>
        </is>
      </c>
      <c r="B99" t="inlineStr">
        <is>
          <t>Product Owner</t>
        </is>
      </c>
      <c r="C99" t="inlineStr">
        <is>
          <t>trabajito</t>
        </is>
      </c>
      <c r="D99" t="inlineStr">
        <is>
          <t>linkedin</t>
        </is>
      </c>
      <c r="E99">
        <f>HYPERLINK("https://www.linkedin.com/jobs/view/4356155370", "https://www.linkedin.com/jobs/view/4356155370")</f>
        <v/>
      </c>
      <c r="F99" t="inlineStr"/>
      <c r="G99" t="inlineStr">
        <is>
          <t>Santa Cruz, CA</t>
        </is>
      </c>
      <c r="H99" t="inlineStr"/>
      <c r="I99" t="inlineStr">
        <is>
          <t>🚀 Buscamos
 **Product Owner**
 📍 Santa Cruz
 🏢 Conecta Redes y Servicios
 En Conecta estamos evolucionando nuestro modelo de negocio: pasamos de vender “operaciones” a orquestar la experiencia del cliente, integrando personas, procesos y tecnología (IA, bots, automatización). Para eso, buscamos un/a Product Owner junior, con mentalidad de negocio, curiosidad tecnológica y muchas ganas de aprender.
**🎯Objetivo**
 Ser el puente entre el cliente, el área comercial y el equipo de desarrollo, asegurando que lo que construimos tenga sentido, valor y uso real.
 No buscamos un perfil técnico puro, sino alguien que entienda problemas, priorice bien y ayude a convertir ideas en productos funcionales.
**🔍Perfil Requerido**
* Egresado(a) o titulado(a) de Ingeniería de Sistemas, Informática o Industrial, Administración de Empresas, Marketing, Diseño UX / Producto, Carreras afines.
* Experiencia previa 1 año (deseable) en alguno de los siguientes roles: Analista de producto, Analista funcional, PM junior, Innovación, Proyectos tecnológicos.
**🧩Principales Funciones**
* Entender las necesidades del cliente (interno y externo) y transformarlas en requerimientos claros.
* Definir y priorizar el backlog de producto.
* Trabajar de la mano con Comercial, CX y la Factory de desarrollo.
* Validar soluciones, prototipos y mejoras con usuarios.
* Acompañar el ciclo completo: idea → desarrollo → entrega → mejora.
* Analizar uso, feedback e impacto de las soluciones implementadas.
**⭐Principales Habilidades Deseadas**
* Orientación a resultados y foco en generar valor.
* Excelente comunicación (saber escuchar y explicar).
* Pensamiento analítico y capacidad para priorizar.
* Organización y manejo de múltiples tareas.
* Adaptabilidad al cambio (esto es innovación, no rutina).
* Interés real por tecnología, IA, automatización y experiencia del cliente.
**💡Ofrecemos**
* Aprendizaje real en proyectos de IA y automatización.
* Exposición directa a clientes y toma de decisiones.
* Acompañamiento y mentoring.
* Buen ambiente de trabajo y espacio para proponer ideas.
* Salario acorde a perfil junior \+ posibilidad de crecimiento.
 Si tienes alguna duda o consulta puedes comunicarte al WhatsApp: \+591 69203632</t>
        </is>
      </c>
    </row>
    <row r="100">
      <c r="A100" t="inlineStr">
        <is>
          <t>li-4356223230</t>
        </is>
      </c>
      <c r="B100" t="inlineStr">
        <is>
          <t>Product Owner</t>
        </is>
      </c>
      <c r="C100" t="inlineStr">
        <is>
          <t>Richmond National</t>
        </is>
      </c>
      <c r="D100" t="inlineStr">
        <is>
          <t>linkedin</t>
        </is>
      </c>
      <c r="E100">
        <f>HYPERLINK("https://www.linkedin.com/jobs/view/4356223230", "https://www.linkedin.com/jobs/view/4356223230")</f>
        <v/>
      </c>
      <c r="F100" t="inlineStr"/>
      <c r="G100" t="inlineStr">
        <is>
          <t>Glen Allen, VA</t>
        </is>
      </c>
      <c r="H100" t="inlineStr"/>
      <c r="I100" t="inlineStr">
        <is>
          <t>**Job Title:** 
 Product Owner
**Location:** 
 Glen Allen, VA (in\-office)
**Job Summary**
 As a Product Owner at Richmond National, you will be responsible for maximizing the value of our products, ensuring stakeholder needs are met while being aligned with the company’s strategic goals. This role is crucial in steering our products toward success and requires a versatile, highly motivated individual with skills that span product management, business analysis, and quality assurance.
**Key Skills And Attributes**
* Strong Communication: Excellent verbal and written communication skills to articulate vision, changes, and expectations clearly.
* Problem Solving: Exhibit strong problem\-solving skills to navigate the complexities that arise from a fast\-paced environment.
* Customer Focus: A relentless focus on understanding and meeting customer needs and pain points.
* Agility: Ability to rapidly adjust to changing priorities and shifting business goals based on market feedback and new opportunities.
* Adaptability: Being open to changing roles, responsibilities, and approaches as needed to meet team goals.
**Key Responsibilities**
* Serve as the primary point of contact for our stakeholders, understanding and prioritizing their needs while providing regular updates.
* Maintain clear and constant communication with IT management and stakeholders to ensure alignment on priorities and expectations.
* Collaborate in workshops and meetings with stakeholders to ensure all requirements are captured comprehensively.
* Create actionable, detailed user stories with acceptance criteria providing clear conditions under which a story is considered complete.
* Define and prioritize the backlog dynamically, handling any changes in project scope and direction without losing focus on the short\-term and long\-term goals.
* Ensure the development team understands the product vision and roadmap that outlines planned features and timelines for development and release.
* Select and prioritize user stories for each sprint and plan upcoming releases.
* Empower the development team by providing clear sprint goals, removing obstacles, and fostering an environment of innovation and creativity.
* Lead the team in Agile practices, including sprint planning, daily stand\-ups, and retrospective meetings ensuring clear communication of goals and progress to maintain alignment and collaboration.
* Continuously collect and analyze feedback from stakeholders to drive continuous improvement.
* Work closely with cross\-functional teams, including development, operations, and data, to ensure cohesive and efficient product development.
* Gain an intricate knowledge and understanding of products and business processes.
* Ensure high\-quality standards are maintained through thorough testing and validation of acceptance criteria before release.
* Track progress, identify issues, and work with management to align the product development process with business objectives.
**Qualifications**
* Bachelor’s degree in a relevant field or equivalent combination of directly related education and/or experience.
* Proven experience in product management with a focus on user experience.
* Excellent interpersonal skills.
* Excellent communication and collaboration skills, with the ability to work effectively in a team and interact with stakeholders at various levels.
* Strong understanding of Agile methodologies
* Agile methodology and PO Certification (preferred, not required)
* Strong analytical and problem\-solving skills, with attention to detail and the ability to prioritize and multitask in a fast\-paced environment.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101">
      <c r="A101" t="inlineStr">
        <is>
          <t>li-4366030985</t>
        </is>
      </c>
      <c r="B101" t="inlineStr">
        <is>
          <t>Product Manager, Apple Ads Experimentation</t>
        </is>
      </c>
      <c r="C101" t="inlineStr">
        <is>
          <t>Apple</t>
        </is>
      </c>
      <c r="D101" t="inlineStr">
        <is>
          <t>linkedin</t>
        </is>
      </c>
      <c r="E101">
        <f>HYPERLINK("https://www.linkedin.com/jobs/view/4366030985", "https://www.linkedin.com/jobs/view/4366030985")</f>
        <v/>
      </c>
      <c r="F101">
        <f>HYPERLINK("https://jobs.apple.com/en-us/details/200616912?board_id=17682&amp;urlHash=JkKY", "https://jobs.apple.com/en-us/details/200616912?board_id=17682&amp;urlHash=JkKY")</f>
        <v/>
      </c>
      <c r="G101" t="inlineStr">
        <is>
          <t>Cupertino, CA</t>
        </is>
      </c>
      <c r="H101" t="inlineStr"/>
      <c r="I101"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 are looking for a highly technical product manager to shape the future of our experimentation platform, empowering teams to innovate with confidence. This role will partner with engineering, data science, and product teams to deliver a world\-class experimentation platform that accelerates innovation, improves user experiences, and drives business impact. With a focus on scalability, usability, and advanced analytics, you will shape how various teams test and iterate on features to deliver value to Apple Ads stakeholders.
**Description**
* Define product vision, roadmap, and requirements for Apple Ads experimentation platform.
* Define key metrics to measure success of the platform.
* Implement \&amp; rapidly iterate on the roadmap towards the vision in collaboration with product, UX, engineering, and data science teams.
* Develop statistical frameworks and processes designed to analyze experiments to enable fast, reliable and accurate decision\-making.
* Collaborate with engineering to integrate statistical algorithms and new metrics into our experimentation platform.
* Develop automated solutions for experiment diagnostics, anomaly detection, and guardrail monitoring.
* Communicate statistical concepts to partners, including product managers, data science, and engineering teams.
* Define standard methodologies and frameworks for trustworthy online controlled experiments; drive cultural adoption of data\-driven decision making across product and engineering teams.
**Minimum Qualifications**
* Product Management experience.
* Experience building or scaling experimentation platforms at a tech company.
* Proven experience in defining measurable and interpretable success metrics and rallying cross\-functional teams to achieve them.
* Exceptional written and verbal communication skills, with the ability to clearly and concisely convey results and opportunity areas to cross\-functional teams and leadership.
* Strong track record of collaborating with engineers and data scientists on technical design discussions and proposing simple \&amp; creative solutions to complex problems.
* Experience gathering and synthesizing requirements from internal customers (e.g., product teams, engineers) to deliver user\-centric solutions.
* Proficiency in defining and measuring KPIs, interpreting experiment results, and using data to drive decisions.
* Expert knowledge of experimental design, statistics and other analytical concepts.
* Proficiency in SQL and experience in analyzing complex, large\-scale data sets to form hypotheses, evaluate experiment results, justify product opportunities, and measure success.
* Bachelor's degree or equivalent experience.
**Preferred Qualifications**
* Experience in advertising technology including platforms (ad exchange, or supply side platform), ad networks, and search advertising.
* Experience building incrementality measurement solutions.
* Expertise in ad optimization algorithms and digital marketplaces.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2">
      <c r="A102" t="inlineStr">
        <is>
          <t>li-4366056422</t>
        </is>
      </c>
      <c r="B102" t="inlineStr">
        <is>
          <t>Product Manager - TikTok Shop, Category Solutions</t>
        </is>
      </c>
      <c r="C102" t="inlineStr">
        <is>
          <t>TikTok</t>
        </is>
      </c>
      <c r="D102" t="inlineStr">
        <is>
          <t>linkedin</t>
        </is>
      </c>
      <c r="E102">
        <f>HYPERLINK("https://www.linkedin.com/jobs/view/4366056422", "https://www.linkedin.com/jobs/view/4366056422")</f>
        <v/>
      </c>
      <c r="F102" t="inlineStr"/>
      <c r="G102" t="inlineStr">
        <is>
          <t>Seattle, WA</t>
        </is>
      </c>
      <c r="H102" t="inlineStr"/>
      <c r="I102" t="inlineStr">
        <is>
          <t>**Responsibilities**
 About the Team: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Role:
 As a Product Manager on the Category Solutions team, you will be responsible for driving growth and success for our e\-commerce merchants. You will leverage your expertise in market analysis, product development, and merchant operations to identify key opportunities, design tailored solutions, and champion their implementation. Your work will directly impact the performance of our merchants and the overall growth of our business.
 \- Conduct in\-depth analysis of the e\-commerce landscape, identifying key opportunities and risks to inform strategic decision\-making and guide the development of actionable business strategies.
 \- Develop a deep understanding of the operational models, supply chain dynamics, and key challenges faced by e\-commerce merchants.
 \- Design and implement tailored solutions to optimize their performance on the platform, driving industry growth and operational efficiency.
 \- Conduct research and analysis to identify pain points and growth opportunities for brands and small\-to\-medium businesses (SMBs).
 \- Develop and refine customized product solutions and drive implementation to accelerate GMV growth.
**Qualifications**
 Minimum Qualifications:
 \- 5\+ years of experience as a Product Manager.
 \- Understanding of e\-commerce consumer habits and merchant operating models.
 \- Demonstrates strong critical thinking skills and a natural curiosity, with the ability to analyze information objectively and draw well\-reasoned conclusions.
 \- Excellent communication and presentation skills, skilled in cross\-team communication and collaboration.
 \- Strong data\-driven mindset and excellent data analysis skills.
 Preferred Qualifications:
 \- Experience in the e\-commerce industry.
 \- MBA degree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03">
      <c r="A103" t="inlineStr">
        <is>
          <t>li-4366624537</t>
        </is>
      </c>
      <c r="B103" t="inlineStr">
        <is>
          <t>Product Manager</t>
        </is>
      </c>
      <c r="C103" t="inlineStr">
        <is>
          <t>401GO</t>
        </is>
      </c>
      <c r="D103" t="inlineStr">
        <is>
          <t>linkedin</t>
        </is>
      </c>
      <c r="E103">
        <f>HYPERLINK("https://www.linkedin.com/jobs/view/4366624537", "https://www.linkedin.com/jobs/view/4366624537")</f>
        <v/>
      </c>
      <c r="F103">
        <f>HYPERLINK("https://app.eddy.com/careers/401go/d125e189-1049-44e6-847a-0b3f0a768b13?source=LINKED_IN&amp;urlHash=WyO_", "https://app.eddy.com/careers/401go/d125e189-1049-44e6-847a-0b3f0a768b13?source=LINKED_IN&amp;urlHash=WyO_")</f>
        <v/>
      </c>
      <c r="G103" t="inlineStr">
        <is>
          <t>Sandy, UT</t>
        </is>
      </c>
      <c r="H103" t="inlineStr"/>
      <c r="I103" t="inlineStr">
        <is>
          <t>**Role: Product Manager**
**Location:** 
 (Hybrid)
**Reports To:** 
 Chief Experience Officer
 The Product Manager role is responsible for creating, maintaining, and improving internal and external documentation, training materials, and educational resources that support employees, clients, and partners. This role ensures our teams are equipped with accurate, up\-to\-date information and that our clients can confidently navigate our platform and processes.
 This position requires strong communication skills, exceptional attention to detail, and the ability to translate complex concepts into clear, user\-friendly content.
**What You’ll Be Doing**
 Product Strategy \&amp; Discovery
* Define and maintain product roadmap aligned with company goals and KPIs.
* Conduct market research, competitive analysis, and user interviews to uncover opportunities.
* Understand customer pain points and translate them into clear product requirements.
* Use data to identify trends and make informed prioritization decisions.
 Product Development \&amp; Execution
* Lead the creation of product specifications, user stories, acceptance criteria, and workflows.
* Collaborate closely with engineering and design to deliver high\-quality features on time.
* Serve as the product owner for agile ceremonies including backlog grooming, sprint planning, and retrospectives.
* Validate solutions through testing, feedback loops, and data analysis after release.
 Cross\-Functional Collaboration
* Partner with operations, sales, marketing, and customer success to ensure internal alignment and effective go\-to\-market execution.
* Communicate roadmap plans, development progress, and release updates to stakeholders.
* Work with compliance to ensure product features adhere to regulatory and industry requirements.
 Measurement \&amp; Optimization
* Define success metrics and evaluate product performance post\-launch.
* Drive iterative improvements based on data, feedback, and evolving business needs.
* Identify technical or operational gaps and propose long\-term, scalable solutions.
* Work with the Chief Experience Officer to define the Product Management team and ultimately be responsible for the hiring and day to day management of the team.
**What You Bring**
* 3\+ years of product management experience in SaaS, fintech, HR tech, or a related field.
* Strong communication and documentation skills, with the ability to simplify complex concepts.
* Experience working cross\-functionally with engineering and design teams.
* Proficiency with product management tools (e.g., Jira, Figma, Productboard, Notion).
* Ability to analyze data and draw insights; familiarity with tools like Looker, Tableau, or SQL is a plus.
* Demonstrated experience delivering customer\-facing products from concept to release.
**Preferred Qualifications**
* Experience in retirement, financial services, payroll, HRIS, or compliance\-heavy industries.
* Understanding of user\-centered design principles and usability testing.
* Background in agile development methodologies.
* Experience working in fast\-paced, high\-growth startup environments.
**Job Type:** 
 Full\-time
**Location:** 
 United States
**Why 401GO?**
 At 401GO, we’re not just changing retirement—we’re reinventing it. As a fast\-growing fintech start\-up, we’ve built the world’s most advanced, fully automated retirement platform to help hard\-working Americans take control of their future. Here, innovation moves fast, ideas matter, and your work makes a real impact. You’ll enjoy a collaborative and supportive environment where great people do their best work together, backed by competitive compensation, excellent benefits, and plenty of opportunities for professional growth. If you’re ready to challenge the status quo and be part of something big, 401GO is the place to grow your career.
**What We Offer**
* A standout 401(k) plan (naturally!).
* Generous stock options—share in our growth and success.
* Flexible work environment—choose where you’re most productive.
* Excellent benefits, including medical, dental, and vision.
* Flexible hours—because great work doesn’t always happen 9–5\.
* Plenty of PTO—we value work\-life balance.
* A fully stocked kitchen when you’re in the office.
 At 401GO, we invest in our people just as much as we invest in helping Americans secure their financial future.
 We are proud to be an Equal Opportunity Employer. We support a working environment that provides qualified employees and applicants with equal employment opportunity on a non\-discriminatory basis without regard to race, color, creed, age, religion, gender (including pregnancy, gender identification and/or gender nonconformity) sexual orientation, marital status, national origin, ancestry, ethnicity, genetic information, physical or mental disability, citizenship, past, current or prospective service in the uniformed services or any other basis prohibited by federal, state, or local law.
 E04JI800lnui4087xh2</t>
        </is>
      </c>
    </row>
    <row r="104">
      <c r="A104" t="inlineStr">
        <is>
          <t>li-4329567616</t>
        </is>
      </c>
      <c r="B104" t="inlineStr">
        <is>
          <t>Product Owner</t>
        </is>
      </c>
      <c r="C104" t="inlineStr">
        <is>
          <t>PrePass</t>
        </is>
      </c>
      <c r="D104" t="inlineStr">
        <is>
          <t>linkedin</t>
        </is>
      </c>
      <c r="E104">
        <f>HYPERLINK("https://www.linkedin.com/jobs/view/4329567616", "https://www.linkedin.com/jobs/view/4329567616")</f>
        <v/>
      </c>
      <c r="F104" t="inlineStr"/>
      <c r="G104" t="inlineStr">
        <is>
          <t>Phoenix, AZ</t>
        </is>
      </c>
      <c r="H104" t="inlineStr"/>
      <c r="I104"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e\-Clearance team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how to manage complex systems, excels in Agile methodologies, approaches problem\-solving with reliability and initiative and has strong analytical skills. This is a hybrid position based out of our Downtown Phoenix corporate office.
**Essential Responsibilities**
**Product Ownership \&amp; Delivery**
* Create, prioritize, and maintain a product backlog aligned with product vision and business objectives
* Understand customer operations and how our products can deliver value and help maximize operational efficiency
* Prioritize features and stories within sprints to maximize customer value
* Ensure backlog items are clearly defined, understood, and properly estimated
* Facilitate sprint planning, discovery sessions, and translation of requirements into actionable user stories
* Review and analyze product performance and present well researched ideas on how to improve customer experience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complex systems
* Proficiency in Agile methodologies (Scrum) and backlog management tools (e.g., Jira, Azure DevOps)
* Excellent decision\-making, communication, and organizational skills
* Familiarity with user\-centered design principles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05">
      <c r="A105" t="inlineStr">
        <is>
          <t>li-4366058010</t>
        </is>
      </c>
      <c r="B105" t="inlineStr">
        <is>
          <t>Apple Cash Product Manager</t>
        </is>
      </c>
      <c r="C105" t="inlineStr">
        <is>
          <t>Apple</t>
        </is>
      </c>
      <c r="D105" t="inlineStr">
        <is>
          <t>linkedin</t>
        </is>
      </c>
      <c r="E105">
        <f>HYPERLINK("https://www.linkedin.com/jobs/view/4366058010", "https://www.linkedin.com/jobs/view/4366058010")</f>
        <v/>
      </c>
      <c r="F105">
        <f>HYPERLINK("https://jobs.apple.com/en-us/details/200637064?board_id=17682&amp;urlHash=4htQ", "https://jobs.apple.com/en-us/details/200637064?board_id=17682&amp;urlHash=4htQ")</f>
        <v/>
      </c>
      <c r="G105" t="inlineStr">
        <is>
          <t>Cupertino, CA</t>
        </is>
      </c>
      <c r="H105" t="inlineStr"/>
      <c r="I105" t="inlineStr">
        <is>
          <t>**Summary**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Apple Cash is built right into iPhone, making it an easy way to send and receive money. The Apple Card and Cash team is seeking a top\-flight and experienced professional to help drive the continued growth of Apple Cash and launch ground\-breaking new features.
**Description**
 In this role, you will help chart the strategic direction of Apple Cash and support execution against that long\-term strategy. You will partner directly with the Human Interface, Engineering teams and other functional teams across Apple to define and deliver on a multi\-year product roadmap. You will also work closely with external partners such as payment networks, issuers and other players to deliver results.
 You should have significant experience building and launching consumer products, passion for helping users achieve a healthier financial life and familiarity with financial services and payments. You will be expected to guide teams leading complex, cross\-functional, projects and drive progress by diving into technical details when needed while also thinking through the end\-to\-end experience. You should combine technical proficiency, a strong sense of user experience, tact and business insight. You should have excellent presentation abilities and be able to drive a concrete vision and requirements that rally the team and delight customers.
**Responsibilities**
* Help envision and build new product features and strategies; define detailed use cases for engineering and design
* Evangelize and build consensus with executives, colleagues, and third parties
* Collaborate with Human Interface, Engineering, other Product Managers, Legal, Business Development, Marketing, Analytics and Operations to launch products
* Drive efforts with strategic partners on product development
* Represent business interests during design and development phases
* Work with program management to communicate project status, resolve issues, and ensure that high quality products are delivered on time.
* Develop launch plans, ensure readiness of the various partners
**Minimum Qualifications**
* Skilled product professional with 7\+ years of experience in Product Management for financial services / financial technology
* Experience building consumer products working with designers, engineers, and data scientists
* Experience handling regulatory and compliance requirements in the financial services space
* Familiarity with financial technical infrastructure (e.g. processors and card networks)
* Technical mindset when problem\-solving with engineers
* Effective communicator who can synthesize complex topics, distill key business dynamics, and communicate effectively with senior executives
* Ability to lead and influence different cross\-functional teams and external partnerships to drive decisions and outcomes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6">
      <c r="A106" t="inlineStr">
        <is>
          <t>li-4366616684</t>
        </is>
      </c>
      <c r="B106" t="inlineStr">
        <is>
          <t>Senior Product Manager</t>
        </is>
      </c>
      <c r="C106" t="inlineStr">
        <is>
          <t>Themesoft Inc.</t>
        </is>
      </c>
      <c r="D106" t="inlineStr">
        <is>
          <t>linkedin</t>
        </is>
      </c>
      <c r="E106">
        <f>HYPERLINK("https://www.linkedin.com/jobs/view/4366616684", "https://www.linkedin.com/jobs/view/4366616684")</f>
        <v/>
      </c>
      <c r="F106" t="inlineStr"/>
      <c r="G106" t="inlineStr">
        <is>
          <t>Cupertino, CA</t>
        </is>
      </c>
      <c r="H106" t="inlineStr"/>
      <c r="I106" t="inlineStr">
        <is>
          <t>**Role:** 
 Product Manager (Shopping Experience)
**Location:** 
 Onsite in Cupertino 3 days a week (Tuesday through Thursday).
**Fulltime / Contract** 
**Summary** 
 Seeking an experienced Product Manager to join the Retail Online Store team and focus on enhancements to key purchase flow shopping pages. This position requires strong cross\-functional and project management skills, business sense and technical curiosity. You should have a passion for creating outstanding customer experiences through innovative solutions. You will partner on driving a large initiative already in progress, helping to influence design solutions, define requirements, oversee development progress, and establish a robust go\-live strategy.
 We are looking for someone who is collaborative, highly adaptable, and open to developing deep technical knowledge. It is a great opportunity to work on an important initiative and learn the Client’s culture and ways of working.
**Key Responsibilities** 
* Partner on leading and delivering a project in\-progress:
* Engage various cross\-functional partners to address broad business needs
* Consider input and feedback from a variety of partners when making key project decisions and recommendations
* Facilitate regular meetings with partner teams to quickly problem\-solve
* Understand the technical landscape related to the project to identify solutions
* Establish the required next steps to drive the project through development, testing, and launch
* Achieve all project milestones in a timely manner as established by the project Timeline
**Requirements to be Successful** 
* Experience organizing and planning large cross\-functional projects
* Strong product management skills
* Ability to manage ambiguity and take initiative
* Experience developing innovative front\-end customer experiences
* Account for multiple business stakeholders across variety of teams and technical systems, and synthesize features and capabilities
* Excellent communication and presentation skills, both at the project level and to senior leadership, in a variety of forums
* Ability to learn technical (product) concepts quickly
* Ability to engage operational teams to plan for launch and provide a detailed strategy for ongoing management of the final product
* Excellent analytical reasoning and attention to detail
* Self\-motivated and ability to thrive in a fast\-paced environment
* Comfortable working in a constantly evolving environment where ambiguity and short turnaround schedules are the norm
* Clear and thorough documentation of project details and operational plans
* Successfully deliver the full scope of the project
**Education \&amp; Experience** 
* Bachelor’s degree or equivalent education. Technical background is strongly preferred
* Experience in product/project management for a larger internet site a big plus
* Minimum 5 years product management experience, with expertise in leading purchase flow enhancements preferred
 Thank you
 Vinod</t>
        </is>
      </c>
    </row>
    <row r="107">
      <c r="A107" t="inlineStr">
        <is>
          <t>li-4366011929</t>
        </is>
      </c>
      <c r="B107" t="inlineStr">
        <is>
          <t>Sr Product Manager</t>
        </is>
      </c>
      <c r="C107" t="inlineStr">
        <is>
          <t>Cengage Group</t>
        </is>
      </c>
      <c r="D107" t="inlineStr">
        <is>
          <t>linkedin</t>
        </is>
      </c>
      <c r="E107">
        <f>HYPERLINK("https://www.linkedin.com/jobs/view/4366011929", "https://www.linkedin.com/jobs/view/4366011929")</f>
        <v/>
      </c>
      <c r="F107" t="inlineStr"/>
      <c r="G107" t="inlineStr"/>
      <c r="H107" t="inlineStr"/>
      <c r="I107" t="inlineStr">
        <is>
          <t>**We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As a Senior Product Manager on the ed2go team at Cengage Group, you’ll help shape the technology foundation that connects learners, partners, and enterprise systems. You’ll guide the vision and roadmap for platform capabilities, data pipelines, and integrations that make learning experiences more connected, efficient, and insightful.
 You’ll work across teams to design systems that scale, improve data quality, and enable better decision\-making. This role is ideal for someone who enjoys solving complex technical challenges, connecting ideas across teams, and driving results that make a measurable impact on learners and business outcomes.
**What You’ll Do Here:** 
**Lead Strategy and Vision** 
* Define and evolve the roadmap for ed2go’s platform, data, and integration capabilities.
* Collaborate with engineering, architecture, and analytics teams to align technical investments with business goals.
* Drive initiatives that improve platform scalability, data reliability, and system interoperability.
**Build and Strengthen Integrations** 
* Lead the end\-to\-end lifecycle for integrations across Salesforce, SAP, enrollment, and learning systems.
* Partner with enterprise teams to enhance data exchange through modern APIs and event\-driven architectures.
* Ensure that systems share accurate, secure, and timely information to support operational and learner outcomes.
**Collaborate Across Teams** 
* Work closely with product, engineering, analytics, and design teams to deliver shared services and tools that enable faster, smarter decisions.
* Partner with marketing, service, finance, and operations teams to ensure alignment and adoption of shared capabilities.
* Foster transparent communication and collaboration across technical and business partners.
**Deliver and Improve** 
* Write clear, outcome\-based epics and user stories that guide development and measure success.
* Balance priorities across short\-term needs and long\-term technical investments.
* Promote agile best practices, documentation, and continuous improvement across teams.
**Skills You’ll Need Here:** 
* Bachelor’s degree or equivalent experience.
* 6\+ years in product management or related technical product roles.
* Experience leading platform, data, or integration\-focused initiatives.
* Understanding of SaaS architecture, APIs, data pipelines, and system design.
* Familiarity with tools such as Jira, Confluence, Amplitude, and GA4\.
* Strong communication and documentation skills, with the ability to translate complexity into clarity.
* Experience working in collaborative, cross\-functional environments.
* Curiosity, empathy, and a growth mindset—combined with a drive for delivering real\-world outcomes.
* Experience in edtech, ecommerce, or enterprise SaaS environments is a plus.
 Cengage Group is committed to working with broad talent pools to attract and hire strong and most qualified individuals. Our job applicants are considered regardless of any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to learn more about our
 *Total Rewards Philosophy* 
 .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In this position, you will be eligible to participate in the company’s discretionary incentive bonus program. This position's bonus target amount, which is not guaranteed and is dependent on individual performance and overall company results among other factors, is provided below.
 15% Annual: Individual Target
 $117,100\.00 \- $152,200\.00 USD</t>
        </is>
      </c>
    </row>
    <row r="108">
      <c r="A108" t="inlineStr">
        <is>
          <t>li-4330536890</t>
        </is>
      </c>
      <c r="B108" t="inlineStr">
        <is>
          <t>AI Product Owner</t>
        </is>
      </c>
      <c r="C108" t="inlineStr">
        <is>
          <t>Gordon Brothers</t>
        </is>
      </c>
      <c r="D108" t="inlineStr">
        <is>
          <t>linkedin</t>
        </is>
      </c>
      <c r="E108">
        <f>HYPERLINK("https://www.linkedin.com/jobs/view/4330536890", "https://www.linkedin.com/jobs/view/4330536890")</f>
        <v/>
      </c>
      <c r="F108">
        <f>HYPERLINK("https://wd1.myworkdaysite.com/recruiting/gordonbrothers/Gordon_Brothers_Careers/job/Remote\u002d\u002d-US/AI-Specialist\u002d\u002d-Applied-AI\u002d\u002d-Low-Code-Integration_R-100777?source=LinkedIn&amp;urlHash=D9Nq", "https://wd1.myworkdaysite.com/recruiting/gordonbrothers/Gordon_Brothers_Careers/job/Remote\u002d\u002d-US/AI-Specialist\u002d\u002d-Applied-AI\u002d\u002d-Low-Code-Integration_R-100777?source=LinkedIn&amp;urlHash=D9Nq")</f>
        <v/>
      </c>
      <c r="G108" t="inlineStr"/>
      <c r="H108" t="inlineStr"/>
      <c r="I108" t="inlineStr">
        <is>
          <t>About Gordon Brothers: Since 1903, Gordon Brothers has helped companies unlock the potential of their assets. Our solutions\-oriented approach combined with over 120 years of industry knowledge enables clients to get the most value from their assets with tailored solutions across asset services, asset lending and financing, and asset trading. Leveraging our deep expertise in retail, industrial, brands and real estate, we work closely with clients globally to determine the value of, lend against, or buy and sell their assets to help them achieve their business goals. At Gordon Brothers, we foster a culture of collaboration and creativity to find unique and innovative solutions for our clients. We take pride in fostering an engaging, inclusive culture and encouraging employees to bring new ideas to the table, develop their skills, and build dynamic and fulfilling careers. For more information, please visit www.gordonbrothers.com.
**Description**
**Role Overview**
 As Gordon Brothers advances its enterprise\-wide
 **digital transformation agenda** 
 , artificial intelligence (AI) has become central to the way we modernize operations, enhance decision\-making, and deliver innovative client solutions. We are seeking to build
 **applied AI capabilities** 
 within the organization—focused on
 **practical, value\-driven implementations** 
 rather than research or theoretical development.
 This role will enable our
 **Digital Transformation team** 
 to accelerate delivery of AI\-powered tools and automations using
 **low\-code and no\-code platforms and industry leading LLMs** 
 . These environments are already embedded within our digital ecosystem and represent the fastest path to scalable AI adoption across business units.
 The
 **AI Specialist** 
 will act as a bridge between software engineering and business operations—helping teams leverage AI safely, efficiently, and responsibly. This position aligns with Gordon Brothers’ strategic goals of enhancing productivity, operational resilience, and data\-driven decision\-making.
 The ideal candidate will combine technical fluency with a pragmatic approach to business transformation, enabling Gordon Brothers to leverage AI safely and effectively across internal and client\-facing applications.
 This individual will work closely with the Managing Director of Digital Transformation to define the AI roadmap, establish best practices, and enable cross\-functional collaboration. The role requires a balance of technical proficiency, business acumen, and innovative problem\-solving.
**Key Responsibilities**
* Product Roadmap
+ Partner with business stakeholders to identify use cases, assess feasibility, and translate needs into actionable AI applications.
+ Align AI initiatives with business objectives, regulatory requirements, and customer needs.
+ Identify high\-value AI use cases (e.g., credit analysis, report drafting) and prioritize them for development.
* Backlog Management \&amp; Delivery
+ Own and manage the product backlog, ensuring clear user stories and acceptance criteria.
+ Use AI tools to optimize backlog prioritization based on ROI, customer sentiment, and technical complexity.
+ Drive sprint planning, refinement, and release management in Agile or hybrid environments.
* Stakeholder Engagement
+ Act as the voice of business and customer, translating needs into actionable requirements.
+ Support internal capability building by creating documentation, conducting workshops, and mentoring colleagues on AI literacy.
+ Collaborate with cross\-functional teams (data scientists, engineers, compliance, risk) to ensure smooth delivery.
+ Communicate progress, risks, and outcomes to senior leadership and stakeholders.
* Regulatory Compliance \&amp; Risk Management
+ Ensure AI products comply with financial regulations (e.g., AML, GDPR, KYC) and internal governance frameworks.
+ Partner with legal and risk teams to address ethical AI practices, bias mitigation, and data privacy concerns.
* Technical Integration
+ Architect and implement AI\-driven features and automations within off the shelf LLMs (such as ChatGPT, Perplexity, Gemini, etc.) and low\-code/no\-code tools (e.g., Power Apps, Salesforce, Jira, QuickBase, Netsuite, ServiceNow).
- For more advanced use cases, you will partner with Software Solutions (engineering) to deliver a solution.
- Work with engineering teams to validate model performance and maintain explainability standards.
* Performance Monitoring \&amp; Continuous Improvement
+ Define KPIs for AI product success (e.g., model accuracy, adoption, ROI).
+ Gather feedback and iteratively enhance product offerings based on market trends and user insights.
+ Stay current on AI advancements and competitive landscape to maintain product relevance.
* Governance and Compliance:
+ Ensure responsible and ethical AI practices, including data privacy, model transparency, and bias mitigation.
+ Collaborate with Legal/Compliance and IT Security to align implementations with corporate standards.
 Gordon Brothers offers a very competitive total compensation package, including base salary and bonus plan, health insurance, dental benefits, a generous 401(k) match, time off benefits, and more.
 In compliance with the Americans with Disabilities Act (ADA), please contact the Human Resources department if you have a disability and need reasonable accommodation with any part the application process. Requests will be considered on a case\-by\-case basis.
*Gordon Brothers is an Equal Opportunity Employer.*</t>
        </is>
      </c>
    </row>
    <row r="109">
      <c r="A109" t="inlineStr">
        <is>
          <t>li-4366612939</t>
        </is>
      </c>
      <c r="B109" t="inlineStr">
        <is>
          <t>Product Manager, AMER Cards</t>
        </is>
      </c>
      <c r="C109" t="inlineStr">
        <is>
          <t>Stripe</t>
        </is>
      </c>
      <c r="D109" t="inlineStr">
        <is>
          <t>linkedin</t>
        </is>
      </c>
      <c r="E109">
        <f>HYPERLINK("https://www.linkedin.com/jobs/view/4366612939", "https://www.linkedin.com/jobs/view/4366612939")</f>
        <v/>
      </c>
      <c r="F109" t="inlineStr"/>
      <c r="G109" t="inlineStr">
        <is>
          <t>Seattle, WA</t>
        </is>
      </c>
      <c r="H109" t="inlineStr"/>
      <c r="I109" t="inlineStr">
        <is>
          <t>Product Manager, Card Networks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Cards Networks strategy and execution in North America and LATAM. Specifically, this product manager will own the products and infrastructure powering our core processing for global card brands and local card networks. A world\-class cards processing offering is the foundation on which our business is built and what our customers continuously expect. As a result, it is critical that we continuously expand, improve and maintain the edge of our card processing capabilities.
 This role is an opportunity to truly “own” a critical platform within Stripe’s core business. This PM will partner with an experienced Engineering lead to define and deliver the associated product and infrastructure for these efforts.
**Responsibilities**
* Work with GTM teams (Sales, Account Management) to define how to expand or improve our cards coverage to meet the needs of our US and global customers
* Work with Partnerships Teams to represent our product and users in negotiation with card networks
* Engage with merchants to understand their current experience in cards processing, associated pain points, and opportunities for improvement
* Collaborate with Engineering to develop Stripe’s cards network capabilities roadmap
* Work with Finance to understand the costs of Stripe’s current cards processing capabilities and drive improvements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first principles, and deliver the right results
* Crisp communicator: High attention to detail including precise and effective written and verbal communications, including with external customers/partners
* Results\-oriented: You enjoy doing whatever it takes to execute on complex projects
**Nice To Haves**
* Experience in Payments, working with Card Networks or Banking partners.
* Experience with SQL or a willingness/aptitude to learn
* Experience in external facing role (sales, partnerships) and business negotiations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0">
      <c r="A110" t="inlineStr">
        <is>
          <t>li-4366613807</t>
        </is>
      </c>
      <c r="B110" t="inlineStr">
        <is>
          <t>Product Manager, AMER Cards</t>
        </is>
      </c>
      <c r="C110" t="inlineStr">
        <is>
          <t>Stripe</t>
        </is>
      </c>
      <c r="D110" t="inlineStr">
        <is>
          <t>linkedin</t>
        </is>
      </c>
      <c r="E110">
        <f>HYPERLINK("https://www.linkedin.com/jobs/view/4366613807", "https://www.linkedin.com/jobs/view/4366613807")</f>
        <v/>
      </c>
      <c r="F110">
        <f>HYPERLINK("https://stripe.com/jobs/listing/product-manager-amer-cards/7568269?gh_src=73vnei&amp;urlHash=NRVx", "https://stripe.com/jobs/listing/product-manager-amer-cards/7568269?gh_src=73vnei&amp;urlHash=NRVx")</f>
        <v/>
      </c>
      <c r="G110" t="inlineStr">
        <is>
          <t>Chicago, IL</t>
        </is>
      </c>
      <c r="H110" t="inlineStr"/>
      <c r="I110" t="inlineStr">
        <is>
          <t>Product Manager, Card Networks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Cards Networks strategy and execution in North America and LATAM. Specifically, this product manager will own the products and infrastructure powering our core processing for global card brands and local card networks. A world\-class cards processing offering is the foundation on which our business is built and what our customers continuously expect. As a result, it is critical that we continuously expand, improve and maintain the edge of our card processing capabilities.
 This role is an opportunity to truly “own” a critical platform within Stripe’s core business. This PM will partner with an experienced Engineering lead to define and deliver the associated product and infrastructure for these efforts.
**Responsibilities**
* Work with GTM teams (Sales, Account Management) to define how to expand or improve our cards coverage to meet the needs of our US and global customers
* Work with Partnerships Teams to represent our product and users in negotiation with card networks
* Engage with merchants to understand their current experience in cards processing, associated pain points, and opportunities for improvement
* Collaborate with Engineering to develop Stripe’s cards network capabilities roadmap
* Work with Finance to understand the costs of Stripe’s current cards processing capabilities and drive improvements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first principles, and deliver the right results
* Crisp communicator: High attention to detail including precise and effective written and verbal communications, including with external customers/partners
* Results\-oriented: You enjoy doing whatever it takes to execute on complex projects
**Nice To Haves**
* Experience in Payments, working with Card Networks or Banking partners.
* Experience with SQL or a willingness/aptitude to learn
* Experience in external facing role (sales, partnerships) and business negotiations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11">
      <c r="A111" t="inlineStr">
        <is>
          <t>li-4356054563</t>
        </is>
      </c>
      <c r="B111" t="inlineStr">
        <is>
          <t>Product Manager</t>
        </is>
      </c>
      <c r="C111" t="inlineStr">
        <is>
          <t>Net2Source (N2S)</t>
        </is>
      </c>
      <c r="D111" t="inlineStr">
        <is>
          <t>linkedin</t>
        </is>
      </c>
      <c r="E111">
        <f>HYPERLINK("https://www.linkedin.com/jobs/view/4356054563", "https://www.linkedin.com/jobs/view/4356054563")</f>
        <v/>
      </c>
      <c r="F111" t="inlineStr"/>
      <c r="G111" t="inlineStr">
        <is>
          <t>Foster City, CA</t>
        </is>
      </c>
      <c r="H111" t="inlineStr"/>
      <c r="I111" t="inlineStr">
        <is>
          <t>**Join a Global Leader in Workforce Solutions \- Net2Source Inc.** 
**Who We Are**
 Net2Source Inc. isn't just another staffing company, we're a powerhouse of innovation, connecting top talent with the right opportunities. Recognized for 300% growth in the past three years, we operate in 34 countries with a global team of 5,500\+. Our mission? Right Talent. Right Time. Right Place. Right Price.
**Title: Product Manager \- Pharmaceutical Markets
 Duration: 11 months Contract
 Location: Foster City, CA (Onsite)** 
**Position Summary**
 The Digital Product Manager will support the management and execution of digital platforms within a pharmaceutical environment. This role partners closely with cross\-functional stakeholders to manage multiple initiatives, contribute to product planning, and ensure delivery of digital solutions aligned with business and customer needs. The ideal candidate brings strong organizational skills, digital platform experience, and the ability to manage competing priorities in a fast\-paced, omnichannel environment.
**Key Responsibilities**
 • Support product management activities for digital platforms, including planning, execution, and prioritization
 • Manage multiple projects simultaneously, ensuring timelines and deliverables are met
 • Contribute to the development and documentation of use cases and user stories
 • Collaborate with cross\-functional teams including marketing, IT, analytics, and commercial stakeholders
 • Utilize project and planning tools such as MS Project, Jira, and Smartsheets to track progress and dependencies
 • Support omnichannel initiatives aligned with business and customer needs
 • Assist in gathering requirements, coordinating feedback, and ensuring alignment across functional teams
 • Communicate project updates, risks, and dependencies effectively to stakeholders
**Qualifications**
 • Bachelor's degree in Marketing, Technology, or a related field required
 • 5\+ years of relevant experience in digital product management or related roles
 • Background and experience managing digital platforms
 • Proficiency in MS Office tools and planning tools such as MS Project, Jira, and Smartsheets
 • Demonstrated ability to manage multiple projects and priorities simultaneously
 • Strong verbal, written, and interpersonal communication skills
 • Strong interpersonal and influencing skills with the ability to work across functional areas
 • Working knowledge of pharmaceutical markets and customers
 • Understanding of the healthcare system and its influence on pharmaceutical products preferred
 • Therapeutic Area knowledge preferred
**Preferred Skills \&amp; Tools**
 • Experience with Salesforce Marketing Cloud
 • Experience with Sitecore Content Management System
 • Familiarity with Google Analytics
 • Experience supporting omnichannel or digital marketing initiatives
**Work Environment**
 • Onsite position based in Foster City, CA
 • Monday through Friday, standard business hours
**Why Work With Us?**
 We believe in more than just jobs\&amp;mdash;we build careers. At Net2Source, we support meaningful work, professional growth, and collaboration across innovative client environments.
**Our Commitment to Inclusion \&amp; Equity**
 Net2Source is an equal opportunity employer, dedicated to fostering a workplace where diverse talents and perspectives are valued.
**Ready to Level Up Your Career?**
 Click Apply Now and let's make it happen.</t>
        </is>
      </c>
    </row>
    <row r="112">
      <c r="A112" t="inlineStr">
        <is>
          <t>li-4366387319</t>
        </is>
      </c>
      <c r="B112" t="inlineStr">
        <is>
          <t>Product Manager</t>
        </is>
      </c>
      <c r="C112" t="inlineStr">
        <is>
          <t>Quantum World Technologies Inc.</t>
        </is>
      </c>
      <c r="D112" t="inlineStr">
        <is>
          <t>linkedin</t>
        </is>
      </c>
      <c r="E112">
        <f>HYPERLINK("https://www.linkedin.com/jobs/view/4366387319", "https://www.linkedin.com/jobs/view/4366387319")</f>
        <v/>
      </c>
      <c r="F112" t="inlineStr"/>
      <c r="G112" t="inlineStr"/>
      <c r="H112" t="inlineStr"/>
      <c r="I112" t="inlineStr">
        <is>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10\+ years of experience in Product Management, Engineering, or Consulting
* Strong written, verbal and collaboration skills</t>
        </is>
      </c>
    </row>
    <row r="113">
      <c r="A113" t="inlineStr">
        <is>
          <t>li-4366623758</t>
        </is>
      </c>
      <c r="B113" t="inlineStr">
        <is>
          <t>Product Manager</t>
        </is>
      </c>
      <c r="C113" t="inlineStr">
        <is>
          <t>Lean TECHniques</t>
        </is>
      </c>
      <c r="D113" t="inlineStr">
        <is>
          <t>linkedin</t>
        </is>
      </c>
      <c r="E113">
        <f>HYPERLINK("https://www.linkedin.com/jobs/view/4366623758", "https://www.linkedin.com/jobs/view/4366623758")</f>
        <v/>
      </c>
      <c r="F113" t="inlineStr"/>
      <c r="G113" t="inlineStr">
        <is>
          <t>Iowa, United States</t>
        </is>
      </c>
      <c r="H113" t="inlineStr"/>
      <c r="I113" t="inlineStr">
        <is>
          <t>Maybe you’re bored and need a new challenge. Or you’re sick of all the bureaucracy and just want to focus on leading the delivery of awesome cutting\-edge software. Or maybe you are looking for a job where you can do really great work remotely but ALSO feel like a part of a team.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and you’ll get to do it while working alongside a team of other curious individuals who love a good challenge too.
 We’re currently looking to add a
 ***Product Manager***
 to this nerd club of ours. If you’re someone who has 5 or more years of software delivery experience, we’d love to chat.
**Here’s what you can expect as a Product Manager at LT** 
 : You will play a pivotal role in guiding the client's engineering team towards achieving excellence in product management, while also fostering innovation and driving organizational change. The ideal candidate will possess a unique blend of Lean\-thinking, product mindset, and leadership skills with a bias toward action.
**Coaching:**
* Coach on modern delivery and product management practices, including agile, lean methodologies, continuous discovery, and continuous improvement.
* Guide and support leaders and team members in adapting to change and evolving market demands.
**Delivery:**
* Collaborate with product managers and stakeholders to define clear product goals ensuring alignment with business objectives.
* Create alignment across team and stakeholders on delivery progress and risks, adjusting plans to mitigate concerns and communicate impact.
* Lead cross\-functional teams in creative problem\-solving activities to drive innovation, and enhance delivery speed and quality.
* Reinforce a culture of collaboration, accountability, and a growth mindset within the engineering team.
**Advisory:**
* Quickly develop a deep understanding of where the client is in their journey toward more modern product development, understand the client's appetite and pace for change, and clearly articulate options for growth and development.
* Seek opportunities beyond the core teams for improvement and growth within the account.
* Build an understanding of the networks of leadership and innovators within the client.
* Develop and implement strategies ensuring smooth transitions during process improvements and technology adoption.</t>
        </is>
      </c>
    </row>
    <row r="114">
      <c r="A114" t="inlineStr">
        <is>
          <t>li-4366621880</t>
        </is>
      </c>
      <c r="B114" t="inlineStr">
        <is>
          <t>Product Manager</t>
        </is>
      </c>
      <c r="C114" t="inlineStr">
        <is>
          <t>FNP</t>
        </is>
      </c>
      <c r="D114" t="inlineStr">
        <is>
          <t>linkedin</t>
        </is>
      </c>
      <c r="E114">
        <f>HYPERLINK("https://www.linkedin.com/jobs/view/4366621880", "https://www.linkedin.com/jobs/view/4366621880")</f>
        <v/>
      </c>
      <c r="F114">
        <f>HYPERLINK("https://portal.zinghr.com/CandidateAddition/CreateNewCandidate/TopCandidateDetailsMenu?VCode=SMoGpcA/KJDGMOoXmYZLNN6OuyvYrrg34I0JhuJsFPxRBiPXPPnlKpGO9vo0MhP6GETKql65jJEQtgdtLOF/299G0XePeYu3h2eQBS2UoBQzv8XdBP5gROekhstMUIf8uMmMVAx5p8t0kLsfKQGtDACo5CepdNfazR1/3aRMYJQ/Up0NwCgVVLfpO+Kqw0RN4adl3DJzNt3MLmYIjrjxjmD/jswyYSfj4aQaxCerwXq951XbxnvrTeV4gExOBeitPf8XxYC41t3yTW9WAO76AziGq9UWfmIjPMEWdgiMh60IYD1jtvJNfg==&amp;urlHash=ItqD", "https://portal.zinghr.com/CandidateAddition/CreateNewCandidate/TopCandidateDetailsMenu?VCode=SMoGpcA/KJDGMOoXmYZLNN6OuyvYrrg34I0JhuJsFPxRBiPXPPnlKpGO9vo0MhP6GETKql65jJEQtgdtLOF/299G0XePeYu3h2eQBS2UoBQzv8XdBP5gROekhstMUIf8uMmMVAx5p8t0kLsfKQGtDACo5CepdNfazR1/3aRMYJQ/Up0NwCgVVLfpO+Kqw0RN4adl3DJzNt3MLmYIjrjxjmD/jswyYSfj4aQaxCerwXq951XbxnvrTeV4gExOBeitPf8XxYC41t3yTW9WAO76AziGq9UWfmIjPMEWdgiMh60IYD1jtvJNfg==&amp;urlHash=ItqD")</f>
        <v/>
      </c>
      <c r="G114" t="inlineStr">
        <is>
          <t>Stone Head, IN</t>
        </is>
      </c>
      <c r="H114" t="inlineStr"/>
      <c r="I114"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115">
      <c r="A115" t="inlineStr">
        <is>
          <t>li-4366603792</t>
        </is>
      </c>
      <c r="B115" t="inlineStr">
        <is>
          <t>Sr. Product Manager, Location Management</t>
        </is>
      </c>
      <c r="C115" t="inlineStr">
        <is>
          <t>Tesla</t>
        </is>
      </c>
      <c r="D115" t="inlineStr">
        <is>
          <t>linkedin</t>
        </is>
      </c>
      <c r="E115">
        <f>HYPERLINK("https://www.linkedin.com/jobs/view/4366603792", "https://www.linkedin.com/jobs/view/4366603792")</f>
        <v/>
      </c>
      <c r="F115" t="inlineStr"/>
      <c r="G115" t="inlineStr">
        <is>
          <t>Fremont, CA</t>
        </is>
      </c>
      <c r="H115" t="inlineStr"/>
      <c r="I115" t="inlineStr">
        <is>
          <t>**What To Expect**
 As a Product Manager for our Location Management Tool, you will lead efforts to maintain and enhance a critical platform used by vendors and internal users to manage physical location functions. You'll collaborate with cross\-functional teams to gather requirements, prioritize features, and deliver improvements that drive user satisfaction. This role requires balancing technical understanding with business acumen to evolve our product strategically. You'll serve as the voice of the customer while aligning product development with company objectives. Your success will be measured by user adoption, feature utilization, and business impact.
**What You'll Do**
- Develop and maintain a strategic product roadmap for the Location Management Tool
- Gather and prioritize requirements from internal stakeholders and external vendors
- Create detailed user stories, specifications, and acceptance criteria
- Analyze user behavior and product usage data to inform product decisions
- Collaborate with engineering, design, and QA teams throughout the development lifecycle
- Conduct user research to understand pain points and identify improvement opportunities
- Plan and execute product releases in coordination with engineering and operations teams
- Define success metrics and KPIs to measure product performance
- Communicate product updates and value propositions to stakeholders and users
- Identify opportunities for product enhancement based on market trends and business objectives
**What You'll Bring**
- 3\+ years of product management experience with software products
- Proven track record of successfully launching and maintaining digital products
- Strong analytical skills with experience in data\-driven decision making
- Excellent communication and presentation abilities
- Experience gathering and documenting product requirements
- Ability to translate business needs into technical requirements
- Knowledge of Agile development methodologies
- Experience with user research and usability testing techniques
- Degree in Business, Computer Science, or related field or equivalent experience
- Familiarity with location\-based services or facility management software preferred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$294,000/annual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16">
      <c r="A116" t="inlineStr">
        <is>
          <t>li-4366617734</t>
        </is>
      </c>
      <c r="B116" t="inlineStr">
        <is>
          <t>Associate Product Manager</t>
        </is>
      </c>
      <c r="C116" t="inlineStr">
        <is>
          <t>Motorola Solutions</t>
        </is>
      </c>
      <c r="D116" t="inlineStr">
        <is>
          <t>linkedin</t>
        </is>
      </c>
      <c r="E116">
        <f>HYPERLINK("https://www.linkedin.com/jobs/view/4366617734", "https://www.linkedin.com/jobs/view/4366617734")</f>
        <v/>
      </c>
      <c r="F116" t="inlineStr"/>
      <c r="G116" t="inlineStr">
        <is>
          <t>Chicago, IL</t>
        </is>
      </c>
      <c r="H116" t="inlineStr"/>
      <c r="I11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First Responder Applications Product Management team owns the roadmap for delivering Motorola Solutions’ in\-vehicle, handheld and voice applications specifically designed for use by first responders. These products are used worldwide to keep communities and individuals safe in public safety and enterprise organizations.
**Job Description**
 We are seeking an enthusiastic and focused Product Owner to drive the delivery and migration of our planned roadmap First Responder Mobile and Handheld software products. This role will initially focus on collaborating with Engineering and Product Management to execute the software roadmap. A key responsibility will be collaborating with Customer Success teams by identifying and coordinating the migration of existing customers onto new platform products within the Motorola Solutions portfolio.
**Desired Skills**
* Collaborative Mindset: Demonstrated ability to formulate a plan and drive its execution by effectively collaborating across functional teams (Engineering, Product, Services).
* Problem Solver: Proven ability to identify and manage competing requirements, objectively analyze diverse inputs, and break down complex problems to deliver measurable, impactful solutions across multiple team needs.
* Influential Communicator: Excellent ability to analyze complex data, draw clear conclusions, and communicate them effectively to different levels of the organization. Ability to bring the right experts together and support them in aligning with common goals and milestones.
* Drive \&amp; Initiative: A proactive attitude with a strong interest in learning the fundamentals of program management.
**Qualifications**
* BS in Product Management, Computer Science, Telecommunications, or a related technical discipline.
* 2\+ years of experience as a Product Owner / Product Manager with a working knowledge of agile software development and management best practices.
* Understanding of various build environments and automated testing, and experience with Product management tools \- Jira and Confluence is preferred.
* Excellent presentation, written, and verbal communication skills.
* Strong interpersonal skills with a desire to collaborate with internal and external business/technical teams.
* Highly organized, structured, and process\-oriented; team building skills a plus.
* Experience with Google Work Suite, Jira, and Confluence is a plus.
* Legal authorization to work in the U.S. indefinitely is required. Employer work permit sponsorship is not available for this position.
 The candidate may be required to travel 20% of their time.
 This position is subject to working in high security areas governed by the US Department of Justice's "Criminal Justice Information Services (CJIS) Security Policy" and therefore requires successfully passing a more stringent fingerprint background check administered by Motorola Solutions Inc. customers.
 Target Base Salary Range: $90,000 \- $110,000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BS in Product Management, Computer Science, Telecommunications, or a related technical discipline with 2\+ years of experience as a Product Owner / Product Manager, or a Master's degree in a related field.
 Legal authorization to work in the U.S. indefinitely is required. Employer work permit sponsorship is not available for this position.
 Must be able to obtain background clearance as required by government customer.
 Travel Requirements
 10\-25%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17">
      <c r="A117" t="inlineStr">
        <is>
          <t>li-4366051790</t>
        </is>
      </c>
      <c r="B117" t="inlineStr">
        <is>
          <t>Product Manager</t>
        </is>
      </c>
      <c r="C117" t="inlineStr">
        <is>
          <t>Taptap Send</t>
        </is>
      </c>
      <c r="D117" t="inlineStr">
        <is>
          <t>linkedin</t>
        </is>
      </c>
      <c r="E117">
        <f>HYPERLINK("https://www.linkedin.com/jobs/view/4366051790", "https://www.linkedin.com/jobs/view/4366051790")</f>
        <v/>
      </c>
      <c r="F117">
        <f>HYPERLINK("https://jobs.ashbyhq.com/TaptapSend/7eaf0cb5-8600-45fc-85d2-65995c637529/application?utm_source=b9adZB9JWv&amp;urlHash=U3hr", "https://jobs.ashbyhq.com/TaptapSend/7eaf0cb5-8600-45fc-85d2-65995c637529/application?utm_source=b9adZB9JWv&amp;urlHash=U3hr")</f>
        <v/>
      </c>
      <c r="G117" t="inlineStr">
        <is>
          <t>New York, NY</t>
        </is>
      </c>
      <c r="H117" t="inlineStr"/>
      <c r="I117" t="inlineStr">
        <is>
          <t>**About Us**
 We’re building the world’s leading cross\-border fintech for emerging markets \- empowering families, fueling local economies, and changing how millions access financial services.
 Since our launch in 2019, we have transformed how money moves across borders with our operations spanning 6 out of 7 continents and covering both the busiest and most underserved (remittance) corridors. We tapped into a massive shift \- from banks to phones \- bringing digital finance to places where traditional systems never reached. The next stage of growth will fuel a network of services and products especially designed to make money more accessible to diaspora communities including local cards, and additional savings and payments features.
 We’re growing fast, backed by world\-class investors, and scaling a product that blends
 **real world impact with cutting edge fintech innovation** 
 .
**Here’s a Little More**
* Founded by Harvard grads and 3\-time founders who previously built Segovia (acquired) and GiveDirectly (\&gt;$300M revenue, fastest\-growing NGO in the world)
* Backed by top investors including Spark Capital, Canaan, Reid Hoffman, Breyer Capital, Unbound, Wamda, and more
* Built by global top performers from Bain, Google, McKinsey, Uber, Checkout, Bolt, and beyond \- we move fast, stay humble, and care deeply about our mission
* Truly global team \- 250\+ people, 50\+ nationalities, 50\+ languages
* Guided by our values \- ownership, impact, humility, and heart \- in deed, not just word
**Role**
 You will be joining Taptap Send’s product team, with responsibility for the full\-stack of product from product strategy (i.e., identify primary ideas for product improvement) to design (i.e., creating initial mocks; writing technical specs) and implementation (i.e., cross\-functional project management and execution).
 You’ll take product features from conception to implementation. Your role will be central to translating our customer and internal needs into a product roadmap, and then working with engineering to execute against it.
 An ideal candidate will want to spend extensive time with our customers and be as fluent in user interviews and UX as analytics and SQL. They will have a deep understanding of product management for consumer products, experience with immigrant communities, a passion for social change, and an ability to lead multiple stakeholders to execute against the plan. Perhaps most centrally, they will have an ability to think holistically, quickly identify problems, simplify and find practical solutions.
**Responsibilities**
* Identify opportunities for product improvement through analytics and customer interviews
* Define plan for such improvement, including timing and resource requirements
* Design initial product mocks based on user research
* Write product specs to improve efficiency of the build
* Coordinate across engineering, operations, compliance, markets, etc. to execute efficiently
* Implement systems for iterative development with regular user feedback
**Requirements**
* 5 years’ experience working in product management or consulting for a top tier company
* Experience in fintech strongly preferred
* Experience with immigrant communities and empathy for our customers
* Strong analytical skills
* Experience with SQL and/or Mixpanel
* Outstanding project management skills, including end\-to\-end problem ownership
* UX design instincts
* Experience with Figma or other prototyping tools a plus
* Background or degree in a technical field a plus
**Also you are**
* Outgoing \- you love speaking to people and enjoy building meaningful relationships
* Execution Oriented \- we have an ‘impact first’ philosophy and a lot to get done. You should be able to take an idea to implementation
* Mission Oriented \- you are passionate about working for a net positive organisation / tech for good
* Organised \- you have a system for how you approach your work that can keep you on track in a scrappy startup environment
* Driven \- you thrive in a fast\-paced, target oriented company
 Taptap Values
 Impact first
 Team next
 Accept reality
 Propose solutions
 Win with grit
 Be proactively candid, with yourself and others
 Love the particular
 Own it
 Create positive energy
 Maybe, even have fun
 Taptap Send is an equal opportunity employer dedicated to building an inclusive and diverse workforce. All employment decisions are decided on the basis of qualifications, experience and business need. We strongly encourage applications who are members of underrepresented communities to apply.
 If you require reasonable adjustments to be made during the recruitment process, please do not hesitate to let us know. Any information you provide us in this respect will only be used to accommodate your requirements.
*Note: we recognize imposter syndrome is real \- any candidate that does not perfectly fit every characteristic of this role is still strongly encouraged to apply.*</t>
        </is>
      </c>
    </row>
    <row r="118">
      <c r="A118" t="inlineStr">
        <is>
          <t>li-4366627044</t>
        </is>
      </c>
      <c r="B118" t="inlineStr">
        <is>
          <t>Sr Product Manager - G7 Mobile App</t>
        </is>
      </c>
      <c r="C118" t="inlineStr">
        <is>
          <t>Dexcom</t>
        </is>
      </c>
      <c r="D118" t="inlineStr">
        <is>
          <t>linkedin</t>
        </is>
      </c>
      <c r="E118">
        <f>HYPERLINK("https://www.linkedin.com/jobs/view/4366627044", "https://www.linkedin.com/jobs/view/4366627044")</f>
        <v/>
      </c>
      <c r="F118" t="inlineStr"/>
      <c r="G118" t="inlineStr">
        <is>
          <t>San Diego, CA</t>
        </is>
      </c>
      <c r="H118" t="inlineStr"/>
      <c r="I118"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The Dexcom Mobile App Product Management team is where innovation meets impact! We’re the driving force behind world\-class digital experiences that empower millions to manage their health with confidence. What makes us cool? We combine cutting\-edge technology, human\-centered design, and a collaborative spirit that thrives on creativity and bold ideas. Every day, we shape the future of connected care—crafting intuitive, data\-driven tools that truly change lives. If you love tackling big challenges, working with brilliant minds, and seeing your work make a real difference, this is the team you want to grow with.
**Where You Come In**
 Lead the sustained success and evolution of the Dexcom G7 mobile app. You’ll drive product roadmap development, prioritize continuous improvement initiatives, and ensure the app remains clinically trusted, technically robust, and user\-friendly across global markets. As a key connector across product, design, engineering, and clinical teams, you’ll help ensure the G7 app remains a trusted, high\-performing part of Dexcom’s CGM ecosystem.
* Serve as the product lead for Dexcom’s G7 and G\-series mobile applications—our flagship digital experiences.
* Own the mobile product roadmap, balancing sustaining work, UX enhancements, and new feature development.
* Work with the Customer Product Experience Team’s Group Product Manager to support a meaningful end\-to\-end experience and deliver against our broader product strategy and outcomes
* Drive app reliability, interoperability, and performance optimization based on customer feedback and clinical insights.
* Create product requirements (PRDs) and guide sprint planning in collaboration with engineering and UX design.
* Drive cross\-functional collaboration to define and deliver new, innovative product capabilities.
* Ensure mobile functionality aligns with CGM sensor performance, meeting system\-level reliability and safety standards.
* Partner with regulatory, clinical, and quality teams to maintain compliance with FDA, CE, and ISO 13485 standards.
* Plan for future integrations with insulin delivery systems, partner applications, and Dexcom’s broader digital ecosystem.
* Use data and analytics to inform prioritization, reduce user friction, improve engagement, and expand global reach.
* Collaborate across global teams (EMEA, APAC, LATAM) to support localization and alignment with regional needs.
**What Makes You Successful**
* 5–10 years of product management experience, ideally in mobile apps or connected health technology.
* Deep familiarity with diabetes care technology, CGMs, or medical device ecosystems.
* Proven success leading product roadmaps and sustaining programs for digital consumer products.
* Experience gathering and applying voice\-of\-customer insights to guide product decisions.
* Cross\-functional leadership across engineering, design, clinical, and regulatory teams.
* Strong communication and stakeholder management skills.
* Bachelor’s degree in science/engineering, computer science, business, health technology, or related field.
* Familiarity with agile tools like Jira, Figma, and data analytics platforms.
* Bonus: Experience with insulin pump systems, AID technology, or digital therapeutic integration.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and a minimum of 13\+ years of related experience.
* At this level, a graduate degree may be expected with 6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$149,000\.00 \- $248,300\.00</t>
        </is>
      </c>
    </row>
    <row r="119">
      <c r="A119" t="inlineStr">
        <is>
          <t>li-4366039473</t>
        </is>
      </c>
      <c r="B119" t="inlineStr">
        <is>
          <t>Product Manager, Identity Resolution</t>
        </is>
      </c>
      <c r="C119" t="inlineStr">
        <is>
          <t>TikTok</t>
        </is>
      </c>
      <c r="D119" t="inlineStr">
        <is>
          <t>linkedin</t>
        </is>
      </c>
      <c r="E119">
        <f>HYPERLINK("https://www.linkedin.com/jobs/view/4366039473", "https://www.linkedin.com/jobs/view/4366039473")</f>
        <v/>
      </c>
      <c r="F119" t="inlineStr"/>
      <c r="G119" t="inlineStr">
        <is>
          <t>San Jose, CA</t>
        </is>
      </c>
      <c r="H119" t="inlineStr"/>
      <c r="I119" t="inlineStr">
        <is>
          <t>**Responsibilities**
 About the Team
 Pangle is the Ad Network of TikTok for Business, connecting worldwide advertisers with 1B\+ DAUs through thousands of locally popular publishers. Pangle has established an industry\-leading Ad Network in 20\+ emerging markets, with proven success in Asia Pacific, the Middle East, and Latin America.
 Responsibilities:
 \- Build Pangle’s identity resolution spine, enabling privacy\-safe, performance\-driven programmatic ad buying and personalized ad experiences.
 \- Anticipate shifts in privacy, platform APIs (e.g., SKAdNetwork, Privacy Sandbox), and market dynamics; translate them into a resilient product vision.
 \- Partner with engineering, data science, and MLOps teams to ingest, reconcile, and activate massive first\- and third\-party data sets (device, app, click\-stream, server\-to\-server, clean rooms).
 \- Drive iterative experimentation to improve identity match rate, signal quality, and downstream ROI for advertisers.
 \- Align senior stakeholders across Ads, Privacy, Policy, Legal, and Partner Engineering; present clear trade\-offs and get decisions made quickly.
 \- Work closely with diverse teams, including Targeting, Attribution, Optimization, Insights, and vertical experience units. Leverage signals to empower and enhance their products, driving cohesive strategies that amplify impact across the organization.
 \- Analyze complex business challenges and identify key opportunities to inform product development. Prioritize features that not only enhance user experience but also drive advertiser satisfaction and engagement.
**Qualifications**
 Minimum Qualifications:
 \- Bachelor’s degree in Computer Science, Engineering, Statistics, or equivalent experience.
 \- 3\+ years of working experience in AdTech/MarTech, programmatic advertising, data platforms, or large\-scale ML systems. We welcome candidates from product, engineering, data science, or analytics backgrounds; prior product‑management title is not required.
 \- Demonstrated ability to guide highly technical engineering conversations on architecture, data integrity, and trade\-offs at scale.
 Preferred Qualifications:
 \- Understanding of operating‑system and network fundamentals—e.g., browser request lifecycle, mobile/desktop OS, network protocols—is a strong plus.
 \- Experience building Identity products for AdTech/MarTech and applicable regional and state privacy regulations (e.g., GDPR, CCPA, COPPA, ATT).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20">
      <c r="A120" t="inlineStr">
        <is>
          <t>li-4366630107</t>
        </is>
      </c>
      <c r="B120" t="inlineStr">
        <is>
          <t>Product Manager</t>
        </is>
      </c>
      <c r="C120" t="inlineStr">
        <is>
          <t>Haystack</t>
        </is>
      </c>
      <c r="D120" t="inlineStr">
        <is>
          <t>linkedin</t>
        </is>
      </c>
      <c r="E120">
        <f>HYPERLINK("https://www.linkedin.com/jobs/view/4366630107", "https://www.linkedin.com/jobs/view/4366630107")</f>
        <v/>
      </c>
      <c r="F120" t="inlineStr"/>
      <c r="G120" t="inlineStr">
        <is>
          <t>New York, United States</t>
        </is>
      </c>
      <c r="H120" t="inlineStr"/>
      <c r="I120" t="inlineStr">
        <is>
          <t>**Vice President, Go\-to\-Market (GTM) Product Manager \| New York \| Remote\-Friendly \| $99,750 \- $201,000**
 We're working with J.P. Morgan on this exciting opportunity.
 We're looking for a strategic and results\-driven Go\-to\-Market Product Manager to revolutionize payment services within our Proprietary Wallets organization. You'll be at the forefront of transforming customer experiences and defining market entry strategies for innovative products, driving business growth and product excellence.
**The Role**
* Lead the development and execution of comprehensive Go\-to\-Market strategies for new wallet products, encompassing market segmentation, positioning, and pricing.
* Spearhead cross\-functional teams across Product, Marketing, Technology, Data \&amp; Analytics, Design, Finance, and Operations to ensure seamless alignment and execution of GTM plans.
* Oversee end\-to\-end product launch processes, collaborating closely with core product managers to plan, execute, and track post\-launch performance.
* Define and meticulously monitor key performance indicators (KPIs) for GTM initiatives, providing insightful reports to executive leadership.
* Continuously optimize GTM processes, tools, and frameworks to enhance efficiency and scalability within the organization.
**What You'll Need**
* 10\+ years of proven experience in Go\-to\-Market strategy, product management, strategic planning, or related roles.
* A strong track record of successfully launching innovative products and executing effective market entry strategies.
* Exceptional analytical, strategic thinking, and problem\-solving skills, with the ability to translate insights into action.
* Demonstrated leadership abilities, with excellent communication and stakeholder management skills, influencing at all organizational levels.
* Deep understanding of market dynamics, customer needs, and competitive landscapes, ideally within Financial Services or the Tech sector.
**What's On Offer**
* The opportunity to define the future of payment services in a dynamic and forward\-thinking organization.
* A competitive total rewards package, including a strong base salary and performance\-based incentives.
* Access to comprehensive health care coverage, wellness programs, and a robust retirement savings plan.
* A collaborative and inclusive work environment that values diverse talents and fosters professional growth.
**Apply via Hackajob today!**</t>
        </is>
      </c>
    </row>
    <row r="121">
      <c r="A121" t="inlineStr">
        <is>
          <t>li-4366059363</t>
        </is>
      </c>
      <c r="B121" t="inlineStr">
        <is>
          <t>Solution Product Owner- REMOTE</t>
        </is>
      </c>
      <c r="C121" t="inlineStr">
        <is>
          <t>Prime Therapeutics</t>
        </is>
      </c>
      <c r="D121" t="inlineStr">
        <is>
          <t>linkedin</t>
        </is>
      </c>
      <c r="E121">
        <f>HYPERLINK("https://www.linkedin.com/jobs/view/4366059363", "https://www.linkedin.com/jobs/view/4366059363")</f>
        <v/>
      </c>
      <c r="F121" t="inlineStr"/>
      <c r="G121" t="inlineStr">
        <is>
          <t>Minneapolis, MN</t>
        </is>
      </c>
      <c r="H121" t="inlineStr"/>
      <c r="I121" t="inlineStr">
        <is>
          <t>At Prime Therapeutics (Prime), we are a different kind of PBM, with a purpose beyond profits and a unique ability to connect care for those we serve. Looking for a purpose\-driven career? Come build the future of pharmacy with us.
**Job Posting Title**
 Solution Product Owner\- REMOTE
**Job Description**
 The Solution Product Consultant is responsible for support of the product development team in their delivery of value\-added solutions to business problems, working closely with other Product Owners. They provide key operational knowledge to assist in building of appropriate backlog, validate outcomes and accept user stories, work with clients on change configuration needs and support operational team change needs.
**Responsibilities**
* Represent assigned product in the development of user stories, acceptance criteria, operational processes, client configurations and process change
* Act as the primacy point of contact for internal and external resources on business knowledge related to the operational processes, configuration and needs of the product
* Understand and explain business requirements, prioritize and slot work for the IT team and remain accountable for the acceptance of testing results of user stories and configuration changes
* Work with other product owners and operations teams and stakeholders to understand product discovery/definition and convert to actionable items on the backlog; user story creation, definition of acceptance criteria and loading into the feature/requirement tracking tool
* Other duties as assigned
**Minimum Qualifications**
* Bachelor's degree in Business, IT, Healthcare Administration or related area of study, or equivalent combination of education and/or relevant work experience
* 3 years of work experience in supporting business process or system change and/or similar relevant experience
* Must be eligible to work in the United States without need for work visa or residency sponsorship
 Must be eligible to work in the United States without the need for work visa or residency sponsorship
**Additional Qualifications**
* Ability to establish and maintain relationships with clients
* Self learns new processes / software to solve analytic problems
* Interpersonal skills necessary to drive results and deliver on commitments
* Experienced at meeting facilitation, conflict management, and consensus building
**Preferred Qualifications**
* Experience working in an agile environment
* Experience in Pharmacy Benefit Management (PBM) or related industry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$81,000\.00 \- $138,000\.00 based on experience and skills.
 To review our Benefits, Incentives and Additional Compensation, visit our Benefits Page and click on the "Benefits at a glance" button for more detail (https://www.primetherapeutics.com/benefits).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t>
        </is>
      </c>
    </row>
    <row r="122">
      <c r="A122" t="inlineStr">
        <is>
          <t>li-4351541220</t>
        </is>
      </c>
      <c r="B122" t="inlineStr">
        <is>
          <t>Senior Product Manager, Reporting</t>
        </is>
      </c>
      <c r="C122" t="inlineStr">
        <is>
          <t>Attentive</t>
        </is>
      </c>
      <c r="D122" t="inlineStr">
        <is>
          <t>linkedin</t>
        </is>
      </c>
      <c r="E122">
        <f>HYPERLINK("https://www.linkedin.com/jobs/view/4351541220", "https://www.linkedin.com/jobs/view/4351541220")</f>
        <v/>
      </c>
      <c r="F122" t="inlineStr"/>
      <c r="G122" t="inlineStr"/>
      <c r="H122" t="inlineStr"/>
      <c r="I12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Reporting is at the core of how our customers understand their performance and make strategic decisions. Today, as Attentive continues to expand into new channels and products (including Email), the quality, speed, and flexibility of our reporting experience is more important than ever.
 In this role, you will be responsible for ensuring Attentive’s reporting platform is accurate, consistent, fast, and trusted across all customer touchpoints. You will work closely with clients, Sales, Design, Data, and Engineering to define a clear reporting strategy that delivers indisputable value and positions Attentive as a best\-in\-class marketing partner.
 We’re looking for a strategic, data\-savvy Senior Product Manager to own and evolve Attentive’s Reporting suite. This role is ideal for a PM who enjoys going deep into data foundations and cares deeply about building intuitive, flexible, and trustworthy client experiences.
 You’ll play a critical role in shaping how Attentive communicates proof of value—ensuring our metrics are consistent, performant, and easy for customers to understand and act on. Your work will directly improve client trust, reporting adoption, and Attentive’s ability to win and expand deals across channels.
**What You’ll Accomplish** 
* Own the definition, alignment, and long\-term health of core reporting metrics across teams and products
* Resolve existing inconsistencies caused by differing source data or logic, and put guardrails in place to prevent future fragmentation
* Partner with Data and Engineering to establish clear metric standards, documentation, and governance
* Ensure customers experience a single, trustworthy version of the truth, no matter where they view their data
* Lead product discovery to deeply understand current pain points in reporting and analytics across CSM, ESM, and AM workflows
* Develop a product strategy that reduces manual reporting burden and unlocks Rev Org capacity to focus on strategic partnerships and high\-value customer opportunities
* Own the end\-to\-end delivery of reporting and analytics enhancements, from requirements to launch to iteration in close partnership with EPD counterparts
* Define success metrics for reporting efficiency and track improvements in Rev Org time saved, reduction in support tickets, and improvements in customer satisfaction
* Build feedback loops with internal teams and customers to ensure the product continuously evolves to meet emerging analytics needs
**Your Expertise** 
* 4\+ years of Product Management experience at a SaaS or data\-driven company
* Proven experience owning data\-rich products and translating complexity into clear, usable experiences
* A strong executor biased towards action who can move from ambiguity to shipped impact
* Customer\-obsessed, you love talking to clients and turning qualitative feedback into concrete product decisions
* Comfortable working cross\-functionally with Design, Data Science, Engineering, and other Product Managers
* Highly analytical, with a track record of setting measurable goals and evaluating outcomes post\-launch
* An excellent communicator who can align diverse stakeholders behind a clear vision and roadmap
* Passionate about building tools customers trust and rely on
* Bonus: Experience with marketing platforms, analytics products, or SaaS reporting tools
 You'll get competitive 
 perks and benefits
 , from health \&amp; wellness to equity, to help you bring your best self to work.
**For US based applicants:
 \- The US base salary range for this full time position is $175,000 \- $219,000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23">
      <c r="A123" t="inlineStr">
        <is>
          <t>li-4366367896</t>
        </is>
      </c>
      <c r="B123" t="inlineStr">
        <is>
          <t>Senior Product Manager- Growth</t>
        </is>
      </c>
      <c r="C123" t="inlineStr">
        <is>
          <t>Storm3</t>
        </is>
      </c>
      <c r="D123" t="inlineStr">
        <is>
          <t>linkedin</t>
        </is>
      </c>
      <c r="E123">
        <f>HYPERLINK("https://www.linkedin.com/jobs/view/4366367896", "https://www.linkedin.com/jobs/view/4366367896")</f>
        <v/>
      </c>
      <c r="F123" t="inlineStr"/>
      <c r="G123" t="inlineStr">
        <is>
          <t>Boston, MA</t>
        </is>
      </c>
      <c r="H123" t="inlineStr"/>
      <c r="I123" t="inlineStr">
        <is>
          <t>I'm hiring a Sr Product Manager to own a core product domain end\-to\-end and partner closely with engineering, QA, clinical, and operations. You’ll lead strategy and execution, improve speed and clarity through strong documentation, and use modern AI tools to accelerate analysis, prototyping, and delivery. You’ll also own key member experience outcomes for your domain, including engagement and retention.
**Responsibilities** 
* Own a product domain end\-to\-end (for example Member Experience or Care Delivery tools), including vision, roadmap, prioritization, and outcomes.
* Translate clinical and business strategy into clear product requirements and user flows across mobile, web, and internal tools.
* Drive member activation, engagement, and retention through close partnership with design, clinical, engineering, and QA, using metrics and rapid iteration.
* Define success metrics, run A/B tests, and iterate based on data and learnings.
* Align cross\-functional stakeholders (clinical, operations, customer success, leadership) on scope, timelines, and tradeoffs.
**You might be a good fit if you** 
* Have 5\-8 years of product management experience, including owning meaningful product surfaces from discovery through launch and iteration.
* Are a strong writer who can turn complex domains into crisp, testable requirements and decision\-ready summaries.
* Have technical fluency: you can read and reason about code, APIs, and data models; you’re comfortable with tools like Git and collaborating via pull requests.
* Think in systems and edge cases, especially in workflows with rules, routing, eligibility, or operational constraints.
* Have experience improving engagement/retention in a member\-facing product using metrics and continuous iteration.
* Are outcome\-oriented: you balance member value, clinical safety, operational impact, and engineering constraints to ship the right thing.
* Thrive in ambiguity and can create clarity quickly without over\-processing.</t>
        </is>
      </c>
    </row>
    <row r="124">
      <c r="A124" t="inlineStr">
        <is>
          <t>li-4366058726</t>
        </is>
      </c>
      <c r="B124" t="inlineStr">
        <is>
          <t>Associate Principal Product Manager, Platform</t>
        </is>
      </c>
      <c r="C124" t="inlineStr">
        <is>
          <t>Rockstar Games</t>
        </is>
      </c>
      <c r="D124" t="inlineStr">
        <is>
          <t>linkedin</t>
        </is>
      </c>
      <c r="E124">
        <f>HYPERLINK("https://www.linkedin.com/jobs/view/4366058726", "https://www.linkedin.com/jobs/view/4366058726")</f>
        <v/>
      </c>
      <c r="F124" t="inlineStr"/>
      <c r="G124" t="inlineStr">
        <is>
          <t>Carlsbad, CA</t>
        </is>
      </c>
      <c r="H124" t="inlineStr"/>
      <c r="I124"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Games is seeking an experienced product manager to help us deliver world\-class experiences to new and returning players. This full\-time role is an amazing opportunity to contribute to the platform that connects millions of players across the globe with our live\-service gaming experiences, including Grand Theft Auto Online and Red Dead Online.
 In this role, you will help us create, communicate, and execute our vision for our online platform and the technologies that power it. You will think through complex workflows, break them down into straightforward requirements, and prioritize those requirements effectively. Whether it is through documentation, roadmaps, presentations, or direct feedback, you will work closely with our services and game development teams to deliver the right solution at the right time. You will drive strategies that ensure our services can scale, are resilient, performant, and remain secure.
 This is a full\-time, in\-office position based out of Rockstar’s new state\-of\-the\-art game development studio in Carlsbad, CA.
**What We Do**
* The Rockstar Games Online Services Team is a passionate development group, focused on growing and maintaining the technology platform that powers Rockstar’s online titles and our ability to deliver world\-class player experiences.
* We also align technology and tools with our game and platform features to empower various teams within Rockstar – including game development, marketing, publishing, and customer support – to create better experiences for our players.
**Responsibilities**
* Foster a culture of collaboration, innovation, and performance\-focused product development. Provide guidance and mentorship to other product managers, helping them grow their skills and contribute effectively to the team’s success.
* Participate in development and deployment of our backend systems, with a focus on increasing the speed at which our engineers can iterate.
* Manage and drive the product roadmap, aligning it with company goals, security standards, and player needs for both new and existing games.
* Stay current with DevOps trends and technologies and apply that knowledge to helping our platform engineers.
* Communicate technical and business requirements to both technical and non\-technical stakeholders; translate complex technical concepts into understandable requirements for cross\-functional teams and executive stakeholders.
* Drive continuous improvement in platform resiliency by reviewing and optimizing performance, and scalability strategies to ensure our games meet high standards for service continuity and quality.
**Requirements**
* 12\+ years of professional experience in product management in gaming or technology, or an adjacent field.
* Extensive experience with distributed systems and microservices architecture.
* Demonstrated experience with games development, its relevant tools and considerations \- preferably with focus on online multiplayer games.
* Experience with DevOps and CI/CD pipelines.
* Knowledge of modern cloud (public and private) infrastructure best practices.
* Knack for influencing stakeholders across a variety of organizations without explicit authority.
* Aptitude for working iteratively to support evolving stakeholder visions.
**PLUSES**
 Please note that these are desirable skills and are not required to apply for the position.
* Avid gamer with a passion for Rockstar Games titles.
* One or more titles shipped on console or PC; preferably on the Xbox and/or PlayStation consoles.
* Experience with analytical and visualization tools like Figma, Snowflake, and Tableau.
* Direct experience in software engineering, software development, data engineering, or similar.
* Degree in computer science or equivalent experience.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San Diego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San Diego Base Pay Range
 $180,000—$200,000 USD</t>
        </is>
      </c>
    </row>
    <row r="125">
      <c r="A125" t="inlineStr">
        <is>
          <t>li-4366040422</t>
        </is>
      </c>
      <c r="B125" t="inlineStr">
        <is>
          <t>TikTok Shop - Product Manager, Customer Growth</t>
        </is>
      </c>
      <c r="C125" t="inlineStr">
        <is>
          <t>TikTok</t>
        </is>
      </c>
      <c r="D125" t="inlineStr">
        <is>
          <t>linkedin</t>
        </is>
      </c>
      <c r="E125">
        <f>HYPERLINK("https://www.linkedin.com/jobs/view/4366040422", "https://www.linkedin.com/jobs/view/4366040422")</f>
        <v/>
      </c>
      <c r="F125" t="inlineStr"/>
      <c r="G125" t="inlineStr">
        <is>
          <t>Seattle, WA</t>
        </is>
      </c>
      <c r="H125" t="inlineStr"/>
      <c r="I125"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26">
      <c r="A126" t="inlineStr">
        <is>
          <t>li-4366617753</t>
        </is>
      </c>
      <c r="B126" t="inlineStr">
        <is>
          <t>Product Manager - Enterprise Workflows</t>
        </is>
      </c>
      <c r="C126" t="inlineStr">
        <is>
          <t>Motorola Solutions</t>
        </is>
      </c>
      <c r="D126" t="inlineStr">
        <is>
          <t>linkedin</t>
        </is>
      </c>
      <c r="E126">
        <f>HYPERLINK("https://www.linkedin.com/jobs/view/4366617753", "https://www.linkedin.com/jobs/view/4366617753")</f>
        <v/>
      </c>
      <c r="F126" t="inlineStr"/>
      <c r="G126" t="inlineStr">
        <is>
          <t>Richardson, TX</t>
        </is>
      </c>
      <c r="H126" t="inlineStr"/>
      <c r="I12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 smarter store starts with smarter communication. Theatro, our user\-friendly, voice\-driven AI platform provides retail workers with real\-time, discreet, and efficient communication — helping them stay safe and productive while delivering top\-notch customer service.
**Job Description**
 Motorola Solutions, Inc. is seeking a highly experienced and driven Senior Product Manager to lead the strategy, roadmap, and execution for key enterprise software products within our Theatro organization. Theatro is a Dallas\-based cutting\-edge technology organization within MSI. It is the market leader in voice\-controlled enterprise wearable for retail, casinos, hospitality, and manufacturing. Theatro’s “heads up, hands free” mobile solution provides a software suite of productivity and communication applications through a SaaS (Software as a Service) offering designed to optimize frontline employee productivity and ability provide amazing customer experiences. You will be a critical leader within the Theatro product organization, responsible for deeply understanding user needs, market trends, and technological advancements to define and deliver innovative and impactful software workflow solutions. This role requires a strong technical acumen, an intellectually curious mindset, excellent communication skills, and a proven track record of successfully launching and scaling enterprise software solutions.
**Responsibilities**
* Product Strategy \&amp; Vision: Define and articulate a clear and compelling innovative product vision, strategy, and roadmap for assigned software workflow solutions, aligned with the overall company goals and market opportunities.
* Market \&amp; User Research: Conduct thorough market research, competitive analysis, and user research to identify unmet needs, emerging trends, and opportunities for innovation.
* Customer Engagement: Foster strong relationships with customer\-facing teams and end\-customers to understand critical use cases, pain points and direct feedback to drive product roadmap.
* Requirements Definition: Translate user needs, market insights, and technical capabilities into detailed and well\-documented product requirements, user stories, and acceptance criteria.
* Prioritization \&amp; Backlog Management: Effectively prioritize features and initiatives based on business value, technical feasibility, and user impact, maintaining a well\-groomed product backlog.
* Cross\-Functional Collaboration: Collaborate closely with engineering, design, marketing, sales, and customer success teams throughout the product lifecycle to ensure successful development, launch, and adoption.
* Product Development \&amp; Execution: Act as the product owner within agile development teams, actively participating in sprint planning, reviews, and retrospectives to ensure timely and high\-quality delivery.
* Performance Monitoring \&amp; Analysis: Define and track key product metrics, analyze performance data, and identify areas for optimization and improvement.
* Stakeholder Management: Effectively communicate product vision, strategy, roadmap, and progress to internal and external stakeholders, including executive leadership.
* Mentorship \&amp; Leadership: Mentor and guide other product managers on enterprise workflows, fostering a collaborative and growth\-oriented environment within the product team.
* Staying Current: Continuously stay informed about the latest workflow software technologies, industry trends, and best practices in product management.
**Qualifications**
* Bachelor's degree in Computer Science, Engineering, Business Administration, or a related field. Master's degree preferred.
* 5\+ years of progressive experience in product management, with a strong focus on software products (SaaS, enterprise software, voice platform products, etc.).
* Proven track record of successfully defining, launching, and scaling software products in a fast\-paced environment.
* Experience in conversational UX design or familiarity with voice user interface design software (Voiceflow, Dialogue Flow)
* Familiarity with emerging Generative AI technologies, especially voice based solutions.
* Strong technical aptitude and the ability to effectively communicate with engineering teams on technical concepts.
* Excellent analytical and problem\-solving skills, with the ability to interpret data and draw actionable insights.
* Exceptional communication, presentation, and interpersonal skills, with the ability to influence and collaborate effectively across different teams and levels.
* Strong business acumen and understanding of market dynamics, competitive landscapes, and revenue models for software products.
* Experience with user research methodologies and the ability to translate user insights into product requirements.
* Demonstrated ability to prioritize effectively and manage competing priorities.
* Experience with software tools (e.g., Visio, Figma, and AdobeXD).
**Bonus Points**
* Experience in workflow solutions for frontline employees in retail, hospitality, manufacturing, etc.
* Experience with voice technologies or software workflow solutions
* Experience leading and mentoring other product managers.
 Target Base Salary Range: $75,000 \- $112,000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Bachelor's degree in Computer Science, Engineering, Business Administration, or a related field. Master's degree preferred.
 5\+ years of progressive experience in product management, with a strong focus on software products (SaaS, enterprise software, voice platform products, etc.).
 Travel Requirements
 Under 10%
 Relocation Provided
 None
 Position Type
 Experienced
 Referral Payment Plan
 Yes
**Our U.S. Benefits Include**
* Incentive Bonus Plans
* Medical, Dental, Vision benefits
* 401K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27">
      <c r="A127" t="inlineStr">
        <is>
          <t>li-4366032230</t>
        </is>
      </c>
      <c r="B127" t="inlineStr">
        <is>
          <t>Card Product Owner</t>
        </is>
      </c>
      <c r="C127" t="inlineStr">
        <is>
          <t>Educational Federal Credit Union</t>
        </is>
      </c>
      <c r="D127" t="inlineStr">
        <is>
          <t>linkedin</t>
        </is>
      </c>
      <c r="E127">
        <f>HYPERLINK("https://www.linkedin.com/jobs/view/4366032230", "https://www.linkedin.com/jobs/view/4366032230")</f>
        <v/>
      </c>
      <c r="F127" t="inlineStr"/>
      <c r="G127" t="inlineStr">
        <is>
          <t>Miami, FL</t>
        </is>
      </c>
      <c r="H127" t="inlineStr"/>
      <c r="I127" t="inlineStr">
        <is>
          <t>**Job Summary:** 
 The Card Product Owner is accountable for the end\-to\-end delivery of card product initiatives, including the modification of existing card products and the launch of new card products. This role serves as the primary coordinator and execution lead between the VP of Card Products, Visa, Visa DPS (processor), rewards partners, internal technology teams, and the EdFed PMO. The Card Product Owner sets delivery priorities in partnership with the VP of Card Products and is responsible for driving timelines, resolving dependencies, and ensuring successful product launches by established target dates.
**We encourage you to view and apply directly at edfed.org/careers** 
**Duties \&amp; Responsibilities:** 
**1\. Product Delivery \&amp; Execution Ownership** 
* Own the end\-to\-end delivery of assigned card product initiatives, including modification of existing consumer credit card products and the launch of new card products.
* Drive product initiatives from concept through implementation, testing, go\-live, and post\-launch stabilization.
* Partner with the Vice President of Card Products to define priorities, sequencing, and delivery timelines aligned with strategic objectives and organizational capacity.
* Maintain a forward\-looking delivery roadmap that accounts for regulatory, operational, technical, and vendor dependencies.
**2\. Cross\-Functional \&amp; Vendor Coordination** 
* Serve as the primary point of coordination between internal stakeholders and external partners, including Visa, card processor, rewards program providers, IT, Operations, Marketing, and the EdFed Project Management Office.
* Lead cross\-functional design, planning, and review sessions to align business requirements, technical solutions, and operational readiness.
* Identify, manage, and resolve project dependencies, risks, and issues to keep initiatives on track.
* Act as a consultative partner in interpreting Visa mandates and network requirements, making recommendations for implementation approaches.
**3\. Project \&amp; Delivery Management** 
* Establish and manage project scope, goals, deliverables, milestones, timelines, and change requests in alignment with PMO methodology and tracking standards.
* Effectively communicate project status, risks, decisions, and progress to leadership and key stakeholders.
* Manage multiple concurrent initiatives in a fast\-paced, deadline\-driven environment while maintaining delivery quality and accuracy.
* Ensure project activities remain aligned with business objectives, regulatory requirements, and member experience standards.
**4\. Requirements, Testing \&amp; Readiness** 
* Translate business needs and product objectives into clear, actionable requirements in collaboration with business units and technical teams.
* Ensure all testing activities (system, integration, user acceptance) are completed, documented, and approved prior to go\-live.
* Coordinate training, procedures, and operational readiness to support successful product launches and enhancements.
* Partner with Card Services, Disputes, and Operations teams to refine workflows, processes, and controls related to card product changes.
**5\. Continuous Improvement \&amp; Problem Solving** 
* Research, evaluate, and recommend solutions or alternatives that more effectively meet business objectives and improve member experience.
* Identify opportunities for process improvement to enhance operational efficiency, reduce friction, and support scalable growth.
* Analyze business systems, workflows, and user needs to drive thoughtful, practical product enhancements.
* Produce detailed documentation, reporting, and analysis to support decision\-making and execution.
**6\. Leadership \&amp; Influence** 
* Act as a delivery leader by influencing outcomes without direct authority, aligning diverse stakeholders toward shared goals.
* Demonstrate the ability to lead, motivate, and guide cross\-functional teams through complex initiatives.
* Maintain strong working relationships across the organization while modeling accountability, transparency, and collaboration.
**7\. Other Responsibilities** 
* Perform other duties as assigned by management in support of Card Products and organizational objectives
**Requirements:** 
* Bachelor's degree or equivalent combination
* 4\-7 years of relevant experience in the financial industry with visible progression related to responsibilities and project complexity in the financial services industry
**Skills:** 
* Ability to think strategically, conceptually and analytically including strong trouble\-shooting skills.
* Strong attention to detail and solid interpersonal, written and verbal skills.
* Ability to meets deadlines and manage changing priorities with limited direction.
* Experience of acting in a consultancy capacity guiding team members to appropriate decisions.
* Maintain the confidentiality of the Credit Union and member records at all times.
* Advanced knowledge of the Credit Union products and services.
* Intermediate level knowledge or higher of Microsoft software, specifically Excel, Word, Outlook, and PowerPoint
***BSA Statement: Every employee is required to comply with all Bank Secrecy Act (BSA) policies and procedures, and to attend required BSA\-related training as assigned.***
**The following are some benefits offered to employees:** 
* Paid Holiday
* Paid Birthday
* Paid Sick and Personal Days
* Paid Vacation
* Retirement/401K with matching contributions
* Medical, Dental and Vision Insurance
* Life Insurance and Long Term Disability
* Tuition reimbursement for Undergraduate and Graduate courses
* Various Incentive Programs
* Career opportunities
**About Us:** 
 As a financial institution, EdFed has been dedicated to providing our members, the South Florida educational community, with quality financial services since 1935\. As an employer, we strive to provide staff with challenging career opportunities, great benefits, and a friendly work environment. Confidentiality is of the utmost importance in this position.</t>
        </is>
      </c>
    </row>
    <row r="128">
      <c r="A128" t="inlineStr">
        <is>
          <t>li-4366037417</t>
        </is>
      </c>
      <c r="B128" t="inlineStr">
        <is>
          <t>Product Owner/Manager</t>
        </is>
      </c>
      <c r="C128" t="inlineStr">
        <is>
          <t>Corebridge Financial</t>
        </is>
      </c>
      <c r="D128" t="inlineStr">
        <is>
          <t>linkedin</t>
        </is>
      </c>
      <c r="E128">
        <f>HYPERLINK("https://www.linkedin.com/jobs/view/4366037417", "https://www.linkedin.com/jobs/view/4366037417")</f>
        <v/>
      </c>
      <c r="F128" t="inlineStr"/>
      <c r="G128" t="inlineStr">
        <is>
          <t>Houston, TX</t>
        </is>
      </c>
      <c r="H128" t="inlineStr"/>
      <c r="I12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We Are**
**At Corebridge Financial, Action is Everything.** 
 We are a new company, but not a new business. Formerly AIG Life \&amp; Retirement, we are one of the largest and most established providers of retirement solutions and insurance products in the United States, with a long and proven track record of serving our clients. Every day, we proudly partner with financial professionals and institutions to make it possible for more people to take action in their financial lives, for today and tomorrow.
**Get to know the business**
 Life and Retirement is a unique franchise that brings together a broad portfolio of life insurance, retirement and institutional products offered through an extensive, multichannel distribution network. It holds longstanding, leading market positions in many of the markets it serves in the U.S. From helping people cope with a severe illness or the loss of a loved one, to turning lifelong dreams such as weddings and college graduations into reality. We help our clients weather the ups and downs of life, ensuring they have a financial cushion that lessens the blow of an unexpected event. We’re also there for the triumphs, helping our clients achieve important milestones.
**Summary Of The Role**
 As a Product Owner you will report to the Senior Product Owner and be responsible for leading assigned digital transformation initiatives focused on our life insurance and annuity sales, new business and servicing processes. This role requires exceptional leadership, communication, and organizational skills to manage projects, engage with diverse stakeholders, and ensure seamless project execution within tight timelines. The ideal candidate will have a sharp business mind and a proven ability to structure, define, and implement initiatives. As an integral member of the team, the Product Owner will have the opportunity to work with leaders across the organization to deliver initiatives that will shape the future of the Life, Individual Retirement, and Retirement Services businesses.
**Responsibilities**
* Execution of Projects within an Enterprise\-Level Digital Program
+ You will partner with the Senior Product Owner to lead multi\-year, multi\-discipline transformational programs for advisory and broker\-dealer products and solutions.
+ You will be responsible for delivering projects within the initiative, leveraging product management discipline and strong customer focus; you will do this in partnership with stakeholders, subject matter experts, and fellow business partners.
* Customer Experience Design
+ You will develop a deep understanding of our financial advisors and their client's needs and behaviors using data analysis, direct communication, and support resources.
+ You will collaborate with customer and user\-experience designers, software engineers, and others across the business to identify new features and experiences that will differentiate Corebridge Financial and make it easier for agents to do business with us and for our clients to take action in their financial lives.
* Business Case Development
+ You will support the build out of a strategic business case for the designed program
+ You will develop compelling presentations and materials that articulate the project’s vision, plans, and goals to internal and external stakeholders.
* Planning \&amp; Product Road Mapping
+ You will work cross\-functionally within Corebridge Financial to build cohesive product roadmaps to realize ambitious goals and strategic priorities around these critical client and advisor experiences.
+ You will bridge the gap between business outcomes needed and technical delivery by having good business sense and willingness to learn about the areas supported.
+ You will collaborate with our technology partners to build integrated, scalable, and extensible tools to deliver on our promise.
* Adoption \&amp; Value Realization
+ You will be responsible for the full end\-to\-end rollout of your assigned projects to realize the full value of the solutions, including coordinating marketing and training plans and measuring adoption and benefits.
+ You will review business metrics against the defined performance measures monthly and quarterly to ensure alignment while identifying any needed changes affecting the channel, business, or product strategy.
+ You will work with business stakeholders to define the approach to measure and track benefits identified through the lifecycle of an initiative (KPIs)
+ You will follow change management best practices, ensuring team cohesiveness through the engagement of teams and stakeholders
* Reporting \&amp; Risk Management
+ You will be responsible for managing and reporting full project costs and value realization in collaboration with business and IT teams.
+ You will be responsible for working with the Transformation Management Office (TMO) to respond to any project related requests
+ You will identify potential risks and implement proactive measures to mitigate challenges, ensuring Program success under tight timelines.
* Leadership
+ Indirectly manage the project team who will be operating in an agile pod structure and ensure alignment and timely delivery of project objectives.
+ Assist in team development while holding team members accountable for their commitments.
+ Ensure effective communication flow across and within teams. Deliver and coach for messaging that is appropriate for a range of audiences such as teams, leadership and end customers.
**What We Are Looking For**
* Industry Knowledge:
+ Understanding of the Life Insurance, Individual Retirement and Group Retirement Industry; the distribution framework, financial advisors and their client's needs and behaviors using data analysis, direct communication, and support resources.
+ Knowledge of life insurance and annuity inforce servicing process.
* Program Management \&amp; Digital Transformation Experience:
+ 5\+ years of experience operating as a product owner implementing digital solutions
+ Experience in Transformation and/or Strategy roles with knowledge of technology and digital trends impacting operations and driving service excellence.
+ Experience managing projects in a structured and organized manner, with the ability to create actionable implementation plans and timelines; knows how to deliver on time and manage teams and stakeholders to deliver to the same; experience with change management framework \&amp; practices.
+ Track record of implementing large change initiatives, within tight timelines and within budget.
* Working Knowledge of:
+ Latest Digital trends in insurance and across adjacent industries, including IRI Digital First for Annuities, digital servicing platform providers, and/or trends in digital servicing.
+ CX based process journey design
+ Lean management practices in developing effective and efficient processes.
+ Root cause problem solving experience.
* Communication Excellence:
+ Ability to understand and communicate technical requirements and design across, engineering, design and QA
+ Can communicate in a structured and crisp manner both through written and verbal communication
+ Can engage senior leadership to get the point across using a deductive or top town communication approach
+ Is a good listener and changes perspective based on facts
+ Excellent written and verbal communication skills, including strong presentation skills that can explain technical concepts for non\-technical audiences
+ Effectively able to engage cross\-organization leaders in driving change and adoption targets
+ Drive consensus within all stakeholders and business leaders on the new direction
* Execution mindset and a demonstrated ability to drive results:
+ Is structured and organized and can create actionable implementation plans and timelines
+ Knows how to deliver on time and manage teams and stakeholders to deliver to the same
+ Can identify potential issues early in driving adoption of change and acts proactively to address them
+ Hands\-on experience with agile, including being able to coach and mentor team members
+ Constantly evaluate execution effectiveness, changing trends to help re\-prioritize as required.
+ Ability to break down complex issues into smaller addressable solutions
+ Take a strategic point of view in formulating actions and solutions
+ Has a continuous improvement mindset
* Customer\-first mindset:
+ Knows who our customers are, what are their needs and how his/her team delivers to the expected customer experience/ needs
+ Understand what services and solutions/ products we provide and how we create value
+ Is considered a 'customer first' leader \- proactively takes decisions to resolve customer issues and avoids putting process over customer service while managing for risk
+ Understanding of user\-centric design in business, marketing, IT or equivalent preferred
+ A customer\-centric focus to keep customers at the forefront of decisions and connecting plans and actions to the purpose of serving clients
* Strong People leader and Team player
+ Takes full ownership and has a ‘business owner mindset’
+ Sets clear direction to the teams and actionable deliverables
+ Can performance manage on an ongoing basis to ensure creation of strong teams; Is fair in assessment of talent
+ Is a strong team player and prioritizes team success over individual
+ Is data driven and manages through metrics
+ Lead in a changing and fast\-paced environment while being comfortable with ambiguity. Keep team nimble to adapt quickly to minimize impacts to outcomes
**Qualifications**
* Worked in an operations strategy role, in a consulting company or an insurance organization with knowledge of latest trends in driving sales, service and operations excellence
* Hands\-on experience with agile, including being able to coach and mentor team members
* Understanding of user\-centric design in business, marketing, IT or equivalent
* Demonstrated ability to drive results
* Strong/expert background in analytics with demonstrated ability to synthesize data from multiple sources into meaningful conclusions and actionable strategic plans that support business objectives
* Clear understanding of digital technology and consumer trends
* Excellent written and verbal communication skills, including strong presentation skills that can explain technical concepts for non\-technical audiences
* Bachelor’s degree (Technology or Business)
* Experience with designing 'customer centric' processes and journey mapping
* Designed and implemented change management and adoption framework
* Experience building internal relationships and working across matrixed organizations
**Compensation**
 The anticipated salary range for this position is $100,000\- $130,000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and Jersey City, NJ offices and is subject to our hybrid working policy, which gives colleagues the benefits of working both in an office and remotely.
**Estimated Travel**
 Minimal travel.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OP \- Operations
 Estimated Travel Percentage (%): Up to 25%
 Relocation Provided: No
 American General Life Insurance Company</t>
        </is>
      </c>
    </row>
    <row r="129">
      <c r="A129" t="inlineStr">
        <is>
          <t>li-4366068050</t>
        </is>
      </c>
      <c r="B129" t="inlineStr">
        <is>
          <t>Product Manager - Documents &amp; Forms</t>
        </is>
      </c>
      <c r="C129" t="inlineStr">
        <is>
          <t>Kin Insurance</t>
        </is>
      </c>
      <c r="D129" t="inlineStr">
        <is>
          <t>linkedin</t>
        </is>
      </c>
      <c r="E129">
        <f>HYPERLINK("https://www.linkedin.com/jobs/view/4366068050", "https://www.linkedin.com/jobs/view/4366068050")</f>
        <v/>
      </c>
      <c r="F129">
        <f>HYPERLINK("https://jobs.ashbyhq.com/kin/5c0516c0-3390-4444-be66-7cb9ae9a5709?utm_source=LinkedInPremium&amp;urlHash=wV9V", "https://jobs.ashbyhq.com/kin/5c0516c0-3390-4444-be66-7cb9ae9a5709?utm_source=LinkedInPremium&amp;urlHash=wV9V")</f>
        <v/>
      </c>
      <c r="G129" t="inlineStr"/>
      <c r="H129" t="inlineStr"/>
      <c r="I129"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**Quick Summary**
 Own the platform behind Kin’s policy documents and forms—improving how they’re built, customized, and updated to deliver clearer customer experiences at scale.
**The opportunity**
 We’re looking for a Product Manager to help us improve how insurance documents and forms are created, managed, and delivered across Kin. This role sits at the center of our Documents \&amp; Forms platform, partnering closely with a dedicated engineering team, design, insurance stakeholders, forms analysts, and customer support to ensure our documentation is accurate, scalable, and easy to maintain.
 As Kin grows, the ability to update and customize policy documents efficiently becomes increasingly critical—for both customer experience and internal operations. In this role, you’ll own the platform where documents and forms live, define how those forms are updated, and shape how they’re customized for individual customers and policies. Your work will directly reduce friction for internal teams, enable faster updates, and help deliver clearer, more consistent experiences for our customers.
**Your Responsibilities**
* Partner with the Product Director to define and communicate a clear product vision for the Documents \&amp; Forms platform
* Own a defined feature set within Docs \&amp; Communications, from discovery through delivery and ongoing iteration
* Build and manage product roadmaps that address core business needs, support OKRs, and improve customer and internal experiences
* Analyze product data and user behavior to identify high\-impact problems, and collaborate with design and engineering to develop and test solutions
* Work closely with user research to incorporate insights into product decisions and share learnings across teams
* Write clear, actionable user stories and requirements that enable engineering teams to deliver high\-quality solutions
* Lead successful rollouts of new features and improvements, including communication and enablement for internal stakeholders
* Define, track, and evangelize metrics that demonstrate business value and customer impact
* Drive cross\-functional alignment by leading regular team and stakeholder discussions, gathering feedback, and sharing progress
* Explore and evaluate opportunities to leverage AI for document creation, personalization, automation, and self\-service, in partnership with engineering
**What Success Looks Like**
* A defined Docs \&amp; Communications feature set is fully owned, actively improved, and aligned to clear business and customer metrics
* Initiatives deliver measurable customer impact, such as improved document clarity or reduced support requests
* Internal teams can update and maintain forms more efficiently and confidently using the platform
* Stakeholders are aligned on priorities and trust the Documents \&amp; Forms roadmap and delivery
**Your Experience \&amp; Skills**
* 2–5 years of professional experience, including 3\+ years in software or technology product management, ideally within regulated or platform\-driven environments
* Experience working with agile product and engineering teams in startup or high\-growth settings
* Familiarity with insurance policy administration systems, document management, or internal tooling is a strong plus
* Proficiency with data analysis and BI tools (e.g., SQL, Looker, Tableau, Adobe) to inform product decisions
* Experience with customer research, experimentation, and translating insights into shipped product improvements
* Technical fluency sufficient to collaborate closely with engineering and evaluate platform or integration tradeoffs
* Ability to turn ambiguous or incomplete inputs into clear, actionable plans
* Strong communication skills, with the ability to influence without authority and collaborate across functions
* Inclusive, thoughtful approach to teamwork, with comfort balancing multiple priorities and staying calm under pressure
**Our Benefits**
 We offer a comprehensive, competitive benefits program, allowing you to choose the benefits that are best for you and your family, starting on the first day of the month following your start date.
 Core Benefits That Support You
* Competitive salary and company equity through Restricted Stock Units (RSUs), granted as part of our standard compensation package
* 401(k) with company match up to 4% of eligible earnings
* Multiple medical plan options, plus dental and vision coverage
* Company\-funded HSA contributions (based on medical plan selection)
* Company\-paid life insurance and short\-term disability
* Employee referral bonuses
 Health \&amp; Wellbeing
* A variety of supplemental benefit options, including long\-term disability, critical illness, accident, legal, and pet insurance
* Access to mental health support and confidential counseling resources
 Time Away \&amp; Balance
* Flexible PTO for exempt employees (most employees take 15–20 days per year), plus 8 company\-observed holidays
* Paid parental leave, including up to 14 weeks at 100% pay for birthing parents and 8 weeks at 100% pay for non\-birthing parents
 Growth \&amp; Development
* Career mobility and internal growth opportunities across the organization
* Professional development budgets for certifications, conferences, and learning available, subject to management approval
*For Sales Agents and Customer Service Agents: These roles sit in any of the following 30 states: AL, AZ, CO, FL, ID, IL, IN, KS, KY, MA, MD, ME, MI, MO, MT, NC, NE, NM, NV, NY, OH, OK, PA, SC, TN, TX, UT, VT, VA, WA, and WI.*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30">
      <c r="A130" t="inlineStr">
        <is>
          <t>li-4366039764</t>
        </is>
      </c>
      <c r="B130" t="inlineStr">
        <is>
          <t>Product Manager - STANLEY</t>
        </is>
      </c>
      <c r="C130" t="inlineStr">
        <is>
          <t>Stanley Black &amp; Decker, Inc.</t>
        </is>
      </c>
      <c r="D130" t="inlineStr">
        <is>
          <t>linkedin</t>
        </is>
      </c>
      <c r="E130">
        <f>HYPERLINK("https://www.linkedin.com/jobs/view/4366039764", "https://www.linkedin.com/jobs/view/4366039764")</f>
        <v/>
      </c>
      <c r="F130">
        <f>HYPERLINK("https://sbdinc.wd1.myworkdayjobs.com/Stanley_Black_Decker_Career_Site/job/Towson-MD-United-States/Product-Manager\u002d\u002d-STANLEY_REQ-1000045131?source=LinkedIn&amp;urlHash=8ltd", "https://sbdinc.wd1.myworkdayjobs.com/Stanley_Black_Decker_Career_Site/job/Towson-MD-United-States/Product-Manager\u002d\u002d-STANLEY_REQ-1000045131?source=LinkedIn&amp;urlHash=8ltd")</f>
        <v/>
      </c>
      <c r="G130" t="inlineStr">
        <is>
          <t>Towson, MD</t>
        </is>
      </c>
      <c r="H130" t="inlineStr"/>
      <c r="I130" t="inlineStr">
        <is>
          <t>**Product Manager \- STANLEY– Hybrid**
**Towson, MD, United States**
**20% travel required**
**Come make the world and accelerate your success.**
 It takes great people to achieve greatness. People with a sense of purpose and integrity. People with a relentless pursuit of excellence. People who care about making things better For Those Who Make The World™. Sound like you? Join our top\-notch team of approximately 48,000 diverse and high\-performing professionals globally who are making their mark on some of the world’s most beloved brands, including DEWALT®, BLACK\+DECKER®, CRAFTSMAN®, STANLEY®, CUB CADET®, and HUSTLER®.
**The Job:**
 As a Product Manager you’ll be part of our STANLEY team working as a hybrid employee based in Towson, MD. As a product manager for the STANELY brand you will oversee new product development over the Storage Categories, focusing on the Americas Region. You’ll get to:
* Evaluate and develop the product line total sales and product positioning and will be responsible for managing the profit and loss of the product line.
* Manage the complete product lifecycle process, alongside the Product Management team from concept to delivery.
* Assist in market functions relating to assigned product lines as well as general departmental Functions.
* Driving and developing new products while overseeing and managing quality issues, developing sales and promotion programs.
* Developing and implementing relevant point\-of\-purchase displays, materials and web content; benchmark competitors and perform competitive pricing analysis.
* Responsible for development and execution of a comprehensive strategic plan for the profitable management of pricing, gross margins, collateral materials \&amp; point\-of\-purchase. Also entails a monthly forecast of product lines to include detailed tactics required to meet strategic objectives.
* Maintain an awareness of trends in the industry and related industries and develop a deep understanding of the end user in order to incorporate these insights into successful new product launches.
* Supporting and preparing for customer meetings, presentations and line reviews.
* Consolidate and distribute advanced product information and launch packs for all regions, ensuring readiness and alignment across stakeholders.
* Lead cross\-functional teams to achieve company objectives, as well as act as the point of contact for manufacturing, purchasing, sales, quality and engineering.
* Validation of Product CTQs, Testing \&amp; Claims with End Users.
**The Person:**
 You love to learn and grow and be acknowledged for your valuable contributions. You’re not intimidated by innovation. Wouldn’t it be great if you could do your job and do a world of good? In fact, you embrace it. You also have:
* BS or BA in Marketing, Business Administration, Finance, Engineering, or related field.
* 3\+ years of Product Management experience.
* Strong financial acumen, analytical skills, and strategic thinking.
* Advanced proficiency in PC, BI, PowerPoint other applications in the Microsoft Office Suite.
* Deep understanding of product training, competitive positioning, and go\-to\-market strategies.
* Experience presenting to large audiences and senior stakeholders, both in\-person and virtually.
* This role is hybrid with 3 days per week in Office or as needed.
**The Details:**
 You’ll receive a competitive salary and a great benefits plan, including:
* Medical, dental, life, vision, disability, 401(k), Employee Stock Purchase Plan, paid time off, and tuition reimbursement.
* Discounts on Stanley Black \&amp; Decker tools and other partner programs.
**And More:**
 We want our company to be a place you’ll want to be – and stay. Being part of our team means you’ll get to:
* Grow: Be part of our global company with 20\+ brands to grow and develop your skills along multiple career paths.
* Learn: Have access to a wealth of learning resources, including our digital learning portal.
* Belong: Experience an awesome place to work, where we have mutual respect and a great appreciation for a wide range of perspectives and experiences.
*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The base pay range for this position in Maryland is $60,800 \- $95,000 per year. Pay is based on market location and may vary depending on job\-related knowledge, skills, and experience. A sign\-on payment may be provided as part of the compensation package, in addition to a full range of medical, financial, and/or other benefits, dependent on the position offered. Applicants should apply via Stanley Black and Decker’s internal or external careers site.
***We Don’t Just Build The World, We Build Innovative Technology Too.***
 Joining the Stanley Black \&amp; Decker team means working in an innovative, tech\-driven and highly collaborative team environment supported by over 58,000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**Benefits \&amp; Perks**
 You’ll get a competitive salary and a comprehensive benefits plan that includes medical, dental, life, vision, wellness program, disability, retirement benefits, Employee Stock Purchase Plan, Paid Time Off, including paid vacation, holidays \&amp; personal days, and tuition reimbursement. And, of course, discounts on Stanley Black \&amp; Decker tools and products and well as discount programs for many other vendors and partners.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
**EEO Statement:**
 All qualified applicants to Stanley Black \&amp; Decker are considered for employment without regard to race, color, religion, age, sex, sexual orientation, gender identity, national origin, disability, veteran’s status or any other protected characteristic.
 If you require reasonable accommodation to complete an application or access our website, please contact us at (860\) 827\-3923 or at accommodations@sbdinc.com. Due to volume, we cannot respond to unrelated inquiries about the status of a completed application or resetting an account password.
 Know Your Rights: Workplace discrimination is illegal (eeoc.gov)</t>
        </is>
      </c>
    </row>
    <row r="131">
      <c r="A131" t="inlineStr">
        <is>
          <t>li-4366396208</t>
        </is>
      </c>
      <c r="B131" t="inlineStr">
        <is>
          <t>Product Manager (Hybrid)</t>
        </is>
      </c>
      <c r="C131" t="inlineStr">
        <is>
          <t>CareFirst BlueCross BlueShield</t>
        </is>
      </c>
      <c r="D131" t="inlineStr">
        <is>
          <t>linkedin</t>
        </is>
      </c>
      <c r="E131">
        <f>HYPERLINK("https://www.linkedin.com/jobs/view/4366396208", "https://www.linkedin.com/jobs/view/4366396208")</f>
        <v/>
      </c>
      <c r="F131">
        <f>HYPERLINK("https://carefirstcareers.ttcportals.com/jobs/17051199-product-manager-hybrid?tm_job=21473-1A&amp;tm_event=view&amp;tm_company=2380&amp;bid=56&amp;company=2380&amp;urlHash=jVWf", "https://carefirstcareers.ttcportals.com/jobs/17051199-product-manager-hybrid?tm_job=21473-1A&amp;tm_event=view&amp;tm_company=2380&amp;bid=56&amp;company=2380&amp;urlHash=jVWf")</f>
        <v/>
      </c>
      <c r="G131" t="inlineStr">
        <is>
          <t>Reston, VA</t>
        </is>
      </c>
      <c r="H131" t="inlineStr"/>
      <c r="I131" t="inlineStr">
        <is>
          <t>**Resp \&amp; Qualifications**
**PURPOSE:**
 Develops and Implements strategy for the company's product line and is responsible for the product planning and execution throughout the Product Lifecycle, including gathering and prioritizing product and customer requirements, defining the product vision. Working with Product Owners, IT, and other stakeholders to prioritize product and customer requirements against the business strategy, product roadmap, and value drivers. Partners closely with engineering to ensure we deliver winning products that meet CareFirst and member needs. Oversees the product roadmap development process ensuring it includes the UX, design teams, operations managers, engineering managers, and finance teams. Confirms project deadlines with support from the product owners and delivery team. To ensure the product development stages meet internal and external stakeholders'. expectations. Also, provide timely and accurate communication of updates to the product's overall deployment. Reports on product performance using latent and predictive data to confirm that product performance meets high\-reliability standards. Ensuring overall product success.
**Essential Functions**
* Leads the entire product management life cycle \-Translates business strategy are reflected in downstream product processes. Ensures all stakeholder's features, requirements, and acceptance criteria support delivery and testing of new products and features. May also manage beta programs, manage the development of product marketing materials and technical documentation. Ensure new products align with and supports existing products where applicable.
* Leverages research market research as inputs into the product roadmap to confirm market demand. Done by gathering feedback from customers and analyzing product landscape, updates existing products and new technologies. .Ensures Product Owners' backlogs incorporates this data in their prioritization processes.
* Defines the product roadmap showing the value derived at each delivery of functionality milestones. These milestones do not dictate architecture; they define features or capabilities, normally documented through business strategy and translation of that strategy into workflows, user stories, or required features.
* Responsible and/or assists with go\-to market strategy and launches for new products; facilitates product release with product owners, engineering, sales, supply chain, etc.; educates internal and external stakeholders. Will also develops/delivers product presentations.
* Facilitates marketing and stakeholder communications for all products including clear ability to translate technical solutions into value proposition.
* Works with finance, where applicable, to define revenue drivers and pricing to ensure competitiveness in the market as well as financial profitability in the marketplace.
* Identifies and documents Market information including competitive analysis, threats, trends and information that would be helpful to management, sales and marketing.
**Supervisory Responsibility**
 Leads a team utilizing a matrix management system.
**Qualifications**
**Education Level:** 
 Bachelor's Degree in Product Management, Engineering, Information Technology or related field OR in lieu of a Bachelor's degree, an additional 4 years of relevant work experience is required in addition to the required work experience.
**Licenses/Certifications Upon Hire Preferred**
* Certified Product Manager (CPM)\-AIPMM
* Certified Product Marketing Manager (CPMM)\-AIPMM
**Experience:** 
 10 years experience product management and/or product owner experience.
**Knowledge, Skills And Abilities (KSAs)**
* Proficient in project planning and life cycle development.
* Excellent communication skills both written and verbal.
* Proficient in Agile methodologies, principles, and procedures.
* Ability to use Product KPIs and business metrics to optimize the product.
* Ability to recognize, analyze, and solve a variety of problems.
* Ability to analyze, organize and prioritize work while meeting multiple deadlines.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$125,840 \- $224,939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Data Governance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132">
      <c r="A132" t="inlineStr">
        <is>
          <t>li-4366045725</t>
        </is>
      </c>
      <c r="B132" t="inlineStr">
        <is>
          <t>EverHealth - Product Manager: Document Management</t>
        </is>
      </c>
      <c r="C132" t="inlineStr">
        <is>
          <t>RemoteHunter</t>
        </is>
      </c>
      <c r="D132" t="inlineStr">
        <is>
          <t>linkedin</t>
        </is>
      </c>
      <c r="E132">
        <f>HYPERLINK("https://www.linkedin.com/jobs/view/4366045725", "https://www.linkedin.com/jobs/view/4366045725")</f>
        <v/>
      </c>
      <c r="F132" t="inlineStr"/>
      <c r="G132" t="inlineStr"/>
      <c r="H132" t="inlineStr"/>
      <c r="I132"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3">
      <c r="A133" t="inlineStr">
        <is>
          <t>li-4366391944</t>
        </is>
      </c>
      <c r="B133" t="inlineStr">
        <is>
          <t>Sr. Product Manager, Factory Execution Systems</t>
        </is>
      </c>
      <c r="C133" t="inlineStr">
        <is>
          <t>Tesla</t>
        </is>
      </c>
      <c r="D133" t="inlineStr">
        <is>
          <t>linkedin</t>
        </is>
      </c>
      <c r="E133">
        <f>HYPERLINK("https://www.linkedin.com/jobs/view/4366391944", "https://www.linkedin.com/jobs/view/4366391944")</f>
        <v/>
      </c>
      <c r="F133" t="inlineStr"/>
      <c r="G133" t="inlineStr">
        <is>
          <t>Fremont, CA</t>
        </is>
      </c>
      <c r="H133" t="inlineStr"/>
      <c r="I133" t="inlineStr">
        <is>
          <t>**What To Expect**
 Tesla is seeking a Sr. Product Manager to work on Tesla’s enterprise Factory Execution Systems. These systems include factory planning, manufacturing execution system, lineside execution systems, and quality systems. Combined, the Factory Execution Systems provide real\-time control, monitoring, and data collection for production activities at Tesla.
 In this role, you will contribute to the product vision and roadmap for these systems, collaborating closely with cross\-functional teams involving Product, Engineering, Quality, Controls, and Process Engineering.
**What You'll Do**
- Define and execute the product vision, strategy, and roadmap to enhance and optimize Tesla’s Factory Execution Systems
- Lead cross\-functional collaboration with Product, Design, Engineering, QA, and Production Support teams to drive the development and continuous improvement of the systems
- Design and deploy intuitive, user\-centric solutions that simplify complex workflows and leverage automation, AI agents, and LLMs at scale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- 3 to 5 years of experience in product management, with a focus on manufacturing systems
- Experience with Manufacturing Execution Systems (MES)
- Experience implementing AI solutions and LLM is a plus
- Strong analytical skills with the ability to query and interpret data, trends, and algorithms, demonstrating comfort with logic and numbers to support decision\-making
- A proactive mindset, with a bias toward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34">
      <c r="A134" t="inlineStr">
        <is>
          <t>li-4366384631</t>
        </is>
      </c>
      <c r="B134" t="inlineStr">
        <is>
          <t>Senior Product Manager -Agile</t>
        </is>
      </c>
      <c r="C134" t="inlineStr">
        <is>
          <t>Truist</t>
        </is>
      </c>
      <c r="D134" t="inlineStr">
        <is>
          <t>linkedin</t>
        </is>
      </c>
      <c r="E134">
        <f>HYPERLINK("https://www.linkedin.com/jobs/view/4366384631", "https://www.linkedin.com/jobs/view/4366384631")</f>
        <v/>
      </c>
      <c r="F134">
        <f>HYPERLINK("https://careers.truist.com/us/en/job/TBJTBFUSR0110649EXTERNALENUS/Senior-Product-Manager-Agile?utm_source=linkedin&amp;utm_medium=phenom-feeds&amp;source=LinkedIn&amp;urlHash=9gKw", "https://careers.truist.com/us/en/job/TBJTBFUSR0110649EXTERNALENUS/Senior-Product-Manager-Agile?utm_source=linkedin&amp;utm_medium=phenom-feeds&amp;source=LinkedIn&amp;urlHash=9gKw")</f>
        <v/>
      </c>
      <c r="G134" t="inlineStr">
        <is>
          <t>Atlanta, GA</t>
        </is>
      </c>
      <c r="H134" t="inlineStr"/>
      <c r="I13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This role is a Senior Product Manager for Client Authentication focused on core platform excellence and onboarding applications to the platform. The teammate will drive meaningful enhancements and resiliency strategies for our cloud\-based applications while ensuring continued adherence to Truist standards. They will partner with business and technology stakeholders to assess client authentication needs and define strategies that balance client experience with business outcomes. This teammate will work with Product Owners, Technical Leads, Enterprise Architects and Agile delivery teams to support a robust roadmap and backlog.
 The Senior Product Manager is a thought leader amongst their team. The Product Manager has business goals and is responsible for developing and maintaining a strategic delivery roadmap that supports those business goals. In this position, the person must be able to work at the strategic level (generating innovative ideas for growth) and at the tactical level (analyzing data, solving problems, and working with delivery teams for development). This position will help monitor and drive the business on all aspects of demand, customer experience, and conversion. NOTE: In some Agile teams, there may be Product Owners/Managers from both the Business and the Tech side. In that case, the role will remain the same and there is joint accountability for the Agile team’s results. In rare instances, where the business cannot provide a resource, a Tech resource could step in to fulfill the responsibilities.
 The ideal candidate will have strong experience working in technologies relevant to the area in which they are assigned, using a Scaled Agile development framework. This person should be able to move fluidly between business stakeholders and technology teams to prioritize the highest value items for delivery.
 Taking a holistic perspective, this position is responsible for defining the vision and experience across all pieces of the relevant ecosystem within the assigned area of responsibility.
**Essential Duties And Responsibilities**
 Following is a summary of the essential functions for this job. Other duties may be performed, both major and minor, which are not mentioned below. Specific activities may change from time to time.
* Research, analyze, and learn about a target client segment, to garner a deep understanding of their segment and that segment’s financial needs.
* Be an expert with respect to the competition, industry trends, and changing customer needs. Demonstrate thought leadership and champion the business vision across the company.
* Analyze the market and competitive environment to define a differentiated product vision that delivers unique value. Translate analyses into sound recommendations based on data and experience.
* Collaborate with a wide variety of partners to align on strategy and develop a delivery roadmap that supports business goals.
* Collaborate and engage key stakeholders, including lines of business, operations, and other functional areas in the planning and execution of projects.
* Write epics and features in support of the defined roadmap, working with partners to prioritize across teams.
* Set Planning Increment (PI) vision, priority and definition, partnering with product owners on feature prioritization and delivery timelines.
* Develop feature backlog roadmap, leading high level deliverables including discovery, prototypes/wireframes, usability studies, partner demos, and web analytics planning.
* Obtain partner alignment and approvals including legal, compliance, security, fraud and others as needed.
* Partner to set Pricing and ensure billing follows all associated processes and procedures.
* Create and track product metrics to inform strategy and roadmap, sharing analysis with partners.
* Work with Readiness to create client and teammate facing content.
* Risk management: Ensure all Product Management Lifecycle (PML) process \&amp; procedures are followed, supporting security, risk, audit, and more, and ensure action items and deadlines are met. Lead risk presentations, working with other PM and PO partners on evidence to support recommendations.
* Attend Agile ceremonies, as applicable.
* Mentor other Product Managers on product management practices.
**Qualifications**
**Required Qualifications:**
 The requirements listed below are representative of the knowledge, skill and/or ability required. Reasonable accommodations may be made to enable individuals with disabilities to perform the essential functions.
* Bachelors’ degree in business, engineering, design, or technology field; or related field or equivalent combination of education and professional experience
* Ten or more years of banking, financial services, or other relevant work experience
* Five or more years of product, analysis, technology, and/or design experience
* Five or more years of leading cross functional teams
* Previous experience working as a Product Manager
* Equal enthusiasm for high\-level strategic planning and tactical daily execution
* Experience defining/driving vision of experience programs and/or partnership based programs
* Experience defining and delivering large\-scale online initiatives
* Proven ability to use data analytics, research and testing methodologies to drive business decisions, diagnose problems, and recommend action plans to resolve issues
* Ability to lead cross\-functional teams without formal authority
* Comfortable managing concurrent projects in a fast\-based, results\-driven environment
* Comfortable with ambiguity, leading work autonomously, and making independent decisions
* Excellent skills in presentation, facilitation, communication, and negotiation
* Experience defining/driving vision of experience programs and/or partnership based programs
* Experience in roles requiring strong communication and interpersonal skills \&amp; the creation and delivery of succinct executive\-level presentations to explain and sell plans/vision
******Preferred Qualifications:******
* Master’s degree in business, engineering, design, or technology field; banking or financial management education
* Experience working with distributed teams (onshore/offshore)
*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5">
      <c r="A135" t="inlineStr">
        <is>
          <t>li-4366044916</t>
        </is>
      </c>
      <c r="B135" t="inlineStr">
        <is>
          <t>Fusion Platform Product Manager - Remote (US)</t>
        </is>
      </c>
      <c r="C135" t="inlineStr">
        <is>
          <t>Autodesk</t>
        </is>
      </c>
      <c r="D135" t="inlineStr">
        <is>
          <t>linkedin</t>
        </is>
      </c>
      <c r="E135">
        <f>HYPERLINK("https://www.linkedin.com/jobs/view/4366044916", "https://www.linkedin.com/jobs/view/4366044916")</f>
        <v/>
      </c>
      <c r="F135">
        <f>HYPERLINK("https://autodesk.wd1.myworkdayjobs.com/Ext/job/Portland-OR-USA/Fusion-Platform-Product-Manager\u002d\u002d-Remote\u002d\u002dUS-_26WD95032-1?src=JB-10065&amp;source=LinkedIn&amp;urlHash=xw8P", "https://autodesk.wd1.myworkdayjobs.com/Ext/job/Portland-OR-USA/Fusion-Platform-Product-Manager\u002d\u002d-Remote\u002d\u002dUS-_26WD95032-1?src=JB-10065&amp;source=LinkedIn&amp;urlHash=xw8P")</f>
        <v/>
      </c>
      <c r="G135" t="inlineStr">
        <is>
          <t>Colorado, United States</t>
        </is>
      </c>
      <c r="H135" t="inlineStr"/>
      <c r="I135" t="inlineStr">
        <is>
          <t>**Job Requisition ID \#**
 26WD95032
**Senior Product Manager, Fusion Platform Organization**
**Location:** 
 United States (Portland, OR; Denver, CO; Boston, MA – hybrid or flexible, additional locations may be added)
****Overview****
 Autodesk is seeking a
 **Senior Product Manager** 
 to join the
 **PDMS Platform Organization** 
 , where we build the foundational platform and application frameworks that power Autodesk’s product ecosystem. This role sits at the intersection of platform strategy and execution, enabling Autodesk product teams to build scalable, high\-quality, and consistent product experiences across industries.
 As a
 **Senior Product Manager** 
 , you will own a major area of the PDMS platform and product application frameworks, shaping multi\-year strategy while driving near\- and mid\-term delivery. You will work closely with platform engineering, architecture, and downstream product teams to ensure the platform evolves to serve real product needs—balancing technical constraints, business priorities, and customer outcomes.
 This role requires strong cross\-functional leadership, comfort operating at executive levels, and a pragmatic mindset focused on
 **enabling delivery at scale** 
 .
****Responsibilities:****
**Platform Strategy \&amp; Ownership**
* Own a major area of the PDMS platform and product application frameworks, with clear accountability for outcomes, adoption, and impact.
* Define and maintain a multi\-year product strategy and roadmap aligned with Autodesk’s broader platform and business objectives.
* Translate long\-term strategy into actionable plans that balance platform evolution with immediate delivery needs.
* Clearly articulate the value proposition, boundaries, and intended usage of platform capabilities for internal and external stakeholders.
**Delivery Enablement**
* Partner closely with engineering to ensure platform capabilities are designed, prioritized, and delivered in a way that enables downstream product teams to move faster and with higher quality.
* Work with internal product teams to understand real\-world use cases, constraints, and integration needs, and reflect those insights in platform decisions.
* Drive alignment across teams to reduce fragmentation, duplication, and friction in application development.
* Monitor platform adoption and usage, using data and feedback to guide iteration and investment.
**Cross\-Functional \&amp; Executive Collaboration**
* Collaborate with platform engineering, architecture, developer experience, research, and downstream product teams across Autodesk.
* Lead cross\-organization alignment on platform priorities, tradeoffs, and sequencing.
* Prepare and deliver clear, compelling executive\-level communication, including strategy presentations, roadmap reviews, and decision proposals.
* Act as a trusted partner to senior leaders by framing complex platform topics in business and customer terms.
**Customer \&amp; Ecosystem Perspective**
* Balance the needs of internal Autodesk product teams with those of external developers and partners, where applicable.
* Advocate for platform consistency, scalability, and extensibility across a large and diverse product ecosystem.
* Incorporate industry context (e.g., CAD/CAM/MFG workflows) into platform decision\-making where it adds value.
****Qualifications Required****
* 5 \+ years of product management experience, with experience owning platforms, frameworks, or shared servicesin a large\-scale product ecosystem.
* Proven ability to define and execute multi\-year product strategies while delivering incremental value.
* Experience working closely with engineering teams on technically complex products, with moderate technical depth (able to reason about APIs, architectures, and tradeoffs without being hands\-on).
* Strong cross\-functional leadership skills, including influencing without authority.
* Demonstrated experience communicating with and presenting to executive audiences.
* Track record of enabling other teams to deliver successfully through platform investments.
****Preferred****
* Experience with large\-scale product ecosystems supporting multiple products or lines of business.
* Familiarity with CAD, CAM, or Manufacturing domains.
* Experience building or evolving internal developer platforms, application frameworks, or shared infrastructure.
****What Success Looks Like****
* Product teams across Autodesk adopt and rely on the PDMS platform to deliver faster, with fewer workarounds.
* Platform strategy is clearly understood, aligned, and supported by engineering and leadership.
* The platform roadmap balances long\-term architectural health with near\-term delivery needs.
* Executives trust you to frame platform decisions clearly and guide tradeoffs effectively.
****About Autodesk:****
 Autodesk empowers innovators everywhere to design and make a better world. From sustainable buildings and infrastructure to advanced manufacturing and media, Autodesk’s platform enables our customers to solve complex problems at scale.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$134,000 and $216,700\.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36">
      <c r="A136" t="inlineStr">
        <is>
          <t>li-4366600541</t>
        </is>
      </c>
      <c r="B136" t="inlineStr">
        <is>
          <t>Digital Product Owner II</t>
        </is>
      </c>
      <c r="C136" t="inlineStr">
        <is>
          <t>Caesars Entertainment</t>
        </is>
      </c>
      <c r="D136" t="inlineStr">
        <is>
          <t>linkedin</t>
        </is>
      </c>
      <c r="E136">
        <f>HYPERLINK("https://www.linkedin.com/jobs/view/4366600541", "https://www.linkedin.com/jobs/view/4366600541")</f>
        <v/>
      </c>
      <c r="F136" t="inlineStr"/>
      <c r="G136" t="inlineStr"/>
      <c r="H136" t="inlineStr"/>
      <c r="I136" t="inlineStr">
        <is>
          <t>**Job Description**
 Come collaborate with us in creating the digital experience for the most iconic gaming resorts in Las Vegas and around the world! Experienced by millions of guests each year, the Caesars Entertainment Digital Products team cultivates customer and team member experiences that fuel the imaginations of our guests on the Strip in Las Vegas and across the globe. Our iconic global brands include Caesars Palace, The Flamingo, The Row, Horseshoe, Harrah’s, Paris, Nobu Hotel, Cromwell, and more.
 Based in Las Vegas, and reporting to the VP of Digital Team Member Products, this leadership role is responsible for the development and delivery of Caesars Entertainment AI Powered Customer Care experiences that: 1\) allow guests to ask questions about their on\-property experience; 2\) allow guests to engage with customer care agents through digital channels; and 3\) allow team members to respond quickly and accurately with the best information possible. Additionally, this role will be responsible to shepherd AI requests from various business units through the company’s AI assessment process.
 This role will define and build a shared understanding of the digital experiences outlined above, while achieving our strategic objectives and delivering specific key business results. The Product Owner collaborates with leadership, stakeholders and your team to define and build a shared understanding of: 1\) Features/Epics (and associated non\-functional requirements); 2\) Customer Journey Maps; 3\) User Story Maps; 4\) User Stories and 5\) Wireframes. This leader will be accountable for the successful launch of their digital product capabilities from ideation through implementation, as well as continuous support and optimization through the entire product lifecycle. This leader will also be accountable for implementing modern change management principals, taking lead in bringing stakeholders along from the beginning.
 The ideal candidate will have a proven track record and understanding of Agile delivery frameworks (Scrum, Kanban, SAFe, etc.), Lean Product Management and User Experience Design principals; and possess a deep passion for the development of amazing guest\-facing experiences. This leader will ensure her/his teams adhere to the consistent application of our shared design and code libraries to ensure efficient and scalable development.
 This Product Owner is responsible for collaborating in our Lean Product Management community of practice –including bi\-weekly discussions, reading/actively listening to associated books, podcasts, articles, etc.
**Duties And Responsibilities**
* Customer Empathy: Must possess deep passion and empathy for the customer \&amp; team member experience.
* Product Readiness: Is able to define and collaborate to qualify Features/Epics to our standardized definition of “Ready”.
* Product Delivery: Is responsible for the timely delivery of digital experiences across a variety of channels.
* Team Communication: Actively engages with team members to define, prioritize, and collaborate on the various needs of our customers.
* Leadership/Stakeholder Communication: Provides frequent communication to leadership and stakeholders, elevating issues that impact budget, timeline, or strategic vision.
* Product Standards: Executes within the eCommerce digital principles, standards, and practices.
* Product Quality: Responsible for the delivery of a defect\-free product to the customer.
* Develop and maintain a product roadmap for Caesars AI Powered Customer Care Platform, chatbots, conversational AI, and generative AI solutions, considering market trends, customer needs, and business objectives.
* Manage the AI Customer Care Platform as the IT Application owner, solving for constantly evolving business short term and long\-term needs
* Be hands\-on and work closely with the Implementation teams to solve problems, not just delegate and track.
* Provide user training and support
* Work across teams (technical and business) and ensure solution is optimal and effective across the enterprise where applicable
* Monitor product performance and user feedback to identify areas for improvement and optimization.
* Ensure that solutions comply with industry regulations and best practices, including data privacy and security requirements.
* Manage product launches and rollouts, ensuring that they are successful and meet business objectives.
* Develop and maintain product documentation, including user guides, release notes, training documentation, and technical specifications.
* Line Manager for the technical product team consisting of Engineers, system administrators, and a Scrummaster
**Qualifications**
* Minimum of 5\-7 years in a digital product, design, or engineering role, within an agile team
* Certified Scrum Product Owner certification (CSPO®)
* Bachelor’s degree
* Experience working in teams/organizations that bring high quality digital products to market
* Demonstrable portfolio of products and customer journeys in market
* Excellent written and verbal communication skills, including the ability to effectively present complex information clearly and appropriately handle sensitive information
* Demonstrated ability to adapt to changing business priorities and
* Deep curiosity in emerging digital trends and ability to translate into friction\-less customer experiences
* Proactive work ethic
**Additional Relevant Qualifications**
* Experience with Amazon Web Services, primarily AWS Connect, Bedrock, and Pinpoint, or similar CRM Service platforms.
* Experience with Atlassian® Application Lifecycle Management tools (Jira®, Confluence®, etc.)
* Experience with Generative Chat, Conversational Chat, and/or chatbot platforms.
* Programming Skills: Prior programming experience and an understanding of the technical complexities of software development
**About Us**
 At Caesars Entertainment, Inc., our Team Members create the extraordinary. We are the largest casino\-entertainment company in the U.S. and one of the world's most diversified casino\-entertainment providers. Since beginning in Reno, Nevada, in 1937, Caesars Entertainment has grown through the development of new resorts, expansions and acquisitions. Our resorts operate primarily under the Caesars®, Harrah's®, Horseshoe® and Eldorado® brand names. We focus on building loyalty and value with our guests through a combination of impeccable service, operational excellence and technological leadership. The company is committed to its Team Members, suppliers, communities and the environment through its PEOPLE PLANET PLAY framework.
 Our Caesars family is driven by our Mission, Vision and Values. We take great pride in living these values – Together We Win, All In On Service and Blaze the Trail – every day. Our mission, “Create the Extraordinary”. Our vision, “Create spectacular worlds. That immerse, inspire and connect you. We don’t perform magic; we create it with excellence. \#WeAreCaesars”. If you are ready to create some magic, we invite you to explore our dynamic, yet unique, career opportunities.</t>
        </is>
      </c>
    </row>
    <row r="137">
      <c r="A137" t="inlineStr">
        <is>
          <t>li-4366039607</t>
        </is>
      </c>
      <c r="B137" t="inlineStr">
        <is>
          <t>Sr. Product Manager, Go To Market</t>
        </is>
      </c>
      <c r="C137" t="inlineStr">
        <is>
          <t>Visa</t>
        </is>
      </c>
      <c r="D137" t="inlineStr">
        <is>
          <t>linkedin</t>
        </is>
      </c>
      <c r="E137">
        <f>HYPERLINK("https://www.linkedin.com/jobs/view/4366039607", "https://www.linkedin.com/jobs/view/4366039607")</f>
        <v/>
      </c>
      <c r="F137">
        <f>HYPERLINK("https://jobs.smartrecruiters.com/Visa/744000105941604-sr-product-manager-go-to-market?source=LinkedIn&amp;urlHash=WsCk", "https://jobs.smartrecruiters.com/Visa/744000105941604-sr-product-manager-go-to-market?source=LinkedIn&amp;urlHash=WsCk")</f>
        <v/>
      </c>
      <c r="G137" t="inlineStr">
        <is>
          <t>Foster City, CA</t>
        </is>
      </c>
      <c r="H137" t="inlineStr"/>
      <c r="I13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Flex and Installments are key for modernizing credential capability enabling new income streams new entrants for faster distribution and accomplishing top of wallet status for issuers. This SPM will help drive global change to support market initiatives delivering consistently to unlock new payment volume aligned to strategic growth imperatives. This individual will work closely with various teams across Product Development, Strategy, GTM, Data Technology, Finance, Regions, Rules, Risk and more to define and deliver accelerated sales use cases and solutions in alignment with growth levers. The team supports alignment and provides narrative, tooling and executional streamlining across all of Visas 5 regions directly owning leading and executing key cross functional initiatives that are top management priorities.
 This role is global and will need to balance regional and global opportunities to achieve overall solution and platform objectives. Accomplishing this will require ability to influence and collaborate across a complex and highly matrixed organization and provide leadership and clear vision to direct and indirect teams.
**Key Responsibilities**
* Work cross\-functionally to define and align on product roadmap and strategy.
* Define and document functional and technical requirements for new products and features
* Collaborate closely with engineering, architecture, UX design, data science, and risk teams to ensure scalable, secure, and compliant product delivery
* Champion agile methodologies across cross\-functional teams to deliver innovative solutions efficiently.
* Integrate risk, compliance, and security considerations into product development and lifecycle management.
* Establish KPIs and metrics for monitoring product performance and compliance.
* Support new product development, go\-to\-market planning, and global rollout coordination.
* Develop executive\-level communications and materials for internal and external audiences.
* Work closely with regional product teams to ensure global strategies are actionable and locally relevant.
* Contribute to product planning, strategy cycles, and major internal or client\-facing events.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 Bachelor’s or master’s degree in a technical or engineering field such as industrial engineering, systems engineering, engineering management, computer science, software engineering, or product design
**Preferred Qualifications**
* 9 or more years of relevant work experience with a Bachelor’s Degree or 7 or more relevant years of experience with an Advanced Degree (e.g. Masters, MBA, JD, MD) or 3 or more years of experience with a PhD
* 6 \+ years of experience in product management, technology product development, or a related field.
* Experience and comfort adapting to work on different types of products (data, B2C, APIs)
* Experience leading and managing complex, cross\-functional technical projects.
* Superior strategic thinking, analytical, and problem\-solving skills, with demonstrated intellectual and analytical rigor and attention to detail.
* Strong technical literacy; ability to work closely with engineering and technical teams.
* Personal presence and ability to clearly communicate compelling messages to senior stakeholders and external business partners.
* Proactive self\-starter, team oriented, collaborative, diplomatic, and adaptable, with excellent presentation skills, including strong oral and writing capabilities.
* Experience in and/or significant exposure to the payments, financial services, or technology sectors.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$169,100 to $270,800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8">
      <c r="A138" t="inlineStr">
        <is>
          <t>li-4324622490</t>
        </is>
      </c>
      <c r="B138" t="inlineStr">
        <is>
          <t>Senior Product Manager, P&amp;C - Customer UI</t>
        </is>
      </c>
      <c r="C138" t="inlineStr">
        <is>
          <t>SafeLease</t>
        </is>
      </c>
      <c r="D138" t="inlineStr">
        <is>
          <t>linkedin</t>
        </is>
      </c>
      <c r="E138">
        <f>HYPERLINK("https://www.linkedin.com/jobs/view/4324622490", "https://www.linkedin.com/jobs/view/4324622490")</f>
        <v/>
      </c>
      <c r="F138">
        <f>HYPERLINK("https://jobs.ashbyhq.com/safelease/7b009743-3ec0-42de-94c6-14d2eceb52cd/application?utm_source=ZAr4xj3X5m&amp;urlHash=G6Ho", "https://jobs.ashbyhq.com/safelease/7b009743-3ec0-42de-94c6-14d2eceb52cd/application?utm_source=ZAr4xj3X5m&amp;urlHash=G6Ho")</f>
        <v/>
      </c>
      <c r="G138" t="inlineStr">
        <is>
          <t>Austin, TX</t>
        </is>
      </c>
      <c r="H138" t="inlineStr"/>
      <c r="I138" t="inlineStr">
        <is>
          <t>**About SafeLease**
 SafeLease builds and sells insurance products for commercial property owners. Our reinsurance and asset management businesses insure over 4,000 properties, 500,000 tenants, and have over $1B of AUM. Our team of technologists, agents, and underwriters simplifies complex risks to intelligently allocate capital and deliver policies quickly and affordably.
 We focus on insurance products for the self\-storage industry but are rapidly expanding our suite of services to other industries. We believe traditional commercial insurance can be distributed faster and cheaper. To do that, we’ve brought the entire insurance value chain—distribution, underwriting, and reinsurance—under one roof to drive innovation in an industry that’s ripe for change.
**What You’ll Do On The Product Team:**
 With the continued growth of our technical organization, we’re hiring a Senior Product Manager, Property and Casualty to steward our most essential product lines—grounding decisions in customer insight and driving the next phase of product implementation. In this role, you’ll own the account interfaces used by operators and third\-party agents, with a strong emphasis on defining intuitive UIs, conducting customer research and user testing, and partnering closely with design to deliver exceptional user experiences.
**Who You Are:**
* You delight in delighting users. Making it easy for Agents and Operators alike to get quotes and manage their policies. Insurance may not be flashy, but it is critical for almost any business and the market size for commercial real estate is enormous. Your tool will be used to protect billions of dollars worth of assets.
* You’re a strategic, hands\-on leader who thrives at the intersection of customer insight, product strategy, and business impact. You’ll lead discovery efforts to deeply understand user needs, identify market whitespace, and translate signals from customer, market, and competitive data into actionable insights that shape strategy and roadmaps.
* You know how to drive clarity and focus—collaborating cross\-functionally with Engineering, Product, Finance, GTM, and Executive Leadership to define priorities, refine requirements, and ensure go\-to\-market readiness. You’re just as comfortable rolling up your sleeves to build an MVP, run a competitive analysis, or lead a product launch as you are presenting insights to senior leadership.
* You connect decisions to measurable outcomes, clearly communicating how your work drives growth and business performance. You’re customer\-obsessed and problem\-focused, with a balance of strategic vision and tactical execution. Analytical yet creative, you can interpret complex data, synthesize imperfect information, and turn ambiguity into action.
* Above all, you’re collaborative, resourceful, and outcome\-driven—an influential voice for what we’re building and why it matters, with no task too small and no challenge too big.
**Minimum Requirements**
* 3\+ years of relevant experience in product management or product consulting—preferably in B2B technology, with bonus points for experience in insurance, personal lines, or fintech services.
* Strong analytical and technical capability, including proficiency with data tools such as SQL, Python, Excel, Tableau, Metabase, or Power BI to support modeling, insights, and data\-driven decision\-making.
* Proven ability to translate technical features into clear business value for both technical and non\-technical audiences, including executive leadership.
* Experience conducting market and competitive analysis, developing strategic recommendations, and creating enablement materials that support product, technical, and go\-to\-market teams.
* Skilled in both qualitative and quantitative research methods, such as interviews, surveys, and statistical analysis.
* Demonstrated success presenting insights and strategic recommendations to senior leaders or C\-suite executives.
* Strong project management and cross\-functional leadership skills, with experience delivering product transformations, managing product lifecycles, and driving digital or operational improvements.
* Comfort utilizing AI tools to accelerate product management workflows and improve collaboration with full\-stack engineering teams.
* Expertise in Agile methodologies and familiarity with customer journey mapping, product lifecycle management, and modern product development practices.
* Excellent communication, problem\-solving, and storytelling abilities, with the ability to craft compelling presentations and data narratives.
* Bachelor’s Degree or equivalent experience required.
**Why SafeLease?**
**The tech:** 
 Our prospects convert fast because we’re solving real problems and delivering serious value to commercial real estate owners.
**The team:** 
 We’re a team of seasoned pros and sharp operators who know how to move fast and build smart. High standards, low ego.
**The stability:** 
 We’re well\-funded, growing fast, and we make sure our team shares in that success with competitive pay and equity.
**The employee experience:** 
 We also offer unlimited PTO, full health benefits, flexible work setups, and the kind of culture where people
 *want* 
 to show up to do their best work.
*If you don't have all the qualifications listed, don't worry! We understand everyone's career path is unique and still encourage you to apply if you feel this role is aligned with your career trajectory.*
*Employment at SafeLease is contingent upon a satisfactory verification of a general and criminal background check.*</t>
        </is>
      </c>
    </row>
    <row r="139">
      <c r="A139" t="inlineStr">
        <is>
          <t>li-4366040684</t>
        </is>
      </c>
      <c r="B139" t="inlineStr">
        <is>
          <t>Product Manager - Origination Solutions - Operations</t>
        </is>
      </c>
      <c r="C139" t="inlineStr">
        <is>
          <t>Velera</t>
        </is>
      </c>
      <c r="D139" t="inlineStr">
        <is>
          <t>linkedin</t>
        </is>
      </c>
      <c r="E139">
        <f>HYPERLINK("https://www.linkedin.com/jobs/view/4366040684", "https://www.linkedin.com/jobs/view/4366040684")</f>
        <v/>
      </c>
      <c r="F139">
        <f>HYPERLINK("https://velera.wd5.myworkdayjobs.com/VeleraCareers/job/Remote-USA/Product-Manager\u002d\u002d-Origination-Solutions\u002d\u002d-Operations_8974?source=LinkedIn&amp;urlHash=s1LF", "https://velera.wd5.myworkdayjobs.com/VeleraCareers/job/Remote-USA/Product-Manager\u002d\u002d-Origination-Solutions\u002d\u002d-Operations_8974?source=LinkedIn&amp;urlHash=s1LF")</f>
        <v/>
      </c>
      <c r="G139" t="inlineStr"/>
      <c r="H139" t="inlineStr"/>
      <c r="I139"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We are seeking a talented
 **Product Manager** 
 who is responsible for the tactical product management effort for Velera's Origination Solutions.
 The incumbent will serve as a liaison and subject matter expert to internal and external customers on Velera’s origination product. The Product Manager will handle efficiencies, monitor product compliance and mandates, analyze product penetration, define the market release process, and bridge the gaps between different functions within the company and aligning the strategic teams.
**Day In The Life**
* Lead the analysis and review product enhancement requests from various sources and oversee the creation of business requirements for these enhancements.
* Serve as an escalation point, both internally and externally, related to assigned products and applications.
* Collaborate with appropriate functional areas (e.g., Training, Operations, Information Technology, Administration, and Finance) to develop and provide comprehensive product definitions, objectives, and goals that are responsive to the needs of the end user.
* Work closely with Velera’s departments in executing product strategies on assigned products and services.
* Identify risks throughout feasibility studies and development process and communicate issues to senior product management and leadership for evaluation; develop market test scenarios and ensure approval from the end\-user for product rollout.
* Development of product documentation, procedures, and training in all pertinent platforms.
* Report and routinely update product and solution performance information to the strategic product manager.
* Lead research efforts, analyze and ascertain required modifications and impacts to existing products and services. Communicate to affected areas.
* Assist in the coordination and presentation of seminars and training for Velera personnel, prospective clients, trade associations, current members and other entities as assigned.
* Conduct and lead meetings to support the development process and track and communicate progress.
* Attend and participate in various Velera sponsored events and industry events, as needed.
* Serve as the primary liaison to Operational Support departments for assigned products.
* Maintain proficiency in departmental operations to assist as a backup for other products and services.
* Work as a member and/or leader of a cross\-functional team that addresses the development and implementation of new and/or enhanced products and services within determined deadlines.
* Oversee and review mandate and industry product impacts. Partner with marketing to communicate internally and externally on pertinent bulletins.
* Direct and oversee maintenance, mandate, industry requirement, or vendor replacement product commercialization duties in conjunction with internal teams. Use commercialization process to execute on system readiness with partners both internal and external.
* Maintain, lead and respond to product\-focused servicing ticket inquiries through the defined channel.
* Perform other duties as assigned.
**Qualifications**
* Bachelor’s degree in Business, Marketing, Technology, or related field or equivalent combination of education and experience required.
* Combined four (4\) years of product management, technical product implementations, and/or business systems analysis supporting technical products experience required.
* Experience with the financial, credit union industry and core or account processing required.
* Demonstrated experience in implementing, designing and supporting origination solutions along with expertise in loan underwriting processes and standards is required.
* Five (5\) years of related experience in the lending industry with a thorough understanding of lending regulations, products, and industry standards. Experience completing loan origination system (LOS) conversions from agreement signing through user acceptance sign\-off required.
* Three (3\) years of client facing project support experience required.
* Experience working with multiple vendors and channel partners required.
* Experience using MS Office including, Excel and PP, along with data visualization tools.
* Agile Methodology is preferred.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$84,900\.00 \- $108,200\.00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140">
      <c r="A140" t="inlineStr">
        <is>
          <t>li-4356271382</t>
        </is>
      </c>
      <c r="B140" t="inlineStr">
        <is>
          <t>Product Manager - Media Attribution</t>
        </is>
      </c>
      <c r="C140" t="inlineStr">
        <is>
          <t>Together for Talent</t>
        </is>
      </c>
      <c r="D140" t="inlineStr">
        <is>
          <t>linkedin</t>
        </is>
      </c>
      <c r="E140">
        <f>HYPERLINK("https://www.linkedin.com/jobs/view/4356271382", "https://www.linkedin.com/jobs/view/4356271382")</f>
        <v/>
      </c>
      <c r="F140" t="inlineStr"/>
      <c r="G140" t="inlineStr">
        <is>
          <t>Salt Lake City, UT</t>
        </is>
      </c>
      <c r="H140" t="inlineStr"/>
      <c r="I140" t="inlineStr">
        <is>
          <t>**Job Title:** 
 Product Manager
**Location:** 
 Fully remote
**Salary:** 
 $100\-130k
 Headquartered in Salt Lake City UT with remote teams across the nation, we are a growing SaaS company focusing on marketing technology to refashion tourism, a multi\-trillion dollar industry in the US. We give marketers the power to drive more sustainable and effective visitor growth through cutting\-edge software solutions. Due to growth and demand for our services, we are urgently looking for a Product Manager to join our team!
**What You'll Do** 
* Work with leaders in product, engineering, data science, and customer success to influence our integrated data platform broadly with a focus of owning our media attribution product
* Connect the dots across our ecosystem for seamless insights, drive agile processes, gather ongoing feedback, and iterate based on KPIs and trends.
* Dive into defining product needs, crafting user stories, managing releases, and keeping a sharp backlog prioritized with customer and team input
* Champion bold visions infused with AI, represent products in key meetings, tie marketing efforts to real economic impact, and ensure a smooth SaaS experience that delights customers
**Who We're Looking For** 
* 3\+ years of professional experience in product management, ideally with media attribution, campaign analysis, and/or marketing tools
* Agile/Scrum proficiency, stellar presentation skills, and a relevant educational background
* Bonus: Background in digital marketing for tourism or similar industry, master of attribution models/media mix, familiarity with AI/cloud/APIs, or user\-driven innovation in a software product environment
**What We Offer** 
* Competitive base salary
* Comprehensive benefits package (Health, Vision, Dental with subsidy for employee\-only premiums)
* HSA \&amp; FSA options
* Generous PTO, paid company holidays, and winter break
* 401k
* Fully remote opportunity
* Fun and innovative company culture
 So, if you're interested in learning more about a unique chance to manage stellar products, please apply today!</t>
        </is>
      </c>
    </row>
    <row r="141">
      <c r="A141" t="inlineStr">
        <is>
          <t>li-4366399946</t>
        </is>
      </c>
      <c r="B141" t="inlineStr">
        <is>
          <t>Sr. Product Manager, Vision Automation Platform</t>
        </is>
      </c>
      <c r="C141" t="inlineStr">
        <is>
          <t>Tesla</t>
        </is>
      </c>
      <c r="D141" t="inlineStr">
        <is>
          <t>linkedin</t>
        </is>
      </c>
      <c r="E141">
        <f>HYPERLINK("https://www.linkedin.com/jobs/view/4366399946", "https://www.linkedin.com/jobs/view/4366399946")</f>
        <v/>
      </c>
      <c r="F141">
        <f>HYPERLINK("https://www.tesla.com/careers/search/job/261198?source=LinkedIn&amp;urlHash=Dja9", "https://www.tesla.com/careers/search/job/261198?source=LinkedIn&amp;urlHash=Dja9")</f>
        <v/>
      </c>
      <c r="G141" t="inlineStr">
        <is>
          <t>Fremont, CA</t>
        </is>
      </c>
      <c r="H141" t="inlineStr"/>
      <c r="I141" t="inlineStr">
        <is>
          <t>**What To Expect**
 Tesla is seeking a Sr. Product Manager for our Vision Automation Platform. This platform is used to build and deploy computer vision solutions across Tesla’s manufacturing and logistics operations. These vision solutions are used for quality control, logistics tracking, defect detection, safety monitoring, etc.
 In this role, you will manage the product vision and roadmap for this platform, collaborating closely with cross\-functional teams involving Product, Engineering, Quality and Logistics teams.
**What You'll Do**
- Define and execute the product vision, strategy, and roadmap to enhance and optimize Tesla’s Vision Automation Platform
- Lead cross\-functional collaboration with Product, Design, Engineering, QA, and Production Support teams to drive the development and continuous improvement of the systems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- 3 to 5 years of experience in product management, with a focus on vision systems
- Experience developing and implementing computer vision solutions
- Experience implementing AI solutions and VLM is a plus
- Strong analytical skills with the ability to query and interpret data, trends, and algorithms, demonstrating comfort with logic and numbers to support decision\-making
- A proactive mindset, with a bias towards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42">
      <c r="A142" t="inlineStr">
        <is>
          <t>li-4366368999</t>
        </is>
      </c>
      <c r="B142" t="inlineStr">
        <is>
          <t>Lead Technical Product Manager – Digital Acquisitions</t>
        </is>
      </c>
      <c r="C142" t="inlineStr">
        <is>
          <t>AT&amp;T</t>
        </is>
      </c>
      <c r="D142" t="inlineStr">
        <is>
          <t>linkedin</t>
        </is>
      </c>
      <c r="E142">
        <f>HYPERLINK("https://www.linkedin.com/jobs/view/4366368999", "https://www.linkedin.com/jobs/view/4366368999")</f>
        <v/>
      </c>
      <c r="F142" t="inlineStr"/>
      <c r="G142" t="inlineStr"/>
      <c r="H142" t="inlineStr"/>
      <c r="I142" t="inlineStr">
        <is>
          <t>**Lead Technical Product Manager – Digital Acquisitions** 
**About the Role** 
 We’re seeking an experienced
 **Lead Product Manager** 
 to drive strategy, discovery, and delivery for next‑generation digital customer experiences. You’ll own outcomes—not feature lists—and lead continuous discovery to build products customers love. This role operates within an empowered product trio (PM \+ Design \+ Engineering) and focuses heavily on AI/ML‑powered solutions that improve personalization, connectivity, and customer engagement.
 You’ll shape product vision, define strategy, and influence teams across the organization while helping advance modern product practices and an outcomes‑driven culture.
**What You’ll Do** 
**Product Strategy** 
* Own end‑to‑end product strategy for a defined digital experience area.
* Set measurable, outcome‑focused OKRs aligned to business goals.
* Build and communicate a clear product vision and roadmap.
* Identify opportunities where AI/ML can unlock differentiated customer value.
**Continuous Discovery** 
* Lead weekly customer interviews and research with your product trio.
* Use frameworks like opportunity solution trees to map and prioritize problems.
* Run assumption tests, prototypes, and experiments before committing to build.
* Synthesize customer insights, competitive intel, and analytics to guide decisions.
**AI/ML Product Development** 
* Identify where generative AI, recommendation engines, or predictive models can improve customer experiences.
* Partner with data science/ML engineering to design, test, and deploy AI features.
* Define success metrics, quality standards, and responsible AI practices.
* Navigate ambiguity inherent to ML development, edge cases, and model tradeoffs.
**Cross‑Functional Leadership** 
* Collaborate closely with engineering, design, data science, marketing, and operations.
* Influence without authority using customer insights and strategic reasoning.
* Present strategy, learnings, and results to senior leadership.
* Guide teams through complex dependencies and stakeholder alignment.
**Team \&amp; Culture** 
* Champion continuous discovery and customer‑centricity.
* Model empowered product team behaviors and coach others in modern product thinking.
* Contribute to a culture that values experimentation, learning, and outcomes over output.
**Required Qualifications** 
**Product Management Expertise** 
* 7\+ years building digital products; 3\+ years in a senior/lead role.
* Proven ability to ship products with measurable customer or business impact.
* Strong experience owning strategy from discovery → delivery → measurement.
* Deep understanding of continuous discovery, assumption testing, and OKR‑driven product development.
**AI/ML Experience** 
* 1\+ years building or shipping AI/ML‑powered features.
* Partnership experience with data science/ML engineering teams.
* Understanding of model lifecycle: data, training, evaluation, deployment, monitoring.
* Experience defining success metrics for AI experiences.
**Discovery \&amp; Research** 
* Hands‑on experience conducting customer interviews regularly.
* Ability to design experiments, prototypes, and MVPs.
* Strong synthesis skills across qualitative \+ quantitative data.
**Cross‑Functional Influence** 
* Ability to align engineering, design, and business stakeholders.
* Clear, persuasive verbal and written communication.
* Experience navigating complex org structures.
**Preferred Experience** 
* Telecom, consumer digital services, large‑scale B2C, or enterprise SaaS.
* Products serving millions of users or using personalization/recommendation systems.
* Experience with generative AI/LLMs, responsible AI, or intelligent automation.
* Coaching/mentoring PMs; contributing to product culture transformation.
* Technical depth: CS/engineering background, ability to read code, familiarity with cloud and modern architectures.
**Skills \&amp; Attributes** 
* Strategic thinking, critical problem‑solving, and customer empathy.
* High‑agency, adaptable, and comfortable with ambiguity.
* Strong experimentation mindset, rigorous decision‑making, and rapid execution.
* Collaborative communication, conflict navigation, and stakeholder management.
* Commitment to continuous learning.
**Education** 
* Bachelor’s degree in Engineering, Computer Science, Business, Design, or related field.
 Advanced degrees (MBA, MS CS/HCI/Data Science) are a plus but not required.</t>
        </is>
      </c>
    </row>
    <row r="143">
      <c r="A143" t="inlineStr">
        <is>
          <t>li-4366069001</t>
        </is>
      </c>
      <c r="B143" t="inlineStr">
        <is>
          <t>Senior Product Manager</t>
        </is>
      </c>
      <c r="C143" t="inlineStr">
        <is>
          <t>CredibleMind</t>
        </is>
      </c>
      <c r="D143" t="inlineStr">
        <is>
          <t>linkedin</t>
        </is>
      </c>
      <c r="E143">
        <f>HYPERLINK("https://www.linkedin.com/jobs/view/4366069001", "https://www.linkedin.com/jobs/view/4366069001")</f>
        <v/>
      </c>
      <c r="F143" t="inlineStr"/>
      <c r="G143" t="inlineStr"/>
      <c r="H143" t="inlineStr"/>
      <c r="I143" t="inlineStr">
        <is>
          <t>**To be considered, please complete this application:** 
 https://forms.gle/JjUxGQ8W1RoUJT9j6
 CredibleMind is seeking an experienced and dynamic Senior Product Manager to join our team. The SPM will be responsible for defining and executing the product strategy, particularly the development of features and products that respond both indirectly and directly to customer needs in a B2B2C environment. This role requires a strong understanding of user behavior, market trends, and the ability to collaborate with cross\-functional teams to deliver products that meet and exceed customer expectations. It also serves as a key internal resource for the entire organization by evangelizing best practices to support a growing pipeline of user data, leading the cost\-benefit analysis for proposed development, optimizing the co\-design process with major customers to scale, and supporting Customer Success teams with technical configurations.
 The SPM will be an integral part of making new visions into a reality: integrating personalized mental health support within clinical and medical workflows, and providing contextually\-based care pathways for a diverse range of users. These initiatives will require the SPM to build alignment and collaboration across internal and external partners, such as Content, Customer Success, Sales, and Engineering. It also requires strong skills in prioritization and communication, keeping legacy systems and features strong while addressing new opportunities. A successful candidate will feel comfortable as a “hands\-on” leader during all stages of the design process, and enjoys the opportunity to regularly jump in as a contributing member of the team to do what it takes to bring the project across the finish line. 
**Key Responsibilities** 
 Maintain Vision and Strategy:
* Contributing to the product roadmap, aligning key projects and priorities with the company's overall strategy and goals.
* Gather, prioritize, and manage customer and market requirements to ensure the product meets customer needs and market demands.
* Identifying opportunities to align customer needs with business objectives
* Ensure that new developments support KPIs and desired user behavior
 Feature Prioritization and Development:
* Create and manage the product backlog, prioritizing features based on user and customer feedback, business objectives, and market impact.
* Collaborate closely with engineering teams to ensure timely and effective delivery of features, aligning with customer needs and company goals.
 Cross\-Functional Collaboration:
* Work closely with customer success, sales, marketing, and the rest of the product team to ensure that all stakeholders are aligned and that the product meets key KPIs
* Influence cross\-functional teams without formal authority to drive product vision and strategy.
 Market and Competitive Analysis:
* Conduct market research and competitive analysis to stay updated on industry trends
* Develop strategies to address market gaps and competitive threats
* Stay informed of user experience best practices
 Product Launch and Lifecycle Management:
* Oversee the entire product lifecycle, from conception to end\-of\-life, including running beta and pilot programs.
* Ensure that products are delivered on time, meet quality standards, and align with the company's overall strategy.
 Communication and Evangelism:
* Create compelling and easy\-to\-follow documentation for a wide range of stakeholders, including technical specs and conceptual overview
* Communicate the product vision and strategy to internal and external stakeholders, including customers, press, and analysts.
* Act as a product evangelist to build awareness and understanding of the product.
**Qualification Requirements** 
 Experience:
* Minimum of 5\+ years of experience in product management or a related role.
* Minimum of 2\+ years working in a customer\-facing role, with a preference for B2B2C experience
* Demonstrated success in defining and launching products with highly involved stakeholders and complex business requirements
* Experience in public health, healthcare, or mental health is a plus.
 Education:
* Bachelor’s degree in a relevant field (e.g., Computer Science, Engineering, Business Administration).
* MBA or additional business and marketing training preferred.
 Technical Skills:
* Technical background with experience in software development and web technologies.
* Familiarity with JSON, SQL, and HTML5 is preferred
* Experience using qualitative and quantitative data to prioritize and drive decision\-making.
* Strong data analysis skills, including data visualization and KPI development
 Soft Skills:
* Excellent written and verbal communication skills in English.
* Proven ability to influence cross\-functional teams without formal authority
* Excellent collaboration skills and the ability to work effectively in a matrix organization.
* Ability to manage ambiguity and complexity under pressure, and maintaining a positive working relationship with a wide range of stakeholders
 Time Requirements:
* Work remotely between 9:00 AM \- 5:00 PM Pacific US time, Monday through Friday (except recognized holidays)
**What We Offer** 
* Salary range: $110,000–$130,000 annually
* The opportunity to work with a dynamic, innovative team
* Competitive salary and comprehensive benefits package
* Professional development opportunities, including training and certifications
* A collaborative and supportive work environment
 If you are passionate about building products that customers love and have a proven track record in product management, we encourage you to apply for this exciting opportunity at CredibleMind.
**To be considered, please complete this application:** 
 https://forms.gle/JjUxGQ8W1RoUJT9j6</t>
        </is>
      </c>
    </row>
    <row r="144">
      <c r="A144" t="inlineStr">
        <is>
          <t>li-4356155566</t>
        </is>
      </c>
      <c r="B144" t="inlineStr">
        <is>
          <t>Sr. Product Manager - Ben Admin</t>
        </is>
      </c>
      <c r="C144" t="inlineStr">
        <is>
          <t>BambooHR</t>
        </is>
      </c>
      <c r="D144" t="inlineStr">
        <is>
          <t>linkedin</t>
        </is>
      </c>
      <c r="E144">
        <f>HYPERLINK("https://www.linkedin.com/jobs/view/4356155566", "https://www.linkedin.com/jobs/view/4356155566")</f>
        <v/>
      </c>
      <c r="F144">
        <f>HYPERLINK("https://grnh.se/ymcw8qv94us&amp;urlHash=gzBJ", "https://grnh.se/ymcw8qv94us&amp;urlHash=gzBJ")</f>
        <v/>
      </c>
      <c r="G144" t="inlineStr">
        <is>
          <t>Draper, UT</t>
        </is>
      </c>
      <c r="H144" t="inlineStr"/>
      <c r="I144" t="inlineStr">
        <is>
          <t>*Please Note: This is a Utah\-based hybrid position which will require some regular in\-office days each week. Additionally, employment with BambooHR is contingent on passing both a background and credit check.*
**Essential Job Duties**
 BambooHR is on a mission to set people free to do great work. The role we're looking to fill is a career\-defining opportunity for a product leader passionate about building exceptional customer experiences. You'll play a pivotal role in shaping the next phase of growth for BambooHR's Benefits Administration product — enhancing scalability, usability, and value for customers as their needs become more complex.
 We're looking for a Senior Product Manager who thrives at the intersection of customer empathy, design partnership, and delivery excellence. You'll help evolve the workflows, experiences, and integrations that power how customers manage their benefits within BambooHR. This is a hands\-on, high\-impact role for someone who's motivated by solving meaningful problems and shipping work that matters.
 You will:
* Partner closely with design and engineering to craft elegant, scalable solutions that simplify complex benefits workflows and improve customer outcomes.
* Develop a deep understanding of the benefits administration domain through customer research, data analysis, and ongoing collaboration with internal experts.
* Clearly define and prioritize problems that matter most to customers — turning insights into actionable opportunities.
* Drive clarity and alignment across cross\-functional teams, ensuring that strategy, roadmap, and execution reflect shared priorities.
* Deliver solutions that balance long\-term product evolution with near\-term impact, using data and experimentation to learn quickly.
* Regularly evaluate product effectiveness through qualitative and quantitative feedback, identifying opportunities to improve usability and satisfaction.
* Foster a strong, collaborative triad with engineering and design, empowering each function to do its best work.
* Communicate decisions, rationale, and tradeoffs clearly to stakeholders at every level — driving alignment without slowing momentum.
* Leverage AI tools and principles to enhance discovery, definition, design, and delivery throughout the product development lifecycle.
**What You Need to Get the Job Done**
* You feel aligned with the BambooHR values.
* 5\+ years of product management experience with a proven track record of delivering impactful, customer\-centered products.
* Strong experience working with cross\-functional teams — design, engineering, research, and operations — to bring ideas to life.
* Comfortable balancing creative and analytical thinking; you can zoom out to strategy and zoom in to detail.
* Technical fluency that allows you to engage effectively with engineers and make informed tradeoffs.
* Demonstrated ability to translate customer insights into product decisions that move key metrics.
* Skilled in Agile methodologies and experienced in both discovery and delivery.
* Organized, proactive, and decisive — you create clarity and momentum in complex environments.
* Experience in Benefits Administration, HR Tech, or other workflow\- or compliance\-heavy domains is preferred but not required.
* At BambooHR, we believe in leveraging cutting\-edge technology to empower people and transform HR. We expect our product managers to actively integrate AI into their work — from discovering insights and designing solutions to optimizing delivery and driving innovation. We're building a culture of intelligent execution, where AI amplifies human impact.
**What You'll Love About Us**
* A Great Company Culture that has been recognized by multiple organizations like Inc, and Salt Lake Tribune
* Comprehensive health, life, and disability insurance
* Generous leave policies that include 4 weeks of vacation, 12 company holidays, parental leave, and volunteer time off so you can enjoy quality of life
* 401k plans with up to 6% company match
* $2000 Paid\-Paid Vacation bonus
* EAP through Headspace
*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row>
    <row r="145">
      <c r="A145" t="inlineStr">
        <is>
          <t>li-4366073545</t>
        </is>
      </c>
      <c r="B145" t="inlineStr">
        <is>
          <t>Insurance Product Manager</t>
        </is>
      </c>
      <c r="C145" t="inlineStr">
        <is>
          <t>Social Capital Resources</t>
        </is>
      </c>
      <c r="D145" t="inlineStr">
        <is>
          <t>linkedin</t>
        </is>
      </c>
      <c r="E145">
        <f>HYPERLINK("https://www.linkedin.com/jobs/view/4366073545", "https://www.linkedin.com/jobs/view/4366073545")</f>
        <v/>
      </c>
      <c r="F145" t="inlineStr"/>
      <c r="G145" t="inlineStr">
        <is>
          <t>Chicago, IL</t>
        </is>
      </c>
      <c r="H145" t="inlineStr"/>
      <c r="I145" t="inlineStr">
        <is>
          <t>**Top\-Tier Insurance Company in Chicago, Illinois is seeking an Insurance Product Manager for a full\-time position!** 
**Responsibilities:** 
* Responsible for the strategic ownership, performance, and profitability of assigned insurance product lines
* Product lines refer to insurance coverages for specific risks (e.g., Homeowners, Automobile, Excess, etc.).
* Responsibility for pricing strategy, underwriting appetite, contractual forms, and portfolio performance.
* Accountable for driving profitability, growth, and competitive positioning of assigned products through rate actions, coverage design, underwriting guidelines, and market strategy.
* Develop and execute pricing strategies including rate adequacy reviews and segmentation enhancements.
* Monitor loss trends, catastrophe exposure, and aggregate management strategies.
* Create and implement rate and filing strategies.
**Qualifications:** 
* Bachelor's Degree
* 6\+ years of personal lines with preferred HNW insurance experience achieving consistent quota attainment and year\-over\-year business growth.
* Demonstrated ability to generate new business and achieve revenue growth targets.
* Active Property/Casualty License
* Advanced consultative selling and negotiation attributes – from initial discovery and solution design to close and onboarding.</t>
        </is>
      </c>
    </row>
    <row r="146">
      <c r="A146" t="inlineStr">
        <is>
          <t>li-4366068136</t>
        </is>
      </c>
      <c r="B146" t="inlineStr">
        <is>
          <t>Product Owner</t>
        </is>
      </c>
      <c r="C146" t="inlineStr">
        <is>
          <t>Munich Re Specialty - North America</t>
        </is>
      </c>
      <c r="D146" t="inlineStr">
        <is>
          <t>linkedin</t>
        </is>
      </c>
      <c r="E146">
        <f>HYPERLINK("https://www.linkedin.com/jobs/view/4366068136", "https://www.linkedin.com/jobs/view/4366068136")</f>
        <v/>
      </c>
      <c r="F146" t="inlineStr"/>
      <c r="G146" t="inlineStr">
        <is>
          <t>Philadelphia, PA</t>
        </is>
      </c>
      <c r="H146" t="inlineStr"/>
      <c r="I146" t="inlineStr">
        <is>
          <t>We are adding to our diverse team of experts and are looking to hire those who are committed to building a culture that enables the creation of innovative solutions for our business units and clients.
**The Company**
 Welcome to Munich Re Specialty \- North America, a leading specialty insurance provider dedicated to delivering exceptional underwriting, claims, and risk management expertise to our partners and customers. As a trusted industry expert, we offer a broad range of comprehensive and customized solutions, including casualty, professional lines, property, surety, and public entity coverages. With the financial strength and global resources of our A\+ Superior (A.M. Best) rated organization, we provide unmatched stability and reliability. Our team is committed to superior service levels, a distinctive approach to specialty solutions, and a deep understanding of the complex risks our clients face. Join our team and be part of a dynamic and experienced organization that is shaping the future of specialty insurance in North America.
**The Opportunity**
 Future focused and always one step ahead!
 The Product Owner facilitates the design, delivery, and enablement of business capabilities within our Duck Creek Policy Administration System and associated integrated systems across our platform. The product owner will be directly accountable for developing the vision and strategic roadmap for the owned product and for ensuring a consistent design and capabilities framework. They communicate and influence effectively with stakeholders, technical and service focused individuals across the organization to share the importance of operational excellence and drive high engagement through metric driven outcomes.
**Responsibilities**
 In this position you will:
* Own the product vision, roadmap, and backlog in partnership with assigned line of business, Product Ownership team on MRSNA Insurance Offerings.
* Translate product roadmap features into well\-defined product requirements including features, user stories, and acceptance test criteria.
* Business capability owner, enabler and functional expert for the product and processes surrounding the product.
* Define the design guard rails around the product and its capabilities.
* Deeply entrenched in the development stages of a product including planning, development, test and deployment.
* Ensure a consistent methodology in design and implementation of a capability though product evaluation and inspection. (i.e. rating design).
* Anticipate business needs and routinely guide business and operational teams on designs to ensure insurance products and process can be efficiently implemented.
* Collaborate with actuarial teams, underwriters, underwriting assistants and actuarial teams to understand underwriting needs and translate them into functional tool requirements.
* Partner with cross functional teams including stakeholders, analytics and IT to determine best solution for capability enablement.
* Demonstrate product builds to the business stakeholders and seek regular feedback
* Keep up to speed on the current industry and product trends to influence capability enhancements
**Qualifications**
**Successful candidates will possess the following experience/skills/qualifications:**
* Bachelor’s Degree required
* 4\+ years of experience in product management and/or development or relevant experience.
* 4\+ experience enabling capabilities for the business with a guide toward anticipating needs with solutions, speed to market and ease of implementation.
* Proven experience influencing leaders and lead decision making at all levels including Executive Leadership across various businesses and geographies.
* Strong understanding of insurance pricing methodologies, risk modeling, and actuarial tools
* Excellent collaboration skills to navigate through priorities of business and get those developed within teams
* Collaborate and drive a product team made up of developers, business analysts, quality assurance resources and scrum masters on a daily basis.
* Familiarity with policy administration systems, Duck Creek a plus.
* Experience launching, building and enhancing products to drive operational efficiency and business value.
* Established background in launching software or services in partnership with engineering teams and high degree of proficiency in prototyping, iterative development, understanding of Agile principles
* Excellent communication skills with the ability to engage, influence, and inspire partners and stakeholders to drive collaboration and alignment
* High degree of organization, individual initiative, personal accountability and comfort in working in a high paced delivery focused environment.
* Proactive, self\-starter with excellent project management skills and ability to manage multiple tasks effectively
* Balance of technical knowledge and business acumen.
* Experience in lean process improvement initiatives is a plus.
 The Company is open to considering candidates in numerous locations, including Philadelphia (PA), Princeton (NJ), and New York City (NYC). The salary range posted below reflects market variations across various locations. The offer will be adjusted per geography.
 The base salary range anticipated for this position is
 **$144,600\-$230,700** 
 ,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is adjusted to reflect the varying market conditions across different locations, with the with the higher end being more aligned with the NYC job market. Factors that may be used to determine your actual salary include your specific skills, how many years of experience you have and comparison to other employees already in this role. Most candidates will start in the bottom half of the range.
 We are proud to offer our employees, their domestic partners, and their children, a wide range of insurance benefits:
* Two options for your health insurance plan (PPO or High Deductible).
* Prescription drug coverage (included in your health insurance plan).
* Vision and dental insurance plans.
* Additional insurance coverages provided at no cost to you, such as basic life insurance equal to 1x annual salary and AD\&amp;D coverage that is equal to 1x annual salary.
* Short and Long Term Disability coverage.
* Supplemental Life and AD\&amp;D plans that you can purchase for yourself and dependents (includes Spouse/domestic partner and children).
* Voluntary Benefit plans that supplement your health and life insurance plans (Accident, Critical Illness and Hospital Indemnity).
 In addition to the above insurance offerings, our employees also enjoy:
* A robust 401k plan with up to a 5% employer match
* A retirement savings plan that is 100% company funded.
* Paid time off that begins with 24 days each year, with more days added when you celebrate milestone service anniversaries.
* Eligibility to receive a yearly bonus as a Munich Re employee.
* A variety of health and wellness programs provided at no cost.
* Paid time off for eligible family care needs.
* Tuition assistance and educational achievement bonuses.
* A corporate matching gifts program that further enhances your charitable donation.
* Paid time off to volunteer in your community.
 At Munich Re, we see Diversity, Equity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t>
        </is>
      </c>
    </row>
    <row r="147">
      <c r="A147" t="inlineStr">
        <is>
          <t>li-4366056220</t>
        </is>
      </c>
      <c r="B147" t="inlineStr">
        <is>
          <t>REMOTE:  Product Owner</t>
        </is>
      </c>
      <c r="C147" t="inlineStr">
        <is>
          <t>Jobs via Dice</t>
        </is>
      </c>
      <c r="D147" t="inlineStr">
        <is>
          <t>linkedin</t>
        </is>
      </c>
      <c r="E147">
        <f>HYPERLINK("https://www.linkedin.com/jobs/view/4366056220", "https://www.linkedin.com/jobs/view/4366056220")</f>
        <v/>
      </c>
      <c r="F147">
        <f>HYPERLINK("https://click.appcast.io/t/M8vbXTtao1uJ066nBnx_laWvhZIxY8EBIWBIF2jM-M8=&amp;urlHash=PCEP", "https://click.appcast.io/t/M8vbXTtao1uJ066nBnx_laWvhZIxY8EBIWBIF2jM-M8=&amp;urlHash=PCEP")</f>
        <v/>
      </c>
      <c r="G147" t="inlineStr">
        <is>
          <t>Minnesota, United States</t>
        </is>
      </c>
      <c r="H147" t="inlineStr"/>
      <c r="I147" t="inlineStr">
        <is>
          <t>Dice is the leading career destination for tech experts at every stage of their careers. Our client, Conch Technologies, is seeking the following. Apply via Dice today!
 Greetings,
**Title: Technical Product Owner**
**Duration: 12\+ months**
**Location: 100% Remote**
**Must Have:**
* Previous technical/ development experience with .Net, Azure, SQL)
* Experience as a Technical Product Owner
* Experience working with development teams doing code reviews
* Experience analyzing code to find bugs/ errors
**Job Description**
 Role Overview
 We are seeking a Technical Product Owner with a strong Technical Analyst skillset. The ideal candidate will have 8\+ years of relevant work experience and a proven ability to bridge the gap between business needs and technical execution. As part of their role on the team, a successful Product Owner should fulfill the following duties and responsibilities:
 Key Responsibilities
 Scrum Board Ownership (in partnership with Scrum Master and Product Owner)
* Create cards with thorough acceptance criteria, necessary screenshots, and test cases
* Ensure cards are tracked and completed through delivery
* Represent the team's work in cross\-team ceremonies
* Vet work items for robust business acceptance criteria
* Ensure adherence to and maturity of the Definition of Done
 Maintain a prioritized backlog that aligns with both business objectives and technical feasibility
 Partner with up\- and downstream teams to capture all requirements, verify needs are met, establish robust test plans, and ensure no assumptions are unvetted
 Act as the conduit between product, development, QA, and TDM teams to eliminate silos and ensure smooth communication
 Drive integration between front\-end and back\-end teams, proactively addressing pain points in planning and testing
 Partner closely with the UX/UI team to ensure user\-centric design
 Work with the Domain Architect to support and advance the technical roadmap
 Technical Analysis \&amp; Debugging
 Analyze both legacy systems and new platforms (e.g., .NET, Azure Functions, SQL) to document workflows and dependencies
 Validate API contracts, data types, and expected responses; ensure functional parity between legacy and migrated systems
 Partner with QA to define test scenarios and advocate for early API testing to minimize late\-stage defects
 Recommend process optimizations for planning, data setup, and integration testing
**Required Skills \&amp; Qualifications**
 Excellent critical thinking skills and the ability to bring clarity out of confusion
 Technical acumen: Ability to understand code at a high level, test APIs, self\-serve data analysis (skilled in SQL, comfortable parsing JSON, etc.)
 Highly analytical with a hands\-on approach\-expected to dive deep into cards and topics and help with testing and validation
 Self\-starter who is eager and curious about optimizing team performance
 Proven track record in analyzing complex systems and debugging issues across front\-end and back\-end
 Excellent understanding of business workflows, with the ability to translate them into technical requirements
 Hands\-on experience with Agile methodologies, PI planning, and backlog management
 Exceptional communication and collaboration skills for cross\-team engagement
 Ability to document end\-to\-end workflows and clarify technical dependencies
 Familiarity with QA processes, test case generation, and integration testing
**Bonus Qualifications**
 Experience with migration projects (legacy to modern platforms)
 Prior experience in a hybrid role combining product ownership and technical analysis
**Thanks \&amp; Regards,**
 Naveen Lam \|Sr. IT Recruiter
**E: naveen.lam@ \| T:** 
**\*** 
**835**
 Conch Technologies, Inc \|</t>
        </is>
      </c>
    </row>
    <row r="148">
      <c r="A148" t="inlineStr">
        <is>
          <t>li-4366621735</t>
        </is>
      </c>
      <c r="B148" t="inlineStr">
        <is>
          <t>Business Radio Product Manager</t>
        </is>
      </c>
      <c r="C148" t="inlineStr">
        <is>
          <t>Motorola Solutions</t>
        </is>
      </c>
      <c r="D148" t="inlineStr">
        <is>
          <t>linkedin</t>
        </is>
      </c>
      <c r="E148">
        <f>HYPERLINK("https://www.linkedin.com/jobs/view/4366621735", "https://www.linkedin.com/jobs/view/4366621735")</f>
        <v/>
      </c>
      <c r="F148">
        <f>HYPERLINK("https://motorolasolutions.wd5.myworkdayjobs.com/en-US/Careers/job/Plantation-FL/Business-Radio-Product-Manager_R58325/apply/autofillWithResume?source=LinkedIn&amp;urlHash=FDqJ", "https://motorolasolutions.wd5.myworkdayjobs.com/en-US/Careers/job/Plantation-FL/Business-Radio-Product-Manager_R58325/apply/autofillWithResume?source=LinkedIn&amp;urlHash=FDqJ")</f>
        <v/>
      </c>
      <c r="G148" t="inlineStr">
        <is>
          <t>Plantation, FL</t>
        </is>
      </c>
      <c r="H148" t="inlineStr"/>
      <c r="I14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Business Radio Strategy and Planning team is responsible for the portfolio strategy and the go to market deliverables for the products and solutions we sell globally. This includes portfolio strategy and actions to 1\) Strengthen and grow the core, 2\) Expand into adjacent opportunities and 3\) Drive strategic growth. In line with these key strategic thrusts we are organized into 5 main focus areas that align closely with sales and engineering teams as well as other product teams including systems, infrastructure, and accessories.
**Job Description**
* Researches and identifies potential new products or service trends and evaluates their potential for success in the targeted marketplace.
* Interprets customer needs into new features and new product offerings through collaboration with product marketing, sales, engineering, finance, and other relevant departments.
* Develops product planning direction and prioritizes the new product roadmap.
 Target Base Salary Range: $98,100 \- $196,200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At least 4\+ years of Product Management experience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49">
      <c r="A149" t="inlineStr">
        <is>
          <t>li-4293208715</t>
        </is>
      </c>
      <c r="B149" t="inlineStr">
        <is>
          <t>Sr. Product Manager, Discovery &amp; Engagement</t>
        </is>
      </c>
      <c r="C149" t="inlineStr">
        <is>
          <t>Fox Corporation</t>
        </is>
      </c>
      <c r="D149" t="inlineStr">
        <is>
          <t>linkedin</t>
        </is>
      </c>
      <c r="E149">
        <f>HYPERLINK("https://www.linkedin.com/jobs/view/4293208715", "https://www.linkedin.com/jobs/view/4293208715")</f>
        <v/>
      </c>
      <c r="F149">
        <f>HYPERLINK("https://www.foxcareers.com/Search/JobDetail/R50029858?source=LinkedIn&amp;urlHash=pwaL", "https://www.foxcareers.com/Search/JobDetail/R50029858?source=LinkedIn&amp;urlHash=pwaL")</f>
        <v/>
      </c>
      <c r="G149" t="inlineStr">
        <is>
          <t>Los Angeles, CA</t>
        </is>
      </c>
      <c r="H149" t="inlineStr"/>
      <c r="I149"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FOX direct\-to\-consumer (DTC) platform is a new, forward\-looking initiative within Tubi Media Group that brings FOX’s unparalleled content portfolio—news, sports, and entertainment—directly to consumers via an innovative subscription streaming service.
 Driven by a highly experienced leadership team with extensive backgrounds at the intersections of media, technology, streaming, and content—and built with the full support of Fox Corporation—this venture combines entrepreneurial energy with deep media expertise.
 Our vision is to create a unified, modern viewing experience that puts the consumer first—seamlessly integrating live and on\-demand content across platforms.
 At the intersection of cutting\-edge technology and trusted storytelling, this is an opportunity to shape the future of streaming at one of the most pivotal moments in media. We’re assembling a world\-class team to deliver on that vision—and we’re just getting started.
**About The Role**
 The Senior Product Manager, Discovery \&amp; Engagement, will be responsible for shaping and delivering fresh, intelligent content experiences within FOX One. You will shape how audiences navigate FOX’s Sports, News, and Entertainment offerings, interact with data\-rich and editorial content, and deepen their engagement through short\-form and emerging content formats.
 You’ll blend audience empathy with technical and strategic product leadership to deliver a best\-in\-class experience that spans editorial curation, personalization, search, and real\-time engagement. We’re looking for a product leader fluent in streaming, inspired by innovation across industries, and energized by advancing the role of AI in consumer engagement.
 Success in this role is defined by delivering an effortless, deeply personalized product experience that makes FOX One the first destination audiences reach for all things live—across sports, news, and entertainment.
**a Snapshot Of Your Responsibilities**
* Drive platform\-wide features that enhance how audiences browse, personalize, and enjoy content across both “lean\-back” and “lean\-in” viewing modes.
* Lead the integration of AI and LLM\-based tools to design and optimize user interfaces for search, including filters, autosuggest, recent activity, and multimodal inputs like voice
* Drive experimentation and A/B testing to validate new capabilities and refine UX across platforms
* Build innovative product experiences for major live events that enhance real\-time engagement.
* Lead discovery and product definition efforts by crafting clear product briefs, driving cross\-functional ideation, and partnering closely with design, engineering, data analytics, user research, and editorial teams to release each feature.
* Define and track meaningful KPIs tied to engagement, personalization effectiveness, feature adoption, and retention—leveraging insights to inform and prioritize roadmap decisions.
* Explore, test, and ship interactive formats including multi\-view, gaming, second\-screen experiences, dynamic live insights, and other emerging engagement models.
* Collaborate on expanding editorial and data\-driven storytelling formats that enrich content consumption and guide audiences to relevant, timely experiences .
**What You Will Need**
* Demonstrated expertise building content\-rich digital experiences at scale within a high performing, direct\-to\-consumer business.
* Proven ability to integrate AI, personalization, and discovery technologies into consumer\-facing products.
* Lead the integration of AI and LLM\-based tools to enable conversational search, semantic understanding, and intent\-based retrieval
* A strong product generalist mindset, able to connect strategy to execution across multiple content verticals and platforms.
* Experience defining and tracking engagement KPIs; confident working with A/B testing and data analytics to drive decision\-making .
* Ability to influence cross\-functional partners and lead execution from concept to launch.
* Demonstrated familiarity and interest in the future of streaming, media, and generative AI consumer products.
* Up\-to\-date fluency in real\-time engagement patterns, audience interactivity, and emerging generative AI capabilities.
**NICE TO HAVE, BUT NOT A DEALBREAKER**
* Experience implementing or evaluating generative AI solutions for semantic search, summarization, or chat\-based navigation
* Background in interactive live content \- ie. gaming, second\-screen experiences, and data\-rich products.
* Experience working with editorial or programming teams to deliver blended human \+ algorithmic discovery experiences.
* Passion for experimenting with new UI/UX patterns to enhance user engagement and simplify complex content journeys.
* A habit of drawing product inspiration from adjacent industries—such as gaming, fintech, social platforms, or e\-commerce—to build new, differentiated experiences.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$128,000\.00\-175,000\.00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t>
        </is>
      </c>
    </row>
    <row r="150">
      <c r="A150" t="inlineStr">
        <is>
          <t>li-4366625749</t>
        </is>
      </c>
      <c r="B150" t="inlineStr">
        <is>
          <t>Product Manager - Business Operation &amp; First Line Products</t>
        </is>
      </c>
      <c r="C150" t="inlineStr">
        <is>
          <t>Baylor Scott &amp; White Health</t>
        </is>
      </c>
      <c r="D150" t="inlineStr">
        <is>
          <t>linkedin</t>
        </is>
      </c>
      <c r="E150">
        <f>HYPERLINK("https://www.linkedin.com/jobs/view/4366625749", "https://www.linkedin.com/jobs/view/4366625749")</f>
        <v/>
      </c>
      <c r="F150">
        <f>HYPERLINK("https://jsv3.recruitics.com/redirect?rx_cid=3394&amp;rx_jobId=25021917&amp;rx_url=https%3A%2F%2Fjobs.bswhealth.com%2Fus%2Fen%2Fjob%2F25021917%2FProduct-Manager-Business-Operation-First-Line-Products%3Frx_campaign%3DLinkedin1%26rx_ch%3Dconnector%26rx_group%3D246302%26rx_id%3Da7baac50-f654-11f0-b430-3b34501f99f0%26rx_job%3D25021917%26rx_medium%3Dpost%26rx_r%3Dnone%26rx_source%3DLinkedin%26rx_ts%3D20260127T181203Z%26rx_vp%3Dslots%26src%3DOTH-10712%26utm_medium%3Djobslots%26utm_source%3Dlinkedinslots&amp;src=OTH-10712&amp;urlHash=k_CJ", "https://jsv3.recruitics.com/redirect?rx_cid=3394&amp;rx_jobId=25021917&amp;rx_url=https%3A%2F%2Fjobs.bswhealth.com%2Fus%2Fen%2Fjob%2F25021917%2FProduct-Manager-Business-Operation-First-Line-Products%3Frx_campaign%3DLinkedin1%26rx_ch%3Dconnector%26rx_group%3D246302%26rx_id%3Da7baac50-f654-11f0-b430-3b34501f99f0%26rx_job%3D25021917%26rx_medium%3Dpost%26rx_r%3Dnone%26rx_source%3DLinkedin%26rx_ts%3D20260127T181203Z%26rx_vp%3Dslots%26src%3DOTH-10712%26utm_medium%3Djobslots%26utm_source%3Dlinkedinslots&amp;src=OTH-10712&amp;urlHash=k_CJ")</f>
        <v/>
      </c>
      <c r="G150" t="inlineStr">
        <is>
          <t>Dallas, TX</t>
        </is>
      </c>
      <c r="H150" t="inlineStr"/>
      <c r="I150" t="inlineStr">
        <is>
          <t>**Job Summary**
**Hybrid position \- will be onsite one day per week**
 This position serves as a Process Owner for the Business Squad, managing a team of analysts to design, execute, and continuously improve IT processes and products. The role drives Agile delivery, assists in the backlog prioritization, and governance across the Business Apps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**Process Owner** 
 for technologies supporting these processes.
 The role also ensures redundancy and domain expertise for First Line sub\-products, which include Public Safety, Environmental Care, Emergency Management, and Building Automation Systems, while fostering Agile transformation and operational excellence.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Agile (Scrum) preferred.
* Experience: 5\+ years in IT Service Management, Agile product management, or related fields.
* Prior experience with SDLC, and ServiceNow required.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t>
        </is>
      </c>
    </row>
    <row r="151">
      <c r="A151" t="inlineStr">
        <is>
          <t>li-4366062759</t>
        </is>
      </c>
      <c r="B151" t="inlineStr">
        <is>
          <t>Staff Product Manager- ServiceNow AI Implementation</t>
        </is>
      </c>
      <c r="C151" t="inlineStr">
        <is>
          <t>ChatGPT Jobs</t>
        </is>
      </c>
      <c r="D151" t="inlineStr">
        <is>
          <t>linkedin</t>
        </is>
      </c>
      <c r="E151">
        <f>HYPERLINK("https://www.linkedin.com/jobs/view/4366062759", "https://www.linkedin.com/jobs/view/4366062759")</f>
        <v/>
      </c>
      <c r="F151" t="inlineStr"/>
      <c r="G151" t="inlineStr">
        <is>
          <t>McKinney, TX</t>
        </is>
      </c>
      <c r="H151" t="inlineStr"/>
      <c r="I151" t="inlineStr">
        <is>
          <t>**Job Description**
 Staff Product Manager\- ServiceNow AI Implementation
 ServiceNow \- Addison, TX
* On\-site, Remote
 Full\-time
 Posted 3 hours ago
**Job Description**
**Company Description:**
 ServiceNow is a global market leader, bringing innovative AI\-enhanced technology to over 8,100 customers. Our intelligent cloud\-based platform seamlessly connects people, systems, and processes to empower organizations to find smarter, faster, and better ways to work.
****Job Description:****
 This role leads the evolution of AI\-native and agentic capabilities on the ServiceNow Platform. The ideal product leader is fueled by the challenge of scaling AI systems and understands the importance of data, context, and platform\-level design when building trustworthy, enterprise\-grade AI.
****The Impact You'll Make:****
* Own the product strategy and roadmap for product area, with emphasis on data ingestion, model lifecycle management, grounding, prompt orchestration, output validation, and administrative experiences.
* Partner with engineering and design to build robust, scalable platform components.
* Leverage existing ServiceNow capabilities while identifying key innovations.
* Influence product teams to adopt frameworks and solutions.
* Collaborate with Outbound partners to deliver ecosystem\-aligned, data\-powered solutions.
* Analyze competitive AI platform trends and identify whitespace opportunities to differentiate ServiceNow.
* Engage deeply with customers to drive adoption and gather feedback.
* Prototype and test new AI capabilities with cross\-functional teams.
* Champion customer\-centric thinking across the organization.
****Qualifications:****
* Experience with ServiceNow Platform, and have demonstrable experience with Implementing ServiceNow.
* Ideally hold a current CTA and/or CMA certification.
* Experience in building AI solutions using the ServiceNow Platform.
* Experience working and building for Administrator personas.
* Strong understanding of the role of data in AI development.
* 6\+ years of enterprise software product management experience, with at least 5 in SaaS; AI/ML or data platform experience strongly preferred.
* Lead, manage a high\-performing team of product managers, leveraging exceptional leadership skills to inspire and motivate them to achieve exceptional results.
* Entrepreneurial mindset with experience launching 0\-to\-1 products or platform capabilities; proven ability to scale offerings over time.
* Obsession with product\-market fit and delivering value at speed while maintaining a long\-term architectural vision.
* Proven collaborator with experience driving consensus and execution across engineering, design, sales, and customer success teams.
* Analytical thinker with strong data literacy; able to connect technical metrics with product strategy and user outcomes.
* Excellent communicator who can tailor messages to technical and business audiences alike, from LLM practitioners to C\-suite stakeholders.
* Comfortable navigating complexity and ambiguity, with a bias for action and continuous learning.
* Thought leadership in Generative AI trends, AI safety and ethics, and enterprise AI adoption patterns.
****Additional Information:****
 ServiceNow is an equal opportunity employer. We strive to create an accessible and inclusive experience for all candidates.</t>
        </is>
      </c>
    </row>
    <row r="152">
      <c r="A152" t="inlineStr">
        <is>
          <t>li-4324692089</t>
        </is>
      </c>
      <c r="B152" t="inlineStr">
        <is>
          <t>Senior Product Manager, Market Intelligence</t>
        </is>
      </c>
      <c r="C152" t="inlineStr">
        <is>
          <t>SafeLease</t>
        </is>
      </c>
      <c r="D152" t="inlineStr">
        <is>
          <t>linkedin</t>
        </is>
      </c>
      <c r="E152">
        <f>HYPERLINK("https://www.linkedin.com/jobs/view/4324692089", "https://www.linkedin.com/jobs/view/4324692089")</f>
        <v/>
      </c>
      <c r="F152" t="inlineStr"/>
      <c r="G152" t="inlineStr">
        <is>
          <t>Austin, TX</t>
        </is>
      </c>
      <c r="H152" t="inlineStr"/>
      <c r="I152" t="inlineStr">
        <is>
          <t>**About SafeLease**
 SafeLease builds and sells insurance products for commercial property owners. Our reinsurance and asset management businesses insure over 4,000 properties, 500,000 tenants, and have over $1B of AUM. Our team of technologists, agents, and underwriters simplifies complex risks to intelligently allocate capital and deliver policies quickly and affordably.
 We focus on insurance products for the self\-storage industry but are rapidly expanding our suite of services to other industries. We believe traditional commercial insurance can be distributed faster and cheaper. To do that, we’ve brought the entire insurance value chain—distribution, underwriting, and reinsurance—under one roof to drive innovation in an industry that’s ripe for change.
**What You’ll Do On The Product Team:**
 Our technical organization is growing, and we’re seeking a Senior Product Manager to guide the evolution of our Market Intelligence platform. In coordination with dedicated engineering resources, analytics, and key stakeholders across the organization, you will prioritize, source and refine the data platform that powers the entire organization.
**Who You Are:**
* Data speaks to you and results matter. You are able to take disparate problems, distill them into opportunities and creatively find solutions. You have a general bias toward building over buying, but are humble enough to embrace the best solution regardless of source.
* You know how to drive clarity and focus—collaborating cross\-functionally with Engineering, Product, Finance, GTM, and Executive Leadership to define priorities, refine requirements, and ensure go\-to\-market readiness. You’re just as comfortable rolling up your sleeves to build an MVP, run a competitive analysis, or lead a product revamp as you are presenting insights to senior leadership.
* You connect decisions to measurable outcomes, clearly communicating how your work drives growth and business performance. You’re customer\-obsessed and problem\-focused, with a balance of strategic vision and tactical execution. Analytical yet creative, you can interpret complex data, synthesize imperfect information, and turn ambiguity into action.
* Above all, you’re collaborative, resourceful, and outcome\-driven—an influential voice for what we’re building and why it matters, with no task too small and no challenge too big.
**Minimum Requirements**
* 3\+ years of relevant experience in product management, competitive intelligence, or product consulting—preferably in B2B technology with data rich problems, with bonus points for experience in insurance, personal lines, or fintech services.
* Proven ability to translate technical features into clear business value for both technical and non\-technical audiences, including executive leadership.
* Experience managing competitive and market analysis projects, creating internal enablement materials, and leading cross\-functional collaboration.
* Strong analytical and technical capability, including proficiency with data tools such as SQL, Python, Excel, Tableau, Metabase, or Power BI to support modeling, insights, and data\-driven decision\-making.
* Skilled in both qualitative and quantitative research methods, such as interviews, surveys, and statistical analysis.
* Comfortable using AI tools to accelerate product management workflows and enhance collaboration with full\-stack engineering teams
* Bachelor’s Degree (or equivalent experience) required.
**Why SafeLease?**
**The tech:** 
 Our prospects convert fast because we’re solving real problems and delivering serious value to commercial real estate owners.
**The team:** 
 We’re a team of seasoned pros and sharp operators who know how to move fast and build smart. High standards, low ego.
**The stability:** 
 We’re well\-funded, growing fast, and we make sure our team shares in that success with competitive pay and equity.
**The employee experience:** 
 We also offer unlimited PTO, full health benefits, flexible work setups, and the kind of culture where people
 *want* 
 to show up to do their best work.
*If you don't have all the qualifications listed, don't worry! We understand everyone's career path is unique and still encourage you to apply if you feel this role is aligned with your career trajectory.*
*Employment at SafeLease is contingent upon a satisfactory verification of a general and criminal background check.*</t>
        </is>
      </c>
    </row>
    <row r="153">
      <c r="A153" t="inlineStr">
        <is>
          <t>li-4366391945</t>
        </is>
      </c>
      <c r="B153" t="inlineStr">
        <is>
          <t>Sr. Product Manager, Computerized Maintenance Management System</t>
        </is>
      </c>
      <c r="C153" t="inlineStr">
        <is>
          <t>Tesla</t>
        </is>
      </c>
      <c r="D153" t="inlineStr">
        <is>
          <t>linkedin</t>
        </is>
      </c>
      <c r="E153">
        <f>HYPERLINK("https://www.linkedin.com/jobs/view/4366391945", "https://www.linkedin.com/jobs/view/4366391945")</f>
        <v/>
      </c>
      <c r="F153" t="inlineStr"/>
      <c r="G153" t="inlineStr">
        <is>
          <t>Fremont, CA</t>
        </is>
      </c>
      <c r="H153" t="inlineStr"/>
      <c r="I153" t="inlineStr">
        <is>
          <t>**What To Expect**
 Tesla is seeking a Sr. Product Manager for our Computerized Maintenance Management System (CMMS) and Construction Management System. These systems are used to schedule, track, and optimize maintenance activities for equipment, facilities, spare parts, and other assets, helping to reduce downtime and improve efficiency.
 In this role, you will manage the product vision and roadmap for these systems, collaborating closely with cross\-functional teams involving Product, Engineering, QA. Maintenance, Construction.
**What You'll Do**
- Define and execute the product vision, strategy, and roadmap to enhance and optimize Tesla’s CMMS and Construction Management Systems
- Lead cross\-functional collaboration with Product, Design, Engineering, QA, and Production Support teams to drive the development and continuous improvement of the systems
- Design and deploy intuitive, user\-centric solutions that simplify complex workflows and leverage automation, AI agents, and LLMs at scale
- Translate customer and internal team pain points into intuitive, scalable product features
- Write clear product requirements, prioritize ruthlessly, and partner with engineering and design to deliver innovative, high\-quality solutions at speed
- Use data, experimentation, and feedback loops to continuously refine the platform, improving conversion, efficiency, and customer satisfaction
- Collaborate across global operations to adapt workflows to diverse regulatory and market requirements without sacrificing simplicity
**What You'll Bring**
- 3 to 5 years of experience in product management, with a focus on manufacturing systems
- Experience with Computerized Maintenance Management Systems (CMMS) and/or Manufacturing Execution Systems (MES)
- Experience implementing AI solutions and LLM is a plus
- Strong analytical skills with the ability to query and interpret data, trends, and algorithms, demonstrating comfort with logic and numbers to support decision\-making
- A proactive mindset, with a bias toward taking action based on available information and the ability to work through ambiguity
- Success in leading new initiatives, driving results with limited resources and evolving information
- Effective collaboration across cross\-functional teams, balancing multiple competing priorities and fostering alignment among diverse stakeholders. Exceptional communication is a must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$294,000/annual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54">
      <c r="A154" t="inlineStr">
        <is>
          <t>li-4366037481</t>
        </is>
      </c>
      <c r="B154" t="inlineStr">
        <is>
          <t>Product Owner (Deposits)</t>
        </is>
      </c>
      <c r="C154" t="inlineStr">
        <is>
          <t>Jobs via Dice</t>
        </is>
      </c>
      <c r="D154" t="inlineStr">
        <is>
          <t>linkedin</t>
        </is>
      </c>
      <c r="E154">
        <f>HYPERLINK("https://www.linkedin.com/jobs/view/4366037481", "https://www.linkedin.com/jobs/view/4366037481")</f>
        <v/>
      </c>
      <c r="F154">
        <f>HYPERLINK("https://click.appcast.io/t/u1w83adATcJzYLaXSENgpcNGgTUwIwRuWNQ71P_8DrQ=&amp;urlHash=huBj", "https://click.appcast.io/t/u1w83adATcJzYLaXSENgpcNGgTUwIwRuWNQ71P_8DrQ=&amp;urlHash=huBj")</f>
        <v/>
      </c>
      <c r="G154" t="inlineStr">
        <is>
          <t>Charlotte, NC</t>
        </is>
      </c>
      <c r="H154" t="inlineStr"/>
      <c r="I154" t="inlineStr">
        <is>
          <t>job summary:
 I am looking to hire a L1 Product Owner that can manage a team of BA's as well as technology team.
 Product Owner \- Deposits
 Location: Charlotte, NC
 Work Model: Hybrid (3 days in office / 2 days remote)
 Visa Sponsorship: Not available
 We are seeking an Agile Product Owner to lead product delivery execution for the Deposits domain. This role will play a critical part in shaping how deposit data is captured, analyzed, and consumed across Finance by driving consistent requirements intake, rigorous data analysis, and structured change and release management processes.
 The ideal candidate will partner deeply with various Finance teams, Technology, Upstream and Downstream partners to define business needs, complete end to end data profiling and rationalization, and ensure high quality delivery of capabilities that support Finance reporting, analytics, and transformation priorities.
 In this role, you will:
 Requirements Management \&amp; Analysis
 Lead end to end requirements collection for Deposit data, partnering with various Finance LOBs, Cross Product teams, Operations, and Technology stakeholders.
 Perform data profiling, lineage validation, and source to target analysis to ensure requirements are accurate, complete, and grounded in data realities.
 Analyze, rationalize, and validate business requirements to eliminate redundancy, simplify complexity, and align with enterprise data standards.
 Translate business needs into clear epics, features, and user stories with proper acceptance criteria.
 Backlog Ownership \&amp; Delivery Support
 Own and maintain the product backlog, ensuring transparency, prioritization, and alignment with strategic objectives.
 Work closely with Agile delivery teams using both Scrum and Kanban methodologies to ensure clarity of scope and timely delivery.
 Facilitate grooming sessions, sprint planning, demos, and retrospectives to drive consistent execution.
 Change Management \&amp; Release Management
 Oversee change management processes including impact assessments, communication plans, stakeholder alignment, and readiness activities.
 Partner with Technology teams to lead release management, including deployment planning, validation, and post release monitoring.
 Ensure traceability of requirements through development, testing, and deployment.
 Stakeholder Engagement \&amp; Leadership
 Act as the primary liaison between business partners and delivery teams, ensuring effective communication of scope, risks, and design decisions.
 Indirectly lead cross functional teams to drive initiatives, resolve issues, and deliver measurable business value.
 Collaborate with mid level and senior managers to align on objectives and remove roadblocks.
 Required Qualifications:
 5\+ years of experience in Agile product ownership or product management (Scrum and Kanban).
 Demonstrated experience collecting and analyzing requirements for data, reporting, or financial systems.
 Strong communication and storytelling skills with the ability to influence and gain alignment across stakeholders.
 Experience with data profiling, data lineage, and analytical/data flows.
 Understanding of financial services products \- preferably Deposits
 Desired Qualifications:
 Experience developing roadmaps, OKRs, and KPIs
 Highly skilled in simplifying complex data and business concepts for multiple audiences.
 Excellent critical thinking and problem solving abilities with a strong focus on customer and team member experience.
 Ability to analyze and test data via SQL
 Job Expectations:
 Candidate has to be local to Charlotte
 Hybrid work schedule: 3 days in office / 2 days remote (subject to change based on business needs).
 This position is not eligible for Visa sponsorship.
 location: Charlotte, North Carolina
 job type: Contract
 salary: $75\.75 \- 78\.00 per hour
 work hours: 8am to 5pm
 education: Bachelors
 responsibilities:
 I am looking to hire a L1 Product Owner that can manage a team of BA's as well as technology team.
**Product Owner \- Deposits**
**Location:** 
 Charlotte, NC
**Work Model:** 
 Hybrid (3 days in office / 2 days remote)
**Visa Sponsorship:** 
 Not available
 We are seeking an
 **Agile Product Owner** 
 to lead product delivery execution for the
 **Deposits domain** 
 . This role will play a critical part in shaping how deposit data is captured, analyzed, and consumed across Finance by driving consistent requirements intake, rigorous data analysis, and structured change and release management processes.
 The ideal candidate will partner deeply with various Finance teams, Technology, Upstream and Downstream partners to define business needs, complete end to end data profiling and rationalization, and ensure high quality delivery of capabilities that support Finance reporting, analytics, and transformation priorities.
**In this role, you will:**
**Requirements Management \&amp; Analysis**
* Lead end to end requirements collection for Deposit data, partnering with various Finance LOBs, Cross Product teams, Operations, and Technology stakeholders.
* Perform data profiling, lineage validation, and source to target analysis to ensure requirements are accurate, complete, and grounded in data realities.
* Analyze, rationalize, and validate business requirements to eliminate redundancy, simplify complexity, and align with enterprise data standards.
* Translate business needs into clear epics, features, and user stories with proper acceptance criteria.
**Backlog Ownership \&amp; Delivery Support**
* Own and maintain the product backlog, ensuring transparency, prioritization, and alignment with strategic objectives.
* Work closely with Agile delivery teams using both Scrum and Kanban methodologies to ensure clarity of scope and timely delivery.
* Facilitate grooming sessions, sprint planning, demos, and retrospectives to drive consistent execution.
**Change Management \&amp; Release Management**
* Oversee change management processes including impact assessments, communication plans, stakeholder alignment, and readiness activities.
* Partner with Technology teams to lead release management , including deployment planning, validation, and post release monitoring.
* Ensure traceability of requirements through development, testing, and deployment.
**Stakeholder Engagement \&amp; Leadership**
* Act as the primary liaison between business partners and delivery teams, ensuring effective communication of scope, risks, and design decisions.
* Indirectly lead cross functional teams to drive initiatives, resolve issues, and deliver measurable business value.
* Collaborate with mid level and senior managers to align on objectives and remove roadblocks.
**Required Qualifications:**
* 5\+ years of experience in Agile product ownership or product management (Scrum and Kanban).
* Demonstrated experience collecting and analyzing requirements for data, reporting, or financial systems.
* Strong communication and storytelling skills with the ability to influence and gain alignment across stakeholders.
* Experience with data profiling, data lineage, and analytical/data flows .
* Understanding of financial services products \- preferably Deposits
**Desired Qualifications:**
* Experience developing roadmaps, OKRs, and KPIs
* Highly skilled in simplifying complex data and business concepts for multiple audiences.
* Excellent critical thinking and problem solving abilities with a strong focus on customer and team member experience.
* Ability to analyze and test data via SQL
**Job Expectations:**
* Candidate has to be local to Charlotte
* Hybrid work schedule: 3 days in office / 2 days remote (subject to change based on business needs).
* This position is not eligible for Visa sponsorship.
 qualifications:
 Required Qualifications:
 5\+ years of experience in Agile product ownership or product management (Scrum and Kanban).
 Demonstrated experience collecting and analyzing requirements for data, reporting, or financial systems.
 Strong communication and storytelling skills with the ability to influence and gain alignment across stakeholders.
 Experience wit</t>
        </is>
      </c>
    </row>
    <row r="155">
      <c r="A155" t="inlineStr">
        <is>
          <t>li-4366618679</t>
        </is>
      </c>
      <c r="B155" t="inlineStr">
        <is>
          <t>Staff Product Manager, Orchestration Lead</t>
        </is>
      </c>
      <c r="C155" t="inlineStr">
        <is>
          <t>Stripe</t>
        </is>
      </c>
      <c r="D155" t="inlineStr">
        <is>
          <t>linkedin</t>
        </is>
      </c>
      <c r="E155">
        <f>HYPERLINK("https://www.linkedin.com/jobs/view/4366618679", "https://www.linkedin.com/jobs/view/4366618679")</f>
        <v/>
      </c>
      <c r="F155">
        <f>HYPERLINK("https://stripe.com/jobs/listing/staff-product-manager-orchestration-lead/7568296?gh_src=73vnei&amp;urlHash=Pm36", "https://stripe.com/jobs/listing/staff-product-manager-orchestration-lead/7568296?gh_src=73vnei&amp;urlHash=Pm36")</f>
        <v/>
      </c>
      <c r="G155" t="inlineStr">
        <is>
          <t>Chicago, IL</t>
        </is>
      </c>
      <c r="H155" t="inlineStr"/>
      <c r="I155" t="inlineStr">
        <is>
          <t>Product Manager, Stripe Orchestration lead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Orchestration team is building the engine for Stripe’s multiprocessor future. Our mission is to provide businesses with a unified platform to process payments globally, offering unparalleled reliability, performance, and flexibility. We build and own the foundational infrastructure that abstracts away the complexity of the global payments ecosystem, including Stripe's own payment processing and third\-party processors alike. We also build a user\-facing product that acts as an intelligent routing layer that sits on top of this infrastructure.
 What you’ll do
 You will lead Stripe Orchestration, a product at the heart of our long\-term enterprise strategy. In this high\-leverage technical role, you will take full end\-to\-end ownership of a nascent product, shaping its vision, architecture, and market entry. You will operate at a high pace to build infrastructure that powers the world's most critical payment flows.
**Responsibilities**
* Define a multi\-year vision for Orchestration that anticipates the next decade of user scale and complexity.
* Lead Engineering and Design through every phase of the product lifecycle, from 0\-to\-1 development to General Availability.
* Enforce rigorous standards for product quality, API design, and system reliability, building trust with our largest enterprise users.
* Partner with Sales and GTM teams to pitch the product, win key deals, and translate user feedback into roadmap priorities.
* Serve as the internal subject matter expert on the payment orchestration landscape, managing relationships with partners and ecosystem vendors.
* Drive cross\-functional alignment with teams like Core API and Stripe Checkout to deliver a cohesive platform experience.
* Mentor or manage emerging PM talent within the domain.
 Who you are
 We are looking for someone who meets the minimum requirements below. If you see yourself in this description, we encourage you to apply. Preferred qualifications are a bonus, not a necessity.
**Minimum Requirements**
* 10\+ years of experience in product management or a related product role.
* A track record of shipping technical B2B products at a high velocity.
* An obsession with product quality in all its forms—from API design to dashboard UX and documentation.
* Existing knowledge of the payments landscape or a demonstrated ability to learn complex domains quickly.
* Strong written and verbal communication skills, with a talent for articulating user problems precisely.
* An ownership mindset; you are willing to do whatever it takes to solve problems and delight users.
* Ability to dig deep into data, think from first principles, and deliver the right results.
**Preferred Qualifications**
* A background in Computer Science, Engineering, or a related technical field.
* The ability to understand complex systems at a deep technical level.
* Specific experience in payment orchestration or payment processing.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6">
      <c r="A156" t="inlineStr">
        <is>
          <t>li-4366042266</t>
        </is>
      </c>
      <c r="B156" t="inlineStr">
        <is>
          <t>Product Owner</t>
        </is>
      </c>
      <c r="C156" t="inlineStr">
        <is>
          <t>Jobs via Dice</t>
        </is>
      </c>
      <c r="D156" t="inlineStr">
        <is>
          <t>linkedin</t>
        </is>
      </c>
      <c r="E156">
        <f>HYPERLINK("https://www.linkedin.com/jobs/view/4366042266", "https://www.linkedin.com/jobs/view/4366042266")</f>
        <v/>
      </c>
      <c r="F156" t="inlineStr"/>
      <c r="G156" t="inlineStr">
        <is>
          <t>Salem, OR</t>
        </is>
      </c>
      <c r="H156" t="inlineStr"/>
      <c r="I156" t="inlineStr">
        <is>
          <t>Dice is the leading career destination for tech experts at every stage of their careers. Our client, INNOVIT USA INC, is seeking the following. Apply via Dice today!
**Hiring:** 
 W2 Candidates Only
**Visa:** 
 Open to any visa type with valid work authorization in the USA
**Summary**
 A Product Owner is responsible for defining, prioritizing, and managing the product backlog to deliver high\-value software solutions. This role serves as a bridge between business stakeholders and development teams, ensuring that products meet user needs, align with business goals, and are delivered efficiently using agile methodologies.
**Key Responsibilities**
* Define product vision, strategy, and roadmap in collaboration with stakeholders and business leaders.
* Gather and analyze requirements from business users, customers, and market research.
* Create, prioritize, and maintain the product backlog to maximize business value.
* Work closely with development teams to ensure requirements are understood and implemented correctly.
* Participate in sprint planning, daily stand\-ups, backlog refinement, and sprint reviews.
* Communicate progress, risks, and dependencies to stakeholders and leadership.
* Define acceptance criteria and validate product features before release.
* Conduct user testing, gather feedback, and iterate on product features.
* Ensure alignment of product features with business goals, KPIs, and customer needs.
* Collaborate with UX/UI designers, engineers, QA teams, and other stakeholders to deliver high\-quality products.
* Mentor junior team members and contribute to agile best practices within the organization.
* Stay informed of industry trends, competitor products, and emerging technologies to inform product strategy.
**Qualifications**
* Bachelor s degree in Business, Computer Science, or a related field.
* 3\-6 years of experience in product ownership, product management, or agile project delivery.
* Strong understanding of agile methodologies (Scrum, Kanban) and software development life cycles.
* Excellent communication, collaboration, and stakeholder management skills.
* Ability to translate business requirements into actionable user stories and backlog items.
**Preferred Skills / Duties**
* Experience with project management and collaboration tools (Jira, Confluence, Trello).
* Knowledge of UX/UI principles and software development processes.
* Strong analytical and problem\-solving skills.
* Experience in leading cross\-functional teams and prioritizing competing demands.
* Ability to measure product success using metrics, KPIs, and user feedback.
* Familiarity with cloud platforms, SaaS products, or enterprise applications is a plus</t>
        </is>
      </c>
    </row>
    <row r="157">
      <c r="A157" t="inlineStr">
        <is>
          <t>li-4356270645</t>
        </is>
      </c>
      <c r="B157" t="inlineStr">
        <is>
          <t>Program Manager 2</t>
        </is>
      </c>
      <c r="C157" t="inlineStr">
        <is>
          <t>AMD</t>
        </is>
      </c>
      <c r="D157" t="inlineStr">
        <is>
          <t>linkedin</t>
        </is>
      </c>
      <c r="E157">
        <f>HYPERLINK("https://www.linkedin.com/jobs/view/4356270645", "https://www.linkedin.com/jobs/view/4356270645")</f>
        <v/>
      </c>
      <c r="F157" t="inlineStr"/>
      <c r="G157" t="inlineStr">
        <is>
          <t>Austin, TX</t>
        </is>
      </c>
      <c r="H157" t="inlineStr"/>
      <c r="I157"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seeking an experienced product engineering leader to manage and drive end\-to\-end product cost attainment from concept until ramp in production.
****THE PERSON:****
 The person in this role will have direct visibility to the Executive Team, and will draw upon their years of managing large, complex engineering projects to bring best\-in\-class products to market.
****KEY RESPONSIBILITIES:****
* Forecast cost entitlement in all phases of product life cycle.
* Manage product cost stakeholder reviews to align product specific inputs.
* Own input sanity, estimation process, cost reviews and product/business unit specific modeling requirements.
* Identify and Drive key product/BU specific cost improvement projects via cross functional teams/stakeholders.
* Represent OPS/SEO to interact with BU/SET’s on cost estimation, forecasting, challenges, and options.
* Organize product phase\-gate reviews with Ops/Engineering/Finance/BUs, thru the NPI phase of products.
* Represent Sourcing and engineering Ops in product SET/core forums during NPI phase to influence DFC (design for cost).
* Actively engage with manufacturing capability and sourcing forums to align engineering and procurement objectives.
* Work closely with BU Engineering and business leads to facilitate operational alignment during NPI phase of products.
* Internally align all SEO functions (FTO, EMCO, IS) to attain best in class product execution, cost, and margin.
* Replicate and synergize the best practices across BU’s and products.
****PREFERRED EXPERIENCE:****
* Proven experience in Product engineering and Program management of complex SOC’s or foundry technologies.
* Experience managing large complex and high impact engineering / business projects.
* Experienced working with diverse matrix organizations and virtual teams.
* Exposure to process technology, SOC or substrate design, manufacturing.
* Experience with program management tools and processes.
* Proven communication and presentation skills.
****ACADEMIC CREDENTIALS:****
 Bachelor's degree in engineering. (Master's degree preferred)
**LOCATION:**
 Austin, TX
**THE ROLE**
 As a Product Development Engineer, you will support and lead efforts to qualify and ramp next‑generation AMD microprocessors. The role spans the New Product Introduction (NPI) and production lifecycle and may involve work in Data Analysis, Product Definition, and System\-Level Test (SLT). Product engineers ensure overall compatibility, compliance, and test coverage of microprocessors—from initial silicon bring\-up through high‑volume manufacturing.
 This position specifically emphasizes Data Analysis, Yield Improvement, and ATE Test Point Optimization/Validation, including driving our team through critical test coverage and quality milestones.
**THE PERSON**
 The ideal candidate is a self\-driven engineer who can make sound technical decisions independently and take accountability for accuracy, reliability, and completeness of assigned work. This role provides the opportunity to influence technical direction across multiple products within the portfolio.
****KEY RESPONSIBILITIES****
* Develop, integrate, and release continuous improvements to product quality, test efficiency, and overall workflow.
* Support new product bring\-up, including characterization, margin analysis, and evaluation of test points.
* Investigate and debug issues related to test, yield, power, and performance, identifying root causes and improvement opportunities.
* Lead and collaborate with cross\-functional teams—including Design, Diagnostics, Foundry Technology, Supply Chain, and other engineering groups—to resolve product‑related issues.
* Enhance and maintain the tools, methods, and processes required for generating team results.
****REQUIRED SKILLS****
* Coursework or experience in Computer Science, Software Engineering, Digital Logic, Circuit Theory, or Computer Architecture.
* Proficiency in programming or scripting languages such as Python, C, Java, Ruby, SQL, or shell scripting.
* Solid understanding of statistical methods and Pareto\-based analysis.
* Familiarity with fundamental PC components and system assembly.
* Proficiency with MS Office and Windows OS (or similar toolsets).
* Willingness to work hands\-on with AMD technology.
* Strong communication skills and ability to collaborate effectively with geographically distributed teams.
****PREFERRED EXPERIENCE****
* Experience with statistical and data analysis tools such as JMP or Snowflake.
* Familiarity with ATE test equipment, methodologies, or semiconductor test environments.
**ACADEMIC CREDENTIALS**
* B.S. in Engineering or Physics required; degrees in Electrical Engineering, Electrical \&amp; Computer Engineering, or Computer Engineering preferred. Advanced degrees welcome.
**LOCATION**
* Austin, Texas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58">
      <c r="A158" t="inlineStr">
        <is>
          <t>li-4356223134</t>
        </is>
      </c>
      <c r="B158" t="inlineStr">
        <is>
          <t>Senior Data Platform Product Manager</t>
        </is>
      </c>
      <c r="C158" t="inlineStr">
        <is>
          <t>Charles Schwab</t>
        </is>
      </c>
      <c r="D158" t="inlineStr">
        <is>
          <t>linkedin</t>
        </is>
      </c>
      <c r="E158">
        <f>HYPERLINK("https://www.linkedin.com/jobs/view/4356223134", "https://www.linkedin.com/jobs/view/4356223134")</f>
        <v/>
      </c>
      <c r="F158" t="inlineStr"/>
      <c r="G158" t="inlineStr">
        <is>
          <t>Southlake, TX</t>
        </is>
      </c>
      <c r="H158" t="inlineStr"/>
      <c r="I158"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 are seeking a Senior Product Manager (individual contributor), to join the Data Platform Product Management team and guide the growth and adoption of Schwab data platforms. Our mandate is leading the planning, growth, and usage of data\-intensive platforms and products, powered with integrated data and applied insights, fueling business objectives.
 The ideal candidate will possess a blend of business and technical savvy; the ability to understand the business needs and translate them to many product teams. You must be hands\-on, be able to work with both technical and business partners to get into the details and clearly refine requirements and keep work moving in a timely manner. Project management experience, attention to detail, clear communication and organization are highly valued skills for this role.
**What You’ll Be Responsible For**
 You are responsible for supporting our team of SMEs through planning and execution throughout the Product Lifecycle, including gathering and prioritizing business requirements, facilitating business design sessions, and working closely with stakeholders to understand progress, risk, issues, and decisions made across the program. The Senior Product Manager’s job also includes preparing material for and supporting the facilitation of quarterly planning, roadmaps and maintaining JIRA and Confluence. Additionally, you will also be assigned a data platform to support as a Subject Matter Expert, enabling your business partners advance their data needs.
**What You’ll Do**
* You will guide and craft the data platform vision, strategy, and roadmap which aligns to client needs and business goals. This will involve articulating key features, attributes, and User Experience (UX) needed to increase ROI and customer satisfaction of the platform
* As a functional and technical Subject Matter Expert (SME), you will deeply understand the business problems the platform is intended to solve and guide and influence key stakeholders to make the platform better and easier to manage
* Taking a user\-centric approach you will guide platform development and feature prioritization and craft and manage an actionable roadmap
* Facilitate ongoing planning working sessions, refinement meetings and other critical planning meetings that lead to decision making and alignment
* Collect business requirements, develop user stories, define acceptance criteria, and coordinate business acceptance testing
* Be an effective communicator, with ability to highlight the challenges we are solving for, articulate the target state, and help stakeholders navigate the obstacles to be crossed
* Support value measurement and adoption metrics to communicate the business impact of the platform
* Influence structure and routines for our organization that improves our overall operating model through planning and resource orchestration
* Ensure proper hygiene of our JIRA backlog, create reports and visuals that represent progress and status of refinement, design and delivery
* Independently forge and strengthen relationships with partners and peers through ongoing one\-on\-ones and working sessions to resolve open issues
 What you have
**Required Qualifications**
* 5\+ years of work experience, including 3\+ years of product management experience
* Bachelor’s degree
* Documented experience with JIRA, Confluence and project management tools
* Demonstrated collaborative style, with ability to lead and influence diverse teams
* Strong communication skills and with high\-level of comfort leading meetings and facilitating very active working sessions, especially with business and technology partners present
* Ability to navigate ambiguity in a fast\-paced environment while introducing structure and frameworks for problem\-solving
* Excellent collaborator who thrives on working with others in a matrixed organizational environment
**Preferred Qualifications**
 Active listener who can synthesize many details and is not afraid to “go into the weeds” to solve problems
 Self\-starter mindset with a willingness to jump in and learn, make quick decisions, and pivot towards better solutions when needed
 Flexible and comfortable with change as business and organization is undergoing transformation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59">
      <c r="A159" t="inlineStr">
        <is>
          <t>li-4366049261</t>
        </is>
      </c>
      <c r="B159" t="inlineStr">
        <is>
          <t>Senior Workday Product Manager</t>
        </is>
      </c>
      <c r="C159" t="inlineStr">
        <is>
          <t>Optomi</t>
        </is>
      </c>
      <c r="D159" t="inlineStr">
        <is>
          <t>linkedin</t>
        </is>
      </c>
      <c r="E159">
        <f>HYPERLINK("https://www.linkedin.com/jobs/view/4366049261", "https://www.linkedin.com/jobs/view/4366049261")</f>
        <v/>
      </c>
      <c r="F159" t="inlineStr"/>
      <c r="G159" t="inlineStr">
        <is>
          <t>New Jersey, United States</t>
        </is>
      </c>
      <c r="H159" t="inlineStr"/>
      <c r="I159" t="inlineStr">
        <is>
          <t>**Senior Product Manager – Workday HCM / HRIS** 
 Remote \- working EST hours
 We are seeking a Sr. Product Manager to own the strategy, integrity, and evolution of our Workday HCM platform. This role functions as the
 **product leader for an enterprise HR system** 
 , accountable for translating business investment into measurable outcomes. You will drive product direction, set standards, and make prioritization decisions across Workday HCM, ensuring solutions are designed holistically and sustainably. You will partner closely with HR leadership, Architecture, and Business Systems to deliver a scalable, high\-quality Workday ecosystem supporting Benefits, Core HCM, and Payroll (in partnership with Finance).
**Responsibilities:** 
 Own and maintain the
 **Workday HCM product roadmap** 
 , including:
* Core HCM
* Benefits
* Payroll (in collaboration with Finance)
* Define product standards, operating norms, and best practices
* Ensure Workday investments translate into business value and outcomes
 Platform Health \&amp; Integrity
* Assess and maintain overall system health
* Review solution quality and identify gaps
* Proactively manage technical debt
* Evaluate existing implementations and recommend improvements
 Prioritization \&amp; Decision Making
* Own and manage the Workday product backlog
* Balance competing stakeholder demands and make tradeoff decisions when capacity is constrained
* Shift the organization from reactive delivery to intentional product management
 Solution Leadership
* Guide functional and technical solution design across:
* Workday objects
* Attributes
* Integrations
* Ensure solutions are architected
 **end\-to\-end** 
 , not module\-by\-module
* Partner with Architecture to ensure scalable and maintainable designs
 Cross\-Functional Partnership
* Act as a strategic partner to:
* HR Leadership
* Business Systems Leadership
* Architecture
* Provide strong executive\-level communication and influence
**Qualifications:** 
* Hybrid background spanning
 **HR systems and technology**
* Experience evaluating and improving existing Workday implementations
* Strong problem identification and diagnostic skills
* Proven ability to operate at both strategic and detailed levels
* Executive presence with exceptional stakeholder management skills
* Payroll exposure strongly preferred (not required)</t>
        </is>
      </c>
    </row>
    <row r="160">
      <c r="A160" t="inlineStr">
        <is>
          <t>li-4366040460</t>
        </is>
      </c>
      <c r="B160" t="inlineStr">
        <is>
          <t>TikTok Shop - Product Manager, Influencer Marketing and Affiliate Integrations</t>
        </is>
      </c>
      <c r="C160" t="inlineStr">
        <is>
          <t>TikTok</t>
        </is>
      </c>
      <c r="D160" t="inlineStr">
        <is>
          <t>linkedin</t>
        </is>
      </c>
      <c r="E160">
        <f>HYPERLINK("https://www.linkedin.com/jobs/view/4366040460", "https://www.linkedin.com/jobs/view/4366040460")</f>
        <v/>
      </c>
      <c r="F160" t="inlineStr"/>
      <c r="G160" t="inlineStr">
        <is>
          <t>Seattle, WA</t>
        </is>
      </c>
      <c r="H160" t="inlineStr"/>
      <c r="I160" t="inlineStr">
        <is>
          <t>**Responsibilities**
 About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Team
 The TikTok Shop Affiliate team designs and builds tools that connect creators, merchants, and consumers through performance\-driven partnerships. Their work spans creator and seller onboarding, product discovery and matching, commission and payout systems, analytics, and integrations with leading creator and influencer marketing apps. The goal is to make it seamless for creators to monetize content while enabling merchants to scale sales through affiliates.
 About the role
 This role sits within Partnerships \&amp; Integrations and focuses on building the APIs and platform connections that power our affiliate ecosystem. You’ll collaborate with a wide variety of partners—creators, content publishers (blogs, news, deal sites), affiliate networks (CJ, Rakuten, Impact, Awin), and influencer marketing apps (Linktree, JoinBrands, ShopMy).
 The team operates like a start\-up within TikTok: you’ll be hands\-on with everything from data analysis to operations, while also owning end\-to\-end product strategy and success metrics. We’re looking for someone who’s equally excited about writing scripts and analyzing data, brainstorming with review sites to improve conversions, and working with influencer apps to bring TikTok Shop opportunities to their creators.
 This is a fast\-paced, high\-impact role for someone who thrives at the intersection of technical building and creative influencer marketing.
 Responsibilities
 \- Collect and analyze market insights and trends to understand the evolving eCommerce and affiliate ecosystem.
 \- Work closely with publishers and partners—including websites, blogs, deal \&amp; coupon sites, loyalty/rewards platforms, and creator apps—to ensure their success on TikTok Shop.
 \- Dive into data and operations to help partners optimize their participation in TikTok Shop’s affiliate program.
 \- Own the design and development of APIs that enable partners to seamlessly integrate with TikTok Shop’s affiliate platform.
**Qualifications**
 Minimum Qualifications
 \- 5\+ years of product management experience.
 \- Proficiency in API design and development.
 \- Comfort with SQL, data analysis, and getting hands\-on with technical details.
 \- Strong cross\-team communication skills with the ability to quickly translate business needs into product opportunities
 Preferred Qualifications
 \- Bachelor’s degree in a technology\-related field (or equivalent experience).
 \- Understanding of eCommerce, influencer marketing, and affiliate marketing ecosystems.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1">
      <c r="A161" t="inlineStr">
        <is>
          <t>li-4366046382</t>
        </is>
      </c>
      <c r="B161" t="inlineStr">
        <is>
          <t>Product Manager – Heavy Industrial Plasma (HIB)</t>
        </is>
      </c>
      <c r="C161" t="inlineStr">
        <is>
          <t>Hypertherm Associates</t>
        </is>
      </c>
      <c r="D161" t="inlineStr">
        <is>
          <t>linkedin</t>
        </is>
      </c>
      <c r="E161">
        <f>HYPERLINK("https://www.linkedin.com/jobs/view/4366046382", "https://www.linkedin.com/jobs/view/4366046382")</f>
        <v/>
      </c>
      <c r="F161">
        <f>HYPERLINK("https://hypertherm.wd503.myworkdayjobs.com/hypertherm-careers/job/Hanover-NH/Product-Manager\u002d\u002d-Heavy-Industrial-Plasma\u002d\u002dHIB-_R3685?source=LinkedIn&amp;urlHash=lSx6", "https://hypertherm.wd503.myworkdayjobs.com/hypertherm-careers/job/Hanover-NH/Product-Manager\u002d\u002d-Heavy-Industrial-Plasma\u002d\u002dHIB-_R3685?source=LinkedIn&amp;urlHash=lSx6")</f>
        <v/>
      </c>
      <c r="G161" t="inlineStr">
        <is>
          <t>Hanover, NH</t>
        </is>
      </c>
      <c r="H161" t="inlineStr"/>
      <c r="I161" t="inlineStr">
        <is>
          <t>Hypertherm Associates is seeking an experienced
 **Product Manager** 
 to lead both New Product Introduction (NPI) and Full Lifecycle Management for a part of our heavy industrial plasma portfolio—from strategic market planning to in‑market performance of your assigned products. You will be the business owner for a critical portion of the heavy industrial portfolio, shaping strategy, understanding critical market dynamics and needs, defining user‑centered product requirements, partnering closely with engineering, regional commercial teams and our channel partners during development, launch and lifecycle in the market, ensuring we deliver differentiated solutions that solve high‑value customer problems.
 This is a high‑impact role in a technically sophisticated, global hardware business serving demanding industrial environments.
**As a HIB Product Manager, Your Role Will Include**
**Strategic Product Leadership**
* Develop and maintain the product line strategy, business cases, and long‑range product roadmaps.
* Define segment opportunities using market analysis, customer research, competitive insights, and financial modeling.
* Contribute to HIB's long range plan (LRP), roadmap and annual operating plan (AOP).
**New Product Introduction (NPI)**
* Lead cross‑functional NPI teams from early concept through commercialization in both core and growth market spaces.
* Develop product requirements, value propositions, and user experience needs, grounded in Voice of Customer (VOC) and User\-Centered Design (UCD) practices.
* Partner with engineering and operations on concept trade‑offs, feasibility, and technical architecture.
* Drive pricing strategy, launch plans, and early market validation/"post\-launch listening".
**Lifecycle and Portfolio Management**
* Own in‑market products from launch through end of life, including profitability, quality, market share, customer satisfaction and eventual product obsolescence and support.
* Identify opportunities for cost reduction, performance enhancements, and line extensions.
* Develop core content for targeted product messaging, product training, and sales enablement tools.
* Monitor product performance, conduct financial and margin analysis, and identify levers to optimize portfolio health.
* Partner deeply with regional commercial teams to manage product success and drive improvement programs where necessary.
**Cross‑Functional Collaboration**
* Work closely with engineering, sales, central and regional marketing, operations, quality, technical publications,
* Engage with technical service and finance to execute strategies and achieve business goals.
* Support commercial teams with training, product positioning, competitive differentiation, and market insights.
* Interact with channel partners for strategic direction, near\-term opportunities and in\-market performance.
* Present to and influence Hypertherm leadership on strategic plans, initiative status and portfolio performance.
**Who You Are And The Experience You Bring**
* BS/BA in Marketing, Engineering, Business Administration, or a related field.
* 3–5 years of product management experience (or equivalent role in product strategy, engineering, marketing, sales, or business leadership).
* Demonstrated capability managing technical products or complex systems.
* Strong business acumen: pricing, financial modeling, forecasting, and business case creation.
* Experience collaborating in a matrixed, cross‑functional environment.
* Skilled in user‑centered design and translating customer needs into product requirements.
* Excellent communication skills and a structured, analytical approach to problem solving.
* The following competencies:
+ Impact and Influence – drive urgency to and decisions with teams inside and outside of the company
+ Focus on the customer – be the representative of the customer in strategy, product development and lifecycle product management of assigned products
+ External awareness – fully incorporate external market conditions, technology trends, competitive pressures and macroeconomic effects
+ Strategic thinking – drive decisions and action plans that are biased to supporting strategic priorities, thinking through the 2nd and 3rd order implications
**Preferred Experience That Differentiates You**
* Background in industrial manufacturing, industrial equipment, robotics, automation, automotive, machining, or other technical domains.
* Direct experience with hardware, capital equipment, or electro‑mechanical systems.
* Engineering or technical degree.
* MBA or advanced business training.
* Familiarity with VOC, design thinking, and lean product development methodologies.
**Location:** 
 Onsite in Hanover, New Hampshire
 This role is based at Hypertherm’s Global Headquarters in Hanover, New Hampshire, located in the Upper Valley—an area known for high quality of life, outdoor recreation, and vibrant technology and academic communities.
**Travel:** 
 10\-15% domestic and international
**About Hypertherm Associates**
 Hypertherm Associates is a 100% Associate‑owned, global leader in industrial cutting solutions—trusted for decades for delivering breakthrough plasma, waterjet, and software technologies. Our Heavy Industrial Plasma business develops the high‑performance cutting systems used in shipbuilding, heavy equipment, structural steel, robotics, and advanced manufacturing environments around the world.
**Why join Hypertherm Associates?**
* Collaborative, 100% employee\-owned culture
* Profit\-Sharing and Employee Stock Ownership (ESOP)
* Five days/year paid Community Service Time
* Strong commitment to Environmental Stewardship
* Stable, growing organization with a no\-layoff philosophy
 Hypertherm Associates is proud to be an Equal Opportunity Employer, and we welcome all applications. We recruit, employ, train, compensate, and promote without regard to race, color, religion, sex, age, national origin, disability, or veteran status, or any other characteristic protected by federal, state, or local laws.
 At Hypertherm Associates, we are committed to building an inclusive diverse, flexible, and collaborative environment. If our mission resonates with you, but you don’t meet all posted requirements, we encourage you to still apply. We will evaluate your application materials and may suggest alternative roles that better leverage your strengths and talents. For positions with multiple levels, we will evaluate your prior experience to determine the level within our organization you are best aligned based upon the job applying.
**CURRENT ASSOCIATES OR TEMPORARY ASSOCIATES: Please apply via your internal Workday career account.**
 $92,094\.00\-$153,492\.00 Annual
*****This is the base pay range that an applicant can expect to make upon hire.*****
*******Pay within this range will vary based upon relevant experience, skills, and education among other factors.*******</t>
        </is>
      </c>
    </row>
    <row r="162">
      <c r="A162" t="inlineStr">
        <is>
          <t>li-4366022941</t>
        </is>
      </c>
      <c r="B162" t="inlineStr">
        <is>
          <t>Senior Product Manager, Cloud SQL for SQL Server</t>
        </is>
      </c>
      <c r="C162" t="inlineStr">
        <is>
          <t>Google</t>
        </is>
      </c>
      <c r="D162" t="inlineStr">
        <is>
          <t>linkedin</t>
        </is>
      </c>
      <c r="E162">
        <f>HYPERLINK("https://www.linkedin.com/jobs/view/4366022941", "https://www.linkedin.com/jobs/view/4366022941")</f>
        <v/>
      </c>
      <c r="F162" t="inlineStr"/>
      <c r="G162" t="inlineStr">
        <is>
          <t>Seattle, WA</t>
        </is>
      </c>
      <c r="H162" t="inlineStr"/>
      <c r="I16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Seattle, WA,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developing or launching products or technologies within databases, analytics, big data, or a related area.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executive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Cloud SQL is Google Cloud’s industry\-leading database service, relied upon by companies for their mission\-critical workloads. In this exciting AI era, we are focused on innovation to empower our customers to run agentic applications effectively at scale.
 As a Product Management Lead, you will help shape the future of Cloud SQL. You will drive strategy and execution of key areas of Cloud SQL for SQL Server, enable customers to be successful with the service, and drive GTM activities to drive business growth and increased adoption.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Product Requirement Documents (PRDs) by collaborating with partner teams (e.g., engineers, PgMs, UX) during product design and development to implement the requirements to turn PRDs into Objectives and Key Results (OKRs) for multiple teams.
* Own and define project roadmaps.
* Drive development and secure buy\-in for a product goal that identifies, defines, and supports the overall product narrative and direction.
* Build an understanding of database technologies, market trends, and customer requirements, then use product insights to drive product strategy. Interact with customers and partners to understand their key requirements and help define a multi\-year product roadmap.
* Drive innovation in managed SQL Server, lead product development of innovative capabilities, collaborating closely with engineering, user experience design, finance, product operations, marketing, and field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3">
      <c r="A163" t="inlineStr">
        <is>
          <t>li-4366058236</t>
        </is>
      </c>
      <c r="B163" t="inlineStr">
        <is>
          <t>Product Manager - Unified Payments</t>
        </is>
      </c>
      <c r="C163" t="inlineStr">
        <is>
          <t>Jobs via Dice</t>
        </is>
      </c>
      <c r="D163" t="inlineStr">
        <is>
          <t>linkedin</t>
        </is>
      </c>
      <c r="E163">
        <f>HYPERLINK("https://www.linkedin.com/jobs/view/4366058236", "https://www.linkedin.com/jobs/view/4366058236")</f>
        <v/>
      </c>
      <c r="F163">
        <f>HYPERLINK("https://click.appcast.io/t/an597nXzz-m9tEGHrngl3Gf7DVOGVZqzEYWaHUmMIik=&amp;urlHash=FD0T", "https://click.appcast.io/t/an597nXzz-m9tEGHrngl3Gf7DVOGVZqzEYWaHUmMIik=&amp;urlHash=FD0T")</f>
        <v/>
      </c>
      <c r="G163" t="inlineStr">
        <is>
          <t>Berkeley Heights, NJ</t>
        </is>
      </c>
      <c r="H163" t="inlineStr"/>
      <c r="I163" t="inlineStr">
        <is>
          <t>Dice is the leading career destination for tech experts at every stage of their careers. Our client, Photon, is seeking the following. Apply via Dice today!
**Job Title: Product Manager \- Unified Payments, Wallets, Cards**
**Location:** 
 Berkeley Heights, NJ / Alpharetta, GA
**Experience:** 
 10\+ years (Payments, Merchant Acquiring, Money Movement, or Financial Services preferred)
**Department:** 
 Product Management
**About Us:**
 For the past 20 years, we have powered many Digital Experiences for the Fortune 500\. Since 1999, we have grown from a few people to more than 4000 team members across the globe that are engaged in various Digital Modernization. Our current focus and innovation in Digital Hyper expansion TM offers nearly limitless opportunities for career growth.
**Job Summary:**
 We are seeking an experienced Product Manager to help build a
 **unified payments platform** 
 that brings together pay\-ins, payouts, merchant acquiring, and embedded financial capabilities into a single solution for platforms and marketplaces.
 This role requires a strong understanding of the
 **end\-to\-end money movement lifecycle** 
 , including acceptance, disbursement, settlement, routing, reconciliation, and underlying platform APIs. The ideal candidate excels at translating complex payment flows into clear product requirements, collaborating closely with engineering, and ensuring delivery of high\-quality, scalable payment capabilities.
**Key Responsibilities**
**Requirements \&amp; Documentation**
* Create clear, comprehensive Product Requirement Documents (PRDs) and functional specifications.
* Document end\-to\-end payment flows including pay\-ins, payouts, settlement, routing, reconciliation, and merchant lifecycle scenarios.
* Maintain precise user stories, acceptance criteria, and business rules in partnership with cross\-functional teams.
**Technical Collaboration \&amp; Delivery**
* Serve as the primary liaison between product, engineering, and QA teams.
* Work with technical leads to convert business needs into scalable system designs and API specifications.
* Collaborate with UI/UX, API, and data teams to ensure technical alignment with product vision.
**Process \&amp; Flow Design**
* Develop detailed process maps, system interaction diagrams, and transaction journeys using Visio, Miro, or Lucidchart.
* Ensure accuracy of payment orchestration flows across authorization, capture, disbursements, and funding events.
* Support design of multi\-rail routing and money movement architecture for platform use cases.
**Product \&amp; Release Management**
* Support backlog management, sprint planning, and prioritization of features and enhancements.
* Participate in QA review, UAT validation, and release readiness.
* Track delivery milestones and ensure on\-time, high\-quality product launches.
* BRD Finalization: Finalize end\-to\-end documentation of business requirements, flows, high and low level designs, and build phases.
* Execution Tracking: Manage detailed execution plans and sprint\-level deliverables
* Solution Refinement: Continue to refine requirements and definitions throughout development and pivot as needed for market needs
* Operationalize the Product: Align implementations, billing, risk and compliance practices, servicing, and support for the solution
* Trade\-Off Analysis: Provide input for prioritization decisions balancing scope, timeline, and quality
**Core Skills \&amp; Competencies**
* Deep experience documenting payment flows and business processes with clarity and precision.
* Strong analytical and problem\-solving skills, with ability to break down complex payment journeys.
* Proven success working with engineering teams in an Agile environment.
* Hands\-on expertise with JIRA, Confluence, Lucid chart, Miro, or similar tools.
* Excellent stakeholder management, communication, and cross\-team alignment skills.
* Strong attention to detail and ability to create structured, logical artifacts.
* Leverage AI tools and technologies in day\-to\-day workflows to improve efficiency, decision\-making, and operational outcomes.
* Identify and conceptualize AI\-driven use cases within the product portfolio to enhance client experience and strengthen the overall value proposition.
* Collaborate with cross\-functional teams to integrate AI capabilities into product design, ensuring alignment with business objectives and regulatory standards.
* Translate business challenges into AI opportunities, creating actionable strategies for implementation and measurable impact.
**Preferred Experience**
* 10\+ years of experience in product management within payments, pay\-ins, payouts, merchant acquiring, money movement, or financial services.
* Experience with platform or marketplace payment flows, payment acceptance, payout orchestration, and merchant lifecycle events.
* Familiarity with APIs, microservices, and modern digital banking or payment processing systems.
* Understanding of settlement, reconciliation, chargebacks, funding, and transaction lifecycle management.
**Education**
* Bachelor's degree in business, Information Systems, Computer Science, or a related field.
* Certifications in Agile, Scrum, or Business Analysis (e.g., CSPO, CBAP) are a plus.</t>
        </is>
      </c>
    </row>
    <row r="164">
      <c r="A164" t="inlineStr">
        <is>
          <t>li-4344020924</t>
        </is>
      </c>
      <c r="B164" t="inlineStr">
        <is>
          <t>Senior Product Manager - CORTRAK Specialty Nutrition Systems, North America - Alpharetta, GA</t>
        </is>
      </c>
      <c r="C164" t="inlineStr">
        <is>
          <t>Avanos Medical</t>
        </is>
      </c>
      <c r="D164" t="inlineStr">
        <is>
          <t>linkedin</t>
        </is>
      </c>
      <c r="E164">
        <f>HYPERLINK("https://www.linkedin.com/jobs/view/4344020924", "https://www.linkedin.com/jobs/view/4344020924")</f>
        <v/>
      </c>
      <c r="F164" t="inlineStr"/>
      <c r="G164" t="inlineStr"/>
      <c r="H164" t="inlineStr"/>
      <c r="I164" t="inlineStr">
        <is>
          <t>**Requisition ID: 6850**
**Job Title: Senior Product Manager \- CORTRAK Specialty Nutrition Systems, North America \- Alpharetta, GA**
**Job Country: United States (US)**
**Reports To : Sr. Director, Global SNS Marketing**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**Essential Duties And Responsibilities**
 Provides leadership to the Specialty Nutrition Systems product portfolio managing the CORTRAK and CORGRIP businesses with a focus on growing these categories through the development and execution of the strategic business/ marketing plans.
 To be successful in the role this will require developing a financial budget that drives growth and is achieved each calendar year. This individual will also drive the development and execution of the business/ marketing plans that will include market assessments, pricing strategy, key GPO/IDN strategies and competitive landscape. This role will also have responsibility for key customer management, new product launches, developing and running SABs (Sales Advisory Boards), improving GP and OP, tradeshow management and advising Global Strategic Marketing on future pipeline decisions. This role reports directly to the Sr. Director, Global Marketing
**Key Responsibilities**
* Assist in the development and execution of effective plans and programs, both strategic and tactical, to drive net sales, operating profit, and market share for categories.
* Maintain full P\&amp;L management responsibility for product portfolios.
* Develop long\-term strategic business plans and marketing plans for product portfolio segments.
* Develop pricing strategies that support the growth and profitability of the business.
* Collaborate with Sales, Planning and Finance teams to develop timely and accurate forecasts to ensure required fill rates on existing and new products, supporting sector goals to improve return on working capital and working closely with sales team to develop a financial and demand forecast with a high degree of accuracy.
* Support in the development of GPO/ IDN strategies to grow and maintain the business.
* Constantly evaluate product mix to reduce redundancy and drive strategic objectives for the category.
* Responsible for launching new products including the development of branding, pricing, positioning, messaging, marketing campaigns, training, and forecasts.
* Support and guide development and execution of tools and training to improve and maintain sales force competency, drive new product sales and provide superior customer service.
* Lead the development \&amp; execution of digital marketing \&amp; demand generation programs.
* Assist in developing key initiatives and programs by gathering customer insights through end\-user focus with physicians / clinicians.
* Establish and manage relationships with industry KOLs and lead/ manage Sales Advisory Boards.
* Responsible for providing effective communication with sales team, as well as cross\-functional teams, to help ensure collaboration and understanding of the business.
* Actively seek and positively respond to performance and personal development feedback, while initiating activities to enhance personal functional effectiveness to realize full career potential.
**Your Qualifications**
**Required:**
* This is a hybrid position requiring three days per week to be onsite in the Alpharetta Office
* Bachelor's degree required
* At least 7 years of product management and sales experience in the health care industry (or other regulated industry)
* Ability to travel at least 25%
* Ability to manage cross\-functional teams without direct reporting relationships
* Ability to collaborate successfully and influence decisions
* Exceptional written, verbal and communication skills
* Experience in forecasting and demand planning
* Development of strategic business plans
* Development of key tactics and execution plans that drive strategic goals
* Ability to assess the market and competitive landscape
* Successful product launch experience
* Gaining and understanding the internal/external customer perspective
* Management of an advertising and promotion budget
* Knowledge and experience with branding and brand management
* Ability to multi\-task and work under pressure in a fast\-paced environment
* Strong computer skills including: Microsoft Word , Excel , Outlook, PowerPoint
**Preferred**
* MBA with either a Marketing or Business\-related concentration
* Product management experience within digestive health, enteral feeding, or capital equipment
* In\-depth understanding of the medical device legal and regulatory pathways
* Complex project management experience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**IMPORTANT: If you are a current employee of Avanos or a current Avanos Contractor,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165">
      <c r="A165" t="inlineStr">
        <is>
          <t>li-4355985870</t>
        </is>
      </c>
      <c r="B165" t="inlineStr">
        <is>
          <t>Program Manager, LRC Technology</t>
        </is>
      </c>
      <c r="C165" t="inlineStr">
        <is>
          <t>Ares Management</t>
        </is>
      </c>
      <c r="D165" t="inlineStr">
        <is>
          <t>linkedin</t>
        </is>
      </c>
      <c r="E165">
        <f>HYPERLINK("https://www.linkedin.com/jobs/view/4355985870", "https://www.linkedin.com/jobs/view/4355985870")</f>
        <v/>
      </c>
      <c r="F165" t="inlineStr"/>
      <c r="G165" t="inlineStr">
        <is>
          <t>New York, NY</t>
        </is>
      </c>
      <c r="H165" t="inlineStr"/>
      <c r="I165"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and perspectives can build careers within this exciting and growing industry.*
****Job Description****
**Program Manager, Legal Risk \&amp; Compliance Technology**
**Department:** 
 Technology – Corporate Technology (Legal, Risk \&amp; Compliance Technology)
**Reports to:** 
 Head of Corporate Technology
**Location:** 
 New York, NY
 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and perspectives can build careers within this exciting and growing industry.
****Job Description****
 Ares is seeking a
 **Program Manager, Legal Risk \&amp; Compliance (LRC) Technology** 
 to join Corporate Technology, reporting to the
 **Head of Corporate Technology** 
 . This role will drive execution, governance, and stakeholder alignment across a portfolio of initiatives supporting Legal, Risk, and Compliance technology.
 The ideal candidate is a high\-performing, client\-oriented program manager—exceptionally organized, detail\-driven, and fast\-moving—who communicates crisply and maintains tight follow\-through. They are comfortable engaging with senior business stakeholders as well as collaborating day\-to\-day with hands\-on technology teams. This person takes direction well, executes thoughtfully, and maintains a high cadence of communication to keep leaders informed and teams aligned. Experience from a large alternative asset manager and/or a consulting background is strongly preferred.
****PRIMARY FUNCTIONS AND ESSENTIAL RESPONSIBILITIES****
* Drive end\-to\-end program management across the LRC Technology portfolio: scope, plans, milestones, dependencies, and outcomes.
* Act as a trusted execution partner to Corporate Technology leadership—translate direction into structured workplans and ensure follow\-through.
* Run portfolio governance: workstream cadence, RAID tracking, decision logs, dependency management, and change control.
* Own stakeholder management with a client\-service mindset: prepare meetings, capture decisions, close actions, and anticipate needs.
* Partner with delivery leads to coordinate sequencing, resourcing, and release readiness across teams and vendors.
* Produce high\-quality artifacts and executive\-ready materials: status, plans, timelines, risks, and concise summaries of complex topics.
* Maintain delivery discipline across tools and standards (Jira/Confluence hygiene, Smartsheet plans, documentation consistency).
* Proactively surface risks and issues early; drive mitigation and resolution to closure.
* Improve delivery efficiency by introducing pragmatic best practices and tech\-forward approaches, including use of AI for reporting, documentation, and operational workflow.
****QUALIFICATIONS****
* Demonstrated experience managing complex technology programs in financial services or similarly high\-expectation environments.
* Exceptional communication skills, strong attention to detail, and the ability to tailor messaging by audience.
* Proven ability to operate at pace across multiple parallel workstreams, with strong judgment and accountability.
* Bachelor’s degree required; advanced degree a plus.
****Experience Required****
* Strong proficiency with:
+ Jira / Confluence (required)
+ Smartsheet (required)
+ PowerPoint and Excel (required)
+ Lucidchart (preferred)
* Track record delivering programs from initiation through production/stabilization with strong governance and predictable execution.
* Strong facilitation and documentation discipline: agendas, notes, actions, decisions, and follow\-up.
* Ability to work effectively across senior stakeholders, engineers, architects, and external partners.
****Preferred Qualifications****
* Experience at a large alternative asset manager and/or in consulting (strongly preferred).
* Familiarity with Legal, Risk, and/or Compliance domains and the delivery expectations common to regulated functions.
* Practical experience experimenting with AI\-enabled tools to improve productivity (e.g., documentation synthesis, reporting automation, backlog hygiene).
****General Requirements****
* Fast\-moving, highly responsive, and service\-oriented; builds credibility through clarity and follow\-through.
* Comfortable with ambiguity; able to create structure and momentum with minimal overhead.
* Strong ownership mindset with disciplined execution and attention to detail.
* Willingness to flex hours as needed to support global stakeholders and key milestones.
**Reporting Relationships**
 Product Manager, Legal \&amp; Compliance Systems
****Compensation****
 The anticipated base salary range for this position is listed below. Total compensation may also include a discretionary performance\-based bonus. Note, the range takes into account a broad spectrum of qualifications, including, but not limited to, years of relevant work experience, education, and other relevant qualifications specific to the role.
 $200k \- $250k
 The firm also offers robust Benefits offerings. Ares U.S. Core Benefits include Comprehensive Medical/Rx, Dental and Vision plans; 401(k) program with company match; Flexible Savings Accounts (FSA); Healthcare Savings Accounts (HSA) with company contribution; Basic and Voluntary Life Insurance; Long\-Term Disability (LTD) and Short\-Term Disability (STD) insurance; Employee Assistance Program (EAP), and Commuter Benefits plan for parking and transit.
 Ares offers a number of additional benefits including access to a world\-class medical advisory team, a mental health app that includes coaching, therapy and psychiatry, a mindfulness and wellbeing app, financial wellness benefit that includes access to a financial advisor, new parent leave, reproductive and adoption assistance, emergency backup care, matching gift program, education sponsorship program, and much more.
*There is no set deadline to apply for this job opportunity. Applications will be accepted on an ongoing basis until the search is no longer active.*</t>
        </is>
      </c>
    </row>
    <row r="166">
      <c r="A166" t="inlineStr">
        <is>
          <t>li-4366016862</t>
        </is>
      </c>
      <c r="B166" t="inlineStr">
        <is>
          <t>Materials Program Manager</t>
        </is>
      </c>
      <c r="C166" t="inlineStr">
        <is>
          <t>Apple</t>
        </is>
      </c>
      <c r="D166" t="inlineStr">
        <is>
          <t>linkedin</t>
        </is>
      </c>
      <c r="E166">
        <f>HYPERLINK("https://www.linkedin.com/jobs/view/4366016862", "https://www.linkedin.com/jobs/view/4366016862")</f>
        <v/>
      </c>
      <c r="F166" t="inlineStr"/>
      <c r="G166" t="inlineStr">
        <is>
          <t>Austin, TX</t>
        </is>
      </c>
      <c r="H166" t="inlineStr"/>
      <c r="I166" t="inlineStr">
        <is>
          <t>**Summary**
 Imagine what you could do here. World Class operational excellence is a cornerstone of Apple's ability to consistently surprise and delight our customers. The WW Materials Program Manager plays a critical role in ensuring operational success for the Procurement organization. In this role, you will be responsible for materials readiness, availability, and visibility. This is a strategic supply chain role, interacting with our Contract Manufacturers (CMs) and internal core teams, encompassing critical component planning, allocation direction, supply flexibility modeling, and materials liability management. Do you have a passion for complex supply chain operations? We hope you will consider joining our team.
**Description**
 Do you enjoy seeing products come to life? The MPM will manage the CTB ('clear to build') process with suppliers and OEMs, ensuring that we have efficient process and clear visibility on our procurement strategy. Your successful ability to partner with OEMs and the sourcing team on material strategy will directly impact our product success.
* Clear\-to\-Build (CTB) Management: provide visibility to materials supply, highlighting projected coverage and constraints. CTB projections govern what the Supply\-Demand Managers (SDM) can commit to customers and are a key input to revenue projections provided to our C\-level executives.
* Partner with the CM to develop a model that incorporates the specific supply chain and materials flow details to project availability in support of our supply/demand goals.
* Create allocation strategies for constrained materials by developing models across factories, programs, and lines of business. Provide allocation direction to Global Supply Managers and Apple Suppliers.
* Challenge and influence Demand Planning and Strategic Sourcing teams to improve allocation and maximize revenue.
* Identify E \&amp; O and other material risk, recommend critical course of action to leadership, and own the efforts to mitigate liability to the business.
* Develop strategic roadmap for the phase‐out of obsolete parts and new product materials.
* Prepare and communicate critical Materials updates at weekly Sustaining Executive Program reviews;
 maintain executive reports and summaries, providing accurate and timely data to leadership on a weekly
 basis.
* Through a deep understanding of our commodity terms, ensure the logistical flow of materials necessary to meet production schedules, inventory control requirements, and ongoing material line support.
**Minimum Qualifications**
* 4\+ years of relevant experience in Operations, Manufacturing, Sourcing,Supply Chain or related area
* BS/BA in Engineering,Business, Supply Chain or a related field
**Preferred Qualifications**
* Ability to problem\-solve and influence others through relationships and data.
* Advanced modeling and predictive analytical skills; 'Advanced User' of MS Excel with deep understanding of Excel techniques. VBA, SQL, Tableau, or similar data visualization tools a plus.
* Professional experience with complex supply chain, technical expertise, or prior OEM management experience preferred.
* Strong written and verbal communication skills with the ability to present to management required.
* International experience and Mandarin, Japanese, Vietnamese language skills a plus.
* 
* MBA or Master's Degree in Supply Chain, Engineering, or Operations Management preferred.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7">
      <c r="A167" t="inlineStr">
        <is>
          <t>li-4356213498</t>
        </is>
      </c>
      <c r="B167" t="inlineStr">
        <is>
          <t>Product Owner – Life and Annuity Solutions</t>
        </is>
      </c>
      <c r="C167" t="inlineStr">
        <is>
          <t>Verisk</t>
        </is>
      </c>
      <c r="D167" t="inlineStr">
        <is>
          <t>linkedin</t>
        </is>
      </c>
      <c r="E167">
        <f>HYPERLINK("https://www.linkedin.com/jobs/view/4356213498", "https://www.linkedin.com/jobs/view/4356213498")</f>
        <v/>
      </c>
      <c r="F167" t="inlineStr"/>
      <c r="G167" t="inlineStr">
        <is>
          <t>Holmdel, NJ</t>
        </is>
      </c>
      <c r="H167" t="inlineStr"/>
      <c r="I167" t="inlineStr">
        <is>
          <t>**Job Description**
 Verisk is seeking a strategic and execution\-focused Product Owner to drive continued innovation and platform evolution for the life and annuity market.This is an opportunity to own product direction for a growing platform and make a meaningful impact on how insurers and annuity providers serve their customers.
 As a Product Owner, you will be the bridge between customer needs and technical execution. You will translate market needs into a clear product vision and manage a high\-velocity development backlog to bring that vision to life.
**Responsibilities**
* Product Discovery: Collaborate with external customers and internal stakeholders to identify pain points and validate demand for new products or enhancements to existing products.
* Backlog Management: Own, prioritize, and maintain the product backlog. Translate complex requirements into actionable user stories and acceptance criteria for our engineering teams, balancing new development with ongoing platform improvements.
* Strategic Roadmap: Define the "what" and the "why" behind product features, ensuring the development team is always working on the items with the highest business impact. Partner with leadership and customer teams to define go\-to\-market strategy and provide input on customer roadmaps.
* Stakeholder Alignment: Serve as the primary point of contact for product progress, providing transparency to leadership, and ensuring the final product meets the specific regulatory and technical needs of the life insurance sector.
* Sales Enablement: Support product demos and sales conversations as needed.
* Release Management: Work closely with developers and architects from initial concept through production release and post\-launch iteration. Engage with Sales and Delivery teams to ensure smooth customer delivery.
**Qualifications**
* Experience: 3\+ years of experience as a Product Owner or similar role in an Agile environment. Experience with insurance technology solutions preferred. FAST experience a plus.
* Domain Knowledge: Deep understanding of the Life and Annuity industry.
* Technical Acumen: Experience with Jira or similar tools and a solid understanding of the software development lifecycle. Familiarity with APIs, microservices concepts, and data formats such as XML/JSON.
* Communication: Exceptional ability to communicate across business and technical stakeholders and build consensus across teams.
* Adaptability: Comfort navigating ambiguity, managing competing priorities, and making trade\-off decisions in a dynamic environment.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68">
      <c r="A168" t="inlineStr">
        <is>
          <t>li-4366047048</t>
        </is>
      </c>
      <c r="B168" t="inlineStr">
        <is>
          <t>ML Engineering Program Manager (EPM), Apple Ads</t>
        </is>
      </c>
      <c r="C168" t="inlineStr">
        <is>
          <t>Apple</t>
        </is>
      </c>
      <c r="D168" t="inlineStr">
        <is>
          <t>linkedin</t>
        </is>
      </c>
      <c r="E168">
        <f>HYPERLINK("https://www.linkedin.com/jobs/view/4366047048", "https://www.linkedin.com/jobs/view/4366047048")</f>
        <v/>
      </c>
      <c r="F168" t="inlineStr"/>
      <c r="G168" t="inlineStr">
        <is>
          <t>Cupertino, CA</t>
        </is>
      </c>
      <c r="H168" t="inlineStr"/>
      <c r="I168" t="inlineStr">
        <is>
          <t>**Summary**
 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
 The Apple Ads EPM team is looking for an ML\-focused EPM to drive initiatives that focus on building and scaling machine learning platforms. You will work closely with engineers and product managers to drive roadmaps, navigate dependencies, mitigate risks, and meet ambitious timelines. Your role is highly cross\-functional and will bridge bringing teams together to launch exciting products..
**Description**
 You will be part of an engineering organization that is highly tuned towards delivering strategic outcomes for the business. You will lead project planning, prioritization, and execution of machine learning initiatives that are central to business growth. In this role you will:
* Plan, drive, prioritize, and deliver against a key roadmap that builds ML frameworks and platforms.
* Lead project planning, delivery, work breakdowns, resource planning, and day\-to\-day project management using suitable methodologies.
* Work closely with technology leadership to form strategic plans and contribute towards defining overall technology direction.
* Negotiate the sequencing and timing of releases and launches with other engineering and product teams. Assess delivery risks, propose effective mitigation paths, and identify critical trade\-off options.
* Develop and implement communication strategies for keeping stakeholders up\-to\-date on progress and asks.
* Streamline and execute quarterly planning for engineering teams, assisting with prioritization efforts to align engineering efforts against the top priorities of the organization.
**Minimum Qualifications**
* 5\+ years of leading projects related to AI/ML systems. Experiences with low latency architectures, cloud platforms, and/or data\-driven solutions is preferred.
* 3\+ years leading engineering roadmaps, planning, and execution across multiple engineering teams.
* Demonstrated experience delivering platforms in cloud or hybrid environments with a focus on scale, performance, and reliability.
* Exceptional written and verbal communication skills. Ability to clearly articulate technical concepts and communicate with engineering, product, and leadership partners.
**Preferred Qualifications**
* Deep understanding of AI/ML workflows and algorithmic improvements.
* Experiences managing projects involving distributed systems, large\-scale cloud architectures, and performance marketing platforms.
* Experiences managing software projects focused on building and scaling platforms.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9">
      <c r="A169" t="inlineStr">
        <is>
          <t>li-4356250190</t>
        </is>
      </c>
      <c r="B169" t="inlineStr">
        <is>
          <t>Product Manager (Oncology)</t>
        </is>
      </c>
      <c r="C169" t="inlineStr">
        <is>
          <t>Piper Companies</t>
        </is>
      </c>
      <c r="D169" t="inlineStr">
        <is>
          <t>linkedin</t>
        </is>
      </c>
      <c r="E169">
        <f>HYPERLINK("https://www.linkedin.com/jobs/view/4356250190", "https://www.linkedin.com/jobs/view/4356250190")</f>
        <v/>
      </c>
      <c r="F169" t="inlineStr"/>
      <c r="G169" t="inlineStr">
        <is>
          <t>East Windsor, NJ</t>
        </is>
      </c>
      <c r="H169" t="inlineStr"/>
      <c r="I169" t="inlineStr">
        <is>
          <t>**Piper Companies** 
 is seeking a
 **Product Manager** 
 to support commercial marketing initiatives for a global pharmaceutical organization focused on Oncology and Hematology. This role requires onsite availability in
 **East Windsor, NJ.**
**Responsibilities of the Product Manager:**
* Lead brand strategy and execution across key marketing initiatives.
* Serve as the HCP marketing lead and coordinate deliverables with sales and account teams.
* Manage and advance materials through the PRC (Promotional Review Committee) process.
* Partner with Regulatory, Legal, and agency teams to ensure FDA\-compliant content.
* Support advisory boards, congress activities, and field team needs (up to 30% travel).
* Collaborate cross\-functionally with Sales, Market Access, and Marketing leadership.
**Qualifications of the Product Manager:**
* Proven experience as a Product Manager within the pharmaceutical industry.
* Strong understanding of PRC processes and material review workflows.
* Ability to lead brand initiatives and work cross\-functionally.
* BA/BS degree in business, life sciences, or related discipline.
* 3–5 years of pharma/biotech experience.
* Ability to work onsite 4 days/week and travel as needed (approx. 30%).
**Compensation for the Product Manager:**
* Salary Range: $130,000 – $140,000 annually
* Type: Permanent, Full\-Time
* Schedule: Onsite 4 days/week
* Comprehensive Benefits: Medical, Dental, Vision, 401K, PTO, Sick Leave as required by law, and Holidays
**Application Period:** 
 This position opens for applications on 1/27/2026 and will remain open for a minimum of 30 days from the posting date.
**Keywords** 
 : Product Manager, Pharma, PRC, HCP Marketing, Brand Strategy, Biosimilars, Oncology Marketing, FDA Compliance, Commercial Marketing</t>
        </is>
      </c>
    </row>
    <row r="170">
      <c r="A170" t="inlineStr">
        <is>
          <t>li-4366018996</t>
        </is>
      </c>
      <c r="B170" t="inlineStr">
        <is>
          <t>AIML - Sr Engineering Program Manager, Apple Intelligence and Model Evaluation</t>
        </is>
      </c>
      <c r="C170" t="inlineStr">
        <is>
          <t>Apple</t>
        </is>
      </c>
      <c r="D170" t="inlineStr">
        <is>
          <t>linkedin</t>
        </is>
      </c>
      <c r="E170">
        <f>HYPERLINK("https://www.linkedin.com/jobs/view/4366018996", "https://www.linkedin.com/jobs/view/4366018996")</f>
        <v/>
      </c>
      <c r="F170" t="inlineStr"/>
      <c r="G170" t="inlineStr">
        <is>
          <t>Seattle, WA</t>
        </is>
      </c>
      <c r="H170" t="inlineStr"/>
      <c r="I17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an AIML Engineering Program Manager (EPM) at Apple, you will drive complex and innovative GenAI\-based features that are essential to the success of Apple's products. We seek candidates with exceptional emotional intelligence who can lead diverse cross\-functional teams to deliver key features integrated across all Apple products and services.
**Description**
 Drive and ship all aspects of large, cross\-functional projects. Lead concurrent initiatives by defining project scope, authoring requirements, verifying resource allocation across the technology stack, identifying and mitigating risks, and establishing concise and thorough project timelines. Establish trust and create opportunities for seamless collaboration with colleagues across the AIML organization along with other Apple groups (e.g. Software Engineering, Hardware, Services) to ensure successful delivery of critical features.
**Minimum Qualifications**
* 10\+ years of experience in leadings successful software programs.
* Have personally orchestrated the successful delivery of multiple significant client/server software products involving large\-scale, cross\-functional teams.
* Strong analytical skills with a curiosity and appetite for solving complex problems.
* High level of accountability and responsibility.
* Ability to drive strategic priorities and ensure teams are focused on the right things at the right time.
* Self\-motivated, and able to motivate colleagues, to drive tasks to completion.
* Excellent communication and presentation skills (written and verbal).
* Comfortable communicating and presenting at all organizational levels.
* Strong technical proficiency.
* Bachelor’s degree or equivalent.
**Preferred Qualifications**
* Experience with GenAI and machine learning\-powered features, particularly in the model evaluation space, is a significant advantage.
* Masters (or higher) in Computer Science or related field is a significant advantage.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1">
      <c r="A171" t="inlineStr">
        <is>
          <t>li-4366030944</t>
        </is>
      </c>
      <c r="B171" t="inlineStr">
        <is>
          <t>RF Test Engineering Program Manager</t>
        </is>
      </c>
      <c r="C171" t="inlineStr">
        <is>
          <t>Apple</t>
        </is>
      </c>
      <c r="D171" t="inlineStr">
        <is>
          <t>linkedin</t>
        </is>
      </c>
      <c r="E171">
        <f>HYPERLINK("https://www.linkedin.com/jobs/view/4366030944", "https://www.linkedin.com/jobs/view/4366030944")</f>
        <v/>
      </c>
      <c r="F171" t="inlineStr"/>
      <c r="G171" t="inlineStr">
        <is>
          <t>Cupertino, CA</t>
        </is>
      </c>
      <c r="H171" t="inlineStr"/>
      <c r="I171" t="inlineStr">
        <is>
          <t>**Summary**
 As an Engineering Program Manager supporting the Wireless Systems \&amp; Compliance Engineering team, you will apply your Program / Project management skills and have significant responsibility for driving multiple RF test\-related projects that are essential to timely, successful release of Apple products. The teams that the EPM will support have responsibility for ensuring that Apple products meet RF performance specifications and stay in sync with relevant government and industry regulations. To ensure RF compliance, testing is performed with a range of niche RF test equipment and setups, including conducted RF test stations, anechoic, and semi\-anechoic chambers as well as custom crafted setups in indoor and outdoor environments. Testing is performed in the local Bay Area, San Diego as well as in other locations worldwide. The test setups include instrument and robotics automation, as needed.
 This is an individual contributor role. The successful candidate may support a variety of programs ranging from new wireless platform validation to new product integration, process improvement initiatives and competitive analysis.
**Description**
* Lead multiple parallel projects.
* Collaborate closely with RF test engineers and technicians to develop plans for compliance and conformance testing of Apple products including iPhone, iPad and Apple Watch among others.
* Coordinate and drive build\-readiness reviews.
* Manage specification reviews and the spec sign off process.
* Talk to System EPMs to coordinate regulatory testing within the timeline for product MP release.
* Work closely with factory teams to enable RF testing in development and mass production.
* Attend and drive technical sessions with suppliers/design partners to track \&amp; follow up issues/customer concerns.
* Attend and drive collaboration and co\-ordination sessions with multi\-functional team members from SW/FW/HW to track feature enablement.
* Present to management in weekly multi\-functional meetings to align on project progress.
* Prepare issue/bug reports to present to system level teams, multi\-functional teams and management.
**Minimum Qualifications**
* BS degree \+ 3 years relevant experience
* Requires one of the following: RF Test Equipment or knowledge of cellular standards including WCDMA, LTE and 5G and/or Knowledge of 3GPP RF test specification and/or General knowledge of WiFi, Bluetooth and GPS.
**Preferred Qualifications**
* 2\+ Years Technical Program or Project Management or Engineering Lead
* Strong desire to own/drive project development using well defined metrics.
* Experience working in a multifaceted engineering environment and real\-time crisis leadership skills.
* Experience with disciplined issue reporting, bug tracking, and communication of program risks \&amp; status.
* Candidate should be able to participate in technical discussions related to RF testing with the multi\-functional teams.
* Candidate should have excellent communications skills and should understand how to tailor content to meet the needs of the intended audience.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2">
      <c r="A172" t="inlineStr">
        <is>
          <t>li-4366014969</t>
        </is>
      </c>
      <c r="B172" t="inlineStr">
        <is>
          <t>Wireless SoC System Validation, FW and NPI Engineering Program Manager</t>
        </is>
      </c>
      <c r="C172" t="inlineStr">
        <is>
          <t>Apple</t>
        </is>
      </c>
      <c r="D172" t="inlineStr">
        <is>
          <t>linkedin</t>
        </is>
      </c>
      <c r="E172">
        <f>HYPERLINK("https://www.linkedin.com/jobs/view/4366014969", "https://www.linkedin.com/jobs/view/4366014969")</f>
        <v/>
      </c>
      <c r="F172" t="inlineStr"/>
      <c r="G172" t="inlineStr">
        <is>
          <t>San Diego, CA</t>
        </is>
      </c>
      <c r="H172" t="inlineStr"/>
      <c r="I172" t="inlineStr">
        <is>
          <t>**Summary**
 Are you passionate about wireless technologies and eager to shape the wireless experience for billions of users? Join our Wireless Silicon Engineering Program Management team and contribute to the development of a comprehensive range of wireless technologies. This is an exceptional opportunity to collaborate with the latest advancements in wireless technologies and integrate into groundbreaking Apple products consistently.
 Apple is seeking a dynamic leader to program manage our pioneering wireless connectivity chipsets, ensuring that they meet performance, quality, and schedule requirements for Apple products. You will be responsible for coordinating multi\-functional teams, fostering effective communication and representation across the Wireless systems and silicon engineering ecosystem from concept to production.
**Description**
* Work on a Program Management team responsible for driving technical issue resolution to enable on\-time silicon delivery for all Apple products.
* Interface and resolve Wireless Connectivity Silicon, Module, System and Firmware issues across multi\-functional teams.
* Integrate Wireless Connectivity Silicon into products and lead issue triage and resolution during NPI builds.
* Track, organize, and report program risks, status, and resolution options to executive management.
**Minimum Qualifications**
* BS and 3\+ years relevant industry experience is required.
* Proficiency in Wireless Connectivity systems for two or more contemporary communication standards, including Wi\-Fi, Bluetooth and UWB.
**Preferred Qualifications**
* Excellent written and oral communication skills.
* Extraordinary teammate and creative problem solver with the ability to lead technical teams and multi\-functional groups against plans.
* Sophisticated multitasking skills and real\-time crisis management
* Demonstrated experience in technical program management.
* MSEE Degree and 5\+ years relevant industry experience is desired.
* Technical background in wireless system setup, validation, firmware (FW) management, and product integration is highly valued.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3">
      <c r="A173" t="inlineStr">
        <is>
          <t>li-4366036358</t>
        </is>
      </c>
      <c r="B173" t="inlineStr">
        <is>
          <t>AIML - Annotation Program Manager, Safety Data Operations</t>
        </is>
      </c>
      <c r="C173" t="inlineStr">
        <is>
          <t>Apple</t>
        </is>
      </c>
      <c r="D173" t="inlineStr">
        <is>
          <t>linkedin</t>
        </is>
      </c>
      <c r="E173">
        <f>HYPERLINK("https://www.linkedin.com/jobs/view/4366036358", "https://www.linkedin.com/jobs/view/4366036358")</f>
        <v/>
      </c>
      <c r="F173">
        <f>HYPERLINK("https://jobs.apple.com/en-us/details/200595989?board_id=17682&amp;urlHash=fT2E", "https://jobs.apple.com/en-us/details/200595989?board_id=17682&amp;urlHash=fT2E")</f>
        <v/>
      </c>
      <c r="G173" t="inlineStr">
        <is>
          <t>Seattle, WA</t>
        </is>
      </c>
      <c r="H173" t="inlineStr"/>
      <c r="I173" t="inlineStr">
        <is>
          <t>**Summary**
 Behind every groundbreaking AI innovation at Apple is a foundation of high\-quality annotated data. We're looking for an Annotations Program Manager to play a critical role in ensuring the quality and efficiency of this vital process. In this role, you will engage with teams across Apple’s ecosystem with the ultimate goal of delivering high\-quality annotated data that enables AI advancements across the company. You will be responsible for capturing initial requirements, following through on all program commitments from our cross\-functional operations and engineering teams, and maintaining the customer relationship. You will need to understand the strategic goals of your customers to help prioritize operations tasks and coordinate with capacity planning for operational resources. Imagine being at the heart of Apple's AI revolution, ensuring that our machine learning models are trained with the highest quality data. As an Annotation Program Manager, you'll be the vital link between our innovative teams and the data they need to build the next generation of Apple products and features.
**Description**
 Are you passionate about the intersection of technology and human understanding? Do you thrive in collaborative environments where your communication skills and technical expertise can make a real difference?
 As an Annotations Program Manager, you'll be at the core of our AI/ML development process. You'll collaborate with cross\-functional teams to define annotation requirements, manage operational projects from prototype to scale, and ensure customer satisfaction by delivering high\-quality data. This includes the Responsible AI group, which focuses on ensuring the safety, fairness, and robustness of large generative models for vision and language. Your work will directly contribute to the success of the next generation of Apple products and features.
 This role offers an outstanding opportunity to gain deep expertise in the rapidly evolving field of AIML, working alongside some of the brightest minds in the industry.
**Responsibilities**
* Be the bridge between our engineering teams and our operations experts, translating complex needs into actionable plans and ensuring seamless execution.
* Work closely with operations, engineering, and business teams to build a program enabling us to deliver annotated data to engineering teams across Apple.
* Serve as annotation project DRI, ensuring follow\-through on many operational projects, from prototyping to scaling across global teams.
* Partner closely with the training, quality, data analytics, and capacity planning teams to design solutions for annotation needs and develop scalable solutions for future annotation requirements.
* Collaborate to tackle problems as they arise and gain the trust and confidence of teams across Apple, resulting in the delivery of high\-quality annotated data.
**Minimum Qualifications**
* 10\+ years of experience managing complex, cross\-functional programs across global teams, with a proven track record of delivering results.
* Proven ability to communicate complex technical concepts clearly and concisely to both technical and non\-technical audiences.
* Ability to understand and consolidate multiple points of view into an influential recommendation to move projects forward.
* Exceptional communication and interpersonal skills, with the ability to build rapport and influence partners at all levels.
* A relentless focus on delivering results and exceeding expectations, taking full ownership of your projects from start to finish.
* A strategic problem\-solver with a passion for continuous improvement and a curiosity about identifying and resolving bottlenecks.
* Self\-motivated and proactive, with the ability to thrive in a fast\-paced, ambiguous environment.
* Comfortable working with sensitive materials including exposure to offensive and controversial content.
**Preferred Qualifications**
* Experience working with annotated data and ML researchers in Safety Human Evaluation and Red Teaming.
* BS or MS in Computer Science, Mathematics, Physics, or a similar science or technology field and script writing skills for data manipulation are a plus.
**Pay \&amp; Benefits**
 At Apple, base pay is one part of our total compensation package and is determined within a range. This provides the opportunity to progress as you grow and develop within a role. The base pay range for this role is between $163,300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4">
      <c r="A174" t="inlineStr">
        <is>
          <t>li-4366023900</t>
        </is>
      </c>
      <c r="B174" t="inlineStr">
        <is>
          <t>AIML - Sr Engineering Program Manager, ML Lineage &amp; Lifecycle Platform</t>
        </is>
      </c>
      <c r="C174" t="inlineStr">
        <is>
          <t>Apple</t>
        </is>
      </c>
      <c r="D174" t="inlineStr">
        <is>
          <t>linkedin</t>
        </is>
      </c>
      <c r="E174">
        <f>HYPERLINK("https://www.linkedin.com/jobs/view/4366023900", "https://www.linkedin.com/jobs/view/4366023900")</f>
        <v/>
      </c>
      <c r="F174">
        <f>HYPERLINK("https://jobs.apple.com/en-us/details/200622404?board_id=17682&amp;urlHash=Y7ex", "https://jobs.apple.com/en-us/details/200622404?board_id=17682&amp;urlHash=Y7ex")</f>
        <v/>
      </c>
      <c r="G174" t="inlineStr">
        <is>
          <t>Cupertino, CA</t>
        </is>
      </c>
      <c r="H174" t="inlineStr"/>
      <c r="I174"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AIML team at Apple is building groundbreaking technology... and we are looking for people like you! The Machine Learning Platform \&amp; Technology (MLPT) team in the AIML organization is seeking a senior engineering program manager for its ML Lifecycle platform. The ML Lifecycle Platform accelerates the continuous optimization of trustworthy models by streamlining how they are built, evaluated, deployed, and monitored end\-to\-end across Apple. We are seeking a seasoned Engineering Program Manager with deep expertise in ML Lifecycle management, ML lineage, AI compliance and regulations.
**Description**
 In this role, you will define and drive the future of Apple’s ML Lineage solution, champion adoption across product teams, and lead programs that ensure compliance with evolving global standards. You will have the opportunity to set vision, influence strategy, and shape how Apple delivers the next generation of AI.
**Responsibilities**
* As a key EPM in the AIML Lifecycle Platform team, you will establish strong cross\-functional partnerships with ML researchers, engineers, and compliance teams to understand requirements and shape the ML Lifecycle Platform roadmap.
* You will drive the build\-out and adoption of Apple’s ML Lifecycle platform and ML Lineage solutions, ensuring models, datasets, and transformations are consistently compliant and auditable across the lifecycle.
* Lead programs that embed AI compliance and regulatory requirements into ML development and deployment workflows, guaranteeing that production features meet evolving global and regional regulation standards.
* Partner with engineering to deliver scalable and robust metadata and lineage systems that provide traceability, reproducibility, and accountability for ML models at Apple.
* Stay ahead of emerging AI governance, compliance, and responsible AI practices, evaluating technologies and methodologies to strengthen Apple’s leadership in trustworthy AI.
* Serve as the central PM voice connecting AIML engineers, regulatory experts, and cross\-functional partners to align on strategy, execution, and long\-term vision.
**Minimum Qualifications**
* 6\+ years of product or technical program management experience covering as many of the following areas as possible: ML lifecycle management, ML lineage, metadata systems, model evaluation and monitoring, AI compliance and regulatory, data analytics, and search
* Proven experience leading large and complex programs that cover the end\-to\-end ML model lifecycle, including training, evaluation, deployment, and continuous optimization, with a strong emphasis on lineage tracking and reproducibility
* Demonstrated ability to ensure ML workflows, models, and datasets follow global AI regulations, aligning technical, product, and compliance requirements
* Outstanding interpersonal and communication skills, including the ability to influence engineers, compliance/regulatory partners, and cross\-functional partners
* Strong desire to learn, skill in problem solving, and ability to make nuanced trade\-offs between innovation speed and compliance rigor
* BS in Computer Science, Engineering, or related technical field, or equivalent work experience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5">
      <c r="A175" t="inlineStr">
        <is>
          <t>li-4366030945</t>
        </is>
      </c>
      <c r="B175" t="inlineStr">
        <is>
          <t>Wireless SoC System Validation, FW and NPI Engineering Program Manager</t>
        </is>
      </c>
      <c r="C175" t="inlineStr">
        <is>
          <t>Apple</t>
        </is>
      </c>
      <c r="D175" t="inlineStr">
        <is>
          <t>linkedin</t>
        </is>
      </c>
      <c r="E175">
        <f>HYPERLINK("https://www.linkedin.com/jobs/view/4366030945", "https://www.linkedin.com/jobs/view/4366030945")</f>
        <v/>
      </c>
      <c r="F175" t="inlineStr"/>
      <c r="G175" t="inlineStr">
        <is>
          <t>Sunnyvale, CA</t>
        </is>
      </c>
      <c r="H175" t="inlineStr"/>
      <c r="I175" t="inlineStr">
        <is>
          <t>**Summary**
 Are you passionate about wireless technologies and eager to shape the wireless experience for billions of users? Join our Wireless Silicon Engineering Program Management team and contribute to the development of a comprehensive range of wireless technologies. This is an exceptional opportunity to collaborate with the latest advancements in wireless technologies and integrate into groundbreaking Apple products consistently.
 Apple is seeking a dynamic leader to program manage our pioneering wireless connectivity chipsets, ensuring that they meet performance, quality, and schedule requirements for Apple products. You will be responsible for coordinating multi\-functional teams, fostering effective communication and representation across the Wireless systems and silicon engineering ecosystem from concept to production.
**Description**
* Work on a Program Management team responsible for driving technical issue resolution to enable on\-time silicon delivery for all Apple products.
* Interface and resolve Wireless Connectivity Silicon, Module, System and Firmware issues across multi\-functional teams.
* Integrate Wireless Connectivity Silicon into products and lead issue triage and resolution during NPI builds.
* Track, organize, and report program risks, status, and resolution options to executive management.
**Minimum Qualifications**
* BS and 3\+ years relevant industry experience is required.
* Proficiency in Wireless Connectivity systems for two or more contemporary communication standards, including Wi\-Fi, Bluetooth and UWB.
**Preferred Qualifications**
* Excellent written and oral communication skills.
* Extraordinary teammate and creative problem solver with the ability to lead technical teams and multi\-functional groups against plans.
* Sophisticated multitasking skills and real\-time crisis management
* Demonstrated experience in technical program management.
* MSEE Degree and 5\+ years relevant industry experience is desired.
* Technical background in wireless system setup, validation, firmware (FW) management, and product integration is highly valued.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6">
      <c r="A176" t="inlineStr">
        <is>
          <t>li-4366600576</t>
        </is>
      </c>
      <c r="B176" t="inlineStr">
        <is>
          <t>Insurance Senior Product Manager - Property &amp; Inland Marine</t>
        </is>
      </c>
      <c r="C176" t="inlineStr">
        <is>
          <t>IAT Insurance Group</t>
        </is>
      </c>
      <c r="D176" t="inlineStr">
        <is>
          <t>linkedin</t>
        </is>
      </c>
      <c r="E176">
        <f>HYPERLINK("https://www.linkedin.com/jobs/view/4366600576", "https://www.linkedin.com/jobs/view/4366600576")</f>
        <v/>
      </c>
      <c r="F176" t="inlineStr"/>
      <c r="G176" t="inlineStr">
        <is>
          <t>Raleigh, NC</t>
        </is>
      </c>
      <c r="H176" t="inlineStr"/>
      <c r="I176" t="inlineStr">
        <is>
          <t>IAT Insurance Group is seeking a Senior Product Manager to support our Property Insurance line of business. This role is responsible for ensuring product competitiveness and compliance by leading the development, enhancement, and maintenance of coverage forms and endorsements, underwriting guidelines, strategies, rates, and rating rules. The Product Manager will also participate in the rate review process and provide product support to maintain the profitability and growth of assigned lines of business.
 As a subject\-matter expert, you will collaborate closely with Line of Business leadership, Underwriting, Legal, Compliance, Actuarial, Claims, and IT. You will play a key role in shaping product strategy, driving profitability, and ensuring that our offerings stay current and responsive to market and regulatory changes.
 This role follows a hybrid schedule (in\-office Monday–Wednesday; remote Thursday–Friday). Preferred IAT locations include Cheshire, CT; Alpharetta, GA; Raleigh, NC; Scottsdale, AZ; Newark, NJ; Naperville, IL; and Rolling Meadows, IL. Occasional travel is required.
**Responsibilities**
* Partner with business leaders to maintain and enhance the Property product suite, including form and endorsement updates and new product development.
* Maintain and improve the Commercial Property forms library, underwriting guidelines, and rating manuals.
* Collaborate with Legal to review form and endorsement revisions; communicate changes and rationale to business units.
* Maintain, refine, and support rate structures and pricing methodology.
* Develop and deliver training to underwriters, underwriter trainees, and others, as needed, within the organization.
* Maintain, refine, and support rate structures and pricing methodology.
* Analyze key drivers of product performance and work with business units to develop strategies aligned with profitability goals.
* Collaborate with Claims to understand emerging issues, trends, and loss drivers.
* Collaborate with Actuarial to assess base rate needs and lead decision\-making related to rate management.
* Partner with Compliance to ensure all rates, rules, and forms are up to date and filed with the state insurance departments, where required.
* Partner with IT and Regulatory to effectively implement product changes.
* Evaluate Insurance Services Office, Inc. (“ISO”) changes, assess business impact, and communicate implications to relevant stakeholders.
* Collaborate with appropriate business leaders to develop strategy in response to ISO updates, state law changes and case law affecting coverage, rates or rules.
* Work with IT to maintain a Rate/Quote/Issue system.
* Monitor industry dynamics and trends using resources such as A.M. Best and Conning .
* Perform other duties as needed.
**Qualifications**
**Required:**
* Bachelor’s degree.
* At least eight years of commercial product management or twelve years of overall commercial product experience (such as claims handling, underwriting, product management and insurance forms drafting as an attorney).
* Three to five years of specific Commercial Property product development experience.
* Strong knowledge of insurance policy contract structures, coverage and exposure analysis, and regulatory considerations.
* Solid understanding of actuarial concepts and pricing methodologies.
* Strong analytical and form\-drafting skills.
* Excellent written, verbal, and presentation communication skills.
* Demonstrated ability to collaborate across teams and influence without direct authority.
* Strong problem\-solving, judgment, and recommendation skills.
* Understanding of management information systems and performance metrics.
* Effective project management skills.
* Must be authorized to work in the United States and must not require, now or in the future, VISA sponsorship for employment purposes.
**Preferred**
* Experience in Property underwriting or commercial insurance product development.
* Experience developing and drafting business requirements
* Professional designation such as CPCU, ARM.
**Equal Opportunity Employment**
* All qualified applicants will receive consideration for employment without regard to race, color, religion, sex, sexual orientation, gender identity, national origin, disability, or status as a protected veteran. We maintain a drug\-free workplace and participate in E\-Verify.
**Compensation**
 Please note, that the annual gross salary range associated with this posting is $72560 to $157,950\. This range represents the anticipated low and high end of the base salary for this position. Actual salaries will vary based on factors such as a candidate's qualifications, skills, competencies, and geographical location related to this specific role. The total compensation will include a base salary, performance\-based bonus opportunities, 401(K) match, profit\-sharing opportunities, and more.
 To view details of our full benefits, please visit
 https://www.iatinsurancegroup.com/careers/benefits
 IAT Insurance Group is the largest private, family\-owned property and casualty insurer in the U.S.
 **I
 *nsurance* 
 A
 *nswers* 
 T
 *ogether®***
 is how we define IAT, in letter and in spirit. We work together to provide solutions for people and businesses. We collaborate internally and with our partners to provide the best possible insurance and surety options for our customers.
 At IAT, we’re committed to driving and building an open and supportive culture for all. Our employees propel IAT forward – driving innovation, stable partnerships and growth. That’s why we continue to build an engaging workplace culture to attract and retain the best talent.
**We Offer Comprehensive Benefits Like**
* 26 PTO Days (Entry Level) \+ 12 Company Holidays \= 38 Paid Days Off
* 7% 401(k) Company Match and additional Profit Sharing
* Hybrid work environment
* Numerous training and development opportunities to assist you in furthering your career
* Healthcare and Wellness Programs
* Opportunity to earn performance\-based bonuses
* College Loan Assistance Support Plan
* Educational Assistance Program
* Mentorship Program
* Dress for Your Day Policy
 All qualified applicants will receive consideration for employment without regard to race, color, religion, sex, sexual orientation, gender identity, national origin, disability, or status as a protected veteran. We maintain a drug\-free workplace and participate in E\-Verify.</t>
        </is>
      </c>
    </row>
    <row r="177">
      <c r="A177" t="inlineStr">
        <is>
          <t>li-4355987225</t>
        </is>
      </c>
      <c r="B177" t="inlineStr">
        <is>
          <t>Program Manager – Procurement</t>
        </is>
      </c>
      <c r="C177" t="inlineStr">
        <is>
          <t>AECOM</t>
        </is>
      </c>
      <c r="D177" t="inlineStr">
        <is>
          <t>linkedin</t>
        </is>
      </c>
      <c r="E177">
        <f>HYPERLINK("https://www.linkedin.com/jobs/view/4355987225", "https://www.linkedin.com/jobs/view/4355987225")</f>
        <v/>
      </c>
      <c r="F177" t="inlineStr"/>
      <c r="G177" t="inlineStr">
        <is>
          <t>Seattle, WA</t>
        </is>
      </c>
      <c r="H177" t="inlineStr"/>
      <c r="I177"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Program Manager – Procurement to be remotely based in Seattle, WA supporting our San Francisco/Bay Area offices. This role will oversee the procurement and administration of large\-scale infrastructure contracts delivered through alternative delivery methods. This role is a key part of the integrated project team and will work collaboratively with internal and external stakeholders to ensure procurement activities align with operational, safety, and regulatory standards.
 This position is responsible for developing procurement strategies, managing contract compliance, and supporting project timelines through effective planning and execution.
* Lead procurement, contracting, and support service activities for large\-scale Alternative Delivery Contracts.
* Develop and implement a comprehensive Procurement Plan aligned with client and agency expectations.
* Collaborate with client executive management to ensure procurement meets operational needs.
* Engage contractors in pre\-award activities including evaluation, negotiation, and feedback.
* Conduct competitive bidding processes including RFQs, RFPs, public notices, bidder panels, and award recommendations.
* Manage contract modifications and ensure compliance with scope, budget, and schedule.
* Supervise procurement staff and oversee contractor, subconsultant, and vendor performance.
* Identify and mitigate procurement\-related risks and delays.
* Ensure adherence to Federal Railroad Administration (FRA) and Federal Transit Administration (FTA) regulations.
**Qualifications**
**Minimum Requirements**
* BA/BS \+ 10 YORE or demonstrated equivalency of experience and/or education, including 2 years of leadership
**Preferred Qualifications**
* 15 years of construction procurement and management experience
* Strong understanding of commuter rail transit operator requirements and Federal Railroad Administration and Federal Transit Administration regulatory requirements.
* Experience with overhead electrified commuter rail transit operations and maintenance requirements including asset lifecycle costs.
**Additional Information**
* Sponsorship is not available for this role now or in the future.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78">
      <c r="A178" t="inlineStr">
        <is>
          <t>li-4330367409</t>
        </is>
      </c>
      <c r="B178" t="inlineStr">
        <is>
          <t>Program Manager, Recruiting Operations</t>
        </is>
      </c>
      <c r="C178" t="inlineStr">
        <is>
          <t>Whatnot</t>
        </is>
      </c>
      <c r="D178" t="inlineStr">
        <is>
          <t>linkedin</t>
        </is>
      </c>
      <c r="E178">
        <f>HYPERLINK("https://www.linkedin.com/jobs/view/4330367409", "https://www.linkedin.com/jobs/view/4330367409")</f>
        <v/>
      </c>
      <c r="F178" t="inlineStr"/>
      <c r="G178" t="inlineStr">
        <is>
          <t>Los Angeles, CA</t>
        </is>
      </c>
      <c r="H178" t="inlineStr"/>
      <c r="I17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Recruiting Operations team is responsible for designing and scaling the processes, programs, and projects that enable Whatnot’s Recruiting organization to operate at a high level. We partner closely with recruiters and hiring leaders to improve efficiency, raise the bar on candidate quality, and support sustainable growth.
**As a Program Manager, Recruiting Operations, You Will**
* Own recruiting operations programs for our Engineering, Product, and Design teams
* Manage interview training programs, including scheduling and delivering trainings and maintaining training materials
* Own and scale our Quality of Hire program
* Identify and drive operational improvements to ensure recruiting programs and processes are effective, efficient, and scalable
* Partner with the Technical Recruiting organization on a variety of initiatives, including:
+ Developing and leading recruiting\-focused projects for hiring teams and leadership
+ Driving cross\-functional initiatives by facilitating communication, coordination, planning, and execution across recruiting and partner teams
* Leverage data to define success metrics, evaluate program impact, and inform strategic decisions
* Contribute to other business\-critical recruiting initiatives as needed
**We offer flexibility to work from home or from one of our global office hubs, and we value in\-person time for planning, problem\-solving, and connection. Team members in this role must live within commuting distance of our New York, Los Angeles, Seattle, or San Francisco hubs.**
****👋 You****
**About**
 Curious about who thrives at Whatnot? We’ve found that embodying a low ego, growth mindset, and high\-impact drive goes a long way here. You have:
* 3\+ years of experience in recruiting operations, recruiting, and/or program, change, or project management in a fast\-paced, high\-growth environment
* A passion for building new, inclusive, and scalable programs
* Strong ownership, autonomy, critical thinking skills, and attention to detail
* A demonstrated ability to think creatively and build programs from the ground up
* Excellent written and verbal communication skills
* A data\-driven approach to problem solving; you enjoy identifying trends and turning insights into action
* Adaptability and a growth mindset, with the ability to shift priorities as circumstances change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$105K \- $140K</t>
        </is>
      </c>
    </row>
    <row r="179">
      <c r="A179" t="inlineStr">
        <is>
          <t>li-4366031861</t>
        </is>
      </c>
      <c r="B179" t="inlineStr">
        <is>
          <t>Digital Circuits Engineering Program Manager</t>
        </is>
      </c>
      <c r="C179" t="inlineStr">
        <is>
          <t>Apple</t>
        </is>
      </c>
      <c r="D179" t="inlineStr">
        <is>
          <t>linkedin</t>
        </is>
      </c>
      <c r="E179">
        <f>HYPERLINK("https://www.linkedin.com/jobs/view/4366031861", "https://www.linkedin.com/jobs/view/4366031861")</f>
        <v/>
      </c>
      <c r="F179">
        <f>HYPERLINK("https://jobs.apple.com/en-us/details/200633480?board_id=17682&amp;urlHash=RCtD", "https://jobs.apple.com/en-us/details/200633480?board_id=17682&amp;urlHash=RCtD")</f>
        <v/>
      </c>
      <c r="G179" t="inlineStr">
        <is>
          <t>San Diego, CA</t>
        </is>
      </c>
      <c r="H179" t="inlineStr"/>
      <c r="I179" t="inlineStr">
        <is>
          <t>**Summary**
 Come and join the team that delivers the Digital Circuit design needs for the Mac, iPhone, iPad, Apple Watch and other Apple products! You will be responsible for managing the development process for foundational IPs (SRAM's, Standard Cells, Digital Customs) used in Apple custom chips. At Apple, we focus on innovative design and disciplined execution to build the most efficient digital designs that scale across our full range of products and deliver industry\-leading power and performance. We work together across hardware, software and systems teams to create truly optimized products and amazing user experiences. To accomplish this we need technical excellence combined with the expertise to work across the organization and to put each decision in the right context.
 We are looking for a talented Engineering Program Manager or a technical leader who would be embedded (and partner) with the Circuit Design Engineering team to drive the development cycle/flow, circuit design issues, CAD interaction, Testchip development/analysis etc. You will use your creativity, technical knowledge, and organizational skills to drive cross\-functional teams to solve complex technical problems under tight schedule constraints.
**Description**
 As a Digital Circuit EPM focussed on Silicon projects, you will work directly with hardware Technology teams and be responsible for working closely with design, CAD and technology teams to craft a project plan, identify/ resolve blockers and align DCG team work across multiple parallel projects.
**Minimum Qualifications**
* BS in engineering field \+ 3 years relevant experience.
* Proven Digital Circuit design experience.
**Preferred Qualifications**
* Program / project management experience leading Silicon projects , or a combination of Program Management and design experience.
* 3\+ years of technical leadership and/or project management experience.
* Post silicon debug skills
* Participate in technical discussions, ask probing questions, and work with the team to pull together scoping, schedules, and solutions to issues.
* Work on an EPM team responsible for driving technical issue resolution to enable on\-time silicon to meet ambitious product schedules.
* Excellent leadership skills, enthusiasm, and ability to inspire team members.
* A background successfully handling conflicting priorities and driving results.
* Experience with successfully delivering multiple silicon tapeouts.
* Strong desire to own project development and drive team to success.
* Enjoy sharing in the success of delivering a successful product.
* Strong communication and executive presentation skills
* Strong time and task management skills with consistent attention to detail
* Can work collaboratively across multiple sites and cross\-functionally throughout the entire organization
* Able to build trust and lead through influence
* Comfortable navigating tough situations, juggling priorities and managing constraints while running complex, fast\-paced, program
* Driven to continuously improve processes, methodologies and tools
* Drive weekly schedule and communication meetings with upper management.
* Ensure effective project schedule and dependency communication with the design team.
* Rolling up your sleeves and doing what it takes to things done.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0">
      <c r="A180" t="inlineStr">
        <is>
          <t>li-4366074655</t>
        </is>
      </c>
      <c r="B180" t="inlineStr">
        <is>
          <t>VMS Program Manager</t>
        </is>
      </c>
      <c r="C180" t="inlineStr">
        <is>
          <t>ChatGPT Jobs</t>
        </is>
      </c>
      <c r="D180" t="inlineStr">
        <is>
          <t>linkedin</t>
        </is>
      </c>
      <c r="E180">
        <f>HYPERLINK("https://www.linkedin.com/jobs/view/4366074655", "https://www.linkedin.com/jobs/view/4366074655")</f>
        <v/>
      </c>
      <c r="F180">
        <f>HYPERLINK("https://chatgpt-jobs.com/job/vms-program-manager-express-employment-international-3095&amp;urlHash=1Kmv", "https://chatgpt-jobs.com/job/vms-program-manager-express-employment-international-3095&amp;urlHash=1Kmv")</f>
        <v/>
      </c>
      <c r="G180" t="inlineStr">
        <is>
          <t>Oklahoma City, OK</t>
        </is>
      </c>
      <c r="H180" t="inlineStr"/>
      <c r="I180" t="inlineStr">
        <is>
          <t>**Job Description**
 VMS Program Manager (Remote Eligible)
 Express Employment International \- Oklahoma City, OK
 On\-site, Remote
**Job Description**
 The corporate office of Express Employment International is seeking a
 **VMS Program Manager** 
 . In this role you will own the strategic growth of our VMS portfolio, driving Sales and Account Development through expert program management and office enablement. You'll educate teams, deliver essential resources and tools, lead seamless implementations and onboardings, and serve as the key liaison and advocate for offices and MSPs during escalations. By managing the full client lifecycle, you'll create lasting "clients for life" partnerships that fuel revenue growth and exceptional experiences in our dynamic franchise environment.
*This position is fully remote\-eligible. For candidates based in the Oklahoma City area, the position is based at our corporate office with an expectation of approximately 80% onsite presence*
**Responsibilities**
* Serve as the primary accountable owner for a portfolio of VMS client accounts, delivering exceptional program performance while cross\-training on additional accounts to provide reliable support and backup coverage
* Partner closely with the Strategic Sales team throughout the sales cycle, including participation in prospect, MSP, and internal discussions to ensure seamless alignment and realistic commitments
* Collaborate with Strategic Sales to validate that sales deliverables can be met or exceeded during implementation, bridging the transition from sales to operational success
* Deliver targeted training, coaching, and ongoing support to franchisees and office teams on client\-specific VMS programs, processes, tools, and best practices
* Lead and coordinate the implementation of VMS technology solutions and client/MSP processes; facilitate technology updates by providing clear overviews and comprehensive training to franchisees and field teams
* Proactively investigate and resolve issues within VMS platforms for franchisees, including troubleshooting tool\-related challenges and supporting invoice reconciliation efforts
* Maintain up\-to\-date service documentation for VMS clients on internal platforms (e.g., MyDot),ensuring accurate, current resources for franchisees and the broader field organization as accounts evolve
* Support the Director in developing and executing enhanced processes, resources, and tools to drive field performance and operational excellence
* Continuously assess and optimize VMS processes to boost sales growth, operational efficiency, and the overall experience for franchisees, office teams, clients, and MSP partners
* Leverage a suite of technology platforms\-including VMS systems, Microsoft Teams, Zoom, CRM, and other tools\-to maximize productivity and program effectiveness
* Work in close partnership with the Director on the 4DX methodology for annual planning, mid\-year reviews, and year\-end evaluations; execute critical actions to achieve divisional financial, service, and operational objectives
* Lead through influence, education, consulting, and coaching to foster alignment, adoption, and continuous improvement across stakeholders
* Provide direct leadership to VMS Program Specialist(s), if applicable, including goal setting, performance management, daily guidance, skill development (both technical and soft), feedback integration, coaching, and recognition of achievements
**Education \&amp; Experience Qualifications**
* Bachelor's degree preferred
* 7\+ years of experience servicing and managing key accounts at a corporate or field level in the staffing industry
**Knowledge, Skills, Or Abilities**
* Previous experience in staffing is required, with large\-scale account management experience considered a strong advantage
* VMS and MSP experience, knowledge a strong plus
* Proficiency in Microsoft applications (e.g., Word, Excel, PowerPoint, Outlook) and hands\-on experience using AI tools to support productivity, analysis, or automation.
* High initiative\-taking with strong people skills and the ability to manage a multitude of activities simultaneously
*Not sure you meet every requirement? Apply anyway!*
*At Express, we celebrate what makes you,you. We value diverse backgrounds, perspectives, and talents\-because we know that's what makes us stronger together. If you're excited about the role, we're excited to hear from you.*</t>
        </is>
      </c>
    </row>
    <row r="181">
      <c r="A181" t="inlineStr">
        <is>
          <t>li-4356163245</t>
        </is>
      </c>
      <c r="B181" t="inlineStr">
        <is>
          <t>Senior Program Manager</t>
        </is>
      </c>
      <c r="C181" t="inlineStr">
        <is>
          <t>ETS, Inc.</t>
        </is>
      </c>
      <c r="D181" t="inlineStr">
        <is>
          <t>linkedin</t>
        </is>
      </c>
      <c r="E181">
        <f>HYPERLINK("https://www.linkedin.com/jobs/view/4356163245", "https://www.linkedin.com/jobs/view/4356163245")</f>
        <v/>
      </c>
      <c r="F181" t="inlineStr"/>
      <c r="G181" t="inlineStr">
        <is>
          <t>Colchester, VT</t>
        </is>
      </c>
      <c r="H181" t="inlineStr"/>
      <c r="I181" t="inlineStr">
        <is>
          <t>***Job Location: In\-Person, $140K–$180K/Year (Based on Experience), Full\-Time, Excellent Benefits***
 Our client is a U.S.\-based manufacturer specializing in highly engineered equipment for critical and regulated industries, and they want you to join their team as a
 **Senior Program Manager** 
 .
**Your day\-to\-day as a Senior Program Manager:** 
* Lead and oversee a team of project managers executing complex, custom\-engineered manufacturing programs
* Drive end\-to\-end program execution including proposal support, planning, budgeting, risk management, and milestone tracking
* Serve as the primary customer point of contact post\-award, ensuring clear communication and customer satisfaction
* Coordinate cross\-functional teams across engineering, manufacturing, procurement, quality, and supply chain to ensure on\-time, on\-budget delivery
* Manage scope changes, evolving requirements, and contract compliance while maintaining schedule and cost controls
**Your skills and experience:** 
* Bachelor’s degree in Engineering, Mechanical Engineering, or a related technical field
* 10\+ years of technical program or project management experience within a manufacturing or engineered\-to\-order environment
* Strong understanding of project management methodologies and commercial contract execution
* Proven leadership experience managing multiple complex projects and mentoring project managers
* U.S. Citizenship required due to federal contract requirements</t>
        </is>
      </c>
    </row>
    <row r="182">
      <c r="A182" t="inlineStr">
        <is>
          <t>li-4366397072</t>
        </is>
      </c>
      <c r="B182" t="inlineStr">
        <is>
          <t>Associate Program Manager</t>
        </is>
      </c>
      <c r="C182" t="inlineStr">
        <is>
          <t>Ochsner Health</t>
        </is>
      </c>
      <c r="D182" t="inlineStr">
        <is>
          <t>linkedin</t>
        </is>
      </c>
      <c r="E182">
        <f>HYPERLINK("https://www.linkedin.com/jobs/view/4366397072", "https://www.linkedin.com/jobs/view/4366397072")</f>
        <v/>
      </c>
      <c r="F182" t="inlineStr"/>
      <c r="G182" t="inlineStr">
        <is>
          <t>New Orleans, LA</t>
        </is>
      </c>
      <c r="H182" t="inlineStr"/>
      <c r="I182" t="inlineStr">
        <is>
          <t>**We've made a lot of progress since opening the doors in 1942, but one thing has never changed \- our commitment to serve, heal, lead, educate, and innovate. We believe that every award earned, every record broken and every patient helped is because of the dedicated employees who fill our hallways.**
**At Ochsner, whether you work with patients every day or support those who do, you are making a difference and that matters. Come make a difference at Ochsner Health and discover your future today!**
 This job leads strategic projects leveraging project management, change management, and process improvement core capabilities; manages individual projects through entire project lifecycle with accountability for project progress and success; assumes responsibility for developing communications strategy with responsibility for active communication with key stakeholders and the department; and serves as instructor and coach for organizational leaders through departmental training programs.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duties.
 This job description is a summary of the primary duties and responsibilities of the job and position. It is not intended to be a comprehensive or all\-inclusive listing of duties and responsibilities. Contents are subject to change at the company's discretion.
**Education**
 Required \- Bachelor’s degree in engineering, business administration, finance, public health, health care administration or related field, or equivalent experience
 Preferred \- Master’s degree in engineering, business administration, finance, public health, health care administration or related field.
**Work Experience**
 Required \- 5 years of experience in relevant field such as healthcare operations, finance, industrial engineering, and/or organizational development including 1 year project management / change management / process improvement / healthcare experience;
*OR*
 3 years relevant experience with a master's degree
**Certifications**
 Preferred \- Certified Associate in Project Management (CAPM) certification or equivalent (Lean Six Sigma Green Belt and/or Black Belt or Master Change Agent).
**Knowledge Skills And Abilities (KSAs)**
* Proficiency in using computers, software, and web\-based applications.
* Effective verbal and written communication skills and ability to present information clearly and professionally.
* Strong interpersonal skills.
* Excellent judgment, organization skills, group facilitation skills, decision making, and delegating skills.
* Ability to be self\-directed, work independently, set project priorities, and influence stakeholders at all levels of the organization.
* Ability to demonstrate a strong sense of personal accountability for work.
* Ability to travel throughout and between facilities.
**Job Duties**
* Actively leads project efforts through entire project life cycle including initiating, planning, executing, monitoring, controlling, and closing.
* Enables an effective project communication strategy through active communications with project stakeholders and the program manager.
* Serves as instructor for strategic program management training programs.
* Conducts coaching/consulting engagements leveraging project management, change management, and process improvement core capabilities.
* Performs other related duties as required.
 The above statements describe the general nature and level of work only. They are not an exhaustive list of all required responsibilities, duties, and skills. Other duties may be added, or this description amended at any time.
 Remains knowledgeable on current federal, state and local laws, accreditation standards or regulatory agency requirements that apply to the assigned area of responsibility and ensures compliance with all such laws, regulations and standards.
 This employer maintains and complies with its Compliance \&amp; Privacy Program and Standards of Conduct, including the immediate reporting of any known or suspected unethical or questionable behaviors or conduct; patient/employee safety, patient privacy, and/or other compliance\-related concerns.
 The employer is an Equal Opportunity Employer. All qualified applicants will receive consideration for employment without regard to race, color, religion, sex, sexual orientation, gender identity, national origin, protected veteran status, or disability status.
**Physical and Environmental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Light Work \- Exerting up to 20 pounds of force occasionally, and/or up to 10 pounds of force frequently, and/or a negligible amount of force constantly (Constantly: activity or condition exists 2/3 or more of the time) to move objects. Physical demand requirements are in excess of those for Sedentary Work. Even though the weight lifted may be only a negligible amount, a job should be rated Light Work: (1\) when it requires walking or standing to a significant degree; or (2\) when it requires sitting most of the time but entails pushing and/or pulling of arm or leg controls; and/or (3\) when the job requires working at a production rate pace entailing the constant pushing and/or pulling of materials even though the weight of those materials is negligible. NOTE: The constant stress and strain of maintaining a production rate pace, especially in an industrial setting, can be and is physically demanding of a worker even though the amount of force exerted is negligible.
 Normal routine involves no exposure to blood, body fluid or tissue and as part of their employment, incumbents are not called upon to perform or assist in emergency care or first aid.
 The incumbent has no occupational risk for exposure to communicable diseases.
 Because the incumbent works within a healthcare setting, there may be occupational risk for exposure to hazardous medications or hazardous waste within the environment through receipt, transport, storage, preparation, dispensing, administration, cleaning and/or disposal of contaminated waste. The risk level of exposure may increase depending on the essential job duties of the role.
**Are you ready to make a difference? Apply Today!**
***Ochsner Health does not consider an individual an applicant until they have formally applied to the open position on this careers website.***
***Please refer to the job description to determine whether the position you are interested in is remote or on\-site.***
*Individuals who reside in and will work from the following areas are not eligible for remote work position: Colorado, California, Hawaii, Illinois, Maryland, Massachusetts, Minnesota, New Jersey, New York, Vermont, Washington, and Washington D.C.*
***Ochsner Health endeavors to make our site accessible to all users. If you would like to contact us regarding the accessibility of our website, or if you need an accommodation to complete the application process, please contact our HR Employee Solution Center at 504\-842\-4748 (select option 1\) or***
***careers@ochsner.org***
***. This contact information is for accommodation requests only and cannot be used to inquire about the status of applications.***
 Ochsner is an equal opportunity employer. All qualified applicants will receive consideration for employment without regard to any legally protected class, including protected veterans and individuals with disabilities.</t>
        </is>
      </c>
    </row>
    <row r="183">
      <c r="A183" t="inlineStr">
        <is>
          <t>li-4366042688</t>
        </is>
      </c>
      <c r="B183" t="inlineStr">
        <is>
          <t>Program Manager - Energy Efficiency</t>
        </is>
      </c>
      <c r="C183" t="inlineStr">
        <is>
          <t>RemoteHunter</t>
        </is>
      </c>
      <c r="D183" t="inlineStr">
        <is>
          <t>linkedin</t>
        </is>
      </c>
      <c r="E183">
        <f>HYPERLINK("https://www.linkedin.com/jobs/view/4366042688", "https://www.linkedin.com/jobs/view/4366042688")</f>
        <v/>
      </c>
      <c r="F183" t="inlineStr"/>
      <c r="G183" t="inlineStr"/>
      <c r="H183" t="inlineStr"/>
      <c r="I183" t="inlineStr">
        <is>
          <t>About the Opportunity:
 This role supports energy efficiency programs in Michigan by building and managing relationships with manufacturers, trades, and community stakeholders aligned with energy efficiency products and services. The Program Manager will monitor and support the successful delivery of program goals across multiple functional areas, including internal operations, client support, and stakeholder management.
 Responsibilities:
 • Build industry relationships and provide insights to ensure efficient and effective program operations
 • Coordinate with clients and portfolio stakeholders to meet program objectives and adjust as necessary
 • Act as liaison with manufacturers, distributors, and trades to stay informed on industry trends and provide guidance to program teams
 • Collaborate with regional and national teams to ensure program cohesiveness and incorporate best practices
 • Establish milestones, monitor program adherence, identify issues, and implement solutions such as resource allocation or contractual changes
 • Manage cross\-functional teams, program budgets, and monthly performance forecasting
 • Support technical and analytics teams on energy savings calculations, best practices, and quality assurance/quality control standards
 • Analyze market trends and technologies to enhance program deployment and advancement
 Requirements:
 • Bachelor’s degree in Energy, Sustainability, Public Policy, Environmental Sciences, Business, or related field (or one year of related experience may substitute for one year of education)
 • Minimum 4 years of project or program management experience in energy efficiency, utility programs, public sector, or related fields
 Preferred Qualifications:
 • Proven success managing complex cross\-functional teams to meet deadlines and deliver quality work
 • Expertise in single family, multifamily, or commercial and industrial sectors
 • Working knowledge of demand side management (DSM) programs
 • Expertise in business management, building construction, energy resources, or energy policy
 • Industry certifications such as BPI, PMP, or CEM
 • Professional affiliations including AESP, MEECA, MEEA, ACEEE, ASHRAE, or AEE
 Benefits \&amp; Perks:
 • Flexible workplace arrangements supporting work\-life balance
 • Donation matching and volunteer opportunities
 • Tuition reimbursement and access to professional development resources
 • 401k matching and Employee Stock Purchase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4">
      <c r="A184" t="inlineStr">
        <is>
          <t>li-4366056657</t>
        </is>
      </c>
      <c r="B184" t="inlineStr">
        <is>
          <t>EverCommerce - Program Manager</t>
        </is>
      </c>
      <c r="C184" t="inlineStr">
        <is>
          <t>RemoteHunter</t>
        </is>
      </c>
      <c r="D184" t="inlineStr">
        <is>
          <t>linkedin</t>
        </is>
      </c>
      <c r="E184">
        <f>HYPERLINK("https://www.linkedin.com/jobs/view/4366056657", "https://www.linkedin.com/jobs/view/4366056657")</f>
        <v/>
      </c>
      <c r="F184" t="inlineStr"/>
      <c r="G184" t="inlineStr"/>
      <c r="H184" t="inlineStr"/>
      <c r="I184" t="inlineStr">
        <is>
          <t>About the Opportunity:
 The program focuses on digitally transforming the service economy with comprehensive SaaS solutions that enhance interactions between customers and service professionals across Home \&amp; Field Services, Health Services, and Fitness \&amp; Wellness industries. The Program Manager in the Enterprise PMO will support the planning and execution of strategic transformation programs and projects, working closely with leadership to implement large\-scale changes impacting Configure Price Quote (CPQ), Billing, and Revenue operations.
 Responsibilities:
 • Lead large\-scale technology transformation programs through all phases from discovery to stabilization.
 • Drive lead\-to\-quote and quote\-to\-revenue programs across multiple business units focusing on CPQ, billing, fulfillment/provisioning, and revenue recognition.
 • Design program plans integrating cross\-functional workstreams with focus on collaboration, risk management, communication, and change control.
 • Set program goals aligned with enterprise and business\-unit strategies.
 • Build partnerships with workflow owners, product leads, engineering, systems integrators, business SMEs, and external stakeholders for cohesive delivery.
 • Oversee project and program outputs to ensure successful outcomes in partnership with project managers.
 • Support project managers by removing blockers, facilitating decisions, and addressing upstream/downstream impacts.
 • Collaborate across teams to gather requirements and define success criteria.
 • Identify risks, assist in mitigation strategies, and escalate issues to senior leadership as needed.
 • Maintain program documentation including RAID logs, communication plans, and governance materials.
 • Report progress, risks, and outcomes to executive leadership through structured updates and steering committee materials.
 • Drive change control by evaluating impacts of scope, timeline, or architectural changes and partnering with stakeholders for decisions.
 • Manage contractor delivery and performance ensuring quality and timeliness.
 • Partner with enterprise teams, business units, and consultants to optimize operations and ensure alignment on business rules and downstream accounting impacts.
 • Collaborate with executive leadership and stakeholders through regular check\-ins and structured reporting to maintain alignment.
 • Translate complex technical and architectural tradeoffs into clear decision options for leadership.
 • Drive cross\-functional alignment on critical business processes and ensure documentation and communication of decisions.
 • Communicate expectations, decisions, and next steps clearly, translating technical and financial concepts into accessible information.
 • Partner with Sales/CX, Billing, Accounting, Finance, Product, Engineering, and others to prioritize requirements and sequence work.
 • Use strong communication skills to manage stakeholder expectations, facilitate alignment, and resolve conflicts or ambiguities.
 • Foster transparent communication among project teams, business functions, senior leadership, and external partners.
 Requirements:
 • Bachelor’s degree in Business Administration, Management, Project Management, or related field.
 • Certifications such as PMP, PMI\-ACP, or Prosci are a plus.
 • 6\+ years of experience in project and program management with success leading complex, cross\-functional SaaS or enterprise systems programs.
 • Experience supporting change management initiatives including stakeholder adoption, communication planning, and operational readiness.
 • Experience delivering quote\-to\-revenue or billing technology implementations, including integration design and business process reengineering, is a major plus.
 • Ability to manage and prioritize multiple complex projects and program workstreams.
 • Strong understanding of change management and communication practices in enterprise systems and process transformation.
 • Excellent communication skills with technical and non\-technical stakeholders; ability to translate business needs and system capabilities.
 • Strong problem\-solving and risk management skills.
 • Proficiency in building presentations and writing decision documentation.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5">
      <c r="A185" t="inlineStr">
        <is>
          <t>li-4366383318</t>
        </is>
      </c>
      <c r="B185" t="inlineStr">
        <is>
          <t>Senior Program Manager</t>
        </is>
      </c>
      <c r="C185" t="inlineStr">
        <is>
          <t>BD</t>
        </is>
      </c>
      <c r="D185" t="inlineStr">
        <is>
          <t>linkedin</t>
        </is>
      </c>
      <c r="E185">
        <f>HYPERLINK("https://www.linkedin.com/jobs/view/4366383318", "https://www.linkedin.com/jobs/view/4366383318")</f>
        <v/>
      </c>
      <c r="F185" t="inlineStr"/>
      <c r="G185" t="inlineStr">
        <is>
          <t>San Diego, CA</t>
        </is>
      </c>
      <c r="H185" t="inlineStr"/>
      <c r="I185" t="inlineStr">
        <is>
          <t>**Job Description Summary**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**Key Responsibilities**
* Leads complex sustaining programs and projects for the reagents platform, ensuring business continuity and long\-term product reliability.
* Drives initiatives focused on quality improvements, product enhancements, and cost optimization to maintain competitiveness and compliance.
* Facilitates decision\-making for projects with multiple dependencies, balancing technical, operational, and business priorities.
* Manages cross\-functional and multi\-site teams, ensuring alignment and collaboration across R\&amp;D, manufacturing, quality, and regulatory functions.
* Defines program priorities and resource needs, negotiating resourcing plans to meet timelines and deliverables.
* Influences stakeholders at all levels to secure commitment and resolve challenges impacting sustaining activities.
* Establishes and maintains effective communication channels across teams and leadership, providing clear updates and actionable insights.
* Leads planning and execution for sustaining projects, ensuring clarity of requirements, schedules, and adherence to quality and regulatory standards.
* Owns adherence to budgets, timelines, and performance metrics for projects aimed at improving reliability and reducing costs.
* Mentors and guides program managers and team leads, fostering collaboration and continuous improvement.
* Drives risk management strategies and leads cross\-functional problem\-solving to mitigate risks impacting product availability or compliance.
* Facilitates technical and design reviews, constructively challenging assumptions and enabling innovative solutions for sustaining activities.
* Serves as a subject matter expert in sustaining program management, influencing best practices and organizational standards.
**Basic Qualifications**
* Bachelor of Science (BS) degree in a science or engineering field with 8\+ years of progressive experience managing complex projects and programs within the Biotech/IVD or Medical Device industry, including reagent\-related platforms.
* Proven track record of leading large\-scale, multi\-site programs in a matrixed organization, requiring advanced influence management and stakeholder engagement skills.
* Expert\-level decision\-making ability – skilled at negotiating priorities across multiple functional areas and making timely decisions under risk and uncertainty.
* Strong understanding of Biotech/IVD or Medical Device product development and global regulatory registration processes and requirements, with solid knowledge of product lifecycle management (PLM) in regulated environments.
* Demonstrated ability to drive cross\-functional alignment and lead teams through ambiguity, ensuring delivery of business\-critical sustaining initiatives.
* Self\-starter, detail\-oriented, committed, results\-driven, and recognized as a collaborative leader.
* Advanced understanding of program and project management standards, principles, and methodologies, with experience applying them to complex, regulated environments.
* Highly proficient with MS Project, Power BI, Excel, PowerPoint, and Teams, with the ability to lead executive\-level presentations and data\-driven discussions.
**Preferred Qualifications**
* Master’s degree or equivalent in science, engineering, or business.
* PMP Certification or equivalent advanced project/program management credential.
* Deep knowledge of IVD Medical Device Regulations, Biotech Product Development Process, and Operations.
* Demonstrated success in managing sustaining programs focused on quality improvements, cost reduction, and lifecycle management.
* Experience with reagent manufacturing or sustaining activities in a regulated environment (IVD, biotech).
* Ability to influence at all levels of the organization, including senior leadership, and navigate complex decision\-making processes.
* Experience with SAP and enterprise resource planning systems is a plus.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Primary Work Location
 USA CA \- San Diego (BDB)
 Additional Locations
 USA CA \- Milpitas 135
 Work Shift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$137,100\.00 \- $226,300\.00 USD Annual</t>
        </is>
      </c>
    </row>
    <row r="186">
      <c r="A186" t="inlineStr">
        <is>
          <t>li-4366081366</t>
        </is>
      </c>
      <c r="B186" t="inlineStr">
        <is>
          <t>Senior Program Manager</t>
        </is>
      </c>
      <c r="C186" t="inlineStr">
        <is>
          <t>Global Payments Inc.</t>
        </is>
      </c>
      <c r="D186" t="inlineStr">
        <is>
          <t>linkedin</t>
        </is>
      </c>
      <c r="E186">
        <f>HYPERLINK("https://www.linkedin.com/jobs/view/4366081366", "https://www.linkedin.com/jobs/view/4366081366")</f>
        <v/>
      </c>
      <c r="F186" t="inlineStr"/>
      <c r="G186" t="inlineStr">
        <is>
          <t>Atlanta, GA</t>
        </is>
      </c>
      <c r="H186" t="inlineStr"/>
      <c r="I186" t="inlineStr">
        <is>
          <t>**Description**
**Summary of This Role**
 Lead large, complex programs across merchant portfolio acquisitions, company acquisitions, post–M\&amp;A integrations, platform integrations, transformation initiatives, and organizational change. Define the problem, scope, and delivery approach across full programs or assigned workstreams. Develop solution specifications and document current\- state and future\-state operating and platform models. Build and manage program plans (resources, budget, timeline, milestones), establish governance and decision\-making structures, and drive execution through implementation, production/BAU handoff, and outcome evaluation. Partner across a matrixed organization to structure work, monitor progress, and provide direction to project teams. Manage data conversions and multi\- system integrations into Global Payments products, including supporting development of new products where required. Define and document new end\-to\-end processes across functions to enable successful migration or transformation. Maintain accountability to executive sponsors for scope, schedule, budget, quality, and stakeholder relationships (internal and external).
**What Part Will You Play?**
* Lead end\-to\-end delivery of complex conversion and integration implementations that establish clients and products on Global Payments platforms, including large\-scale programs (often 16,000\+ project hours) with major conversions (e.g., 300K\+ accounts on file and 10\+ products), new product launches, and portfolio takeovers, transformation initiatives and organizational change.
* Own and govern program scope, schedule, cost, and quality, building and maintaining the integrated plan across multiple workstreams to ensure business outcomes.
* Apply deep analysis and data interpretation to drive decisions and recommendations, while engaging stakeholders at all levels, including executive steering committees and Global Payments executive leadership.
* Lead and influence large, cross\-functional teams in a matrix environment, aligning peers and partners across multiple departments/divisions to deliver complex, multi\-stream implementations.
* Partner with stakeholders and SMEs to document current\-state (as\-is) operational and technology/platform models, and define and implement target\-state models that enable the conversion, integration, and ongoing operations.
* Lead scope and requirements definition, documentation, and approvals; build, approve, and continuously manage project plans, resources, milestones, and dependencies.
* Direct change control across key program assets (scope, requirements, plans, specifications, contracts, code, documentation), ensuring governance, traceability, and disciplined decision\-making.
* Drive issue, risk, and decision management, using metrics to monitor progress, anticipate problems, and lead the identification, logging, escalation, and resolution of critical items.
* Own internal and external program communications and executive reporting, including risk assessments and formal program updates; facilitate issue/conflict resolution, escalate when required, and balance scope, time, cost, and quality to manage to an acceptable level of risk.
* Oversee deliverable quality, and timeliness and manage the full project budget across FTE, travel, revenue, and expenses.
* Ensure consistent use of project management tools and methodologies; take a lead role in identifying, defining, measuring, and continuously improving delivery practices and processes.
* Define roles, responsibilities, and decision\-rights to enable effective governance and decision\-making at the lowest appropriate level.
* Lead executive\-level communications through clear written reporting and verbal presentations to large groups, senior leaders, and internal / external stakeholders.
**What Are We Looking For in This Role?**
**Minimum Qualifications**
* Bachelors Degree
* Relevant Experience or Degree in: Business, Finance, and IT
* Typically Minimum 10\+ Years Relevant Exp
* Project Management experience
**Preferred Qualifications**
* Experience within the Merchant acquiring industry
* Experience with Project management tools and software
* PMP Certification
* Experience with post M\&amp;A integration activities
* Proven ability to lead and influence without direct authority
**What Are Our Desired Skills and Capabilities?**
* Skills / Knowledge: Apply broad and deep expertise to shape and deliver company objectives in complex, high\-stakes environments. Own a major function, key account, or matrix responsibility, driving results through strategic initiatives, strengthening relationships, expanding the business, and leading cross\-functional teams on complex programs. Operate at a level where decisions and execution are subject to technical committee and senior leadership review.
* Job Complexity: Tackle work that influences product design, delivery, and commercial success, including forward\-looking concepts, products, and technologies. Build formal networks with key decision\-makers and serve as an external spokesperson with partners, vendors, and teams across the organization.
* Supervision: Work with a high degree of autonomy, setting objectives and determining the approach for critical assignments with minimal direction.
* Negotiation Skills: Lead internal and external negotiations to resolve issues, align stakeholders, and drive timely decisions.
* Collaboration Skills: Partner effectively with internal teams and external stakeholders to align priorities, coordinate workstreams, and deliver outcomes.
* Influence: Lead and influence without direct authority, across teams, up to executive leadership, and with clients and partners, to drive alignment and execution.
 At Global Payments our vision is to be “Champions of Inclusion.” We are fully committed and focused on creating a better tomorrow in the communities in which we live and work. We aspire to ensure fair treatment, access, opportunity and advancement for all team members. We believe all team members should be able to bring their true, authentic selves to the workplace and feel accepted, engaged and understood.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Applicants MUST be authorized to work in the U.S. or Canada. We are unable to sponsor or take over Sponsorship of an Employment and/or Student Visa at this time or any time in the near future for sponsorship.
 This position is eligible to be considered for remote hiring anywhere in the USA or Canada.</t>
        </is>
      </c>
    </row>
    <row r="187">
      <c r="A187" t="inlineStr">
        <is>
          <t>li-4366023867</t>
        </is>
      </c>
      <c r="B187" t="inlineStr">
        <is>
          <t>SoC Power/Performance/Thermal Engineering Program Manager</t>
        </is>
      </c>
      <c r="C187" t="inlineStr">
        <is>
          <t>Apple</t>
        </is>
      </c>
      <c r="D187" t="inlineStr">
        <is>
          <t>linkedin</t>
        </is>
      </c>
      <c r="E187">
        <f>HYPERLINK("https://www.linkedin.com/jobs/view/4366023867", "https://www.linkedin.com/jobs/view/4366023867")</f>
        <v/>
      </c>
      <c r="F187" t="inlineStr"/>
      <c r="G187" t="inlineStr">
        <is>
          <t>Cupertino, CA</t>
        </is>
      </c>
      <c r="H187" t="inlineStr"/>
      <c r="I187" t="inlineStr">
        <is>
          <t>**Summary**
 At Apple, we craft the future of technology and make the impossible happen. From iPhones, to Macs, to the all new Apple Vision Pro; it all starts with a vision made possible through Apple Silicon. The groundbreaking A19, M5, and R1 SoCs are the result of planning and execution that were many years in the making. Join us to do your life’s best work in this rare opportunity to help define the next big thing that will surprise and delight the world!
**Description**
 Apple has an extraordinary opportunity for an Engineering Program Manager (EPM) within the Hardware Technologies team to drive power, performance, and thermal feature convergence across HW and SW, to optimize customer experience for the best power efficiency and performance within each product limit. This position works at the intersection of SoCs and products. In this role, you will lead investigations for the most sophisticated and multi\-functional silicon and system debugs. This activity culminates into executive\-level reviews of power, performance, and thermal designs, driving convergence across product, SW and HW teams. This role covers silicon readiness and post\-silicon phase of the product life cycle \- including silicon bring\-up preparation, HW/SW control feature integration, validation, and product mass\-production support for Apple’s next generation products.
**Responsibilities**
* Ability to influence large teams; develop and communicate the bigger picture.
* Focused tracking, organizing and reporting of program risks and timelines.
* Ability to extract executive summaries and effectively communicate resolution options on sophisticated, multi\-functional and complex issues.
* Drive feature workflows to guarantee high quality execution and product release.
* Proven creative and critical thinking, collaboration, conflict resolution and timely issue resolution.
**Minimum Qualifications**
* BS in Engineering discipline \+ 10 years of relevant experience.
* Proven experience in SoC design, silicon, and system debug or validation with exposure to system/SW integration.
* Technical Program Management or Engineering Leadership experience.
**Preferred Qualifications**
* Ability to develop in\-depth understanding of technical issues quickly and optimally triage and drive HW/SW/System integration issue resolution across multi\-functional teams.
* Ability to optimally lead and communicate at executive\-level crossfunctional technical reviews and discussions.
* Proficient in core engineering program management principles.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8">
      <c r="A188" t="inlineStr">
        <is>
          <t>li-4366386033</t>
        </is>
      </c>
      <c r="B188" t="inlineStr">
        <is>
          <t>Staff Technical Program Manager, Tech Strategy &amp; Planning</t>
        </is>
      </c>
      <c r="C188" t="inlineStr">
        <is>
          <t>Intuit</t>
        </is>
      </c>
      <c r="D188" t="inlineStr">
        <is>
          <t>linkedin</t>
        </is>
      </c>
      <c r="E188">
        <f>HYPERLINK("https://www.linkedin.com/jobs/view/4366386033", "https://www.linkedin.com/jobs/view/4366386033")</f>
        <v/>
      </c>
      <c r="F188" t="inlineStr"/>
      <c r="G188" t="inlineStr">
        <is>
          <t>Mountain View, CA</t>
        </is>
      </c>
      <c r="H188" t="inlineStr"/>
      <c r="I188" t="inlineStr">
        <is>
          <t>**Overview**
 PDX Tech Strategy \&amp; Planning is a high\-performing team responsible for driving operational excellence, running PDX’s operating mechanisms, and ensuring clarity and alignment across the organization. We partner closely with Tech Communications and Strategic Narratives to deliver effective communication, learning experiences, and a consistent PDX employee journey.
 We are seeking a Staff Business Operations Manager with a focus on Communications and Learning \&amp; Development to lead execution of PDX’s internal communication channels, accelerate organizational learning, and support major PDX\-wide events and operating rhythms. This role blends strong program management, exceptional communication skills, and a passion for org acceleration—playing a critical role in keeping PDX informed, aligned, skilled, and growing.
**Responsibilities**
 Internal Communications \&amp; Channels
* Own execution and maintenance of PDX internal communication channels, including Slack channels, the PDX website, resource libraries, and org charts.
* Translate complex operational, technical, or performance information into clear, concise internal communications for broad PDX audiences.
* Partner closely with Tech Communications and Strategic Narratives to ensure content quality, alignment, and connection to broader Tech/Intuit communications.
 Learning \&amp; Development (Org Acceleration)
* Design, implement, and manage internal learning and development programs for PDX employees that support onboarding, operational excellence, and ongoing skill development.
* Drive learning \&amp; growth initiatives, including mentorship programs, manager community offerings, and customer empathy events (guest speakers, trainings, workshops).
* Accelerate AI adoption across PDX by integrating AI tools, education, and workflows into communication and learning programs.
* Support builder culture onboarding by creating clear pathways for new hires to understand PDX, how we operate, and how to contribute quickly and effectively.
 Operating Mechanisms \&amp; Program Management
* Support communication planning and delivery for PDX\-wide events such as All Teams Meetings, Global Engineering Days, Excellence Awards, and SLT/ELT engagements.
* Drive communication and learning workback plans across PDX operating mechanisms by coordinating with TPMs, People \&amp; Culture, EABPs, and cross\-functional partners.
* Lead and support operational programs end\-to\-end, including defining objectives, managing timelines, preparing materials, and coordinating stakeholders.
* Support PDX community initiatives focused on connection, growth, and engagement (e.g., Manager Community, People \&amp; Culture initiatives, onboarding experiences).
 Continuous Improvement \&amp; AI Enablement
* Monitor communication and learning program effectiveness and contribute to continuous improvement of processes, tools, and delivery.
* Leverage GenAI tools to streamline content creation, enhance communication workflows, support training development, and accelerate the speed of information flow across PDX.
**Qualifications**
 Required
* 6–8\+ years of experience in Business Operations, Program Management, Internal Communications, Learning \&amp; Development, or similar roles.
* Proven experience managing internal communication channels at scale.
* Experience designing or supporting training, onboarding, or capability\-building programs.
* Excellent written and verbal communication skills, with the ability to simplify complex information.
* Strong program management skills with experience owning workback plans, cadences, and cross\-functional coordination.
* Experience operating in matrixed environments with multiple stakeholder groups.
* Strong analytical and organizational skills with a bias for action.
**Preferred**
* Experience within PDX, Intuit, or within a large technical organization.
* Familiarity with Slack Canvas, microsites, and enterprise communication platforms.
* Experience preparing content for leaders and large\-audience internal events.
* Experience supporting or managing learning and development initiatives, manager enablement, or technical onboarding programs.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189">
      <c r="A189" t="inlineStr">
        <is>
          <t>li-4366629031</t>
        </is>
      </c>
      <c r="B189" t="inlineStr">
        <is>
          <t>PMHI Program Manager</t>
        </is>
      </c>
      <c r="C189" t="inlineStr">
        <is>
          <t>Children's Hospital Colorado</t>
        </is>
      </c>
      <c r="D189" t="inlineStr">
        <is>
          <t>linkedin</t>
        </is>
      </c>
      <c r="E189">
        <f>HYPERLINK("https://www.linkedin.com/jobs/view/4366629031", "https://www.linkedin.com/jobs/view/4366629031")</f>
        <v/>
      </c>
      <c r="F189" t="inlineStr"/>
      <c r="G189" t="inlineStr">
        <is>
          <t>Denver, CO</t>
        </is>
      </c>
      <c r="H189" t="inlineStr"/>
      <c r="I189" t="inlineStr">
        <is>
          <t>**Summary**
**Job Overview**
 The Partners for Children’s Mental Health (PCMH) Program Manager is responsible for coordinating, consulting, and assisting with evidenced\-based and evidence\-informed programs and services to kids throughout Colorado. Under the general supervision of the PMCH Executive Director and in alignment with various stakeholders including the Research, Evaluation and Implementation team, this role will partner with external stakeholders located at schools and pediatric primary care organizations to execute strategic priorities/programs including teen employers, afterschool programs, early childcare, and hospital settings. Outreach programs and education is a key strategy to assist partners in strengthening their pediatric mental health programs in communities across Colorado. The Program Manager collaborates with organizational stakeholders and partners with external stakeholders to foster the pediatric needs of the community.
 This position is made possible by and is funded through third party grants and/or restricted funding. The length of the assignment is dependent on the grant program and on funding availability. Based on current funding, the anticipated end date for this assignment is 12/31/2031\. This position will be reviewed and may be extended in accordance with the grant. Should this position be discontinued and/or eliminated for any reason, it is not eligible for severance.
**Duties \&amp; Responsibilities**
* Manages the daily operations to ensure policies, procedures, and guidelines are being followed.
* Establishes and evaluates performance metrics for department to achieve department outcomes, performance, and professional development standards.
* Manages team of internal and external program staff (schools, primary care) to grow organization and successfully execute on key strategic priorities.
* Lead program development activities for a branch of PCMH training offerings (schools, primary care, behavioral health, other trusted adult) including partnership development; outreach activities, including the development of outreach materials and relationship building.
* Develops, implements, and monitors policies related to outreach programs and outreach education. Manages and directs the development and implementation of methods to monitor and analyze outcomes, track project development and performance improvement for outreach programs.
* Works with senior leadership to develop and communicate departmental strategic plan and annual goals, ensuring team members are focused on priorities. Ensures the accomplishment of organizational goals and objectives to enhance clinical practice and professional growth.
* Collaboratively creates goals, identifies metrics, and evaluates data to determine effectiveness of program with community stakeholder groups.
* Represents the department in meetings with executives and leaders from other areas of the hospital and serves as a representative on various committees.
* Through stakeholder participation, actively informs and influences development of relevant state policies and regulations to facilitate effective integration of the Medicaid program with public health and population health approaches.
* Develops departmental budget recommendations, and monitors expenditures to ensure compliance with organizational financial goals. Ensures staff and financial resources are utilized appropriately and shifts resources to meet both patient and department needs within budget restraints.
**Minimum Qualifications**
* Degrees
+ Bachelor of Science or Arts
* Area of Study
+ in related field
* Experience
+ Minimum Experience Required: Seven (7\) years of related experience, to include four (4\) years of leadership/management experience
* Equivalency
+ Not Applicable
* Licenses \&amp; Certifications
+ None
* Additional Requirements
+ Not Applicable
* Competency
+ None
**Salary Information**
 Pay is dependent on applicant's relevant experience.
 Annual Salary Range (Based on 40 hours worked per week): $82,095\.81 to $123,143\.72
**Benefits Information**
 Here, you matter. As a Children’s Hospital Colorado team member, you will receive a competitive pay and benefits package designed to take care of your needs that includes base pay, incentives, paid time off, medical/dental/vision insurance, company provided life and disability insurance, paid parental leave, 403b employer match (retirement savings), a robust wellness program, and access to professional development tools, including an education benefit to help you advance your career.
 As part of our Total Rewards package, Children's Colorado offers an annual employee bonus program that rewards eligible team members based on organizational performance. If organizational goals are met for the year, the bonus is paid out the following April.
 Children’s Colorado delivers annual base pay increases to eligible team members based on their performance over the previous year.
**EEO Statement**
 It is our intention that all qualified applicants be given equal opportunity and that selection decisions be based on job\-related factors. We do not discriminate on the basis of race, color, religion, national origin, sex, age, disability, or any other status protected by law or regulation. Be aware that none of the questions are intended to imply illegal preferences or discrimination based on non\-job\-related information. The position is expected to stay open until the posted close date. Please submit your application as soon as possible as the posting is subject to close at any time once a sufficient pool of qualified applicants is obtained.
 Colorado Residents: In any materials you submit, you may redact or remove age\-identifying information such as age, date of birth, or dates of attendance at or graduation from an educational institution. You will not be penalized for redacting or removing this information.</t>
        </is>
      </c>
    </row>
    <row r="190">
      <c r="A190" t="inlineStr">
        <is>
          <t>li-4366600711</t>
        </is>
      </c>
      <c r="B190" t="inlineStr">
        <is>
          <t>Event Program Manager</t>
        </is>
      </c>
      <c r="C190" t="inlineStr">
        <is>
          <t>Tekshapers</t>
        </is>
      </c>
      <c r="D190" t="inlineStr">
        <is>
          <t>linkedin</t>
        </is>
      </c>
      <c r="E190">
        <f>HYPERLINK("https://www.linkedin.com/jobs/view/4366600711", "https://www.linkedin.com/jobs/view/4366600711")</f>
        <v/>
      </c>
      <c r="F190" t="inlineStr"/>
      <c r="G190" t="inlineStr">
        <is>
          <t>San Jose, CA</t>
        </is>
      </c>
      <c r="H190" t="inlineStr"/>
      <c r="I190" t="inlineStr">
        <is>
          <t>**Job Description:** 
 The ideal candidate for this position is a project and program manager at the core, comfortable working in a dynamic environment and remaining flexible to the changing needs of the team and organization; someone who's passionate about the events space and is capable of establishing and maintaining relationships with different stakeholders, agencies, and vendors, and propose and deploy solutions that address the team's needs and deliver a smooth experience for all event participants.
**Responsibilities include\-** 
 ·        Full event management and production including all aspects of event logistics (venue management, catering, transportation, etc.), development of content, promotions and other event\-related marketing responsibilities.
 ·        Driving and building post\-event reports and conducting retrospectives to come up with next steps for improvement.  
 ·        Developing processes for consistently tracking and measuring the impact of event experiences, and reporting outcomes to key stakeholders.
 ·        Interacting with and managing multiple vendors, partners, and a wide range of functional groups within Google to plan and land medium and large scale events.
 ·        Maintaining a working knowledge of the complex needs of a wide variety of events.
**Minimum qualifications\-** 
 ·        BS / MS in Computer Science or equivalent
 ·        3\-5 years of experience in events planning and management 
 ·        Highly organized with the ability to prioritize tasks, manage deadlines and adapt to changing priorities
 ·        Ability to manage multiple complex projects simultaneously 
 ·        Detail oriented with excellent communication skills
 ·        Strong skills with building, tracking and formulating within Google Sheets
 ·        Developed budget management, negotiation, pitching and presentation skills
**Preferred qualifications\-** 
 ·        Ability to strategize at a high level and work in a fast\-paced, high\-pressure environment 
 ·        Experience with creating and maintaining dashboards, automating process
 ·        Knowledge of the developer relations space and prior experience with developer communities</t>
        </is>
      </c>
    </row>
    <row r="191">
      <c r="A191" t="inlineStr">
        <is>
          <t>li-4366050287</t>
        </is>
      </c>
      <c r="B191" t="inlineStr">
        <is>
          <t>Digital Program Manager</t>
        </is>
      </c>
      <c r="C191" t="inlineStr">
        <is>
          <t>Jobs via Dice</t>
        </is>
      </c>
      <c r="D191" t="inlineStr">
        <is>
          <t>linkedin</t>
        </is>
      </c>
      <c r="E191">
        <f>HYPERLINK("https://www.linkedin.com/jobs/view/4366050287", "https://www.linkedin.com/jobs/view/4366050287")</f>
        <v/>
      </c>
      <c r="F191" t="inlineStr"/>
      <c r="G191" t="inlineStr"/>
      <c r="H191" t="inlineStr"/>
      <c r="I191" t="inlineStr">
        <is>
          <t>Dice is the leading career destination for tech experts at every stage of their careers. Our client, Phizenix, is seeking the following. Apply via Dice today!
**Overview**
 We are seeking an experienced
 **Program Manager** 
 with a strong background in delivering
 **end\-to\-end digital experiences** 
 , including front\-end websites, mobile applications, APIs, and platform integrations. The ideal candidate has a proven track record of leading
 **large, complex digital programs** 
 , working closely with cross\-functional teams to deliver
 **scalable, user\-centric solutions** 
 .
**This is Remote role (Prefering West Coast)**
 This role will play a key leadership position, including acting as the
 **Project Manager for a CMS replacement initiative** 
 , and partnering closely with senior stakeholders across the organization.
**Key Responsibilities**
* Lead and oversee the delivery of digital initiatives spanning web, mobile, APIs, and platform components.
* Collaborate with design, development, product, and platform teams to ensure seamless, high\-quality digital experiences.
* Manage program timelines, budgets, risks, dependencies, and stakeholder communications across multiple workstreams.
* Serve as a trusted partner to stakeholders at all levels, including C\-level executives, ensuring clear communication and alignment.
* Drive innovation, continuous improvement, and operational excellence in digital program execution.
* Provide strong governance and execution leadership for large\-scale, complex implementations, including CMS modernization efforts.
**Preferred Experience \&amp; Qualifications**
* Proven experience managing front\-end digital projects, including websites and mobile applications.
* Strong understanding of Salesforce CRM, particularly its integration with front\-end platforms and digital ecosystems.
* Demonstrated success leading large, complex digital implementations with measurable business outcomes.
* Familiarity with Agile methodologies and experience coordinating delivery across multiple teams and platforms.
* Excellent communication skills, with the ability to effectively articulate work, risks, and outcomes to senior leadership.
* Recognized leadership presence, with a history of past successes and professional endorsements reflecting delivery excellence.</t>
        </is>
      </c>
    </row>
    <row r="192">
      <c r="A192" t="inlineStr">
        <is>
          <t>li-4366382934</t>
        </is>
      </c>
      <c r="B192" t="inlineStr">
        <is>
          <t>Program Manager</t>
        </is>
      </c>
      <c r="C192" t="inlineStr">
        <is>
          <t>Imagine</t>
        </is>
      </c>
      <c r="D192" t="inlineStr">
        <is>
          <t>linkedin</t>
        </is>
      </c>
      <c r="E192">
        <f>HYPERLINK("https://www.linkedin.com/jobs/view/4366382934", "https://www.linkedin.com/jobs/view/4366382934")</f>
        <v/>
      </c>
      <c r="F192" t="inlineStr"/>
      <c r="G192" t="inlineStr">
        <is>
          <t>Shakopee, MN</t>
        </is>
      </c>
      <c r="H192" t="inlineStr"/>
      <c r="I192" t="inlineStr">
        <is>
          <t>Job Type
 Full\-time
**Description**
**COMPANY OVERVIEW**
 At Imagine we go beyond print to help our clients deliver game\-changing visual communications from concept to delivery that set the standard for our industry. The first step in this process is hiring great employees! Our innovation teams are the most committed, highly experienced artisans in the business. We are committed to delivering high\-quality marketing solutions, in every environment and campaign, helping our clients capture the heart, minds, and loyalty of their customers. For more than 30 years, The Imagine Group has established itself as one of the most influential and innovative visual communications companies in the industry. Join us and let's Imagine a better way together.
**Job Summary**
 As a Program Manager for one of our high\-profile customers, you will be supporting the team both internally with Imagine team members and externally with the customer. You will be coordinating \&amp; supporting the team to deliver business and technical results by championing a culture of accountability and consistent application of project \&amp; program management practices. As a Program Manager you are a facilitator and motivator, working across departments to ensure collaboration, communication, visibility, and successful delivery of customer’s programs.
**Job Description**
* Plan and manage oversight of all projects within Target’s program at Imagine Twin Cities.
* Develop and maintain positive and productive relationship with key client contacts.
* Partner with full internal Imagine/Target team, individually or in groups to deliver required value to Target.
* Be a subject matter expert for increased efficiency and speed of execution for the needs of Target within Imagine.
* Work Cross functionally with Imagine Stakeholders (scheduling, purchasing, operations teams) to ensure quality and on\-time delivery of all programs.
* Utilize Project Management tools \&amp; software as needed during large complex campaigns to provide organization, visibility, accountability, and communication details required for both internal and external stakeholders.
* Monitor \&amp; support team members as they develop project(s) timelines and task lists, coordinate, and manage multiple projects within Target’s program simultaneously.
* Ensure team members are solving for materials, due dates, and print options based on customer requirements in a timely manner within service level agreements.
* Ensure all deliverables are met throughout Target’s program.
* Facilitate escalation as required.
* Proactively network in a positive manner with relevant team members throughout Imagine advocating for the needs and success of all Target programs.
* Show good communication skills, verbally, non\-verbally, and in writing to client, SME teams, and/or vendors and partners.
* Develop and maintain an environment with all team members that continues to foster a sense of urgency, professionalism, and execution of Target’s program.
* All other duties as assigned.
**Supervisory Responsibilities**
* None
**Requirements**
**Minimum Qualifications of Position:**
* Bachelor’s degree in business, graphic communications or related area of study.
* 5 years of Account Management experience.
* 3\+ years of experience working in print, direct mail, and/or signage.
**Preferred Qualifications Of Position**
* PMP helpful
**Knowledge And Skills**
* Technical Skills: In\-depth knowledge of print services and capabilities
* Ethics: Highest level of professional integrity and honesty as well as personal credibility.
* Leadership Development Skills: Deep understanding and experience with the ability to practically apply, as well as coach others. Excellent communication skills.
* Functional Leadership: A proven track record of leading projects that successfully achieve milestones and complete deliverables.
* Sales/Operational/Functional Excellence. Experience managing in an environment that continuously prioritizes operational excellence and customer satisfaction success.
* Results\-Oriented: A driver who possesses the ability to act and implement effective solutions in a timely manner, influencing across different departments and levels within the organization.
* Problem Solver: A creative problem solver. Methodical and hands\-on as well as detail\-oriented
* Teamwork and Interpersonal Skills: A team player and builder, receptive to ideas from others. Shares information and keeps team members informed.
* Proven experience leading and inspiring teams to meet business objectives with outstanding results.
* Strong inner drive to care about delivering excellence in customer service, building strong business relationships, and meeting and exceeding expectations at all levels.
* Highly motivated and driven to produce extraordinary results.
* Strong sense of urgency to respond to inbound questions and requests and do so in a quick and accurate manner.
* Excellent presentation, organization, phone, verbal, in\-person, and written communication skills are mandatory.
* The ability to communicate, build trust, and strengthen relationships at all levels within an organization.
* Strong attention to detail and ability to prioritize in an environment of competing priorities.
* Must possess a high degree of energy, sense of urgency and customer service oriented as well as strong organizational skills.
* Strong experience working with Microsoft products, such as excel, word and outlook.
**Working Conditions And Physical Requirements**
* Occasional walking
* Manual dexterity for repetitive work
* Frequent Sitting for prolonged periods of time
**PAY STATEMENT**
 The national pay range for this role is listed in the posting. The pay range may be slightly lower or higher based on the geographic location. The actual pay offered may vary based upon, but not limited to: education, skills, experience, proficiency, performance, shift and location. In addition to base salary, depending on the role, the total compensation package may also include participation in a bonus, commission or incentive program. Imagine offers benefits including medical, dental, and vision coverage, paid time off, disability insurance, 401(k) with match, life insurance and other voluntary supplemental insurance coverages, plus tuition assistance, caregiver leave, adoption assistance, and employer/partner discounts.
**EEO STATEMENT**
*The Imagine Group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Salary Description
 USD $80,000 \- USD $110,000/Yr.</t>
        </is>
      </c>
    </row>
    <row r="193">
      <c r="A193" t="inlineStr">
        <is>
          <t>li-4355948907</t>
        </is>
      </c>
      <c r="B193" t="inlineStr">
        <is>
          <t>Program Manager, College Curriculum and Academic Policy</t>
        </is>
      </c>
      <c r="C193" t="inlineStr">
        <is>
          <t>Tulane University</t>
        </is>
      </c>
      <c r="D193" t="inlineStr">
        <is>
          <t>linkedin</t>
        </is>
      </c>
      <c r="E193">
        <f>HYPERLINK("https://www.linkedin.com/jobs/view/4355948907", "https://www.linkedin.com/jobs/view/4355948907")</f>
        <v/>
      </c>
      <c r="F193" t="inlineStr"/>
      <c r="G193" t="inlineStr">
        <is>
          <t>New Orleans, LA</t>
        </is>
      </c>
      <c r="H193" t="inlineStr"/>
      <c r="I193" t="inlineStr">
        <is>
          <t>**Summary**
 The Program Manager for College Curriculum and Academic Policy is a high\-level position that provides strategic leadership and operational oversight for critical academic programs and policy execution across three Newcomb\-Tulane College offices. Reporting directly to the Director of College Curriculum and Policy, the position serves as an essential conduit and program manager for cross\-unit initiatives, ensuring the effective management of academic policies and promoting high\-impact student experiences. The Manager is responsible for the full\-cycle development, management, and assessment of assigned programs.
**Required Knowledge, Skills, And Abilities**
* Exceptional organizational skills and the ability to manage multiple projects and meet complex, established or anticipated deadlines across different administrative units.
* Excellent oral and written communication skills, with the ability to serve as a professional liaison to faculty, colleagues, students, and external partners.
* Ability to foster a collaborative and effective environment across organizational lines with a variety of stakeholders.
* Ability to work independently and collaboratively
* Working knowledge of various standardized word processing and assessment software applications
* Ability to use the Microsoft Office suite (Outlook, Excel, Word, PowerPoint, etc.)
* Familiarity with data management and systems such as Banner, SalesForce, Slate, Box, etc.
**Required Education And/or Experience**
* Bachelor’s Degree with 2 years of directly related experience.
**OR**
* High School Diploma (or Equivalent) with 8 years of directly related experience.
**Preferred Qualifications**
* Master's Degree in higher education administration, project management, or a related field.
* Demonstrated experience with assessment and evaluation to achieve continuous programmatic improvements.
* Familiarity with university curriculum and academic policy processes.</t>
        </is>
      </c>
    </row>
    <row r="194">
      <c r="A194" t="inlineStr">
        <is>
          <t>li-4366058990</t>
        </is>
      </c>
      <c r="B194" t="inlineStr">
        <is>
          <t>Program Manager, Funded Partnership Program &amp; Grant Development</t>
        </is>
      </c>
      <c r="C194" t="inlineStr">
        <is>
          <t>IPDN-Professional Diversity Network</t>
        </is>
      </c>
      <c r="D194" t="inlineStr">
        <is>
          <t>linkedin</t>
        </is>
      </c>
      <c r="E194">
        <f>HYPERLINK("https://www.linkedin.com/jobs/view/4366058990", "https://www.linkedin.com/jobs/view/4366058990")</f>
        <v/>
      </c>
      <c r="F194" t="inlineStr"/>
      <c r="G194" t="inlineStr"/>
      <c r="H194" t="inlineStr"/>
      <c r="I194" t="inlineStr">
        <is>
          <t>The American Hospital Association (AHA) is a national organization that represents and serves all types of hospitals, health care networks, and their patients and communities. The AHA has two main offices, located in Washington, D.C., and Chicago. The AHA offers a flexible hybrid work schedule of three days in the office and two days working remotely.
**Essential Functions** 
* Spearhead the identification and evaluation of funding opportunities that align with team and organizational goals. Support the creation of forward\-looking funding pipeline to inform long\-term planning and resource allocation.
* Assist in the development, writing, and timely submission of proposals for federal, state, and private funding opportunities, ensuring alignment with organizational priorities and compliance requirements.
* Create and edit content for newsletters, social media, and other communications channels. Assist in the development and design of presentations and slide decks. Maintain and update SharePoint site to promote visibility of new grants, services, and resources for members.
* Develop written materials (e.g., guides, toolkits, briefs) in collaboration with program leads by synthesizing information from diverse sources to support Funded Partnerships programming.
* Coordinate with internal and external stakeholders to support Funded Partnerships initiatives. Maintain project plans, monitor progress, and ensure timely delivery of key milestones and deliverables.
* Ensure strong handoff once a proposal has been won to internal subject matter, financial, compliance and implementation teams leveraging change management skillsets.
* Perform additional duties as assigned.
**Minimum Qualifications: Education** 
* Bachelor's Degree English, communications, journalism, public health, business, social work, healthcare or related field Required
* Master's Degree English, communications, journalism, public health, business, social work, healthcare or related field Preferred
**Minimum Qualifications: Work Experience** 
* 5\+ years Minimum 5 years of work experience related to proposal writing or program management, specifically grant writing and research with grant proposal writing Required
* Experience working in health systems, social services, or in the public health sector Preferred
**Minimum Qualifications: Knowledge, Skills and Abilities** 
* Strong project management skills, including the ability to develop and execute workplans, communicate effectively with hospital partners, coordinate the work of experts and consultants, and develop and manage to budgets \- Required
* Strong knowledge of quality improvement initiatives \- Required
* Strong Microsoft Office skills (Word, Excel, Powerpoint, Teams) \- Required
* Strong MS Project skills as well as strong skills with statistics package such as SPSS or SAS \- Required
* Strong knowledge of standard workplace software and collaboration tools, and ability to contribute to data integrity, operational efficiency, and digital process improvements; willingness to learn and adapt to new technologies \- Required
* Effective ability to manage multiple, cross\-departmental programs/projects simultaneously, ensuring they are executed on time, within scope and within budget \- Required
* Strong knowledge of budgeting and tracking expenses. \- Required
* Strong leadership skills that educate, guide and mentor colleagues to meet goals \- Required
* Effective written and verbal communications skills to interact with and provide clear, concise information to colleagues and members; proven ability to prepare documentation, deliver updates, and participate actively in group discussions \- Required
* Effective interpersonal skills to develop and foster positive relationships with internal colleagues and external contacts that drive operational success through constructive interactions \- Required
* Effective collaboration skills with both internal colleagues and external contacts that promote innovative problem\-solving and constructive feedback to support operational success \- Required
* Strong customer service orientation and positive, professional, solution\-oriented approach to interactions with members and colleagues \- Preferred
* Strong research and analysis skills to identify and assess information from a variety of sources, including data, and translate into operational success \- Required
* Proven ability to identify challenges/issues with processes/outcomes and propose practical solutions to resolve; proven ability to utilize sound judgment and reliable resources to seek information and data to support decisions \- Required
* Ability to work effectively in a fast\-paced, dynamic environment with changing priorities \- Required
* Ability to manage multiple tasks effectively and efficiently by balancing priorities and meeting set timeframes \- Required
* Strong attention to detail to ensure complete, accurate and timely deliverables \- Required
* Self\-motivated and proactive; ability to take initiative to identify areas for improvement \- Required
* Ability to maintain a high standard of professionalism and respect in interactions with others; ability to take accountability for work and follow through on deliverables \- Required
* Willingness to learn new skills and take on additional tasks \- Required
**Salary Information:** 
 Commensurate with related experience. The AHA is committed to fair and equitable compensation practices. A candidate's salary is determined by various factors including, but not limited to, relevant work experience, skills, certifications, and location.
 Salary Range \- Minimum:
 78000
 Salary Range \- Midpoint:
 97000
 Salary Range \- Maximum:
 116000
 We offer an excellent total compensation package, which includes medical/dental coverage (PPO/HMO), vision care, life insurance, short\- and long\-term disability plans, 401(k), tuition reimbursement, PTO/holidays/health days, wellness programs, and more!
 The American Hospital Association (AHA) is an Equal Opportunity Employer. We evaluate qualified applicants without regard to race, color, religion, sex, national origin, disability, veteran status, and other legally protected characteristics. We will provide reasonable accommodation for individuals protected by Section 503 of the Rehabilitation Act of 1973, the Vietnam Era Veterans' Readjustment Assistance Act of 1974, and Title I of the Americans with Disabilities Act of 1990\. If, because of a medical condition or disability, you need a reasonable accommodation for any part of the employment process, please call (312\) 422\-3000 and ask for the Vice President, Human Resources, and let us know the nature of your request and your contact information.
 The AHA participates in the E\-Verify Program. \#LI\-Hybrid
 PDN\-a0c80773\-f4c6\-4afe\-9b9d\-92b5e831eed6</t>
        </is>
      </c>
    </row>
    <row r="195">
      <c r="A195" t="inlineStr">
        <is>
          <t>li-4366390285</t>
        </is>
      </c>
      <c r="B195" t="inlineStr">
        <is>
          <t>RPO Program Manager</t>
        </is>
      </c>
      <c r="C195" t="inlineStr">
        <is>
          <t>Truist</t>
        </is>
      </c>
      <c r="D195" t="inlineStr">
        <is>
          <t>linkedin</t>
        </is>
      </c>
      <c r="E195">
        <f>HYPERLINK("https://www.linkedin.com/jobs/view/4366390285", "https://www.linkedin.com/jobs/view/4366390285")</f>
        <v/>
      </c>
      <c r="F195">
        <f>HYPERLINK("https://careers.truist.com/us/en/job/TBJTBFUSR0106352EXTERNALENUS/RPO-Program-Manager?utm_source=linkedin&amp;utm_medium=phenom-feeds&amp;source=LinkedIn&amp;urlHash=B_E1", "https://careers.truist.com/us/en/job/TBJTBFUSR0106352EXTERNALENUS/RPO-Program-Manager?utm_source=linkedin&amp;utm_medium=phenom-feeds&amp;source=LinkedIn&amp;urlHash=B_E1")</f>
        <v/>
      </c>
      <c r="G195" t="inlineStr">
        <is>
          <t>Atlanta, GA</t>
        </is>
      </c>
      <c r="H195" t="inlineStr"/>
      <c r="I19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Serve as primary focal point for RPO vendor relationship within Talent as it relates to high volume recruitment efforts, reducing/improving risk, cost adherence, quality, and ease of doing business. Ensure RPO vendor is in compliance with Enterprise Vendor Management Standards and Policies. Drive vendor performance to maximize recoveries through execution on Key Performance Indicators (KPIs) and Service Level Agreements (SLAs).
**Essential Duties And Responsibilities**
 Following is a summary of the essential functions for this job. Other duties may be performed, both major and minor, which are not mentioned below. Specific activities may change from time to time.
* Creates, streamlines, and documents business unit specific processes, compliance reports and standard operating procedures, as required, to support the Corporate Vendor Management Program
* Identifies and manages vendor risks per the Third Party Risk management policy and guidelines
* Performs ongoing monitoring of vendor monitoring to include: Service levels Tracking/remediation, vendor performance management framework \- scorecards, improvement plans, etc.
* Facilitates RPO vendor Quarterly Business reviews (QBRs), Archer maintenance, TPRM Archer maintenance and scorecard requirements
* Works with second line of defense (e.g. Operational Risk Management (ORM), Compliance) to ensure corresponding risks are being managed and mitigated per second line expectations, and coordinate vendor risk reviews across second line of defense, IT Risk management functions
* Acts as a Talent vendor consultant to business segment and/or function senior management and HR Business Partners in the design and implementation of customized solutions to meet the business objective, including but not limited to; resolving technical, operational or risk management challenges
* Leads moderate\-to\-complex and visible projects with notable risk and complexity
* Establishes and ensures efficiency of the Talent/RPO team policies and procedures that support optimal training and process\-level documentation.
* Assists with the maintenance of formalized RPO procedure documents that support compliance risk governance framework to include monthly, quarterly, and annual updates and reviews
* Serves as a vendor escalation point for vendor issues and risks and participate in vendor onsite reviews
* Communicates overall relationship health and vendor performance to Talent Vendor Oversight Leader and Talent Senior Leadership
* Facilitates sourcing requests for contract renewals on behalf of Talent, assists with RPO negotiations, and decision making in RPO vendor contracts, Master Agreements, and/or Statement of Work, and ensure contract compliance for documented terms and conditions
* Develops and effectively execute on vendor contingency and termination/transition plans, and business continuity planning and testing
**Qualifications**
**Required Qualifications:**
 The requirements listed below are representative of the knowledge, skill and/or ability required. Reasonable accommodations may be made to enable individuals with disabilities to perform the essential functions.
* Bachelor’s degree or equivalent education, training and work\-related/ business experience
* Four years of experience in Talent Acquisition, Human Resources, Procurement, Supply Chain, or Vendor Management
* Ability to collaborate and partner effectively with multiple stakeholders across the organization.
* Proficient in Microsoft Office suite, specifically Excel and Access
* Proficiency in conflict resolution and problem\-solving techniques
* Strong communication skills, both written and verbal; experience communicating frequently with HR leadership and HR partners
* Strong analytical skills Project Management understanding, experience, and ability to manage projects with minimal direction
* One year proven negotiation and consulting experience
* Demonstrated proficiency in basic computer applications, such as Microsoft Office software products
****Preferred Qualifications:****
* Two years of accounting or budgeting experience
* Two years of proven project management experience or Six Sigma or Agile methodology certification (moderate complexity projects)
* Familiarity with Vendor Management Systems and Recruiting related tools such as: Applicant Tracking Systems, CRM, Video Interviewing technology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6">
      <c r="A196" t="inlineStr">
        <is>
          <t>li-4358732634</t>
        </is>
      </c>
      <c r="B196" t="inlineStr">
        <is>
          <t>Program Manager, Special Projects - College of Nursing (Panama City Campus)</t>
        </is>
      </c>
      <c r="C196" t="inlineStr">
        <is>
          <t>Florida State University</t>
        </is>
      </c>
      <c r="D196" t="inlineStr">
        <is>
          <t>linkedin</t>
        </is>
      </c>
      <c r="E196">
        <f>HYPERLINK("https://www.linkedin.com/jobs/view/4358732634", "https://www.linkedin.com/jobs/view/4358732634")</f>
        <v/>
      </c>
      <c r="F196" t="inlineStr"/>
      <c r="G196" t="inlineStr">
        <is>
          <t>Panama City, FL</t>
        </is>
      </c>
      <c r="H196" t="inlineStr"/>
      <c r="I196" t="inlineStr">
        <is>
          <t>Department
 College of Nursing
**Responsibilities**
 Responsible for the operational management of special projects and strategic initiatives in the Panama City area on behalf of the Office of the Dean for the College of Nursing. Examples could include dean\-led councils and boards, college\-wide consortiums and alliances, and internal working groups. Reporting to the Director of Strategic Engagement and Chief of Staff, duties include developing policies and procedures; managing timelines and deliverables; and ensuring the efficient organization of activities. The Program Manager will support strategic planning, maintain accurate records, prepare communications and reports, and serve as a point of contact for internal and external stakeholders, such as College of Nursing faculty and staff, FSU collaborators, healthcare community partners and representatives from not\-for\-profit organizations, private companies and other universities and colleges.
 Manage the creation of communication materials related to projects and initiatives of the Office of the Dean for the College of Nursing, examples of which could include e\-newsletters, event invitations, presentation materials and reports, coordinating with the college’s communication team when appropriate
 Plan and execute events related to projects and initiatives of the Office of the Dean in Panama City, examples of which could include meetings, webinars, events and programs, working with the college’s event coordinator, when appropriate.
 Actively participate in the life of the college and local community, including attending events, meetings, and other activities, as well as maintaining effective working relationships with all campus members and community partners. Other duties as assigned.
**Qualifications**
* Bachelor's degree and four years of experience related to administrative services; or a high school diploma/equivalent and experience equal to eight years. (Note: post\-high school education can substitute for experience at the equivalent rate.)
* Valid Florida or Georgia Driver's License, or the ability to obtain prior to hire.
 University Information
 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and encourages creativity. At FSU, there’s the excitement of being part of a vibrant academic and professional community, surrounded by people whose ideas are shaping tomorrow’s news!
 Learn more about our university and campuses.
 FSU Total Rewards
 FSU offers a robust Total Rewards package. Visit our website to learn more about our Compensation, Benefits, Wellness, Recognition, and Employee Development programs.
 Use our interactive tool to calculate Total Compensation options based on potential salary, benefits and retirement contributions, earned leave, and other employment\-related perks.
 How To Apply
 If qualified and interested in a specific job opening as advertised, apply to Florida State University at https://jobs.fsu.edu. If you are a current FSU employee, apply via myFSU \&gt; Self Service.
 Applicants are required to complete the online application with all applicable information. Applications must include all work history up to ten years, and education details even if attaching a resume.
 Considerations
 This is an A\&amp;P position.
 This position requires successful completion of a criminal history background check.
 This position is located on the FSU Panama City, FL campus. This position is being readvertised as open until filled.
 Equal Employment Opportunity
 FSU is an Equal Employment Opportunity Employer.</t>
        </is>
      </c>
    </row>
    <row r="197">
      <c r="A197" t="inlineStr">
        <is>
          <t>li-4358145168</t>
        </is>
      </c>
      <c r="B197" t="inlineStr">
        <is>
          <t>Senior Program Manager</t>
        </is>
      </c>
      <c r="C197" t="inlineStr">
        <is>
          <t>STR</t>
        </is>
      </c>
      <c r="D197" t="inlineStr">
        <is>
          <t>linkedin</t>
        </is>
      </c>
      <c r="E197">
        <f>HYPERLINK("https://www.linkedin.com/jobs/view/4358145168", "https://www.linkedin.com/jobs/view/4358145168")</f>
        <v/>
      </c>
      <c r="F197">
        <f>HYPERLINK("https://job-boards.greenhouse.io/systemstechnologyresearch/jobs/4629809006?gh_src=150e690c6us&amp;urlHash=Fmkh", "https://job-boards.greenhouse.io/systemstechnologyresearch/jobs/4629809006?gh_src=150e690c6us&amp;urlHash=Fmkh")</f>
        <v/>
      </c>
      <c r="G197" t="inlineStr">
        <is>
          <t>Woburn, MA</t>
        </is>
      </c>
      <c r="H197" t="inlineStr"/>
      <c r="I197" t="inlineStr">
        <is>
          <t>**STR** 
 is hiring a
 **Senior Program Manager (PM)** 
 in the Cyber Division who is passionate about collaborative problem solving and working on the hardest national security problems. This position is located in our Woburn, MA office.
 The PM will be responsible for a portfolio of cyber research and development programs. This includes managing all program phases, from marketing to proposal development, from contract initiation to execution, and from program close\-out to transition. The PM will also be responsible for facilitating business operations across the portfolio to enable successful execution.
 We believe that each candidate has a unique set of skills, experiences, and perspectives that could enable us to provide our customers with innovative solutions. The skills listed below are intended to give you a sense for the position. If you see an overlap with your skills, go ahead and apply!
 PM responsibilities will include receiving requirements from our program customer(s), tracking the program schedule and milestones, coordinating with the STR Contracts, Finance, Security, and IT teams, providing quality assurance on reports, and tracking program risk to ensure timely, successful deliveries of products to the customer. The PM will also support coordination with STR sub\-contractors, ensuring smooth integration and accomplishment of assigned tasks. Additionally, the PM will routinely collaborate across multi\-disciplinary teams to support the Group Leader and other key stakeholders on staff planning, financial planning, recruiting and onboarding, and continuous improvement of internal security and IT processes.
**What you will do:**
* Managing program technical, financial, and schedule performance
* Working with the lead program manager, principal investigator, technical staff, subcontractors, and support personnel to identify and address risks and issues
* Managing program performance through review of metrics and program execution milestones (including scheduling, cost, and logistics)
* Gathering, evaluating, and synthesizing data from multiple sources, such as project reports, project staff, and customer feedback to understand and communicate status and to identify trends
* Interacting with external program customers and internal company leadership
* Managing scientists, engineers, and technicians across broad areas of expertise
* Achieving cost, schedule, and customer objectives on advanced technology programs
* Working in a fast\-paced environment to enable successful contract execution
* Building strong customer relationships and establish open lines of communication
**Who you are:**
* This position requires an Active Top Secret (TS) security clearance, for which U.S. citizenship is needed by U.S. Government.
* Bachelors Degree with a minimum of 5 years’ related experience including a minimum of 4 years' managing technical programs
* Experienced in project management within DoD or IC, and/or experience directly supporting program objectives such as managing cost, schedule, and technical performance
* Experience leading technical teams on advanced R\&amp;D programs
* Motivated collaborator and effective communicator to both technical and non\-technical audiences
**Nice to have:**
* Ability to obtain Sensitive Compartmented Information (SCI) security clearance
* Experience spanning all project phases, from ideation to technology research and product development
* Working knowledge of DoD or IC mission and acquisition processes
* Entrepreneurial spirit and eager to engage in technical marketing and business development
**Pay Information**
 Full\-Time Salary Range: $122,000 \- $168,000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198">
      <c r="A198" t="inlineStr">
        <is>
          <t>li-4330477946</t>
        </is>
      </c>
      <c r="B198" t="inlineStr">
        <is>
          <t>Senior Program Manager</t>
        </is>
      </c>
      <c r="C198" t="inlineStr">
        <is>
          <t>Alzheimer's Association®</t>
        </is>
      </c>
      <c r="D198" t="inlineStr">
        <is>
          <t>linkedin</t>
        </is>
      </c>
      <c r="E198">
        <f>HYPERLINK("https://www.linkedin.com/jobs/view/4330477946", "https://www.linkedin.com/jobs/view/4330477946")</f>
        <v/>
      </c>
      <c r="F198">
        <f>HYPERLINK("https://recruiting2.ultipro.com/ALZ1000ALZD/JobBoard/8fe6e004-a2b4-4c6f-b43f-6275765c4462/OpportunityDetail?opportunityId=0f49a14a-d6ef-436d-b6f3-4c5f83fc035c&amp;source=LinkedIn&amp;urlHash=zOY6", "https://recruiting2.ultipro.com/ALZ1000ALZD/JobBoard/8fe6e004-a2b4-4c6f-b43f-6275765c4462/OpportunityDetail?opportunityId=0f49a14a-d6ef-436d-b6f3-4c5f83fc035c&amp;source=LinkedIn&amp;urlHash=zOY6")</f>
        <v/>
      </c>
      <c r="G198" t="inlineStr">
        <is>
          <t>Fargo, ND</t>
        </is>
      </c>
      <c r="H198" t="inlineStr"/>
      <c r="I198" t="inlineStr">
        <is>
          <t>**Position Summary**
 The purpose of this role is to implement the Alzheimer’s Association’s program delivery and growth strategy to reach more people with volunteer\-delivered programs. The Senior Program Manager is responsible for leading staff as well as identifying, recruiting, engaging and growing volunteers and community partners while meeting Association best practices to achieve growth goals and benchmarks. This position will partner with all other mission pillars of the Alzheimer’s Association (Public Policy, Development, Concern and Awareness, Health Systems and Operations) to assist in reaching strategic goals in all areas. The position is responsible for serving designated counties in Eastern North Dakota, including Cass, Ransom, Sargent, and Richland. This position may provide services in other areas of ND, as needed, and covers Clay County in MN. This position is partially grant funded and will help to fulfill requirements of a contract with the North Dakota Department of Health and Human Services, Aging Services Section. Travel will be required of this position whenever virtual delivery is not possible.
 This position is grant funded.
**Responsibilities**
* Lead care and support operations, program staff and volunteers in Eastern North Dakota.
* Partner with all ND program staff to track progress on ND Contract and Care and Support Key Performance Indicators to achieve all goals.
* Attends and actively participates in all appropriate meetings and discusses programmatic challenges and successes on an ongoing basis with the Care \&amp; Support team.
* Conduct ongoing community assessments through Community Forums, as appropriate, in each market to ensure that volunteer\-led programs are aligned with community needs and offered where demand is high.
* Recruit, train and lead volunteers to deliver and grow programs in designated markets. Provide ongoing technical assistance, coaching and support. Ensure accountability by regularly monitoring volunteer impact and taking action to improve volunteer performance.
* Manage and maintain a portfolio of high\-impact community partners using a relationship sales approach to grow the Association’s program reach. Expand collaborative agreements with current partners in community networks, organizations, service providers, nonprofits and faith institutions, and establish new community partnerships beyond the Alzheimer’s Association’s traditional partners.
* Create urgency for our cause by promoting a full\-mission value proposition to support Alzheimer’s Association campaigns such as quality care, fundraising and advocacy efforts throughout designated communities.
* Model and foster behaviors that contribute to a culture that values the staff/volunteer/ community partnership and is consistent with the Association’s goals, best practices, and core values.
* Ensure timely and accurate reporting of program, community impact and volunteer performance data as well as grant\-funded projects (where applicable).
* Partners with all mission pillars (Public Policy, Development, Concern and Awareness, Health Systems, and Operations) to advance internal key performance indicators. Examples may include recruiting advocates, providing media interviews, and advancing the Association’s health systems strategy.
* Provides support to the ND Program Director and other staff, as needed with all activities.
* Travels to communities in eastern North Dakota to provide programs and services whenever virtual or volunteer programming is unavailable.
* Establish rapport and engage with individuals using clinical practice strategies to assess needs and determine appropriate interventions and resources as needed.
* Other duties as assigned.
**Qualifications**
* Master degree in social work, (Master’s in Counseling, Gerontology, or Family Therapy also accepted) \+ 1 year experience required.
* Preferred Master degree in degree in social work, (Master’s in Counseling, Gerontology, or Family Therapy also accepted) and licensure (LSW, LCSW, LPC, LCPC) \+ 2 – 3 years experience.
* Excellent interpersonal and verbal/written communication skills.
* Strong presentation skills and previous experience as a public speaker or educator.
**Knowledge, Skills And Abilities**
* Strong staff and project management skills.
* Proven success in building and maintaining key relationships and meeting strategic goals through volunteer\-led initiatives.
* Able to identify and cultivate relationships with community partners, organizations, volunteers and with all communities to create a sense of urgency related to dementia awareness as a major health issue and motivate all to action.
* Ability to effectively collaborate with others, hold others accountable and reach mutually agreeable outcomes.
* Familiarity with a public health approach focused on health promotion and early detection.
* Experience building rapport/trust, assessing needs and articulating a value proposition.
* Ability to represent the Association effectively to community partners, community leaders, and corporate partners.
* General knowledge of community health, community\-based organizations and systems.
* Knowledge of Alzheimer’s disease and related disorders, preferred.
* Ability and willingness to work some evenings and weekends, if necessary.
* Ability to bend, stoop, lift and transport up to 25 lbs. of materials.
* Ability to travel.
* Must have a valid driver’s license, access to reliable vehicle, good driving record and proof of automobile insurance.
**Title:** 
 Sr. Program Manager
**Position Location:** 
 Fargo, ND and Surrounding Counties
**Full Time:** 
 Based on 37\.5 hours per week
**Position Grade \&amp; Compensation:** 
 Grade 107
 ***The Alzheimer's Association’s good faith expectation for the salary range for this role is between $62,000 – $75,000***
**Reports To:** 
 Program Director
**Who We Are**
 The Alzheimer’s Association is the leading voluntary health organization in Alzheimer’s care, support and research. Our mission is to lead the way to end Alzheimer's and all other dementia– by accelerating global research, driving risk reduction and early detection, and maximizing quality care and support.
 The Alzheimer’s Association announced a landmark $100 million investment in research for 2023\. This unparalleled commitment is illustrative of the momentum we are building in dementia research — our investments today will lead to breakthroughs tomorrow.
 At the Alzheimer’s Association, our employees are at the core of all we do. Our network of more than 1,900 employees across the United States makes a difference each and every day for those impacted by Alzheimer’s and those at risk for the disease.
 We warmly invite qualified applicants to consider this opportunity to make a life\-changing impact on the millions living with Alzheimer’s, their caregivers and those that may develop the disease in the future. Read on to learn more about the role, then visit our website www.alz.org/jobs to explore who we are and why we've been recognized as a Best Place to Work for the last twelve years in a row.
 At the Alzheimer's Association®, we believe that diverse perspectives are critical to achieving health equity — meaning that all communities have a fair and just opportunity for early diagnosis and access to risk reduction and quality care. The Association is committed to engaging underrepresented and underserved communities and responding with resources and education to address the disproportionate impact of Alzheimer’s and dementia.
 The Alzheimer’s Association commitment remains steadfast in engaging all communities in our full mission. The Association provides equal employment opportunities to all employees and applicants for employment and prohibits discrimination and harassment to the fullest extent required by law, including, but not limited to, on the basis of race, color, religion, age, sex, national origin, gender identity, disability status, genetics, protected veteran status, sexual orientation, or any other legally protected characteristic.
 Employees working 24 hours/week or more are eligible for a comprehensive benefits package, including medical, dental, vision, flex accounts, short and long\-term disability, life insurance, long term care insurance, tuition reimbursement, generous Paid Time Off, 12 annual holidays and Paid Family Leave, as well as an annual Cultural \&amp; Heritage Day and Volunteer Day of their choosing. They are also eligible for our gold standard 401(k) retirement plan. Please click HERE for more information.
 Full time employees (37\.5 hours/week), will enjoy all of the above plus an annual School Visitation Day and an Elder Care Facility Day of their choosing.</t>
        </is>
      </c>
    </row>
    <row r="199">
      <c r="A199" t="inlineStr">
        <is>
          <t>li-4366035665</t>
        </is>
      </c>
      <c r="B199" t="inlineStr">
        <is>
          <t>Technical Program Manager, Data Center Network Infrastructure Construction</t>
        </is>
      </c>
      <c r="C199" t="inlineStr">
        <is>
          <t>Google</t>
        </is>
      </c>
      <c r="D199" t="inlineStr">
        <is>
          <t>linkedin</t>
        </is>
      </c>
      <c r="E199">
        <f>HYPERLINK("https://www.linkedin.com/jobs/view/4366035665", "https://www.linkedin.com/jobs/view/4366035665")</f>
        <v/>
      </c>
      <c r="F199" t="inlineStr"/>
      <c r="G199" t="inlineStr">
        <is>
          <t>Midlothian, TX</t>
        </is>
      </c>
      <c r="H199" t="inlineStr"/>
      <c r="I199" t="inlineStr">
        <is>
          <t>Note: By applying to this position you will have an opportunity to share your preferred working location from the following:
 **Council Bluffs, IA, USA; Atlanta, GA, USA; New Albany, OH, USA; Midlothian, TX, USA; Reston, VA, USA** 
 .
 **Minimum qualifications:**
* Bachelor’s degree in Telecommunications Engineering, Electrical Engineering, a related field, or equivalent practical experience.
* 5 years of experience in Technical Program Management in construction planning and execution.
* 5 years of experience with Structured Cabling systems and interpreting Design Documents.
* 5 years of experience in telecommunications, low\-voltage, fiber\-optics, or critical systems design and engineering.
* 5 years of experience working in data centers or similar environments.
**Preferred qualifications:**
* 5 years of experience managing cross\-functional or cross\-team projects.
* 5 years of experience managing vendor relationships and understanding standard practices in the design and construction industry.
* 5 years of experience interacting with industrial facility electrical and mechanical systems relative to network infrastructure.
* 5 years of experience navigating design\-build processes and conducting technical constructability reviews.
* 5 years of experience in project scheduling, budget management, and achieving key milestones within a construction environment.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leverage your technical expertise to lead Data Center Network Infrastructure Construction projects across global cross\-functional teams. You will plan requirements with internal customers and external partners to usher projects through the entire life\-cycle, from scope development to scheduling and risk management. In this role, you will manage projects of various sizes and scopes, identifying future opportunities, improving processes, and driving the technical direction of programs while navigating ambiguity in a changing industry.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full project life\-cycle for network infrastructure construction, including managing scope, schedules, and budgets, while identifying risks and communicating goals to stakeholders across different time zones and hemispheres.
* Support Design and Planning phases by assisting with land acquisition technical due diligence, master planning, and providing constructability and value engineering reviews of project documents.
* Provide Subject Matter Expert (SME) technical guidance to onsite construction management teams, resolving critical issues, managing post\-Issued For Construction (IFC) changes, and ensuring adherence to project timelines and quality standards.
* Develop and socialize processes to enable efficient operations, drive improvements in design documentation, and ensure accurate as\-built information is delivered to internal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2026-01-27T23:37:13Z</dcterms:created>
  <dcterms:modified xsi:type="dcterms:W3CDTF">2026-01-27T23:37:13Z</dcterms:modified>
</cp:coreProperties>
</file>