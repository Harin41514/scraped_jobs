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in-9ecea50201088d71</t>
        </is>
      </c>
      <c r="B2" t="inlineStr">
        <is>
          <t>Risk Data Scientist</t>
        </is>
      </c>
      <c r="C2" t="inlineStr">
        <is>
          <t>CashMax</t>
        </is>
      </c>
      <c r="D2" t="inlineStr">
        <is>
          <t>indeed</t>
        </is>
      </c>
      <c r="E2" t="inlineStr"/>
      <c r="F2" t="inlineStr"/>
      <c r="G2" t="inlineStr">
        <is>
          <t>Dallas, TX, US</t>
        </is>
      </c>
      <c r="H2" s="1" t="n">
        <v>46085</v>
      </c>
      <c r="I2" t="inlineStr">
        <is>
          <t>**About CashMax**
CashMax is a fast\-growing consumer finance company focused on delivering responsible credit solutions through data\-driven decision\-making. We leverage advanced analytics, technology, and risk modeling to improve underwriting, optimize portfolio performance, and enhance customer experience.
**Position Summary**
We are seeking a **Risk Data Scientist** with 2\+ years of experience to join our Dallas\-based team. This role will focus on building, validating, and deploying risk models that drive underwriting, fraud detection, and portfolio management strategies. The ideal candidate is highly analytical, hands\-on with data, and comfortable working cross\-functionally with Risk, Operations, and Engineering teams. Reporting directly to the Head of Risk, this is a high\-visibility position with a high impact potential.
**Key Responsibilities**
* Query and manipulate large datasets using SQL
* Perform statistical analysis to identify risk trends and profitability drivers
* Build and maintain dashboards and reporting solutions in Power BI
* Develop, validate, and monitor credit risk, fraud, and collection models using Python
* Conduct A/B testing and performance tracking for risk and marketing strategies
* Translate complex analytical findings into actionable business insights
* Partner with Engineering to deploy and monitor production models
* Support regulatory and compliance\-related analytics as needed
**Required Qualifications**
* 2\+ years of experience in data science, risk analytics, or related field
* Strong proficiency in **SQL** for data extraction and transformation
* Advanced **Python** skills (pandas, scikit\-learn, numpy, etc.)
* Experience with **Power BI** for reporting and dashboard development
* Strong foundation in **statistical analysis** and hypothesis testing
* Hands\-on experience with **machine learning** model development and evaluation
* Experience working with large, structured datasets
* Strong problem\-solving and communication skills
**Nice\-to\-Have Qualifications**
* Experience with **FastAPI** for model serving or API development
* Exposure to **DevOps practices** (CI/CD, model deployment pipelines)
* Familiarity with **cloud ecosystems** (AWS, Azure, or GCP)
* Experience in financial services or consumer lending
**Why Join CashMax?**
* Opportunity to directly influence credit, risk, and growth strategies
* High\-visibility role with business impact
* Collaborative and fast\-paced environment
* Career growth within a fast\-paced, data\-driven organization
**Work Location:** This is an on\-site position based in our Dallas headquarters.
If you’re passionate about leveraging data to manage risk, drive smarter financial decisions, and facilitate profitable growth, we’d love to hear from you.
Pay: $100,000\.00 \- $120,000\.00 per year
Benefits:
* 401(k)
* 401(k) matching
* Dental insurance
* Employee assistance program
* Health insurance
* Health savings account
* Life insurance
* Paid time off
* Referral program
* Tuition reimbursement
* Vision insurance
Work Location: In person</t>
        </is>
      </c>
    </row>
    <row r="3">
      <c r="A3" t="inlineStr">
        <is>
          <t>in-02e7172812922d6e</t>
        </is>
      </c>
      <c r="B3" t="inlineStr">
        <is>
          <t>Data Scientist I</t>
        </is>
      </c>
      <c r="C3" t="inlineStr">
        <is>
          <t>University of Rochester</t>
        </is>
      </c>
      <c r="D3" t="inlineStr">
        <is>
          <t>indeed</t>
        </is>
      </c>
      <c r="E3" t="inlineStr"/>
      <c r="F3" t="inlineStr"/>
      <c r="G3" t="inlineStr">
        <is>
          <t>Rochester, NY, US</t>
        </is>
      </c>
      <c r="H3" s="1" t="n">
        <v>46084</v>
      </c>
      <c r="I3" t="inlineStr">
        <is>
          <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**Job Location (Full Address):**
601 Elmwood Ave, Rochester, New York, United States of America, 14642
**Opening:**
Worker Subtype:
Regular
Time Type:
Full time
Scheduled Weekly Hours:
40
Department:
400073 Pediatric Critical Care
Work Shift:
UR \- Day (United States of America)
Range:
UR URG 110
Compensation Range:
$60,431\.00 \- $84,603\.00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**Responsibilities:**
Participates in the design, implementation and dissemination of advanced analytics and data science projects. Works with and advises key stakeholders to provide analysis and insights to enable data\-driven decision\-making. Supports the development and evolution of advanced statistical and mathematical methods, including machine learning capabilities. Works in partnership with team members to solve complex problems, ensure robust, scalable analytics solutions and implement them efficiently and effectively across the enterprise.
**ESSENTIAL FUNCTIONS**
* Works with senior team members to translate complex data into insights and compelling stories. Presents data models, analyses and visuals, including dynamic visuals such as dashboards, to internal and external stakeholders. Iterates and refines based on feedback.
* Works with project leaders and end\-users to understand project requirements. Understands underlying clinical and research requirements and formulates, designs and executes analytical solutions to support them.
* Provides scalable solutions and collaborates on dissemination efforts. Creates and implements data science solutions to support analytical efforts and expand dashboard capabilities. Works with senior team members to develop and manage project plans. Executes and evolves project plans.
* Develops preliminary analyses and prototypes. In collaboration with senior team members, analyzes and models structured data and implements algorithms to support analysis using advanced statistical and mathematical methods. Develops and implements robust, reproducible processes to prepare, extract and enrich a variety of structured and unstructured data sources.
* Writes, tests and deploys queries and/or API connections to internal and external databases. Cleans and manipulates data so that it is in a usable format for others. Designs and builds data marts and data warehouses to support advanced reporting scenarios. Links data from multiple sources and stores it in a format that is easy to query.
* Maintains current knowledge base and expertise relative to the technology and software used by related to the functional areas being supported.
* Designs and develops prototypes of data models, ML pipelines, dashboards and reporting. Cultivates new data sources to offer insights and analyses needed for research and decision\-making.
Other duties as assigned.  
* 
**MINIMUM EDUCATION \&amp; EXPERIENCE**
* Bachelor's degree in Data Science, Math, Information Science or related field and 1 year of relevant experience required
* Master's degree preferred
* Or equivalent combination of education and experience
Considerable experience with relational databases preferred  
* 
**KNOWLEDGE, SKILLS AND ABILITIES**
* Strong attention to detail, ability to develop creative solutions to complex problems and strong critical thinking skills required
* Strong analytic, qualitative and quantitative data analysis skills, with demonstrated ability to break down complex problems into phased deliverables required
* Ability to work independently and successfully complete assigned tasks on time with limited oversight required
* Excellent verbal and written communication and presentation skills, including the ability to describe data science concepts to lay/nonexpert audiences required
* Proficiency with Python (or R), including common machine/deep learning libraries and their implementation required
* Fluency with data visualization tools, such as Tableau, Spotfire or PowerBI preferred
The University of Rochester is committed to fostering, cultivating, and preserving an inclusive and welcoming culture to advance the University’s Mission to Learn, Discover, Heal, Create –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t>
        </is>
      </c>
    </row>
    <row r="4">
      <c r="A4" t="inlineStr">
        <is>
          <t>in-157429fe83f3a130</t>
        </is>
      </c>
      <c r="B4" t="inlineStr">
        <is>
          <t>Senior Data Scientist - Remote</t>
        </is>
      </c>
      <c r="C4" t="inlineStr">
        <is>
          <t>Optum</t>
        </is>
      </c>
      <c r="D4" t="inlineStr">
        <is>
          <t>indeed</t>
        </is>
      </c>
      <c r="E4" t="inlineStr"/>
      <c r="F4" t="inlineStr"/>
      <c r="G4" t="inlineStr">
        <is>
          <t>Eden Prairie, MN, US</t>
        </is>
      </c>
      <c r="H4" s="1" t="n">
        <v>46084</v>
      </c>
      <c r="I4"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Positions in this function produce innovative solutions driven by exploratory data analysis from unstructured, diverse datasets typically measured in gigabytes or larger. Applies knowledge of statistics, machine learning, programming, data modeling, simulation, and advanced mathematics to recognize patterns, identify opportunities, pose business questions, and make valuable discoveries leading to prototype development and product improvement. Uses a flexible, analytical approach to design, develop, and evaluate predictive and prescriptive models and advanced algorithms that lead to optimal value extraction from the data. Works with analytics and statistical software such as SQL, R, Python, Hadoop and others to perform analysis and interpret data. This function is not intended for employees performing the following work: less complex analysis on small data sets; rules\-based algorithmic or descriptive analytics; development of big data infrastructure.
Positions in this function produce innovative solutions driven by exploratory data analysis from unstructured, diverse datasets typically measured in gigabytes or larger. Applies knowledge of statistics, machine learning, programming, data modeling, simulation, and advanced mathematics to recognize patterns, identify opportunities, pose business questions, and make valuable discoveries leading to prototype development and product improvement. Uses a flexible, analytical approach to design, develop, and evaluate predictive and prescriptive models and advanced algorithms that lead to optimal value extraction from the data. Works with analytics and statistical software such as SQL, R, Python, Hadoop and others to perform analysis and interpret data. This function is not intended for employees performing the following work: less complex analysis on small data sets; rules\-based algorithmic or descriptive analytics; development of big data infrastructure.
You'll enjoy the flexibility to work remotely \* from anywhere within the U.S. as you take on some tough challenges. For all hires in the Minneapolis or Washington, D.C. area, you will be required to work in the office a minimum of four days per week.
 **Primary Responsibilities:**
* Clearly communicate with diverse teams including legal, compliance, and AI development over a wide variety of AI methods including Generative AI and traditional ML
* Document findings, create reports, and present results to stakeholders
* Design, and develop job aids and guidance documentation for best practices of responsible AI
* Develop Python scripts to automate testing processes and analyze results
* Help identify vulnerabilities related to PII/PHI exposure in AI interactions
* Maintain test data sets and contribute to improving testing methodologies
* Stay abreast of the latest developments in AI/ML research and incorporate relevant findings into work
* Provide mentorship and guidance to colleagues, fostering a culture of continuous learning and improvement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with the full ML system development, deployment, and maintenance lifecycle
* 3\+ years of experience working with advanced NLP models and methodologies
* 3\+ years of experience with python and ML frameworks (e.g., scikit\-learn, Pandas, Numpy)
 **Preferred Qualifications:**
* Deep understanding of ethical considerations and fairness in AI model development
* Proven solid analytical thinking and problem\-solving abilities
* Proven excellent written and verbal communication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5">
      <c r="A5" t="inlineStr">
        <is>
          <t>in-e946c61bd328da1e</t>
        </is>
      </c>
      <c r="B5" t="inlineStr">
        <is>
          <t>Data Scientist III - Acute Care Surgery</t>
        </is>
      </c>
      <c r="C5" t="inlineStr">
        <is>
          <t>University of Florida</t>
        </is>
      </c>
      <c r="D5" t="inlineStr">
        <is>
          <t>indeed</t>
        </is>
      </c>
      <c r="E5" t="inlineStr"/>
      <c r="F5" t="inlineStr"/>
      <c r="G5" t="inlineStr">
        <is>
          <t>Gainesville, FL, US</t>
        </is>
      </c>
      <c r="H5" s="1" t="n">
        <v>46084</v>
      </c>
      <c r="I5" t="inlineStr">
        <is>
          <t>**JOB NO:**
539006  
**WORK TYPE:**
Staff Full\-Time  
**LOCATION:**
Main Campus (Gainesville, FL)  
**CATEGORIES:**
Grant or Research Administration  
**DEPARTMENT:**
29141003 \- MD\-SURGERY\-TRAUMA  
**CLASSIFICATION TITLE:**
Data Scientist III \- Acute Care Surgery
**JOB DESCRIPTION:**
The Department of Surgery, division of Acute Care Surgery is seeking qualified applicants for an open Data Scientist III position. This position will develop and implement machine and deep learning models as part of a multidisciplinary team performing research to augment patient centered decision making in surgery. Python and SQL experience is required.
Duties include but are not limited to:
* Developing and validating supervised machine and deep learning models, including Transformers, for predicting patient outcomes from multimodal data inputs
* Implementing unsupervised machine and deep learning techniques for exploratory analysis, clustering, and phenotyping
* Developing self\-supervised machine and deep learning techniques from patient data
* Developing and maintaining federated learning platforms
* Evaluating models and optimizing hyperparameters
* Integrating, filtering, and extracting multivariate and multimodal clinical datasets for patient cohorts of interest from local databases and data warehouses, in collaboration with a Data Management Analyst
* Ensuring quality, consistency, and validity of large multimodal datasets
* Summarizing and visualizing results for inclusion in scientific publications
* Communicating findings to project leaders and team
* Maintaining records of research methods and results and assisting in preparation of presentations and/or writing manuscripts
**EXPECTED SALARY:**
$92,000\-$100,000/annually \- Commensurate with education \&amp; experience
**MINIMUM REQUIREMENTS:**
A doctorate in a related field with one year of relevant experience in data science, statistics, bioinformatics, analytics, or similar field. A Master's degree with three years of relevant experience; or a bachelor's degree and five years of relevant experience.
**PREFERRED QUALIFICATIONS:**
* A degree in computer science, statistics, biomedical engineering, or related field and minimum years of relevant experience required to meet minimum qualifications
* Expertise in Python and SQL
* Willing and able to learn to develop Transformer models under the guidance of senior data scientists
* Scientific communication skills
* Ability to work both independently and in a team
* Desire to make meaningful contributions to academic and scientific communities
* Proficiency in PyTorch or TensorFlow
* Experience with electronic health record datasets and harmonizing multimodal data
* Experience with natural language processing
* Experience with computer vision
* Experience with federated learning
* Desire to improve surgical care by augmenting patient centered decision making
**SPECIAL INSTRUCTIONS TO APPLICANTS:**
In order to be considered, you must upload your cover letter, resume, and a list of at least 3 professional references with contact information.
This is a time limited position.
Application must be submitted by 11:55 p.m. (ET) of the posting end date.
**HEALTH ASSESSMENT REQUIRED:** No  
**ADVERTISED:**
04 Mar 2026 Eastern Standard Time  
**APPLICATIONS CLOSE:**
15 Mar 2026
Eastern Daylight Time</t>
        </is>
      </c>
    </row>
    <row r="6">
      <c r="A6" t="inlineStr">
        <is>
          <t>in-7658bff5bfb1c481</t>
        </is>
      </c>
      <c r="B6" t="inlineStr">
        <is>
          <t>senior data scientist - Pricing (Seattle, WA)</t>
        </is>
      </c>
      <c r="C6" t="inlineStr">
        <is>
          <t>Starbucks</t>
        </is>
      </c>
      <c r="D6" t="inlineStr">
        <is>
          <t>indeed</t>
        </is>
      </c>
      <c r="E6" t="inlineStr"/>
      <c r="F6" t="inlineStr"/>
      <c r="G6" t="inlineStr">
        <is>
          <t>Seattle, WA, US</t>
        </is>
      </c>
      <c r="H6" s="1" t="n">
        <v>46084</v>
      </c>
      <c r="I6" t="inlineStr">
        <is>
          <t>**Now Brewing – Senior Data Scientist, Data \&amp; Analytics!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Are you driven to uncover meaningful insights and build data\-powered solutions that shape the future of the world’s leading coffeehouse brand?
As a **Senior** **Data Scientist** on the Pricing Data Science team, you will be responsible for developing, enhancing, and maintaining analytical models and optimization algorithms. Your work will translate complex analyses into actionable business insights, empowering leaders to make data\-driven decisions. You will collaborate closely with cross\-functional teams—including Finance, Store Development, Retail Testing, Supply Chain, Marketing, Product, and Customer teams—to support strategic initiatives and influence key business decisions.
 ***As a senior data scientist, you will…***
* **Lead the design and development** of scalable data science solutions from the start to the finish by utilizing machine learning, and statistical analysis. Build scalable processes for cleaning, aggregating, and loading data.
* **Understanding business initiatives**, challenges, questions, concerns, or ideas, transforming them into successful data science solutions, and monitor data science metrics and KPIs
* **Mentor** data analysts \&amp; data scientists on best practices, processes, frameworks, and KPIs
* Contribute to project planning, and assist the team with estimations, timelines, and prioritization. Assists in developing the analytical roadmap, data, and technology strategy.
* **Strategic Analytics \&amp; Cross‑Functional Engagement**: Support for Pricing Strategy, Finance insights, pricing reviews, and stakeholder alignment.
* **Pricing Codebase \&amp; System Maintenance**: Ownership of pricing pipelines, audits, error‑handling, and alerting.
* **Elasticity Modeling**: Model ownership, documentation, automated runs, monitoring, and issue resolution.
* **Store Zoning Models**: Maintenance of both full rezone (k‑means) and targeted zoning prediction workflows.
* **Onboarding \&amp; Pricing Methodology Stewardship**: Lead onboarding, maintain Pricing 101, and curate methodology documentation.
 ***We’d love to hear from people with:***
* Education: Bachelor’s with a concentration in a quantitative discipline \- Stats, Math, Comp Sci, Engineering, Econ, Quantitative Social Science or similar discipline. Masters preferred
* Minimum of 5\+ years of industry experience in data and analytics work
* Strong problem\-solving skills with the ability to influence leadership teams at different levels
* Significant experience working with predictive and statistical modeling, machine learning, and strong expertise in all phases of the modeling pipeline
* Strong SQL, databases, and ETL / ELT skills required including cleaning and managing data.
* Advanced competency and expertise in Python, R, or some combination
* Experience working with distributed data processing frameworks such as Spark and Databricks, and languages such as Java, PySpark, or Scala
* Strong collaboration instincts – desire \&amp; ability to work with partners to achieve the best outcome for the business.
* Excellent communication, presentation, and storytelling skills. The role requires effective communication with colleagues, stakeholders, and leaders from diverse backgrounds.
* Proven ability to manage multiple, time\-sensitive projects and competing priorities simultaneously to drive projects to completion with minimal guidance and high attention to details.
 ***Preferred Skills:***
* Expertise in **building Bayesian elasticity models and causal inference**
* Experience in **optimization techniques** such as linear programming, mixed\-integer programming, or heuristic algorithms for decision support
* Background with **PySpark and Databricks** for distributed data processing and scalable analytics in cloud environments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t>
        </is>
      </c>
    </row>
    <row r="7">
      <c r="A7" t="inlineStr">
        <is>
          <t>in-25e10c783746c9c7</t>
        </is>
      </c>
      <c r="B7" t="inlineStr">
        <is>
          <t>lead data scientist - Pricing (Seattle, WA)</t>
        </is>
      </c>
      <c r="C7" t="inlineStr">
        <is>
          <t>Starbucks</t>
        </is>
      </c>
      <c r="D7" t="inlineStr">
        <is>
          <t>indeed</t>
        </is>
      </c>
      <c r="E7" t="inlineStr"/>
      <c r="F7" t="inlineStr"/>
      <c r="G7" t="inlineStr">
        <is>
          <t>Seattle, WA, US</t>
        </is>
      </c>
      <c r="H7" s="1" t="n">
        <v>46084</v>
      </c>
      <c r="I7" t="inlineStr">
        <is>
          <t>**Now Brewing – Lead Data Scientist!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As a **Lead Data Scientist** on the Pricing Data Science team, you will lead the development of advanced pricing models and optimization algorithms that shape pricing decisions across US and Canada company\-owned stores. You will drive the evolution of the pricing system by applying rigorous analytics, partnering with cross\-functional teams, and influencing strategic workforce planning. Your work will directly impact pricing, and customer experience at scale.
 *As a* *lead data scientist**, you will…*
**Design and Architect the Future Pricing Ecosystem**
* Build a scalable, data\-driven pricing framework that optimizes revenue.
* Incorporate predictive modeling, and ad hoc analyses into pricing framework.
**Drive Pricing and Revenue management data science**
* Identify pricing and promotion potential through advanced analytics.
* Implement optimization strategies leveraging machine learning, simulation, and scenario planning.
* Partner with strategy and finance to align pricing tools with business goals.
**Mentor and Develop Talent**
* Guide data scientists and senior data scientists in advanced analytics, optimization techniques, and business impact storytelling.
Foster a culture of innovation and continuous improvement within the analytics team.
 *We’d love to hear from people with:*
* **Education: Bachelor’s degree with a concentration in a quantitative discipline** \- Stats, Math, Comp Sci, Engineering, Econ, Quantitative Social Science or similar discipline. Masters preferred
* **5\+ years of progressive experience in data science**, with a proven track record of end\-to\-end data product and model deployment that delivers measurable business impact.
* **Strong foundation in machine learning and statistical techniques,** including regression, classification, clustering, and causal inference.
* **Advanced proficiency in Python, SQL, and cloud\-based analytics platforms** (e.g., Databricks, Azure), with experience developing production\-grade data pipelines and model outputs.
* **Excellent communication and data storytelling skills,** with the ability to translate complex methodologies into clear, actionable insights through compelling visualizations and dashboards using tools like Tableau.
* **Experience building in\-house** **production systems** in complex and data\-rich domains.
* **Mentoring experience**
 ***Preferred Skills:***
* Expertise in **building Bayesian elasticity models and causal inference**
* Experience in **optimization techniques** such as linear programming, mixed\-integer programming, or heuristic algorithms for decision support
* Background with **PySpark and Databricks** for distributed data processing and scalable analytics in cloud environments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*applicantaccommodation@starbucks.com* *or 1(888\) 611\-2258*</t>
        </is>
      </c>
    </row>
    <row r="8">
      <c r="A8" t="inlineStr">
        <is>
          <t>in-fcaeabb40cc4141c</t>
        </is>
      </c>
      <c r="B8" t="inlineStr">
        <is>
          <t>Data Scientist- AI Engineer</t>
        </is>
      </c>
      <c r="C8" t="inlineStr">
        <is>
          <t>Redwood Software Inc.</t>
        </is>
      </c>
      <c r="D8" t="inlineStr">
        <is>
          <t>indeed</t>
        </is>
      </c>
      <c r="E8" t="inlineStr"/>
      <c r="F8" t="inlineStr"/>
      <c r="G8" t="inlineStr">
        <is>
          <t>Remote, US</t>
        </is>
      </c>
      <c r="H8" s="1" t="n">
        <v>46084</v>
      </c>
      <c r="I8" t="inlineStr">
        <is>
          <t>***OUR MISSION***
**At Redwood, we empower our customers with lights\-out automation for their mission\-critical business processes.**
***ABOUT US***
Redwood Software is the leader in full stack automation fabric solutions for mission\-critical business processes. With the first SaaS\-based composable automation platform specifically built for ERP, we believe in the transformative power of automation. Our unparalleled solutions empower you to orchestrate, manage and monitor your workflows across any application, service or server — in the cloud or on premises — with confidence and control.
Redwood’s global team of automation experts and customer success engineers provide solutions and world\-class support designed to give you the freedom and time to imagine and define your future. Get out of the weeds and see the forest, with Redwood Software.
***CORE VALUES***
One Team. One Redwood
Make Your Own Weather
Obsess over Customer Success
Work the Problem
Be Curious
Own the Outcome
Respect Each Other
 ***YOUR IMPACT***
As the Data Scientist – AI Engineer, you will transform revenue data into AI\-powered intelligence that drives smarter, faster, and more predictive decision\-making across the business. You will lead the application of advanced analytics, machine learning, and generative AI to uncover patterns in sales performance, customer behavior, and revenue dynamics—turning complex data into clear strategic direction. By building scalable predictive models and embedding AI into revenue workflows, you will help forecast growth, reduce churn, optimize sales strategies, and identify high\-value opportunities. Your work will directly influence executive decision\-making, accelerate insight generation, and position AI as a core driver of measurable business impact across the revenue organization.
**Data Analysis, AI\-Driven Insights \&amp; Reporting:**
* Conduct in\-depth analysis of sales cycles, conversion rates, customer churn, and other revenue\-driving activities using advanced AI\-powered analytics tools and large\-scale data processing techniques to identify trends, opportunities, and areas for improvement.
* Leverage generative AI, machine learning platforms, and automated analytics solutions to accelerate insight generation and improve analytical depth and speed.
* Translate complex, AI\-derived data findings into clear, concise, and compelling narratives for various stakeholders, including executive leadership.
* Perform ad\-hoc, AI\-assisted data analysis to support strategic initiatives and answer critical business questions, utilizing automation to increase responsiveness and analytical scalability.
**Data Science \&amp; Predictive Modeling:**
* Apply advanced statistical methods, machine learning, and AI techniques (including supervised, unsupervised, and deep learning approaches where appropriate) to forecast revenue, predict customer behavior (e.g., churn risk, upsell potential), and optimize sales strategies.
* Design, develop, and deploy AI\-driven predictive models to segment customers, identify ideal customer profiles (ICPs), enhance lead scoring, and automate decision\-making processes.
* Utilize AI development frameworks and MLOps best practices to build scalable, production\-ready models and continuously improve model performance.
* Collaborate with stakeholders to define business problems and translate them into AI\-powered data science solutions, proactively identifying opportunities where AI can create measurable business impact.
* Continuously evaluate, monitor, and refine models for accuracy, fairness, and impact, leveraging automated retraining, experimentation platforms, and model performance tracking.
* Champion the responsible and effective use of AI across revenue analytics, ensuring transparency, governance, and alignment with business objectives.
 ***YOUR EXPERIENCE***
* Bachelor's degree in Business Analytics, Data Science, Statistics, Computer Science, Economics, or a related quantitative field. Master's degree preferred.
* 3\+ years of experience in a data science role, preferably within a Revenue Operations or Sales Operations function at a B2B software company.
* Proven experience with CRM systems (e.g., Salesforce) and marketing automation platforms.
* Strong experience with SQL for data extraction, manipulation, and analysis.
* Experience with statistical analysis and predictive modeling using Python (pandas, numpy, scikit\-learn)
* Experience using AI\-assisted analytics tools (LLM copilots, automated feature engineering, AutoML, etc.)
* Ability to design AI workflows that accelerate decision\-making with tools like Claude Code, ChatGPT and Gemini
**Additional Skills:**
* Exceptional analytical and problem\-solving skills with a keen eye for detail.
* Ability to work independently and collaboratively in a fast\-paced environment.
* Strong communication and presentation skills, with the ability to explain complex data concepts to non\-technical audiences.
* Proactive, self\-starter with a strong sense of ownership and accountability.
* Understanding of sales processes, SaaS business models, and key revenue metrics.
* Comfort integrating generative AI (LLMs) into workflows for insight generation, summarization, or automation
*If you like growth and working with happy, enthusiastic over\-achievers, you'll enjoy your career with us!*
**THE LEGAL BIT**  
Redwood is an equal opportunity employer. Redwood prohibits unlawful discrimination based on race, colour, religion, sex, gender identity, marital or veteran status, age, national origin, ancestry, citizenship, physical or mental disability, medical condition, genetic information or characteristics (or those of a family member), sexual orientation, pregnancy or any other consideration made unlawful by regional or local laws. We also prohibit discrimination based on a perception that anyone has any of those characteristics or is associated with a person who has or is perceived as having any of those characteristics. All such discrimination is unlawful and will have a zero tolerance policy applied to it.
Redwood will comply with all local data protection laws, including GDPR when it comes to the handling and processing of personal data. Should you wish for us to remove your personal data from our recruitment database, please email us directly at Recruitment@Redwood.com</t>
        </is>
      </c>
    </row>
    <row r="9">
      <c r="A9" t="inlineStr">
        <is>
          <t>in-82687f620e02f743</t>
        </is>
      </c>
      <c r="B9" t="inlineStr">
        <is>
          <t>Senior Staff Research Data Scientist, Workspace GenAI</t>
        </is>
      </c>
      <c r="C9" t="inlineStr">
        <is>
          <t>Google</t>
        </is>
      </c>
      <c r="D9" t="inlineStr">
        <is>
          <t>indeed</t>
        </is>
      </c>
      <c r="E9" t="inlineStr"/>
      <c r="F9" t="inlineStr"/>
      <c r="G9" t="inlineStr">
        <is>
          <t>Sunnyvale, CA, US</t>
        </is>
      </c>
      <c r="H9" s="1" t="n">
        <v>46084</v>
      </c>
      <c r="I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**Minimum qualifications:**
* Master's degree in Statistics, Data Science, Mathematics, Physics, Economics, Operations Research, Engineering, or a related quantitative field.
* 10 years of work experience using analytics to solve product or business problems, coding (e.g., Python, R, SQL), querying databases or statistical analysis, or 8 years of work experience with a PhD degree.
### **Preferred qualifications:**
* 12 years of work experience using analytics to solve product or business problems, coding (e.g., Python, R, SQL), querying databases or statistical analysis, or 10 years of work experience with a PhD degree.
**About the job**
-----------------
Empower the Google Workspace ecosystem with intelligent capabilities including Gmail, Docs, and Meet by delivering actionable insights and defining the critical metrics that drive quality and high\-impact organizational opportunities.
The US base salary range for this full\-time position is $262,000\-$369,000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high\-level technical direction for the Workspace Data Science (WDS) GenAI Foundations team, fostering a culture of rapid experimentation and leading the organization through complex technical transitions.
* Utilize AI models and tools as integral components for evaluating, synthesizing, and understanding complex datasets.
* Develop new methodologies to improve the performance of Google's models through better training data, including data acquisition, and insights.
* Drive Data Science\-led horizontal experimentation and evaluation across key components of the Workspace GenAI Platform.
* Act as a technical partner, collaborating closely with Research, Engineering, and Product teams (Workspace and Google DeepMind).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
      <c r="A10" t="inlineStr">
        <is>
          <t>in-ca1d3bb9e9165c8a</t>
        </is>
      </c>
      <c r="B10" t="inlineStr">
        <is>
          <t>Senior Staff Research Data Scientist, Workspace GenAI</t>
        </is>
      </c>
      <c r="C10" t="inlineStr">
        <is>
          <t>Google</t>
        </is>
      </c>
      <c r="D10" t="inlineStr">
        <is>
          <t>indeed</t>
        </is>
      </c>
      <c r="E10" t="inlineStr"/>
      <c r="F10" t="inlineStr"/>
      <c r="G10" t="inlineStr">
        <is>
          <t>New York, NY, US</t>
        </is>
      </c>
      <c r="H10" s="1" t="n">
        <v>46084</v>
      </c>
      <c r="I1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**Minimum qualifications:**
* Master's degree in Statistics, Data Science, Mathematics, Physics, Economics, Operations Research, Engineering, or a related quantitative field.
* 10 years of work experience using analytics to solve product or business problems, coding (e.g., Python, R, SQL), querying databases or statistical analysis, or 8 years of work experience with a PhD degree.
### **Preferred qualifications:**
* 12 years of work experience using analytics to solve product or business problems, coding (e.g., Python, R, SQL), querying databases or statistical analysis, or 10 years of work experience with a PhD degree.
**About the job**
-----------------
Empower the Google Workspace ecosystem with intelligent capabilities including Gmail, Docs, and Meet by delivering actionable insights and defining the critical metrics that drive quality and high\-impact organizational opportunities.
The US base salary range for this full\-time position is $262,000\-$369,000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high\-level technical direction for the Workspace Data Science (WDS) GenAI Foundations team, fostering a culture of rapid experimentation and leading the organization through complex technical transitions.
* Utilize AI models and tools as integral components for evaluating, synthesizing, and understanding complex datasets.
* Develop new methodologies to improve the performance of Google's models through better training data, including data acquisition, and insights.
* Drive Data Science\-led horizontal experimentation and evaluation across key components of the Workspace GenAI Platform.
* Act as a technical partner, collaborating closely with Research, Engineering, and Product teams (Workspace and Google DeepMind).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in-3ce7cf9f34b84281</t>
        </is>
      </c>
      <c r="B11" t="inlineStr">
        <is>
          <t>Senior Staff Research Data Scientist, Workspace GenAI</t>
        </is>
      </c>
      <c r="C11" t="inlineStr">
        <is>
          <t>Google</t>
        </is>
      </c>
      <c r="D11" t="inlineStr">
        <is>
          <t>indeed</t>
        </is>
      </c>
      <c r="E11" t="inlineStr"/>
      <c r="F11" t="inlineStr"/>
      <c r="G11" t="inlineStr">
        <is>
          <t>Seattle, WA, US</t>
        </is>
      </c>
      <c r="H11" s="1" t="n">
        <v>46084</v>
      </c>
      <c r="I1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**Minimum qualifications:**
* Master's degree in Statistics, Data Science, Mathematics, Physics, Economics, Operations Research, Engineering, or a related quantitative field.
* 10 years of work experience using analytics to solve product or business problems, coding (e.g., Python, R, SQL), querying databases or statistical analysis, or 8 years of work experience with a PhD degree.
### **Preferred qualifications:**
* 12 years of work experience using analytics to solve product or business problems, coding (e.g., Python, R, SQL), querying databases or statistical analysis, or 10 years of work experience with a PhD degree.
**About the job**
-----------------
Empower the Google Workspace ecosystem with intelligent capabilities including Gmail, Docs, and Meet by delivering actionable insights and defining the critical metrics that drive quality and high\-impact organizational opportunities.
The US base salary range for this full\-time position is $262,000\-$369,000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high\-level technical direction for the Workspace Data Science (WDS) GenAI Foundations team, fostering a culture of rapid experimentation and leading the organization through complex technical transitions.
* Utilize AI models and tools as integral components for evaluating, synthesizing, and understanding complex datasets.
* Develop new methodologies to improve the performance of Google's models through better training data, including data acquisition, and insights.
* Drive Data Science\-led horizontal experimentation and evaluation across key components of the Workspace GenAI Platform.
* Act as a technical partner, collaborating closely with Research, Engineering, and Product teams (Workspace and Google DeepMind).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in-f77eb2929302c2f8</t>
        </is>
      </c>
      <c r="B12" t="inlineStr">
        <is>
          <t>Data Scientist (Dallas)</t>
        </is>
      </c>
      <c r="C12" t="inlineStr">
        <is>
          <t>Codvo.ai</t>
        </is>
      </c>
      <c r="D12" t="inlineStr">
        <is>
          <t>indeed</t>
        </is>
      </c>
      <c r="E12" t="inlineStr"/>
      <c r="F12" t="inlineStr"/>
      <c r="G12" t="inlineStr">
        <is>
          <t>Dallas, TX, US</t>
        </is>
      </c>
      <c r="H12" s="1" t="n">
        <v>46084</v>
      </c>
      <c r="I12" t="inlineStr">
        <is>
          <t>**Data Scientist**
 **About Us:**
At Codvo, we are committed to building scalable, future\-ready data platforms that power business impact. We believe in a culture of innovation, collaboration, and growth, where engineers can experiment, learn, and thrive. Join us to be part of a team that solves complex data challenges with creativity and cutting\-edge technology.
 **Role Summary**
The on\-site technical presence during the pilot and Wave 1\. Works directly with the customer's
maintenance team to validate alerts, tune models, and build trust in the platform's outputs.
This role requires someone who can explain machine learning predictions in maintenance
engineering language, not data science jargon.
 **Responsibilities**
**Discovery \&amp; Baseline (Weeks 1–2\)**
* Conduct the BMS protocol audit alongside the customer's controls engineer — identify available tags, data quality, polling rates, historian configuration
* Extract and analyze the 30\-day historian pull — identify operating modes, load patterns, seasonal variations, and data gaps
* Build the baseline operating profile for each monitored equipment unit
* Review the customer's maintenance logs — identify the 3–5 known fault events that will serve as ground truth validation
* Map the customer's equipment taxonomy to NEIO's equipment family catalog — confirm coverage, flag gaps
**Model Tuning \&amp; Validation (Weeks 3–5\)**
* Monitor live anomaly scores and triage the first alerts — determine true positive vs. false positive vs. ambiguous
* Facilitate the alert review sessions with the site maintenance lead — present alerts in context, gather feedback, document site\-specific operating knowledge that affects interpretation
* Tune the physics constraint gate to the site's operating ranges — adjust thermodynamic bounds, load\-dependent thresholds, equipment\-specific parameters
* Calibrate fault classification confidence thresholds — Platt scaling, ECE measurement, reliability diagram review
* Validate time\-to\-failure estimates against known maintenance history
* Document all tuning decisions and rationale — this becomes the playbook for fleet rollout
**Phase 2 (Wave 1 Sites)**
* Travel to Wave 1 sites for the 1\-week discovery phase at each site
* Conduct on\-site tag mapping review with each site's controls engineer
* Facilitate the alert review session at each Wave 1 site
* Train the offshore Data Scientist on site\-specific tuning decisions so they can handle
* Wave 2 remotely
 **Expected Background**
* 5\+ years in applied data science or machine learning — predictive maintenance, anomaly detection, or industrial process optimization
* Strong understanding of time\-series analysis, classification models (XGBoost, LightGBM), and calibration techniques
* Ability to explain model behavior to non\-technical maintenance engineers — "the model flagged this because superheat is trending 3 degrees above normal for this load condition" not "the feature importance vector shows..."
* Comfortable working on\-site at a data center or industrial facility
* Experience with HVAC, mechanical, or electrical systems is a strong advantage — someone who knows what a chiller does, what COP means, why approach temperature matters</t>
        </is>
      </c>
    </row>
    <row r="13">
      <c r="A13" t="inlineStr">
        <is>
          <t>in-f0517887d40cc6f0</t>
        </is>
      </c>
      <c r="B13" t="inlineStr">
        <is>
          <t>Satff Data Scientist - QBO Shared Experiences</t>
        </is>
      </c>
      <c r="C13" t="inlineStr">
        <is>
          <t>Intuit</t>
        </is>
      </c>
      <c r="D13" t="inlineStr">
        <is>
          <t>indeed</t>
        </is>
      </c>
      <c r="E13" t="inlineStr"/>
      <c r="F13" t="inlineStr"/>
      <c r="G13" t="inlineStr">
        <is>
          <t>Mountain View, CA, US</t>
        </is>
      </c>
      <c r="H13" s="1" t="n">
        <v>46084</v>
      </c>
      <c r="I13" t="inlineStr">
        <is>
          <t>**Overview**
------------
Come join the Global Business Solutions Group (GBSG) Product Data Science team as a Staff Data Scientist. Our mission is to deliver delightful “Done for you” (DFY) customer experiences and accelerate GBSG user growth and retention through a data\-driven, platform\-led approach to growth. This is a high\-impact role where your work will directly influence product, marketing, and business model strategies. As a Staff Data Scientist, you will operate as a senior individual contributor, partnering closely with peers and leaders to identify, validate, and refine innovative growth strategies. Your expertise—especially in causal inference and advanced analytics—will be instrumental in surfacing critical insights and translating them into actionable hypotheses that fuel sustained customer and revenue growth.
 **Responsibilities**
* Drive Business Strategy through Data \- Translate business problems into analytical frameworks. Connect data across multiple functions to drive actionable recommendations and strategic growth opportunities for the DFY platform offerings
* Build \&amp; Operationalize Advanced Models \- Develop and deploy machine learning models and statistical frameworks to forecast growth, uncover patterns, and optimize decision\-making across the GBSG Platform team
* Experimentation \&amp; Causal Inference \- Design, run, and analyze A/B tests and quasi\-experiments using methodologies such as synthetic control, regression discontinuity, or propensity score matching to establish causal relationships and measure impact.
* Cross\-Functional Influence \- Serve as the strategic data science partner to leaders across Marketing, Product, and Finance. Communicate complex findings clearly and concisely to drive alignment and action
* Data Infrastructure \&amp; Governance \- Partner with data engineering and platform teams to ensure reliable, scalable data pipelines and tracking instrumentation are in place. Champion data hygiene and integrity.
* Insights at Scale \- Create dashboards, visualizations, and self\-serve tools to democratize access to insights across cross\-functional teams and leadership.
 **Qualifications**
* 7\+ years of experience in data science, with a proven record of applying advanced analytical methods to drive product and business growth ideally in Saas or financial technology companies serving consumer or SMBs
* Demonstrated proficiency in causal inference techniques, statistical modeling, machine learning, and experimental design
* Strong business acumen, excellent communication and storytelling skills with a track record of effectively simplifying the complex and delivering compelling narratives to stakeholders at all levels through data\-driven insights
* Advanced skills in SQL, Python, and other analytical tools, with practical experience using data visualization platforms (e.g., Tableau, Qlikview) to communicate insights; Experience with data integration and pipeline development is a plus
* Experience using statistics and machine learning techniques to solve complex business problems within product marketing, e.g., product funnel optimization, propensity for feature adoption, next best action models etc.
* M.S. or Ph.D. in a quantitative field (e.g., Statistics, Computer Science, Economics, Mathematics, Operations Research)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t>
        </is>
      </c>
    </row>
    <row r="14">
      <c r="A14" t="inlineStr">
        <is>
          <t>in-da9ec5ce997c5888</t>
        </is>
      </c>
      <c r="B14" t="inlineStr">
        <is>
          <t>Business Model Data Scientist</t>
        </is>
      </c>
      <c r="C14" t="inlineStr">
        <is>
          <t>Intuit</t>
        </is>
      </c>
      <c r="D14" t="inlineStr">
        <is>
          <t>indeed</t>
        </is>
      </c>
      <c r="E14" t="inlineStr"/>
      <c r="F14" t="inlineStr"/>
      <c r="G14" t="inlineStr">
        <is>
          <t>San Diego, CA, US</t>
        </is>
      </c>
      <c r="H14" s="1" t="n">
        <v>46084</v>
      </c>
      <c r="I14" t="inlineStr">
        <is>
          <t>**Overview**
------------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Causal Inference: Lead causal inference and econometric analyses to understand and influence key levers of business growth with a crisp understanding of incremental impact.  
Experimentation: Design, implement, and analyze experiments and quasi\-experiments to measure the impact of new initiatives in product and marketing.  
Define KPIs and Success Metrics: Establish key business indicators for projects, ensuring alignment with company objectives and clear measures of success.  
Communication: Translate complex technical findings into clear, actionable insights for senior leadership, including product, finance, and marketing executives.  
Mentorship: Mentor junior team members and help shape the team’s analytical rigor and methodology standards in causal inference and A/B testing.  
Leadership and Ownership: Demonstrate boundaryless leadership and extreme accountability \- proactively drives outcomes across teams and leads with influence, not authority.
...Less **Qualifications**
A Bachelor's degree in Statistics, Economics, Computer Science or a related quantitative field is required. Advanced degrees, particularly a Master's or PhD in economics or statistics, are highly desirable.  
At least 6 years of experience applying statistical / econometric and modeling skills in decision making without an advanced degree, 2 years of experience with an advanced degree.  
Demonstrated expertise in causal inference—including but not limited to advanced experimentation, synthetic controls, regression discontinuity, and instrumental variables—with a track record of rigorously solving problems with these methods.  
A demonstrated ability to navigate through ambiguity and deliver results that significantly impact the business.  
Excellent communication skills and the ability to work effectively with both technical and non\-technical colleagues.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
      <c r="A15" t="inlineStr">
        <is>
          <t>in-48071f8a9c1dd9db</t>
        </is>
      </c>
      <c r="B15" t="inlineStr">
        <is>
          <t>Staff Data Scientist</t>
        </is>
      </c>
      <c r="C15" t="inlineStr">
        <is>
          <t>Intuit</t>
        </is>
      </c>
      <c r="D15" t="inlineStr">
        <is>
          <t>indeed</t>
        </is>
      </c>
      <c r="E15" t="inlineStr"/>
      <c r="F15" t="inlineStr"/>
      <c r="G15" t="inlineStr">
        <is>
          <t>Mountain View, CA, US</t>
        </is>
      </c>
      <c r="H15" s="1" t="n">
        <v>46084</v>
      </c>
      <c r="I15" t="inlineStr">
        <is>
          <t>**Overview**
------------
Intuit is looking for an innovative and hands\-on Staff Data Scientist to join the Mid Market team. We are seeking a Staff Data Scientist to partner closely with product, engineering, design, and data science teams to build AI\-native data capability to enable data\-informed decisions. In this role you will be building and deploying machine learning models using both analytical algorithms and deep learning approaches to identify Mid Market growth opportunities and define product roadmap.
 **Responsibilities**
**Strategic Impact**
* Build AI\-first data capability and tools for product, marketing and sales teams to understand customer e2e journey and identify growth opportunities.
* Translate complex data into consumable format and enable actionable insights to inform product and strategy decisions.
* Influence product roadmaps and strategy by presenting data\-driven recommendations to leadership.
**Data Infrastructure \&amp; End\-to\-End Builder**
* Partner with data engineering to build AI\-native data infrastructure for LLM consumption.
* Perform hands\-on data analysis and modeling with massive datasets. Discover data sources, build your own ETL pipelines to clean/import data, and make them "model\-ready."
* Apply Advanced modeling techniques (e.g. data mining, NLP, and machine learning) to translate unstructured data to business insights.
* Build AI agents to automate analytics workflows
**Analysis \&amp; Experimentation**
* Run experiments, gather data, perform statistical analysis, draw conclusions on the impact of your optimizations and communicate results to peers and leaders.
* Influence product roadmaps and strategy by presenting data\-driven recommendations to leadership.
* Develop dashboards and self\-service tools to democratize data access and empower teams.
**Innovation \&amp; Leadership**
* Explore new design or technology shifts in order to determine how they might connect with the customer benefits we wish to deliver.
* Mentor analysts across the org, fostering best practices in analytics and storytelling.
 **Qualifications**
* BS, MS, or PhD in an appropriate technology field (Computer Science, Statistics, Applied Math, etc.)
* 6\+ years of industry experience with Data Science/AI (or 2\+ years with a PhD).
* Strong proficiency in modern advanced analytical tools and programming languages such as R or Python (e.g., scikit\-learn, pandas, numpy).
* Highly proficient in A/B testing, SQL and Tableau.
* Efficient in SQL, Hive, or SparkSQL, etc.
* Understand machine learning principles (training, validation, etc.)
* Strong analytical and problem\-solving skills: able to develop and use structured approaches to identify root causes and recommend resolutions: can present results in meaningful terms.
* Solid communication skills: Demonstrated ability to explain complex technical issues to both technical and non\-technical audiences.
Ability to narrate complex stories with data, and be concise in the insights and how they drive outcomes with leadership and stakeholders. Proactive and inquisitive learner, seeks out and capitalizes on opportunities for change that enhance the business, rather than reacting to circumstances.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6">
      <c r="A16" t="inlineStr">
        <is>
          <t>in-09f34cd778adbfb9</t>
        </is>
      </c>
      <c r="B16" t="inlineStr">
        <is>
          <t>Senior Staff Data Scientist</t>
        </is>
      </c>
      <c r="C16" t="inlineStr">
        <is>
          <t>Intuit</t>
        </is>
      </c>
      <c r="D16" t="inlineStr">
        <is>
          <t>indeed</t>
        </is>
      </c>
      <c r="E16" t="inlineStr"/>
      <c r="F16" t="inlineStr"/>
      <c r="G16" t="inlineStr">
        <is>
          <t>San Diego, CA, US</t>
        </is>
      </c>
      <c r="H16" s="1" t="n">
        <v>46084</v>
      </c>
      <c r="I16" t="inlineStr">
        <is>
          <t>**Overview**
------------
We are seeking a Senior Staff Data Scientist to join our Strategy Data Science team. This role is designed for a strategic, business\-oriented data scientist who thrives at the intersection of data, business strategy, and cross\-functional collaboration. You will partner with leaders across Product Marketing, Channel Marketing, Finance, Data Engineering, and other Data Science teams to translate evolving business strategies into impactful, data\-driven initiatives.
Your work will bridge the gap between raw data and high\-level business application, ensuring insights not only answer immediate questions but also guide long\-term strategic direction. You will apply deep product analytics, advanced analytical methods, modeling, and scenario planning to inform critical decisions and shape the future of Intuit’s growth.
You’ll thrive here if you are equally comfortable diving deep into data, navigating ambiguity, and influencing high\-level strategy.
 **Responsibilities**
* Set analytical direction to influence strategic roadmaps across QuickBooks customer growth initiatives by partnering with senior leaders in Product Marketing, Channel Marketing, Finance, Data Engineering, and Data Science to translate evolving business priorities into durable, data\-informed strategies and decision frameworks.
* Own and lead the most complex and ambiguous problem spaces, defining success metrics, analytical approaches, and learning agendas where the path forward is unclear and standard methodologies are insufficient.
* Invent and scale novel analytical frameworks and methodologies that synthesize experimentation, causal inference, research, product analytics, and financial modeling to uncover long\-term customer growth opportunities.
* Build and apply durable customer segmentation frameworks to improve product targeting, positioning, and customer experience.
* Serve as a strategic thought partner to executive and senior leadership, influencing roadmaps, investment decisions, and tradeoffs through clear articulation of insights, risks, limitations, and strategic implications.
* Multiply impact through mentorship and standards\-setting, raising the bar for analytical rigor and strategic storytelling across the data science and analytics community.
 **Qualifications**
* 10\+ years of experience in data science, strategy, or qualitative research roles. Experience in consulting or a strategy\-focused capacity is a plus.
* Technical proficiency in SQL, Python, GitHub, and Databricks. Experience with BI tools (Tableau, Qlik Sense) is a plus.
* Strong track record of hypothesis generation and translating insights into data\-driven execution with measurable impact on strategic roadmaps. Experience building models, analyzing experimentation, applying research, and using financial modeling to iterate on learning plans.
* Strong understanding of A/B testing and causal inference principles, with the ability to guide teams on interpretation, limitations, and strategic implications.
* Exceptional communication skills, with the ability to influence executives and collaborate effectively across technical and non\-technical teams.
* Ability to thrive in ambiguity and connect data to strategic clarity.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17">
      <c r="A17" t="inlineStr">
        <is>
          <t>in-9071c03bcb70c7e9</t>
        </is>
      </c>
      <c r="B17" t="inlineStr">
        <is>
          <t>Staff Data Scientist, Intuit Customer Success</t>
        </is>
      </c>
      <c r="C17" t="inlineStr">
        <is>
          <t>Intuit</t>
        </is>
      </c>
      <c r="D17" t="inlineStr">
        <is>
          <t>indeed</t>
        </is>
      </c>
      <c r="E17" t="inlineStr"/>
      <c r="F17" t="inlineStr"/>
      <c r="G17" t="inlineStr">
        <is>
          <t>San Diego, CA, US</t>
        </is>
      </c>
      <c r="H17" s="1" t="n">
        <v>46084</v>
      </c>
      <c r="I17" t="inlineStr">
        <is>
          <t>**Overview**
------------
Come join the Intuit Customer Success data science team as a Staff Data Scientist to shape the strategy to enable best\-in\-class customer experiences for QuickBook customers.The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18">
      <c r="A18" t="inlineStr">
        <is>
          <t>in-b96a70f1340fec2c</t>
        </is>
      </c>
      <c r="B18" t="inlineStr">
        <is>
          <t>Sr. Staff Data Scientist</t>
        </is>
      </c>
      <c r="C18" t="inlineStr">
        <is>
          <t>Intuit</t>
        </is>
      </c>
      <c r="D18" t="inlineStr">
        <is>
          <t>indeed</t>
        </is>
      </c>
      <c r="E18" t="inlineStr"/>
      <c r="F18" t="inlineStr"/>
      <c r="G18" t="inlineStr">
        <is>
          <t>San Francisco, CA, US</t>
        </is>
      </c>
      <c r="H18" s="1" t="n">
        <v>46084</v>
      </c>
      <c r="I18" t="inlineStr">
        <is>
          <t>**Overview**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19">
      <c r="A19" t="inlineStr">
        <is>
          <t>in-74c68b6ed1ccd269</t>
        </is>
      </c>
      <c r="B19" t="inlineStr">
        <is>
          <t>Sr. Staff Data Scientist</t>
        </is>
      </c>
      <c r="C19" t="inlineStr">
        <is>
          <t>Intuit</t>
        </is>
      </c>
      <c r="D19" t="inlineStr">
        <is>
          <t>indeed</t>
        </is>
      </c>
      <c r="E19" t="inlineStr"/>
      <c r="F19" t="inlineStr"/>
      <c r="G19" t="inlineStr">
        <is>
          <t>Mountain View, CA, US</t>
        </is>
      </c>
      <c r="H19" s="1" t="n">
        <v>46084</v>
      </c>
      <c r="I19" t="inlineStr">
        <is>
          <t>**Overview**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20">
      <c r="A20" t="inlineStr">
        <is>
          <t>in-f71af49c292879e2</t>
        </is>
      </c>
      <c r="B20" t="inlineStr">
        <is>
          <t>Business Model Data Scientist</t>
        </is>
      </c>
      <c r="C20" t="inlineStr">
        <is>
          <t>Intuit</t>
        </is>
      </c>
      <c r="D20" t="inlineStr">
        <is>
          <t>indeed</t>
        </is>
      </c>
      <c r="E20" t="inlineStr"/>
      <c r="F20" t="inlineStr"/>
      <c r="G20" t="inlineStr">
        <is>
          <t>Mountain View, CA, US</t>
        </is>
      </c>
      <c r="H20" s="1" t="n">
        <v>46084</v>
      </c>
      <c r="I20" t="inlineStr">
        <is>
          <t>**Overview**
------------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Causal Inference: Lead causal inference and econometric analyses to understand and influence key levers of business growth with a crisp understanding of incremental impact.  
Experimentation: Design, implement, and analyze experiments and quasi\-experiments to measure the impact of new initiatives in product and marketing.  
Define KPIs and Success Metrics: Establish key business indicators for projects, ensuring alignment with company objectives and clear measures of success.  
Communication: Translate complex technical findings into clear, actionable insights for senior leadership, including product, finance, and marketing executives.  
Mentorship: Mentor junior team members and help shape the team’s analytical rigor and methodology standards in causal inference and A/B testing.  
Leadership and Ownership: Demonstrate boundaryless leadership and extreme accountability \- proactively drives outcomes across teams and leads with influence, not authority.
...Less **Qualifications**
A Bachelor's degree in Statistics, Economics, Computer Science or a related quantitative field is required. Advanced degrees, particularly a Master's or PhD in economics or statistics, are highly desirable.  
At least 6 years of experience applying statistical / econometric and modeling skills in decision making without an advanced degree, 2 years of experience with an advanced degree.  
Demonstrated expertise in causal inference—including but not limited to advanced experimentation, synthetic controls, regression discontinuity, and instrumental variables—with a track record of rigorously solving problems with these methods.  
A demonstrated ability to navigate through ambiguity and deliver results that significantly impact the business.  
Excellent communication skills and the ability to work effectively with both technical and non\-technical colleagues.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1">
      <c r="A21" t="inlineStr">
        <is>
          <t>in-0607c1b5d51b0809</t>
        </is>
      </c>
      <c r="B21" t="inlineStr">
        <is>
          <t>Staff Data Scientist</t>
        </is>
      </c>
      <c r="C21" t="inlineStr">
        <is>
          <t>Intuit</t>
        </is>
      </c>
      <c r="D21" t="inlineStr">
        <is>
          <t>indeed</t>
        </is>
      </c>
      <c r="E21" t="inlineStr"/>
      <c r="F21" t="inlineStr"/>
      <c r="G21" t="inlineStr">
        <is>
          <t>San Diego, CA, US</t>
        </is>
      </c>
      <c r="H21" s="1" t="n">
        <v>46084</v>
      </c>
      <c r="I21" t="inlineStr">
        <is>
          <t>**Overview**
------------
Intuit is looking for an innovative and hands\-on Staff Data Scientist to join the Mid Market team. We are seeking a Staff Data Scientist to partner closely with product, engineering, design, and data science teams to build AI\-native data capability to enable data\-informed decisions. In this role you will be building and deploying machine learning models using both analytical algorithms and deep learning approaches to identify Mid Market growth opportunities and define product roadmap.
 **Responsibilities**
**Strategic Impact**
* Build AI\-first data capability and tools for product, marketing and sales teams to understand customer e2e journey and identify growth opportunities.
* Translate complex data into consumable format and enable actionable insights to inform product and strategy decisions.
* Influence product roadmaps and strategy by presenting data\-driven recommendations to leadership.
**Data Infrastructure \&amp; End\-to\-End Builder**
* Partner with data engineering to build AI\-native data infrastructure for LLM consumption.
* Perform hands\-on data analysis and modeling with massive datasets. Discover data sources, build your own ETL pipelines to clean/import data, and make them "model\-ready."
* Apply Advanced modeling techniques (e.g. data mining, NLP, and machine learning) to translate unstructured data to business insights.
* Build AI agents to automate analytics workflows
**Analysis \&amp; Experimentation**
* Run experiments, gather data, perform statistical analysis, draw conclusions on the impact of your optimizations and communicate results to peers and leaders.
* Influence product roadmaps and strategy by presenting data\-driven recommendations to leadership.
* Develop dashboards and self\-service tools to democratize data access and empower teams.
**Innovation \&amp; Leadership**
* Explore new design or technology shifts in order to determine how they might connect with the customer benefits we wish to deliver.
* Mentor analysts across the org, fostering best practices in analytics and storytelling.
 **Qualifications**
* BS, MS, or PhD in an appropriate technology field (Computer Science, Statistics, Applied Math, etc.)
* 6\+ years of industry experience with Data Science/AI (or 2\+ years with a PhD).
* Strong proficiency in modern advanced analytical tools and programming languages such as R or Python (e.g., scikit\-learn, pandas, numpy).
* Highly proficient in A/B testing, SQL and Tableau.
* Efficient in SQL, Hive, or SparkSQL, etc.
* Understand machine learning principles (training, validation, etc.)
* Strong analytical and problem\-solving skills: able to develop and use structured approaches to identify root causes and recommend resolutions: can present results in meaningful terms.
* Solid communication skills: Demonstrated ability to explain complex technical issues to both technical and non\-technical audiences.
Ability to narrate complex stories with data, and be concise in the insights and how they drive outcomes with leadership and stakeholders. Proactive and inquisitive learner, seeks out and capitalizes on opportunities for change that enhance the business, rather than reacting to circumstances.  
*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2">
      <c r="A22" t="inlineStr">
        <is>
          <t>in-9adf4737c05cfefc</t>
        </is>
      </c>
      <c r="B22" t="inlineStr">
        <is>
          <t>Staff Data Scientist, Intuit Customer Success</t>
        </is>
      </c>
      <c r="C22" t="inlineStr">
        <is>
          <t>Intuit</t>
        </is>
      </c>
      <c r="D22" t="inlineStr">
        <is>
          <t>indeed</t>
        </is>
      </c>
      <c r="E22" t="inlineStr"/>
      <c r="F22" t="inlineStr"/>
      <c r="G22" t="inlineStr">
        <is>
          <t>Mountain View, CA, US</t>
        </is>
      </c>
      <c r="H22" s="1" t="n">
        <v>46084</v>
      </c>
      <c r="I22" t="inlineStr">
        <is>
          <t>**Overview**
------------
Come join the Intuit Customer Success data science team as a Staff Data Scientist to shape the strategy to enable best\-in\-class customer experiences for QuickBook customers.The Data Science team plays a critical role in shaping strategy, scaling new businesses, and delivering delightful customer experiences. Our mission is to accelerate decision\-making through advanced models, insights, and experimentation that address our most important customer and business challenges.
 **Responsibilities**
We are seeking a Staff Data Scientist to deliver impactful insights into business performance and growth opportunities, build predictive models and insights, and drive measurable outcomes.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Intuit's core Accounting offering, impacting millions of small businesses.
* Develop predictive models, conduct experimentation beyond A/B testing, and generate actionable customer insights that inform product innovation.
* Build and apply durable customer segmentation patterns to refine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helping customers.
* BS or MS degree in Statistics, Mathematics, Operations Research, Computer Science, Econometrics, or a related field.
* 10\+ years of experience in data science or product analytics, with a strong foundation in predictive modeling, customer segmentation, and experimentation.
* Ability to formulate data\-backed strategies that will drive step\-function growth for the business and increase customer benefit.
* Ability to generate hypotheses grounded in customer behavior, industry trends, and external market factors.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decision\-makers and build consensus with teams.
* Quick learner, adaptable, with the ability to work independently or as part of a team in a fast\-paced environment.
**Technical Skills:**  
* Advanced SQL skills and proficiency in visualization tools such as Qlik, Tableau, Plotly Dash.
* Strong analytical and modeling skills using Python (for its rich suite of statistical and modeling libraries like NumPy, Pandas, Scikit\-learn, etc.).
* Experience with Causal inference techniques such as propensity score matching, difference\-in\-differences, and synthetic control methods.
* Familiarity with Generative AI and other evolving technologies to accelerate insights from multi\-modal data.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23">
      <c r="A23" t="inlineStr">
        <is>
          <t>in-ab6215186624fc18</t>
        </is>
      </c>
      <c r="B23" t="inlineStr">
        <is>
          <t>Sr. Staff Data Scientist</t>
        </is>
      </c>
      <c r="C23" t="inlineStr">
        <is>
          <t>Intuit</t>
        </is>
      </c>
      <c r="D23" t="inlineStr">
        <is>
          <t>indeed</t>
        </is>
      </c>
      <c r="E23" t="inlineStr"/>
      <c r="F23" t="inlineStr"/>
      <c r="G23" t="inlineStr">
        <is>
          <t>San Diego, CA, US</t>
        </is>
      </c>
      <c r="H23" s="1" t="n">
        <v>46084</v>
      </c>
      <c r="I23" t="inlineStr">
        <is>
          <t>**Overview**
------------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24">
      <c r="A24" t="inlineStr">
        <is>
          <t>in-e229a082310e155b</t>
        </is>
      </c>
      <c r="B24" t="inlineStr">
        <is>
          <t>Senior Staff Data Scientist</t>
        </is>
      </c>
      <c r="C24" t="inlineStr">
        <is>
          <t>Intuit</t>
        </is>
      </c>
      <c r="D24" t="inlineStr">
        <is>
          <t>indeed</t>
        </is>
      </c>
      <c r="E24" t="inlineStr"/>
      <c r="F24" t="inlineStr"/>
      <c r="G24" t="inlineStr">
        <is>
          <t>San Francisco, CA, US</t>
        </is>
      </c>
      <c r="H24" s="1" t="n">
        <v>46084</v>
      </c>
      <c r="I24" t="inlineStr">
        <is>
          <t>**Overview**
------------
We are seeking a Senior Staff Data Scientist to join our Strategy Data Science team. This role is designed for a strategic, business\-oriented data scientist who thrives at the intersection of data, business strategy, and cross\-functional collaboration. You will partner with leaders across Product Marketing, Channel Marketing, Finance, Data Engineering, and other Data Science teams to translate evolving business strategies into impactful, data\-driven initiatives.
Your work will bridge the gap between raw data and high\-level business application, ensuring insights not only answer immediate questions but also guide long\-term strategic direction. You will apply deep product analytics, advanced analytical methods, modeling, and scenario planning to inform critical decisions and shape the future of Intuit’s growth.
You’ll thrive here if you are equally comfortable diving deep into data, navigating ambiguity, and influencing high\-level strategy.
 **Responsibilities**
* Set analytical direction to influence strategic roadmaps across QuickBooks customer growth initiatives by partnering with senior leaders in Product Marketing, Channel Marketing, Finance, Data Engineering, and Data Science to translate evolving business priorities into durable, data\-informed strategies and decision frameworks.
* Own and lead the most complex and ambiguous problem spaces, defining success metrics, analytical approaches, and learning agendas where the path forward is unclear and standard methodologies are insufficient.
* Invent and scale novel analytical frameworks and methodologies that synthesize experimentation, causal inference, research, product analytics, and financial modeling to uncover long\-term customer growth opportunities.
* Build and apply durable customer segmentation frameworks to improve product targeting, positioning, and customer experience.
* Serve as a strategic thought partner to executive and senior leadership, influencing roadmaps, investment decisions, and tradeoffs through clear articulation of insights, risks, limitations, and strategic implications.
* Multiply impact through mentorship and standards\-setting, raising the bar for analytical rigor and strategic storytelling across the data science and analytics community.
 **Qualifications**
* 10\+ years of experience in data science, strategy, or qualitative research roles. Experience in consulting or a strategy\-focused capacity is a plus.
* Technical proficiency in SQL, Python, GitHub, and Databricks. Experience with BI tools (Tableau, Qlik Sense) is a plus.
* Strong track record of hypothesis generation and translating insights into data\-driven execution with measurable impact on strategic roadmaps. Experience building models, analyzing experimentation, applying research, and using financial modeling to iterate on learning plans.
* Strong understanding of A/B testing and causal inference principles, with the ability to guide teams on interpretation, limitations, and strategic implications.
* Exceptional communication skills, with the ability to influence executives and collaborate effectively across technical and non\-technical teams.
* Ability to thrive in ambiguity and connect data to strategic clarity.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25">
      <c r="A25" t="inlineStr">
        <is>
          <t>in-19acfa100e03e2a9</t>
        </is>
      </c>
      <c r="B25" t="inlineStr">
        <is>
          <t>Staff Data Scientist - Mailchimp Web</t>
        </is>
      </c>
      <c r="C25" t="inlineStr">
        <is>
          <t>Intuit</t>
        </is>
      </c>
      <c r="D25" t="inlineStr">
        <is>
          <t>indeed</t>
        </is>
      </c>
      <c r="E25" t="inlineStr"/>
      <c r="F25" t="inlineStr"/>
      <c r="G25" t="inlineStr">
        <is>
          <t>Mountain View, CA, US</t>
        </is>
      </c>
      <c r="H25" s="1" t="n">
        <v>46084</v>
      </c>
      <c r="I25" t="inlineStr">
        <is>
          <t>**Overview**
------------
As a Staff Data Scientist on the Web Analytics team, you will help lead strategic, data\-driven decision making at Mailchimp. In this role, you will apply a variety of analytical tools and techniques to conduct deep dive analysis to both help understand and better explain customer behavior and business trends as well as predict future business outcomes. You will partner with stakeholders across the company \-product, finance, marketing, legal, and others \- to drive improvements in the conversion funnel for our prospect\-facing website through a focus on rigorous experimentation, strategic deep dives, robust reporting, and modeling to arm Mailchimp with insights that will help steer our future. **Responsibilities**
* Build experimentation plans to robustly isolate impact of website changes, and guide future strategy for key initiatives  
Coordinate data infrastructure work to ensure appropriate tracking is in\-place to conduct high\-quality analyses
* Analyze large behavioral data sets to create a complete picture of the Mailchimp customer, their behaviors, and needs, turning them into actionable recommendations and insights that tie to larger strategic business goals
* Profile customer groups to identify how the website experience can be tailored to their needs
* Analyze short, medium and long term impact of pricing and promotion changes on customer acquisition
* Develop analytical and scientific frameworks to develop an understanding of the customer journey and engagement
* Calculate the downstream impact of high value actions taken by customers across the Mailchimp and Intuit ecosystems
* Guide other analysts and researchers on the design, execution, and analysis of quantitative, qualitative, and mixed\-methods research studies
* Own and build analytical tools and solutions addressing product and business needs and questions enabling better decisions by leadership
* Implement methodologies for statistical inference to identify and size the impact of web initiatives
* Design insightful and actionable dashboards to guide web decision making
* Craft narratives and recommendations from analyses, build presentations, and present findings to business stakeholders
 **Qualifications**
* 7\+ years of experience in an analytics\-focused role, prior work experience within a technology (software) company
* Deep understanding of web analytics data and event tracking (Google Analytics experience is strongly preferred)
* Broad experience deploying website experiments across optimization levers (copy testing, page re\-builds, audiences, promotions, pricing), test designs (A/B, Factorial, Sequential, etc) and inference (Frequentist, Bayesian)
* Expertise with funnel and cohort analysis to prioritize initiatives and guide strategy
* Proven experience analyzing data from a variety of sources (quantitative and qualitative), presenting the data in a clear and concise manner, and create actionable insights
* Expertise in SQL, Python/R
* Experience with statistical methods such as regression and hypothesis testing  
Demonstrated, hands\-on experience with data visualization tools, e.g. Looker and Tableau
* Ability to build relationships, be persuasive and influential within and across immediate working groups
* Experience working with cloud\-based data warehouses like Google BigQuery, Redshift, or Snowflake
* Experience with mentoring others in User Experience Research practice
* Bachelor’s or Graduate degree, Field of Studies required: In a quantitative field or commensurate experience such as Statistics, Business Analytics, Data Science, Applied Math, Econometrics or Operations Research.
* Experience with distributed computing is a plus
* Experience with Causal Inference methods is a big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26">
      <c r="A26" t="inlineStr">
        <is>
          <t>in-ff4bd55024b4e784</t>
        </is>
      </c>
      <c r="B26" t="inlineStr">
        <is>
          <t>Senior Staff Data Scientist</t>
        </is>
      </c>
      <c r="C26" t="inlineStr">
        <is>
          <t>Intuit</t>
        </is>
      </c>
      <c r="D26" t="inlineStr">
        <is>
          <t>indeed</t>
        </is>
      </c>
      <c r="E26" t="inlineStr"/>
      <c r="F26" t="inlineStr"/>
      <c r="G26" t="inlineStr">
        <is>
          <t>Mountain View, CA, US</t>
        </is>
      </c>
      <c r="H26" s="1" t="n">
        <v>46084</v>
      </c>
      <c r="I26" t="inlineStr">
        <is>
          <t>**Overview**
------------
We are seeking a Senior Staff Data Scientist to join our Strategy Data Science team. This role is designed for a strategic, business\-oriented data scientist who thrives at the intersection of data, business strategy, and cross\-functional collaboration. You will partner with leaders across Product Marketing, Channel Marketing, Finance, Data Engineering, and other Data Science teams to translate evolving business strategies into impactful, data\-driven initiatives.
Your work will bridge the gap between raw data and high\-level business application, ensuring insights not only answer immediate questions but also guide long\-term strategic direction. You will apply deep product analytics, advanced analytical methods, modeling, and scenario planning to inform critical decisions and shape the future of Intuit’s growth.
You’ll thrive here if you are equally comfortable diving deep into data, navigating ambiguity, and influencing high\-level strategy.
 **Responsibilities**
* Set analytical direction to influence strategic roadmaps across QuickBooks customer growth initiatives by partnering with senior leaders in Product Marketing, Channel Marketing, Finance, Data Engineering, and Data Science to translate evolving business priorities into durable, data\-informed strategies and decision frameworks.
* Own and lead the most complex and ambiguous problem spaces, defining success metrics, analytical approaches, and learning agendas where the path forward is unclear and standard methodologies are insufficient.
* Invent and scale novel analytical frameworks and methodologies that synthesize experimentation, causal inference, research, product analytics, and financial modeling to uncover long\-term customer growth opportunities.
* Build and apply durable customer segmentation frameworks to improve product targeting, positioning, and customer experience.
* Serve as a strategic thought partner to executive and senior leadership, influencing roadmaps, investment decisions, and tradeoffs through clear articulation of insights, risks, limitations, and strategic implications.
* Multiply impact through mentorship and standards\-setting, raising the bar for analytical rigor and strategic storytelling across the data science and analytics community.
 **Qualifications**
* 10\+ years of experience in data science, strategy, or qualitative research roles. Experience in consulting or a strategy\-focused capacity is a plus.
* Technical proficiency in SQL, Python, GitHub, and Databricks. Experience with BI tools (Tableau, Qlik Sense) is a plus.
* Strong track record of hypothesis generation and translating insights into data\-driven execution with measurable impact on strategic roadmaps. Experience building models, analyzing experimentation, applying research, and using financial modeling to iterate on learning plans.
* Strong understanding of A/B testing and causal inference principles, with the ability to guide teams on interpretation, limitations, and strategic implications.
* Exceptional communication skills, with the ability to influence executives and collaborate effectively across technical and non\-technical teams.
* Ability to thrive in ambiguity and connect data to strategic clarity.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27">
      <c r="A27" t="inlineStr">
        <is>
          <t>in-00dda7317f851824</t>
        </is>
      </c>
      <c r="B27" t="inlineStr">
        <is>
          <t>Research Associate Data Scientist- Surgery Chair, Ruppin Lab</t>
        </is>
      </c>
      <c r="C27" t="inlineStr">
        <is>
          <t>Cedars-Sinai Medical Center</t>
        </is>
      </c>
      <c r="D27" t="inlineStr">
        <is>
          <t>indeed</t>
        </is>
      </c>
      <c r="E27" t="inlineStr"/>
      <c r="F27" t="inlineStr"/>
      <c r="G27" t="inlineStr">
        <is>
          <t>Los Angeles, CA, US</t>
        </is>
      </c>
      <c r="H27" s="1" t="n">
        <v>46083</v>
      </c>
      <c r="I27" t="inlineStr">
        <is>
          <t>**Job Description**
-------------------
**Join us as we translate today's discoveries into tomorrow's medicine!**
**Are you ready to be a part of breakthrough research?**
The Research Associate Data Scientist participates in biomedical research projects using programming, data \-mining, statistics, machine \-learning, and visualization techniques to develop, evaluate, and/or apply algorithms and software for data analysis. Responsibilities include querying databases, data processing, supervised and unsupervised machine learning, deploying production models, and communication of scientific findings via peer\-reviewed publications and scientific conferences. Writes clean, performant, reusable code managed on GitHub to perform repeatable analyses and to train and deploy models to multiple environments.
Primary Duties \&amp; Responsibilities:
* Assists with the development, evaluation, and/or application of computational and statistical methods including artificial intelligence and machine learning algorithms and software for the analysis of biomedical data.
* Assists with the presentation and communication of scientific results through laboratory meetings, scientific conferences, and peer\-reviewed publications.
* Creates database\-to\-deployment pipelines for models using the necessary programming languages (primarily R, Python, SQL).
* Creates sustainable data science infrastructure and adheres to data analysis/machine learning best practices.
* Performs exploratory data analysis to gauge the need for or appropriateness of advanced analytical methods.
* Works with senior or lead data scientists and principal investigators to identify areas where data science can best be applied to answer biomedical research questions.
* Keeps appropriate analytical records, documentation, and software version control.
* Performs all other duties as assigned.
**Qualifications**
------------------
Education:
* Bachelor's degree in Computer Sciences, Machine Learning, Applied Mathematics, Econometrics, Statistics, Engineering, Physics, or related field, required. Master's degree, preferred.
Experience and Skills:
* Up to two (2\) years of professional experience in healthcare or pharmaceutical industries working with biomedical data.
* Experience programming at an intermediate skill level with a high\-level programming language such as Python. College projects may be acceptable.
* Experience programming in R, Python, or Linux bash and genetics and genomics data analysis preferred.
* Experience in biomedical machine learning is preferred.
* Working knowledge of data privacy and security including best practices for data with personal health identifiers (PHI) covered under HIPAA.
* Strong interpersonal and communication skills. And has full command (verbal and written) of the English language.
* Demonstrates commitment to customer service and an ability to meet the needs and expectations of patients and health care colleagues.
* Demonstrated success working independently, forging relationships, and managing multiple tasks with minimal directions.
* Ability to promote and foster participation/collaboration among individuals and groups.
* Ability to handle multiple demands and/or manage complex and competing priorities.
* Ability to analyze qualitative and quantitative information for decision support.
* High level of proficiency using Microsoft Windows and other Microsoft Office software: MS Excel, Outlook, Powerpoint Word, etc.
Must be able to manage competing priorities, while being extremely adaptable and flexible and maintaining a positive work environment</t>
        </is>
      </c>
    </row>
    <row r="28">
      <c r="A28" t="inlineStr">
        <is>
          <t>in-bde0180a39a412cc</t>
        </is>
      </c>
      <c r="B28" t="inlineStr">
        <is>
          <t>Principal Applied AI and Data Scientist</t>
        </is>
      </c>
      <c r="C28" t="inlineStr">
        <is>
          <t>Microsoft</t>
        </is>
      </c>
      <c r="D28" t="inlineStr">
        <is>
          <t>indeed</t>
        </is>
      </c>
      <c r="E28" t="inlineStr"/>
      <c r="F28" t="inlineStr"/>
      <c r="G28" t="inlineStr">
        <is>
          <t>Redmond, WA, US</t>
        </is>
      </c>
      <c r="H28" s="1" t="n">
        <v>46080</v>
      </c>
      <c r="I28" t="inlineStr">
        <is>
          <t>**Overview**  
Are you excited to harness AI and data science to tackle some of the world’s most pressing societal challenges? Would you like your work to meaningfully impact the lives of your family, friends, and communities around the globe?
The AI for Good Lab is hiring a Principal Applied AI and Data Scientist to design, build, and deliver AI\-driven solutions to complex, high\-impact societal problems. Our work spans a broad and evolving portfolio—including powering disaster response and resilience, advancing sustainability, understanding how AI is diffusing across the world and its economic opportunities, and improving digital equity. These challenges are inherently ambiguous and interdisciplinary, demanding creativity, strong research instincts, and the ability to move decisively from uncertainty to insight and action.
We are an agile, fast\-moving applied research team that uses modern AI as a force multiplier—accelerating discovery, sharpening insight, and driving decisions that matter. We continuously pivot toward where our work can create the greatest impact now. In this role, you will use AI and data science to research and build solutions that inform and drive real\-world decisions, working in close partnership with other researchers and research organizations, as well as policymakers and practitioners. You will lead through influence, collaborating across roles, disciplines, and organizations to turn insight into real\-world decisions.
You bring a strong appetite for learning new areas and technologies, paired with agile decision\-making, flexibility in how you work, and a growth mindset that shapes how you approach complex, evolving challenges.
 **Responsibilities**  
* Develop applied AI and data science solutions by identifying and gathering data, shaping problem formulations, applying AI, machine learning, and statistical methods, and generating insight with real\-world impact.
* Distill large, ambitious, and highly ambiguous problem spaces—such as AI diffusion and economic opportunity, disaster response and resilience, sustainability, and cybersecurity—into concrete, actionable applied AI and data science work.
* Use AI creatively as a research and solution\-building tool, combining quantitative methods, experimentation, and domain knowledge to surface patterns, test ideas, and inform decisions.
* Present findings with clear and compelling narratives, using impactful visualizations and storytelling to articulate insights that drive understanding and action.
* Work in close partnership with other researchers and research organizations, as well as policy, industry, and nonprofit stakeholders, to co\-create solutions
* Lead through influenceby shaping direction, aligning collaborators, navigating tradeoffs, and sustaining momentum across teams and institutions.
**Qualifications**  
Required Qualifications* Bachelor's Degree in Computer Science, Statistics, Economics, Engineering, Social Science, or a related field AND 6\+ years of applied experience OR Computer Science, Statistics, Economics, Engineering, Social Science, or a related field AND 4\+ years of applied experience OR Doctorate in Computer Science, Statistics, Economics, Engineering, Social Science, or a related field AND 3\+ years of applied experience
	+ OR equivalent experience.
Preferred Qualifications* Experience in AI, machine learning, statistics, or related quantitative methods applied to real\-world problems.
* Experience working end\-to\-end with data—from sourcing and exploration through modeling, interpretation, and communication.
* Proficiency in at least one scientific programming language (Python, R or equivalent languages) and experience with SQL or similar query languages.
* Experience communicating complex ideas clearly and persuasively to non\-technical audiences.
* Proven ability to influence outcomes and lead work in cross\-functional, matrixed environments.
* Experience collaborating with academic institutions, NGOs, humanitarian organizations, or public sector partners.
* Familiarity with modern AI techniques used for applied research \- such as working with LLMs, embeddings, and AI\-assisted analysis of social, economic, or behavioral data.
* Background or interest in domains such as economics, sustainability, humanitarian response, cybersecurity, public policy, or social impact.
* Comfort working in fast\-changing, impact\-driven environments.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9">
      <c r="A29" t="inlineStr">
        <is>
          <t>in-36968fa6d573b4df</t>
        </is>
      </c>
      <c r="B29" t="inlineStr">
        <is>
          <t>Senior Data &amp; Applied Scientist</t>
        </is>
      </c>
      <c r="C29" t="inlineStr">
        <is>
          <t>Microsoft</t>
        </is>
      </c>
      <c r="D29" t="inlineStr">
        <is>
          <t>indeed</t>
        </is>
      </c>
      <c r="E29" t="inlineStr"/>
      <c r="F29" t="inlineStr"/>
      <c r="G29" t="inlineStr">
        <is>
          <t>Redmond, WA, US</t>
        </is>
      </c>
      <c r="H29" s="1" t="n">
        <v>46079</v>
      </c>
      <c r="I29" t="inlineStr">
        <is>
          <t>**Overview**  
The Windows and Devices mission is to build innovative, trusted, and open products and platforms that are centered on people, showcase the best of Microsoft, and empower every person and organization on the planet to achieve more. To achieve this mission, Microsoft Devices designs and manufactures 1st party premium hardware products including Surface, Xbox Gaming, HoloLens and Accessories. From product creation through product delivery, we innovate technology and processes across our supply and manufacturing base. Within the Windows and Devices (W\+D) organization, we are the Microsoft Devices Operations (MDO) organization.
Our mission to enrich work, life, and play by bringing iconic Microsoft products to life, and we accomplish this by managing a highly leveraged, fully digitized supply base that meets our product and business goals. As part of our scope, we manage New Product Introduction, Product Engineering, Strategic Sourcing, Global Manufacturing Operations, Manufacturing Test \&amp; Infrastructure (MTI), Supply Chain, and Device Services.
The AI Engineering team within MDO develops and deploys leading AI experiences that directly impact how Microsoft designs, plans, sources, manufactures, and delivers devices at global scale. Our multidisciplinary team \- spanning data science, software engineering, and data engineering \- delivers production solutions using Generative AI, ML/Deep Learning, mathematical optimization, and simulation, applied to real operational decisions with measurable impact.
You will be a Senior Data \&amp; Applied Scientist and are a senior AI/ML practitioner who has shipped production systems in complex operational environments \- ideally in supply chain, manufacturing, or sourcing. You combine deep technical expertise with business judgment to know which problems are worth solving and the engineering discipline to deliver solutions that last.
You navigate ambiguity comfortably, influence technical direction across teams, and hold yourself and others to high standards of rigor and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Data \&amp; Applied Scientist** within the AI Engineering team, you will:
**Strategic Problem Framing \&amp; Partnership**
Partner with business stakeholders, Solution Managers, TPMs, and engineering teams to deeply understand business context, identify high\-value AI opportunities, and design intelligent solutions that deliver measurable business outcomes.
Frame complex operational problems into well\-defined analytical and technical approaches, bridging business needs with production\-ready AI capabilities.
**Technical Execution \&amp; Architecture**
* Architect and build production\-grade AI systems (ML/DL, GenAI, optimization) using Azure AI, open\-source, and custom models with full ownership from prototype to deployment.
* Drive engineering excellence: establish standards for code quality, MLOps, observability, testing, and secure deployment across the team.
**Influence \&amp; Thought Leadership**
* Evaluate emerging AI tools/frameworks; advise on adoption decisions.
* Represent MDO as a technical SME in cross\-Microsoft AI initiatives.
 Mentor and coach team members, raising the technical bar and fostering rigorous, inclusive innovation.
* Embody our Culture and Values
 **Qualifications** **Required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**Preferred qualification:**
* 6\+ years of professional experience delivering production AI/ML systems, including end\-to\-end model development, deployment, and monitoring.
* Hands\-on experience with Azure\-native platforms: Fabric, Kusto, Databricks, Synapse, Azure ML Studio.
* Background in supply chain, manufacturing, or hardware operations \- understanding of demand planning, yield optimization, or logistics is a strong plus.
* Experience building and maintaining MLOps infrastructure: CI/CD for models, automated retraining, drift detection, and rollout strategies.
* Strong systems thinking — able to make pragmatic trade\-offs between model performance, engineering cost, and operational simplicity.
* Experience with optimization methods (linear/mixed\-integer programming, simulation) applied to operational problems.
* Strong proficiency in Python and SQL; hands\-on experience with cloud ML platforms (Azure ML, Databricks, or equivalent).
* Experience with GenAI/LLM systems in production: RAG pipelines, prompt engineering, fine\-tuning, or LLMOps (model versioning, evaluation, monitoring).
* Demonstrated ability to work across engineering, product, and business teams to deliver outcomes not just models.
* Track record of communicating complex technical work to non\-technical stakeholders in a clear, decision\-ready manner.
\#W\+DJOBS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0">
      <c r="A30" t="inlineStr">
        <is>
          <t>in-355a2e4fe150da9e</t>
        </is>
      </c>
      <c r="B30" t="inlineStr">
        <is>
          <t>Senior Applied Scientist</t>
        </is>
      </c>
      <c r="C30" t="inlineStr">
        <is>
          <t>Microsoft</t>
        </is>
      </c>
      <c r="D30" t="inlineStr">
        <is>
          <t>indeed</t>
        </is>
      </c>
      <c r="E30" t="inlineStr"/>
      <c r="F30" t="inlineStr"/>
      <c r="G30" t="inlineStr">
        <is>
          <t>Redmond, WA, US</t>
        </is>
      </c>
      <c r="H30" s="1" t="n">
        <v>46077</v>
      </c>
      <c r="I30"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It is an incredible time for AI initiatives at Microsoft. We're pushing the boundaries of AI and Machine Learning across multiple domains to advance Microsoft’s ambitious AI goals. Microsoft Copilot Studio is our comprehensive agent building platform that lets its customers create conversational and autonomous agents using natural language or a graphical interface. Copilot Studio makes it simple to design, test, and deploy solutions tailored to its customers’ industry, company, department, or role, whether they need agents for internal or external use cases.
 We are looking for a seasoned **Senior Applied Scientist** to contribute to the development and integration of cutting\-edge AI technologies into Microsoft Copilot Studio, ensuring they are inclusive, ethical, and impactful.
You will collaborate across product, design, research and engineering teams to bring innovative solutions to life, applying your expertise in machine learning, data science, and software engineering to solve complex problems. Your work will directly influence product quality and customer experiences. This role will combine machine learning and AI knowledge with software engineering expertise, while demonstrating a growth mindset and customer empathy.
You will play a crucial role in developing the Copilot Studio Applied Science and Research team’s direction in machine learning, Generative AI model fine\-tuning, Agent creation and deployment, AI evaluation and scaling.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experiment with AI architectures for improving LLM inference systems. This includes design patterns pertaining, but not limited to, RAG, Context Engineering, Multi\-Agent architectures, tooldesignetc.
* Develop robust evaluation frameworks to assess model performance,monitormodel behavior, conduct systematic benchmarking, and addressidentifiedweaknesses while ensuring compliance with customer standards.
* Build andmaintaininternal tools to streamline model fine\-tuning and evaluation workflows and automate repetitive tasks within secure development environments.
* Implement machine learning algorithms, large\-scale model fine\-tuning, especially with closed and open source LLMs, SLMs, multimodal or task\-specific models tohelp evaluate multi\-agent LLM systemsand deliver measurable product and customer impact.
* Provide deep subject matterexpertisein AI subfields (e.g., deep learning, Generative AI, NLP, muti\-modal models, reinforcement learning) to help translatecutting\-edgeresearch into practical, real\-world solutions that drive product innovation and business impact.
* Demonstrate deep understanding of small and large language models (SLMs and LLMs) architecture and optimization techniques to adapt out\-of\-the\-box solutions toparticular businessproblems.
* Prepare and analyze data for machine learning, identifying optimal features and addressing data gaps.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Bachelor’s degree in Computer Science, Statistics, Electrical/Computer Engineering, Physics, Mathematics or related field AND 6\+ years of experience in AI/ML, predictive analytics, software engineering or research
	+ OR Master’s degree AND 4\+ years of relevant experience
	+ OR PhD AND 3\+ year of relevant experience
	+ OR equivalent experience.
* Experience with MLOps Workflows, including CI/CD, monitoring, and retraining pipelines.
* Familiarity with modern LLMOps frameworks (e.g., LangChain, PromptFlow).
* Familiar with AI coding assistant, AI IDE, Agentic coding assistant such as GitHub Copilot, and Cursor.
* 3\+ years of experience conducting applied AI research in academic or industry settings.
* 3\+ year of experience developing and deploying live production systems or AI services.
* 2\+ years of experience developing evaluation systems for Generative AI or large\-scale deep learning models and ML stacks.
* Experience across the product lifecycle from ideation to shipping.
\#BICJobs
\#MCSJobs
\#CopilotStudio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1">
      <c r="A31" t="inlineStr">
        <is>
          <t>in-6e66dd120c7f6b65</t>
        </is>
      </c>
      <c r="B31" t="inlineStr">
        <is>
          <t>Applied Scientist, Amazon Music AI Personalization</t>
        </is>
      </c>
      <c r="C31" t="inlineStr">
        <is>
          <t>Amazon.com</t>
        </is>
      </c>
      <c r="D31" t="inlineStr">
        <is>
          <t>indeed</t>
        </is>
      </c>
      <c r="E31" t="inlineStr"/>
      <c r="F31" t="inlineStr"/>
      <c r="G31" t="inlineStr">
        <is>
          <t>San Francisco, CA, US</t>
        </is>
      </c>
      <c r="H31" s="1" t="n">
        <v>46077</v>
      </c>
      <c r="I31" t="inlineStr">
        <is>
          <t>**DESCRIPTION**
---------------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Come join a team at the nexus of AI, machine learning, visual and audio technologies within Amazon Music's Artificial Intelligence \&amp; Personalization organization. We're transforming how customers experience music by creating context\-rich, intelligently assembled content that powers every surface—from AI\-generated playlists and insights to interactive experiences and visual storytelling.
Key job responsibilities  
* Work backwards from customer needs to research and develop novel machine learning approaches for music and spoken word multimodal content generation
* Design, develop, evaluate, and deploy scalable AI and ML solutions for customer problems including training LLMs, reasoning models, and diffusion models, agentic and RAG systems, diffusion models
* Ship production quality code for models and collaborate with software engineering teams to drive implementation and experimentation in complex Amazon production systems
* Improve upon existing methods by developing new data sources, testing model enhancements, and fine\-tuning model parameters
* Analyze and extract relevant information from large amounts of structured and unstructured, complex and interrelated datasets describing customer behavior and content
* Advocate technical solutions to business stakeholders, engineering teams, as well as executive level decision makers
* Communicate results, insights and recommendations to audiences of varying levels of technical sophistication
* Conduct literature reviews and stay current with advancements in the field, adapting latest in literature to build efficient and scalable models
* Promote the culture of experimentation and scientific rigor at Amazon
* Contribute to progress of the Amazon and broader research communities by publishing papers
A day in the life  
Lead innovation in AI/ML to shape Amazon Music experiences for millions. Develop state of the art models leveraging and advancing the latest developments in machine learning and genAI including post\-training of LLMs, diffusion models. Collaborate with talented engineers and scientists to guide research and build scalable models across our audio portfolio \- music, podcasts, live streaming, and more. Drive experiments and rapid prototyping, leveraging Amazon's data at scale. Innovate daily alongside world\-class teams to delight customers worldwide through personalization.  
About the team  
We are a team of deeply technical Applied Scientists and Machine Learning Engineers passionate about improving CX through state of the art AI methods. We work on multimodal generation to enhance the audio listening experience on several surfaces Alexa, mobile, fireTV \- from AI\-generated playlists and insights to interactive experiences and visual storytelling.
**BASIC QUALIFICATIONS**
------------------------
* Experience programming in Java, C\+\+, Python or related language
* Master's degree in computer science, mathematics, statistics, machine learning or equivalent quantitative field
**PREFERRED QUALIFICATIONS**
----------------------------
* Experience implementing algorithms using both toolkits and self\-developed code
* Have publications at top\-tier peer\-reviewed conferences or journals
* PhD in Engineering, Computer Science, Machine Learning, Operations Research, Statistics, or related fields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\- 157,300\.00 \- 212,800\.00 USD annually</t>
        </is>
      </c>
    </row>
    <row r="32">
      <c r="A32" t="inlineStr">
        <is>
          <t>in-4f1cd64a7387f476</t>
        </is>
      </c>
      <c r="B32" t="inlineStr">
        <is>
          <t>Principal Applied Scientist, Amazon Publisher Monetization - Prime Video Ads</t>
        </is>
      </c>
      <c r="C32" t="inlineStr">
        <is>
          <t>Amazon.com</t>
        </is>
      </c>
      <c r="D32" t="inlineStr">
        <is>
          <t>indeed</t>
        </is>
      </c>
      <c r="E32" t="inlineStr"/>
      <c r="F32" t="inlineStr"/>
      <c r="G32" t="inlineStr">
        <is>
          <t>Seattle, WA, US</t>
        </is>
      </c>
      <c r="H32" s="1" t="n">
        <v>46076</v>
      </c>
      <c r="I32" t="inlineStr">
        <is>
          <t>**DESCRIPTION**
---------------
The Amazon Publisher Monetization (APM) Prime Video Ads team sits at the intersection of premium video content and advertising innovation, developing differentiated advertising experiences that delight both advertisers and viewers. Prime Video has a unique combination of assets in our premium video content, wide customer reach, Amazon audience insights, and more, positioning us to become the lead publisher for Streaming TV ads globally. We are seeking a Principal Applied Scientist to evolves our advertising solutions, invent new advertiser and viewer experiences, and accelerate the pace of innovation across our rapidly growing business.  
This team develops systems that power Prime Video's advertising delivery and performance optimization. Our customers are global brand advertisers and agencies who leverage Prime Video's premium content to reach audiences in impactful ways. Given Prime Video's low ad load, we require extremely efficient ad delivery to maintain our premium positioning for advertisers while keeping viewers engaged.  
To be successful in this role you should be recognized as an industry expert who has experience defining a long\-term science vision within the AdTech and video advertising domain, driven fundamentally from the needs of customers, translating that direction into specific plans for research scientists, applied scientists, engineering and product teams. This is a role that combines science leadership, organizational ability, technical expertise, product focus, and business understanding. You will thrive in a fast\-paced startup\-like environment, think big, move fast, and find ways to improve both advertiser and viewer experiences through ML innovation. If you are interested in making huge impact and shaping the future of Prime Video Advertising worldwide, come join us as we work hard, have fun, and make history.  
Key job responsibilities  
As a Principal Applied Scientist, you will:  
Own and drive the most complex and strategic solutions across Prime Video Advertising; responsible for innovations that impact billions in revenue across our global streaming TV business.  
Act as a thought leader and forward thinker in the streaming TV advertising space, anticipating obstacles to success, identifying new opportunities in video advertising ML, and helping avoid common failure modes as the industry rapidly evolves.  
Research, build, and deploy innovative machine learning solutions for video advertising challenges including forecasting, yield optimization, ad serving optimization, supply\-demand management, and viewer experience optimization; working across all technical disciplines.  
Partner with science and engineering leaders across APM and Amazon Ads to identify and deliver innovative solutions that drive advertiser diversity, premium product innovation, and differentiated streaming TV experiences; define the vision and execute solutions that continually delight both advertisers and viewers.  
Hire, mentor, and guide senior scientists; partner with engineering leaders to build efficient and scalable solutions that operate 24x7x365 serving hundreds of millions of customers worldwide.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\- 198,900\.00 \- 269,000\.00 USD annually</t>
        </is>
      </c>
    </row>
    <row r="33">
      <c r="A33" t="inlineStr">
        <is>
          <t>in-2be0adad52d758c0</t>
        </is>
      </c>
      <c r="B33" t="inlineStr">
        <is>
          <t>Data Scientist</t>
        </is>
      </c>
      <c r="C33" t="inlineStr">
        <is>
          <t>Microsoft</t>
        </is>
      </c>
      <c r="D33" t="inlineStr">
        <is>
          <t>indeed</t>
        </is>
      </c>
      <c r="E33" t="inlineStr"/>
      <c r="F33" t="inlineStr"/>
      <c r="G33" t="inlineStr">
        <is>
          <t>Redmond, WA, US</t>
        </is>
      </c>
      <c r="H33" s="1" t="n">
        <v>46066</v>
      </c>
      <c r="I33" t="inlineStr">
        <is>
          <t>**Overview**  
The Bing organization is looking for a Data and Applied Scientist for its online metric team. The team is pushing the boundaries regarding online A/B experimentation capabilities and methods, as well as informs our understanding for how users engage with search engines and integrated AI experiences, and then translates the insights into actionable metrics. These metrics provide direction to the the Bing and MAI organization and help engineers make the right ship decisions for their thousands of online controlled experiments.
Hundreds of millions of users visit Bing.com worldwide monthly, and we have a large opportunity to grow further. At Bing, we celebrate our data driven culture: changes only ship when their impact is understood and positive. This role is a great opportunity to make solid, and even multiplicative impact on the org.
As a data and applied scientist in this team, you will have the chance to work on and deliver metrics that drive the direction of major Bing initiatives. You will have the chance to be involved in the analysis and decision making for 1000s of online controlled A/B experiments. Come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analyze, and interpret A/B online experiments to evaluate user engagement and generate actionable, trustworthy insights that inform product decisions.
* Perform hands\-on analysis of large\-scale telemetry data using advanced statistical methods, algorithms, and data tools to uncover meaningful patterns and trends.
* Develop and monitor key success metrics to measure and improve Bing customer satisfaction, engagement, and retention.
* Formulate data\-driven strategies to understand correlations among critical Bing metrics and deliver clear, rigorous ship decisions.
Effectively communicate analytical methodologies, data visualizations, and evidence\-based recommendations across cross\-functional teams to drive alignment and impact.  
*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with SQL\-like query languages.
* Hands on experience in design \&amp; problem\-solving skills with one or more programming languages, such as Python, Java, C\# or C\+\+ .
* Ability to work independently, influence others, and solid communication and collaboration skills.
* Familiarity with search engines, dealing with online instrumentation.
* Experience with large datasets and interest in consumer online search behaviors.
* Experience with building machine learning models on large scale data.
\#MicrosoftAI \#Search \#MAI \#nextplay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4">
      <c r="A34" t="inlineStr">
        <is>
          <t>in-466be6aff982ce54</t>
        </is>
      </c>
      <c r="B34" t="inlineStr">
        <is>
          <t>Data Scientist</t>
        </is>
      </c>
      <c r="C34" t="inlineStr">
        <is>
          <t>Elder Research Inc</t>
        </is>
      </c>
      <c r="D34" t="inlineStr">
        <is>
          <t>indeed</t>
        </is>
      </c>
      <c r="E34">
        <f>HYPERLINK("https://www.indeed.com/viewjob?jk=466be6aff982ce54", "https://www.indeed.com/viewjob?jk=466be6aff982ce54")</f>
        <v/>
      </c>
      <c r="F34">
        <f>HYPERLINK("https://elderresearch.hrmdirect.com/employment/view.php?req=3655714&amp;jbsrc=1014&amp;location=dedd6764-2222-045c-63e1-b06f48592b25", "https://elderresearch.hrmdirect.com/employment/view.php?req=3655714&amp;jbsrc=1014&amp;location=dedd6764-2222-045c-63e1-b06f48592b25")</f>
        <v/>
      </c>
      <c r="G34" t="inlineStr">
        <is>
          <t>Arlington, VA, US</t>
        </is>
      </c>
      <c r="H34" s="2" t="n">
        <v>46084</v>
      </c>
      <c r="I34" t="inlineStr">
        <is>
          <t>**Data Scientist**
**General Information**
**Requisition \# 674**
**Locations** USA\-VA\-Arlington
**Posting Date** 03/04/2026
**Security Clearance Required** \- IRS MBI
**Remote Type** Hybrid
**Time Type** Full time
**Description \&amp; Requirements**
Elder Research Inc., a wholly owned subsidiary of MANTECH international Corporation seeks a motivated, career and customer\-oriented Data Scientist to join our team in Arlington, VA. This role is a remote role preferably in the Washington DC area.
As a Data Scientist, you will support the Internal Revenue Service’s mission to improve tax compliance, fraud detection, and risk identification across large, complex tax and financial data environments. You will work directly with government clients, program managers, and technical teams to understand business and compliance challenges, design analytical approaches, and deliver data\-driven solutions that inform enforcement, audit prioritization, and fraud prevention efforts.
In this role, you will develop, test, and deploy predictive and statistical models using structured and unstructured data to identify anomalies, non\-compliance risk, and potential fraud within tax records and related datasets. You will contribute across the full data science lifecycle, from problem formulation and data exploration through model validation, deployment, and stakeholder communication.
**Responsibilities include but are not limited to:**
* Prior programming experience, preferably in Python or R, including data exploration, feature engineering, model development, and writing modular, reusable, well\-documented code within an iterative development process that includes peer review and collaboration
* Demonstrated experience using Python, SQL, and Databricks for data analysis, modeling, statistical evaluation, and working with Markdown for technical documentation
* Explore, clean, and wrangle large, complex datasets to uncover insights and identify opportunities for data science–driven solutions in support of assessments, gap analyses, and actionable recommendations for IRS stakeholders
* Design, develop, test, validate, and implement quantitative and qualitative data science solutions and predictive risk models (including audit selection, refund review, and fraud prevention initiatives) that are modular, maintainable, adaptable to evolving government and regulatory requirements, and supported by robustness, sensitivity, and significance testing to ensure defensible and explainable results
* Apply statistical and machine learning techniques (supervised and unsupervised) to anomaly detection, fraud identification, and non\-compliance risk scoring to help prioritize cases based on compliance risk, fraud indicators, and business impact
* Collaborate with clients, subject matter experts, and cross\-functional teams to refine problem statements, requirements, and analytical approaches, while demonstrating the ability to work independently in a collaborative, fast\-paced environment
* Prepare and deliver technical and non\-technical briefings, reports, and presentations to audiences with varying levels of analytical sophistication, translating business and compliance needs into technical solutions with strong interpersonal, written, and verbal communication skills
**Minimum Qualifications:**
* Bachelor of Science degree in a relevant field such as statistics, computer science, economics, mathematics, analytics, data science, business, or social sciences
* 2\-10\+ years of experience in data science, analytics, or a related technical field
* Experience using version control systems (e.g., Git) and collaborative development practices
* Strong understanding of relational databases and SQL
* Comfortable learning new tools, methodologies, and domains, including working outside your comfort zone
* Strong analytical mindset with a willingness to tackle complex mathematical and statistical challenges
* Willingness to travel and work on\-site at client locations as required by project needs
**Preferred Qualifications:**
* Advanced degree (MS or PhD) in statistics, computer science, data science, mathematics, analytics, engineering, or related fields; experience applying advanced statistical concepts including sampling considerations, bias detection, weighting techniques, handling missing or outlier data, exploratory analysis, and longitudinal forecasting; and understanding of the data analytics lifecycle (e.g., CRISP\-DM)
* Experience with PySpark, Unity Catalog, and Jobs in Databricks, with familiarity using platforms and tools such as Databricks and AWS
* Experience with Natural Language Processing (NLP) and text analytics applied to unstructured documents or case notes, as well as graph analytics and network analysis to identify relationships, fraud rings, or interconnected entities
* Experience with containerization and environment management (e.g., venv, conda)
* Experience operating in secure or remote government environments, including use of bash and command\-line tools
**Clearance Requirements:**
* Must currently possess an IRS Public Trust clearance with Full Background Investigation
**Physical Requirements:**
* Must be able to remain in a stationary position 50%
* Needs to occasionally move about inside the office to access file cabinets, office machinery, etc.
* Frequently communicates with co\-workers, management, and customers, which may involve delivering presentations. Must be able to exchange accurate information in these situation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35">
      <c r="A35" t="inlineStr">
        <is>
          <t>in-46c829930be5234a</t>
        </is>
      </c>
      <c r="B35" t="inlineStr">
        <is>
          <t>Sr. Applied Scientist, Amazon Ads</t>
        </is>
      </c>
      <c r="C35" t="inlineStr">
        <is>
          <t>Amazon.com</t>
        </is>
      </c>
      <c r="D35" t="inlineStr">
        <is>
          <t>indeed</t>
        </is>
      </c>
      <c r="E35">
        <f>HYPERLINK("https://www.indeed.com/viewjob?jk=46c829930be5234a", "https://www.indeed.com/viewjob?jk=46c829930be5234a")</f>
        <v/>
      </c>
      <c r="F35">
        <f>HYPERLINK("https://www.amazon.jobs/jobs/3139328/sr-applied-scientist-amazon-ads?cmpid=DA_INAD200785B", "https://www.amazon.jobs/jobs/3139328/sr-applied-scientist-amazon-ads?cmpid=DA_INAD200785B")</f>
        <v/>
      </c>
      <c r="G35" t="inlineStr">
        <is>
          <t>Brooklyn, NY,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in-8e9f6c6bcf990ea4</t>
        </is>
      </c>
      <c r="B36" t="inlineStr">
        <is>
          <t>Sr. Applied Scientist, Amazon Ads</t>
        </is>
      </c>
      <c r="C36" t="inlineStr">
        <is>
          <t>Amazon.com</t>
        </is>
      </c>
      <c r="D36" t="inlineStr">
        <is>
          <t>indeed</t>
        </is>
      </c>
      <c r="E36">
        <f>HYPERLINK("https://www.indeed.com/viewjob?jk=8e9f6c6bcf990ea4", "https://www.indeed.com/viewjob?jk=8e9f6c6bcf990ea4")</f>
        <v/>
      </c>
      <c r="F36">
        <f>HYPERLINK("https://www.amazon.jobs/jobs/3139328/sr-applied-scientist-amazon-ads?cmpid=DA_INAD200785B", "https://www.amazon.jobs/jobs/3139328/sr-applied-scientist-amazon-ads?cmpid=DA_INAD200785B")</f>
        <v/>
      </c>
      <c r="G36" t="inlineStr">
        <is>
          <t>Santa Monica, CA,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in-71ec394bdd1b4065</t>
        </is>
      </c>
      <c r="B37" t="inlineStr">
        <is>
          <t>Sr. Applied Scientist, Amazon Ads</t>
        </is>
      </c>
      <c r="C37" t="inlineStr">
        <is>
          <t>Amazon.com</t>
        </is>
      </c>
      <c r="D37" t="inlineStr">
        <is>
          <t>indeed</t>
        </is>
      </c>
      <c r="E37">
        <f>HYPERLINK("https://www.indeed.com/viewjob?jk=71ec394bdd1b4065", "https://www.indeed.com/viewjob?jk=71ec394bdd1b4065")</f>
        <v/>
      </c>
      <c r="F37">
        <f>HYPERLINK("https://www.amazon.jobs/jobs/3139328/sr-applied-scientist-amazon-ads?cmpid=DA_INAD200785B", "https://www.amazon.jobs/jobs/3139328/sr-applied-scientist-amazon-ads?cmpid=DA_INAD200785B")</f>
        <v/>
      </c>
      <c r="G37" t="inlineStr">
        <is>
          <t>Sunnyvale, CA,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in-c9e1f9227ba504cc</t>
        </is>
      </c>
      <c r="B38" t="inlineStr">
        <is>
          <t>Sr. Applied Scientist, Amazon Ads</t>
        </is>
      </c>
      <c r="C38" t="inlineStr">
        <is>
          <t>Amazon.com</t>
        </is>
      </c>
      <c r="D38" t="inlineStr">
        <is>
          <t>indeed</t>
        </is>
      </c>
      <c r="E38">
        <f>HYPERLINK("https://www.indeed.com/viewjob?jk=c9e1f9227ba504cc", "https://www.indeed.com/viewjob?jk=c9e1f9227ba504cc")</f>
        <v/>
      </c>
      <c r="F38">
        <f>HYPERLINK("https://www.amazon.jobs/jobs/3139328/sr-applied-scientist-amazon-ads?cmpid=DA_INAD200785B", "https://www.amazon.jobs/jobs/3139328/sr-applied-scientist-amazon-ads?cmpid=DA_INAD200785B")</f>
        <v/>
      </c>
      <c r="G38" t="inlineStr">
        <is>
          <t>New York, NY,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in-2c0fff2657fd8dba</t>
        </is>
      </c>
      <c r="B39" t="inlineStr">
        <is>
          <t>Sr. Applied Scientist, Amazon Ads</t>
        </is>
      </c>
      <c r="C39" t="inlineStr">
        <is>
          <t>Amazon.com</t>
        </is>
      </c>
      <c r="D39" t="inlineStr">
        <is>
          <t>indeed</t>
        </is>
      </c>
      <c r="E39">
        <f>HYPERLINK("https://www.indeed.com/viewjob?jk=2c0fff2657fd8dba", "https://www.indeed.com/viewjob?jk=2c0fff2657fd8dba")</f>
        <v/>
      </c>
      <c r="F39">
        <f>HYPERLINK("https://www.amazon.jobs/jobs/3139328/sr-applied-scientist-amazon-ads?cmpid=DA_INAD200785B", "https://www.amazon.jobs/jobs/3139328/sr-applied-scientist-amazon-ads?cmpid=DA_INAD200785B")</f>
        <v/>
      </c>
      <c r="G39" t="inlineStr">
        <is>
          <t>Boston, MA,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in-0f2302d66b30c014</t>
        </is>
      </c>
      <c r="B40" t="inlineStr">
        <is>
          <t>Sr. Applied Scientist, Amazon Ads</t>
        </is>
      </c>
      <c r="C40" t="inlineStr">
        <is>
          <t>Amazon.com</t>
        </is>
      </c>
      <c r="D40" t="inlineStr">
        <is>
          <t>indeed</t>
        </is>
      </c>
      <c r="E40">
        <f>HYPERLINK("https://www.indeed.com/viewjob?jk=0f2302d66b30c014", "https://www.indeed.com/viewjob?jk=0f2302d66b30c014")</f>
        <v/>
      </c>
      <c r="F40">
        <f>HYPERLINK("https://www.amazon.jobs/jobs/3139328/sr-applied-scientist-amazon-ads?cmpid=DA_INAD200785B", "https://www.amazon.jobs/jobs/3139328/sr-applied-scientist-amazon-ads?cmpid=DA_INAD200785B")</f>
        <v/>
      </c>
      <c r="G40" t="inlineStr">
        <is>
          <t>Boulder, CO, US</t>
        </is>
      </c>
      <c r="H40" s="2"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in-d691482333ffab28</t>
        </is>
      </c>
      <c r="B41" t="inlineStr">
        <is>
          <t>Sr. Applied Scientist, Amazon Ads</t>
        </is>
      </c>
      <c r="C41" t="inlineStr">
        <is>
          <t>Amazon.com</t>
        </is>
      </c>
      <c r="D41" t="inlineStr">
        <is>
          <t>indeed</t>
        </is>
      </c>
      <c r="E41">
        <f>HYPERLINK("https://www.indeed.com/viewjob?jk=d691482333ffab28", "https://www.indeed.com/viewjob?jk=d691482333ffab28")</f>
        <v/>
      </c>
      <c r="F41">
        <f>HYPERLINK("https://www.amazon.jobs/jobs/3139328/sr-applied-scientist-amazon-ads?cmpid=DA_INAD200785B", "https://www.amazon.jobs/jobs/3139328/sr-applied-scientist-amazon-ads?cmpid=DA_INAD200785B")</f>
        <v/>
      </c>
      <c r="G41" t="inlineStr">
        <is>
          <t>Palo Alto, CA, US</t>
        </is>
      </c>
      <c r="H41" s="2"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in-ea712b4e95b63f82</t>
        </is>
      </c>
      <c r="B42" t="inlineStr">
        <is>
          <t>Sr. Applied Scientist, Amazon Ads</t>
        </is>
      </c>
      <c r="C42" t="inlineStr">
        <is>
          <t>Amazon.com</t>
        </is>
      </c>
      <c r="D42" t="inlineStr">
        <is>
          <t>indeed</t>
        </is>
      </c>
      <c r="E42">
        <f>HYPERLINK("https://www.indeed.com/viewjob?jk=ea712b4e95b63f82", "https://www.indeed.com/viewjob?jk=ea712b4e95b63f82")</f>
        <v/>
      </c>
      <c r="F42">
        <f>HYPERLINK("https://www.amazon.jobs/jobs/3139328/sr-applied-scientist-amazon-ads?cmpid=DA_INAD200785B", "https://www.amazon.jobs/jobs/3139328/sr-applied-scientist-amazon-ads?cmpid=DA_INAD200785B")</f>
        <v/>
      </c>
      <c r="G42" t="inlineStr">
        <is>
          <t>Corvallis, OR,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in-06872cd959ea5997</t>
        </is>
      </c>
      <c r="B43" t="inlineStr">
        <is>
          <t>Sr. Applied Scientist, Amazon Ads</t>
        </is>
      </c>
      <c r="C43" t="inlineStr">
        <is>
          <t>Amazon.com</t>
        </is>
      </c>
      <c r="D43" t="inlineStr">
        <is>
          <t>indeed</t>
        </is>
      </c>
      <c r="E43">
        <f>HYPERLINK("https://www.indeed.com/viewjob?jk=06872cd959ea5997", "https://www.indeed.com/viewjob?jk=06872cd959ea5997")</f>
        <v/>
      </c>
      <c r="F43">
        <f>HYPERLINK("https://www.amazon.jobs/jobs/3139328/sr-applied-scientist-amazon-ads?cmpid=DA_INAD200785B", "https://www.amazon.jobs/jobs/3139328/sr-applied-scientist-amazon-ads?cmpid=DA_INAD200785B")</f>
        <v/>
      </c>
      <c r="G43" t="inlineStr">
        <is>
          <t>Tukwila, WA, US</t>
        </is>
      </c>
      <c r="H43" s="2"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in-ecce956ce53f1d78</t>
        </is>
      </c>
      <c r="B44" t="inlineStr">
        <is>
          <t>Sr. Applied Scientist, Amazon Ads</t>
        </is>
      </c>
      <c r="C44" t="inlineStr">
        <is>
          <t>Amazon.com</t>
        </is>
      </c>
      <c r="D44" t="inlineStr">
        <is>
          <t>indeed</t>
        </is>
      </c>
      <c r="E44">
        <f>HYPERLINK("https://www.indeed.com/viewjob?jk=ecce956ce53f1d78", "https://www.indeed.com/viewjob?jk=ecce956ce53f1d78")</f>
        <v/>
      </c>
      <c r="F44">
        <f>HYPERLINK("https://www.amazon.jobs/jobs/3139328/sr-applied-scientist-amazon-ads?cmpid=DA_INAD200785B", "https://www.amazon.jobs/jobs/3139328/sr-applied-scientist-amazon-ads?cmpid=DA_INAD200785B")</f>
        <v/>
      </c>
      <c r="G44" t="inlineStr">
        <is>
          <t>Seattle, WA, US</t>
        </is>
      </c>
      <c r="H44" s="2"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in-73cda26ce54843b8</t>
        </is>
      </c>
      <c r="B45" t="inlineStr">
        <is>
          <t>Applied Scientist II, Prime Video - Personalization and Discovery Science, Personalization and Discovery Science</t>
        </is>
      </c>
      <c r="C45" t="inlineStr">
        <is>
          <t>Amazon.com</t>
        </is>
      </c>
      <c r="D45" t="inlineStr">
        <is>
          <t>indeed</t>
        </is>
      </c>
      <c r="E45">
        <f>HYPERLINK("https://www.indeed.com/viewjob?jk=73cda26ce54843b8", "https://www.indeed.com/viewjob?jk=73cda26ce54843b8")</f>
        <v/>
      </c>
      <c r="F4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5" t="inlineStr">
        <is>
          <t>New York, NY, US</t>
        </is>
      </c>
      <c r="H45" s="2" t="n">
        <v>45930</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in-46cd72b35213862a</t>
        </is>
      </c>
      <c r="B46" t="inlineStr">
        <is>
          <t>Applied Scientist II, Prime Video - Personalization and Discovery Science, Personalization and Discovery Science</t>
        </is>
      </c>
      <c r="C46" t="inlineStr">
        <is>
          <t>Amazon.com</t>
        </is>
      </c>
      <c r="D46" t="inlineStr">
        <is>
          <t>indeed</t>
        </is>
      </c>
      <c r="E46">
        <f>HYPERLINK("https://www.indeed.com/viewjob?jk=46cd72b35213862a", "https://www.indeed.com/viewjob?jk=46cd72b35213862a")</f>
        <v/>
      </c>
      <c r="F4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6" t="inlineStr">
        <is>
          <t>Seattle, WA, US</t>
        </is>
      </c>
      <c r="H46" s="2" t="n">
        <v>45930</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in-4e1abd253a668925</t>
        </is>
      </c>
      <c r="B47" t="inlineStr">
        <is>
          <t>Applied Scientist II, Prime Video - Personalization and Discovery Science, Personalization and Discovery Science</t>
        </is>
      </c>
      <c r="C47" t="inlineStr">
        <is>
          <t>Amazon.com</t>
        </is>
      </c>
      <c r="D47" t="inlineStr">
        <is>
          <t>indeed</t>
        </is>
      </c>
      <c r="E47">
        <f>HYPERLINK("https://www.indeed.com/viewjob?jk=4e1abd253a668925", "https://www.indeed.com/viewjob?jk=4e1abd253a668925")</f>
        <v/>
      </c>
      <c r="F4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7" t="inlineStr">
        <is>
          <t>Sunnyvale, CA, US</t>
        </is>
      </c>
      <c r="H47" s="2" t="n">
        <v>45930</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in-7be9c4d21665cd35</t>
        </is>
      </c>
      <c r="B48" t="inlineStr">
        <is>
          <t>Sr. Applied Scientist, Prime Video - Personalization and Discovery Science</t>
        </is>
      </c>
      <c r="C48" t="inlineStr">
        <is>
          <t>Amazon.com</t>
        </is>
      </c>
      <c r="D48" t="inlineStr">
        <is>
          <t>indeed</t>
        </is>
      </c>
      <c r="E48">
        <f>HYPERLINK("https://www.indeed.com/viewjob?jk=7be9c4d21665cd35", "https://www.indeed.com/viewjob?jk=7be9c4d21665cd35")</f>
        <v/>
      </c>
      <c r="F48">
        <f>HYPERLINK("https://www.amazon.jobs/jobs/3059256/sr-applied-scientist-prime-video--personalization-and-discovery-science?cmpid=DA_INAD200785B", "https://www.amazon.jobs/jobs/3059256/sr-applied-scientist-prime-video--personalization-and-discovery-science?cmpid=DA_INAD200785B")</f>
        <v/>
      </c>
      <c r="G48" t="inlineStr">
        <is>
          <t>Seattle, WA, US</t>
        </is>
      </c>
      <c r="H48" s="2" t="n">
        <v>45881</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in-2791fb47a3034b39</t>
        </is>
      </c>
      <c r="B49" t="inlineStr">
        <is>
          <t>Sr. Applied Scientist, Prime Video - Personalization and Discovery Science</t>
        </is>
      </c>
      <c r="C49" t="inlineStr">
        <is>
          <t>Amazon.com</t>
        </is>
      </c>
      <c r="D49" t="inlineStr">
        <is>
          <t>indeed</t>
        </is>
      </c>
      <c r="E49">
        <f>HYPERLINK("https://www.indeed.com/viewjob?jk=2791fb47a3034b39", "https://www.indeed.com/viewjob?jk=2791fb47a3034b39")</f>
        <v/>
      </c>
      <c r="F49">
        <f>HYPERLINK("https://www.amazon.jobs/jobs/3059256/sr-applied-scientist-prime-video--personalization-and-discovery-science?cmpid=DA_INAD200785B", "https://www.amazon.jobs/jobs/3059256/sr-applied-scientist-prime-video--personalization-and-discovery-science?cmpid=DA_INAD200785B")</f>
        <v/>
      </c>
      <c r="G49" t="inlineStr">
        <is>
          <t>New York, NY, US</t>
        </is>
      </c>
      <c r="H49" s="2" t="n">
        <v>45881</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in-980cea7ff8989beb</t>
        </is>
      </c>
      <c r="B50" t="inlineStr">
        <is>
          <t>Applied Scientist II, Prime Video - Personalization and Discovery Science</t>
        </is>
      </c>
      <c r="C50" t="inlineStr">
        <is>
          <t>Amazon.com</t>
        </is>
      </c>
      <c r="D50" t="inlineStr">
        <is>
          <t>indeed</t>
        </is>
      </c>
      <c r="E50">
        <f>HYPERLINK("https://www.indeed.com/viewjob?jk=980cea7ff8989beb", "https://www.indeed.com/viewjob?jk=980cea7ff8989beb")</f>
        <v/>
      </c>
      <c r="F50">
        <f>HYPERLINK("https://www.amazon.jobs/jobs/3059253/applied-scientist-ii-prime-video--personalization-and-discovery-science?cmpid=DA_INAD200785B", "https://www.amazon.jobs/jobs/3059253/applied-scientist-ii-prime-video--personalization-and-discovery-science?cmpid=DA_INAD200785B")</f>
        <v/>
      </c>
      <c r="G50" t="inlineStr">
        <is>
          <t>New York, NY, US</t>
        </is>
      </c>
      <c r="H50" s="2" t="n">
        <v>45881</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in-525f44836bbf8fc3</t>
        </is>
      </c>
      <c r="B51" t="inlineStr">
        <is>
          <t>Sr. Applied Scientist, Prime Video - Personalization and Discovery Science</t>
        </is>
      </c>
      <c r="C51" t="inlineStr">
        <is>
          <t>Amazon.com</t>
        </is>
      </c>
      <c r="D51" t="inlineStr">
        <is>
          <t>indeed</t>
        </is>
      </c>
      <c r="E51">
        <f>HYPERLINK("https://www.indeed.com/viewjob?jk=525f44836bbf8fc3", "https://www.indeed.com/viewjob?jk=525f44836bbf8fc3")</f>
        <v/>
      </c>
      <c r="F51">
        <f>HYPERLINK("https://www.amazon.jobs/jobs/3059256/sr-applied-scientist-prime-video--personalization-and-discovery-science?cmpid=DA_INAD200785B", "https://www.amazon.jobs/jobs/3059256/sr-applied-scientist-prime-video--personalization-and-discovery-science?cmpid=DA_INAD200785B")</f>
        <v/>
      </c>
      <c r="G51" t="inlineStr">
        <is>
          <t>Sunnyvale, CA, US</t>
        </is>
      </c>
      <c r="H51" s="2" t="n">
        <v>45881</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in-312aa994cdd3b58a</t>
        </is>
      </c>
      <c r="B52" t="inlineStr">
        <is>
          <t>Applied Scientist II, Prime Video - Personalization and Discovery Science</t>
        </is>
      </c>
      <c r="C52" t="inlineStr">
        <is>
          <t>Amazon.com</t>
        </is>
      </c>
      <c r="D52" t="inlineStr">
        <is>
          <t>indeed</t>
        </is>
      </c>
      <c r="E52">
        <f>HYPERLINK("https://www.indeed.com/viewjob?jk=312aa994cdd3b58a", "https://www.indeed.com/viewjob?jk=312aa994cdd3b58a")</f>
        <v/>
      </c>
      <c r="F52">
        <f>HYPERLINK("https://www.amazon.jobs/jobs/3059253/applied-scientist-ii-prime-video--personalization-and-discovery-science?cmpid=DA_INAD200785B", "https://www.amazon.jobs/jobs/3059253/applied-scientist-ii-prime-video--personalization-and-discovery-science?cmpid=DA_INAD200785B")</f>
        <v/>
      </c>
      <c r="G52" t="inlineStr">
        <is>
          <t>Sunnyvale, CA, US</t>
        </is>
      </c>
      <c r="H52" s="2" t="n">
        <v>45881</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in-82695edfef5061e4</t>
        </is>
      </c>
      <c r="B53" t="inlineStr">
        <is>
          <t>Applied Scientist II, Prime Video - Personalization and Discovery Science</t>
        </is>
      </c>
      <c r="C53" t="inlineStr">
        <is>
          <t>Amazon.com</t>
        </is>
      </c>
      <c r="D53" t="inlineStr">
        <is>
          <t>indeed</t>
        </is>
      </c>
      <c r="E53">
        <f>HYPERLINK("https://www.indeed.com/viewjob?jk=82695edfef5061e4", "https://www.indeed.com/viewjob?jk=82695edfef5061e4")</f>
        <v/>
      </c>
      <c r="F53">
        <f>HYPERLINK("https://www.amazon.jobs/jobs/3059253/applied-scientist-ii-prime-video--personalization-and-discovery-science?cmpid=DA_INAD200785B", "https://www.amazon.jobs/jobs/3059253/applied-scientist-ii-prime-video--personalization-and-discovery-science?cmpid=DA_INAD200785B")</f>
        <v/>
      </c>
      <c r="G53" t="inlineStr">
        <is>
          <t>Seattle, WA, US</t>
        </is>
      </c>
      <c r="H53" s="2" t="n">
        <v>45881</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in-8c8e0185bbc9ba7d</t>
        </is>
      </c>
      <c r="B54" t="inlineStr">
        <is>
          <t>Data Scientist</t>
        </is>
      </c>
      <c r="C54" t="inlineStr">
        <is>
          <t>Micron Technology</t>
        </is>
      </c>
      <c r="D54" t="inlineStr">
        <is>
          <t>indeed</t>
        </is>
      </c>
      <c r="E54">
        <f>HYPERLINK("https://www.indeed.com/viewjob?jk=8c8e0185bbc9ba7d", "https://www.indeed.com/viewjob?jk=8c8e0185bbc9ba7d")</f>
        <v/>
      </c>
      <c r="F54">
        <f>HYPERLINK("https://careers.micron.com/careers/job/40662603", "https://careers.micron.com/careers/job/40662603")</f>
        <v/>
      </c>
      <c r="G54" t="inlineStr">
        <is>
          <t>Boise, ID, US</t>
        </is>
      </c>
      <c r="H54" s="2" t="n">
        <v>46084</v>
      </c>
      <c r="I54"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Employ techniques and theories drawn from areas of mathematics, statistics, semiconductor physics, materials science, and information technology to uncover patterns in data from which predictive models, actionable insights, and solutions can be developed. Engage with expert Data Scientists, Data Engineers, Domain Experts, and UI/UX teams to identify questions and issues for data analysis projects and improvement of existing tools. Help develop software programs, algorithms and automated processes to cleanse, integrate, and evaluate large datasets from multiple disparate sources. Perform analysis and machine learning on terabytes and petabytes of diverse datasets in a highly automated industrial manufacturing environment. Statistical modeling, feature extraction and analysis in supervised/ unsupervised/ semi\-supervised learning environment. Extract data from different databases via SQL and other query languages and apply data cleansing, outlier identification, and missing data techniques.
Employer will accept a Master’s degree in Data Science, Business Analytics, Computer Science, Statistics, Mathematics, or a related field and 3 years of experience in the job offered or in a data scientist\-related occupation. Position requires:
1\. Concepts and implementation of AI, ML, optimization algorithms, statistics, modelling and simulation.  
2\. Model performance monitoring and working with cross\-functional teams to integrate monitoring tools into production pipelines.  
3\. Feature engineering, dimensionality reduction, imbalanced problem handling for numerical or image data for continuous model improvement.  
4\. Time\-series data semi\-supervised learning, and data with frequently changing distributions.  
5\. Visualization tool development to communicate complex data insights effectively to multiple stakeholder teams  
6\. Python and SQL  
7\. Big data and cloud platforms including Spark, Hadoop, Cloud experience (such as Google Cloud or AWS) and CI/CD pipelines for model deployment.  
8\. Git for code management and collaboration.  
9\. Linux/Unix environments, including shell scripting and system operations.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
Micron Foundation
Strong communities and education are vital to the success of both society and innovative companies. Every Micron site understands the complex needs of their local community. Whether it’s through strategic giving, sponsorships or deploying team member volunteers, we are making a difference.  
Sustainability  
Micron is committed to sustainable practices and supporting our global community. We are building and maintaining sustainable operations, products, and communities while focusing on opportunities and risks that are most important to our business success and stakeholders.</t>
        </is>
      </c>
    </row>
    <row r="55">
      <c r="A55" t="inlineStr">
        <is>
          <t>in-7cee08c7a5372f7e</t>
        </is>
      </c>
      <c r="B55" t="inlineStr">
        <is>
          <t>Sr. Data Scientist, Retail Ops - Temp - Remote</t>
        </is>
      </c>
      <c r="C55" t="inlineStr">
        <is>
          <t>Harbor Freight Tools</t>
        </is>
      </c>
      <c r="D55" t="inlineStr">
        <is>
          <t>indeed</t>
        </is>
      </c>
      <c r="E55">
        <f>HYPERLINK("https://www.indeed.com/viewjob?jk=7cee08c7a5372f7e", "https://www.indeed.com/viewjob?jk=7cee08c7a5372f7e")</f>
        <v/>
      </c>
      <c r="F55">
        <f>HYPERLINK("https://sjobs.brassring.com/TGNewUI/Search/Home/Homewithpreload?partnerid=26281&amp;siteid=7319&amp;Pagetype=jobdetails&amp;jobid=1390166&amp;codes=Indeed", "https://sjobs.brassring.com/TGNewUI/Search/Home/Homewithpreload?partnerid=26281&amp;siteid=7319&amp;Pagetype=jobdetails&amp;jobid=1390166&amp;codes=Indeed")</f>
        <v/>
      </c>
      <c r="G55" t="inlineStr">
        <is>
          <t>Calabasas, CA, US</t>
        </is>
      </c>
      <c r="H55" s="2" t="n">
        <v>46084</v>
      </c>
      <c r="I55" t="inlineStr">
        <is>
          <t>The anticipated rate for this position is $53\.27\-$79\.86 per hour depending on location, knowledge, skills, education and experience. Associates can accrue paid sick time up to 64 hours per year unless otherwise required by law. The Company observes 100 hours of paid holiday time.The Sr. Data Scientist, Retail Ops leads the decision analytics, in AI/ML, predictive modeling initiatives for retail operations with the mission for business impact. A thought leader in the analytical decision space, the role is responsible for leading cross\-functional teams of data scientist, data engineer and business stakeholders to deliver impactful data and analytical products to the Retail Operations organization.  
**Duties and Responsibilities*** Complete ownership of modeling lifecycle from problem statement, modeling to implementation.
* Lead scoping sessions with business stakeholders and make recommendations to the business using analytics
* Partner with Business and Technology leaders inside and outside the department on strategic and operational initiatives and guide the organization on analytical upside and scaling
* Analytical Leader and point person for business and internal team in structuring analytical problems
* Lead and develop, AI/ML MVP and production products (Models, Decision tools) for our field executive personas.
* Mentor \&amp; guide data scientist on best\-practices, methodologies and modeling techniques.
* Develop deep understanding of business problems and find optimal build/buy decision framework for problems
* Model Measurement and Business impact of analytical bets
* Influence and evangelize organization on analytical opportunities and AI industry trends.
* Own \&amp; manage multiple cross\-functional projects often concurrently.
* Build complex Tableau BI dashboards and visualizations suited for business stakeholders
* Own the creation of optimal user experience and analytical utility of the data visualization ecosystem
**Scope*** Staff supervision and development: No
* Decision making:
	+ Supports and collaborates on policy development and resolves problems; provides data for decision support; provides consultation or expert advice; participates in planning business objectives
* Travel: Up to 5%
* Flex Designation: Anywhere</t>
        </is>
      </c>
    </row>
    <row r="56">
      <c r="A56" t="inlineStr">
        <is>
          <t>in-4cbe9594c554da2a</t>
        </is>
      </c>
      <c r="B56" t="inlineStr">
        <is>
          <t>Data Scientist, AWS Infrastructure Services Science</t>
        </is>
      </c>
      <c r="C56" t="inlineStr">
        <is>
          <t>Amazon.com</t>
        </is>
      </c>
      <c r="D56" t="inlineStr">
        <is>
          <t>indeed</t>
        </is>
      </c>
      <c r="E56">
        <f>HYPERLINK("https://www.indeed.com/viewjob?jk=4cbe9594c554da2a", "https://www.indeed.com/viewjob?jk=4cbe9594c554da2a")</f>
        <v/>
      </c>
      <c r="F56">
        <f>HYPERLINK("https://www.amazon.jobs/jobs/3181348/data-scientist-aws-infrastructure-services-science?cmpid=DA_INAD200785B", "https://www.amazon.jobs/jobs/3181348/data-scientist-aws-infrastructure-services-science?cmpid=DA_INAD200785B")</f>
        <v/>
      </c>
      <c r="G56" t="inlineStr">
        <is>
          <t>Herndon, VA, US</t>
        </is>
      </c>
      <c r="H56" s="2" t="n">
        <v>46065</v>
      </c>
      <c r="I5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57">
      <c r="A57" t="inlineStr">
        <is>
          <t>in-8b1a25ffc864aa08</t>
        </is>
      </c>
      <c r="B57" t="inlineStr">
        <is>
          <t>Data Scientist, AWS Infrastructure Services Science</t>
        </is>
      </c>
      <c r="C57" t="inlineStr">
        <is>
          <t>Amazon.com</t>
        </is>
      </c>
      <c r="D57" t="inlineStr">
        <is>
          <t>indeed</t>
        </is>
      </c>
      <c r="E57">
        <f>HYPERLINK("https://www.indeed.com/viewjob?jk=8b1a25ffc864aa08", "https://www.indeed.com/viewjob?jk=8b1a25ffc864aa08")</f>
        <v/>
      </c>
      <c r="F57">
        <f>HYPERLINK("https://www.amazon.jobs/jobs/3181348/data-scientist-aws-infrastructure-services-science?cmpid=DA_INAD200785B", "https://www.amazon.jobs/jobs/3181348/data-scientist-aws-infrastructure-services-science?cmpid=DA_INAD200785B")</f>
        <v/>
      </c>
      <c r="G57" t="inlineStr">
        <is>
          <t>Seattle, WA, US</t>
        </is>
      </c>
      <c r="H57" s="2" t="n">
        <v>46065</v>
      </c>
      <c r="I5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58">
      <c r="A58" t="inlineStr">
        <is>
          <t>in-b223c3b9722e96ea</t>
        </is>
      </c>
      <c r="B58" t="inlineStr">
        <is>
          <t>Data Scientist, Rapid &amp; Rural Logistics (R2L)</t>
        </is>
      </c>
      <c r="C58" t="inlineStr">
        <is>
          <t>Amazon.com</t>
        </is>
      </c>
      <c r="D58" t="inlineStr">
        <is>
          <t>indeed</t>
        </is>
      </c>
      <c r="E58">
        <f>HYPERLINK("https://www.indeed.com/viewjob?jk=b223c3b9722e96ea", "https://www.indeed.com/viewjob?jk=b223c3b9722e96ea")</f>
        <v/>
      </c>
      <c r="F58">
        <f>HYPERLINK("https://www.amazon.jobs/jobs/3187361/data-scientist-rapid--rural-logistics-rl?cmpid=DA_INAD200785B", "https://www.amazon.jobs/jobs/3187361/data-scientist-rapid--rural-logistics-rl?cmpid=DA_INAD200785B")</f>
        <v/>
      </c>
      <c r="G58" t="inlineStr">
        <is>
          <t>New York, NY, US</t>
        </is>
      </c>
      <c r="H58" s="2" t="n">
        <v>46056</v>
      </c>
      <c r="I58"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59">
      <c r="A59" t="inlineStr">
        <is>
          <t>in-550c617cb5808844</t>
        </is>
      </c>
      <c r="B59" t="inlineStr">
        <is>
          <t>Data Scientist, Rapid &amp; Rural Logistics (R2L)</t>
        </is>
      </c>
      <c r="C59" t="inlineStr">
        <is>
          <t>Amazon.com</t>
        </is>
      </c>
      <c r="D59" t="inlineStr">
        <is>
          <t>indeed</t>
        </is>
      </c>
      <c r="E59">
        <f>HYPERLINK("https://www.indeed.com/viewjob?jk=550c617cb5808844", "https://www.indeed.com/viewjob?jk=550c617cb5808844")</f>
        <v/>
      </c>
      <c r="F59">
        <f>HYPERLINK("https://www.amazon.jobs/jobs/3187361/data-scientist-rapid--rural-logistics-rl?cmpid=DA_INAD200785B", "https://www.amazon.jobs/jobs/3187361/data-scientist-rapid--rural-logistics-rl?cmpid=DA_INAD200785B")</f>
        <v/>
      </c>
      <c r="G59" t="inlineStr">
        <is>
          <t>Bellevue, WA, US</t>
        </is>
      </c>
      <c r="H59" s="2" t="n">
        <v>46056</v>
      </c>
      <c r="I59"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60">
      <c r="A60" t="inlineStr">
        <is>
          <t>in-a9255b6a4d820fb2</t>
        </is>
      </c>
      <c r="B60" t="inlineStr">
        <is>
          <t>Sr Staff Data Scientist</t>
        </is>
      </c>
      <c r="C60" t="inlineStr">
        <is>
          <t>Stellantis</t>
        </is>
      </c>
      <c r="D60" t="inlineStr">
        <is>
          <t>indeed</t>
        </is>
      </c>
      <c r="E60">
        <f>HYPERLINK("https://www.indeed.com/viewjob?jk=a9255b6a4d820fb2", "https://www.indeed.com/viewjob?jk=a9255b6a4d820fb2")</f>
        <v/>
      </c>
      <c r="F60">
        <f>HYPERLINK("https://FCA.contacthr.com/151276736", "https://FCA.contacthr.com/151276736")</f>
        <v/>
      </c>
      <c r="G60" t="inlineStr">
        <is>
          <t>Auburn Hills, MI, US</t>
        </is>
      </c>
      <c r="H60" s="2" t="n">
        <v>46084</v>
      </c>
      <c r="I60" t="inlineStr">
        <is>
          <t>**Your Mission:**  
The Machine Learning \&amp; AI Engineering Team is looking for a Sr Staff Data Scientist to act as a technical thought leader and architect across quality, engineering, and vehicle data domains. This role owns the design, evolution, and application of advanced ML, AI, and experimentation systems that directly influence product quality, customer experience, and measurable business outcomes. This is a senior individual contributor role with enterprise\-wide influence, expected to shape strategy, mentor others, and partner closely with engineering, product, and leadership
Priorities can change in a fast\-paced environment like ours, so this role includes, but is not limited to the following responsibilities:
**Technical Leadership \&amp; Strategy:**  
Being the trusted expert who own and evolve the ML \&amp; AI framework supporting quality and engineering products across the organization.
Set technical direction for modeling, experimentation, and data architecture aligned to business and product strategy
Serve as a trusted advisor to senior stakeholders on ML/AI feasibility, tradeoffs, and impact
**Advanced Analytics \&amp; Modeling:**  
Lead development of predictive, prescriptive, and causal models using vehicle, IoT, and enterprise data.
Apply advanced statistical, ML, and deep learning techniques to root cause analysis, quality improvement, and feature optimization.
Design and refine LLM\-based and agentic systems for engineering and quality applications.
**Data \&amp; Platform Architecture:**  
Architect and guide implementation of scalable data pipelines and distributed analytics systems (Spark\-based).
Lead model lifecycle management, validation, and performance governance in production environments.
Ensure solutions are robust, explainable, and suitable for regulated automotive contexts.
**E xperimentation \&amp; Product Impact:**  
Lead the experimentation platform and methodology, enabling safe, agile testing of software and vehicle features.
Translate experimental results into actionable product and engineering decisions.
Drive measurable outcomes in revenue, warranty cost reduction, and customer experience.
**Knowledge Sharing \&amp; Influence:**  
Democratize learning through contributions to a centralized internal knowledge base and external technical blog.
Mentor senior and mid\-level data scientists; raise the overall technical bar of the organization.
Educate partners on problem formulation, research design, and interpretation of results.
**Top Performers will be able to demonstrate:**  
Demonstrated business impact through deployed models or analytics\-driven products.
Measurable improvements in quality, warranty cost, or customer experience.
Clear influence on technical direction beyond immediate project scope.
Effective communication and alignment with non\-technical and executive stakeholders.
Measurable consumer experience impact through analysis, statistical models or products built.
**Your Platform:**  
A truly global company, we have headquarters in Amsterdam, Paris, Turin, and Auburn Hills. We also have technology hubs on the east and west coast of the United States, in South America and India. These locations are the nerve center of our company, where the best ideas combine with unrivalled rigor to create the biggest and best automotive experiences in the world.
**Our World:**  
Great mobility solutions start with great people! This is an exciting time to join us!
Stellantis is a leading global mobility player guided by a clear mission: to provide freedom of movement for all through distinctive, appealing, affordable and sustainable mobility solutions. Our Company’s strength lies in the breadth of our iconic brand portfolio, the diversity and passion of our 300,000 people, and our deep roots in the communities in which we operate.
In this new era of mobility, our portfolio of brands is uniquely positioned to offer distinctive and sustainable solutions to meet the evolving needs of customers, as they embrace electrification, connectivity, autonomous driving and shared ownership. Founded by visionaries who infused them with passion and competitive spirit, these brands have made automotive history for more than a century and continue to speak to customers and inspire our employees today.
The driving force behind us is the diverse and talented group of men and women around the world who bring their passion and experience to their work every day. And while we are a truly global organization, we remain deeply rooted in the communities in which we operate and our people live and work.
**Required Qualifications:**  
Master or PhD Degree required with technical focus (e.g. Data science, Statistics, CS, Physics, Engineering, etc.)
8\+ years of total experience in data\-oriented advanced analytics/ machine learning
5\+ years of intensive experience on Databricks, Palantir, Snowflake or AWS SageMaker.
Expert\-level proficiency in Python (or R) and SQL for feature engineering and modeling.
Deep knowledge of statistical methods, ML algorithms, and neural network–based systems.
Experience designing solutions on distributed data processing platforms (Spark).
**Preferred Qualifications:**  
Expertise in LLM fine\-tuning, agentic systems, or ML systems for engineering use cases
QA Knowledge for vehicle, propulsion and battery components
Our Benefits — Designed with You in Mind
Comprehensive Health \&amp; Well\-being Coverage
From your very first day, you’ll have access to medical, dental, vision, and prescription drug coverage — ensuring you and your family stay healthy and protected.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An employer match on contributions to your 401k, Roth, and Catch\-Up plans
An employer contribution, even if you don’t contribute
Income Protection \&amp; Insurance Options
Benefit from included and optional disability, life, and other insurance programs — because your peace of mind matters.
Company Vehicle Lease Program
Eligible employees and their immediate families can enjoy company vehicle lease options with included insurance, maintenance, and unlimited mileage. Plus, take advantage of exclusive discounts on Stellantis products.
Family Building Benefit
We proudly support all paths to parenthood\- including fertility and infertility treatments, adoption services, and gestational surrogacy.
Support for Your Growth and Giving Back
**We believe in investing in your future and your passions:**  
Tuition reimbursement
Student loan refinancing programs
18 paid volunteer hours each year to make a difference in your community
And so much more!
When you join us, you’re not just building a career — you’re joining a company that supports you, inside and outside of work.</t>
        </is>
      </c>
    </row>
    <row r="61">
      <c r="A61" t="inlineStr">
        <is>
          <t>in-80102a4c0695266e</t>
        </is>
      </c>
      <c r="B61" t="inlineStr">
        <is>
          <t>Manager &amp; Senior Data Scientist</t>
        </is>
      </c>
      <c r="C61" t="inlineStr">
        <is>
          <t>Travelers</t>
        </is>
      </c>
      <c r="D61" t="inlineStr">
        <is>
          <t>indeed</t>
        </is>
      </c>
      <c r="E61">
        <f>HYPERLINK("https://www.indeed.com/viewjob?jk=80102a4c0695266e", "https://www.indeed.com/viewjob?jk=80102a4c0695266e")</f>
        <v/>
      </c>
      <c r="F61">
        <f>HYPERLINK("https://travelersindex.contacthr.com/151274454", "https://travelersindex.contacthr.com/151274454")</f>
        <v/>
      </c>
      <c r="G61" t="inlineStr">
        <is>
          <t>Hartford, CT, US</t>
        </is>
      </c>
      <c r="H61" s="2" t="n">
        <v>46084</v>
      </c>
      <c r="I61"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$146,400\.00 \- $241,600\.00**Target Openings**
1**What Is the Opportunity?**
Travelers Data Scientists are taking the organization to the next level of intelligence by using advanced statistical techniques and machine learning algorithms. As a Manager \&amp; Sr. Data Scientist, you will build sophisticated models that solve important business problems and enhance our customer experience. This may include the use of artificial intelligence techniques to analyze imagery, text, and other unstructured data. You will employ storytelling using data to communicate insights and findings to stakeholders. This role may manage others.  
This role will serve as a technical leader in Business Insurance Transportation Data Science team, owning key components of our model refresh and rebuild lifecycle while also driving data modernization and process transformation. You will \-
* Lead key workstreams within our pricing model refresh, including feature evaluation, model validation, and segmentation analysis
* Evaluate and integrate new third\-party data sources to enhance model performance
* Drive modernization of analytical data pipelines in collaboration with Data Engineering teams
* Streamline rating factor delivery, regulatory filing workflows, and production integration with IT and business partners
* Communicate findings to actuarial, underwriting, and business stakeholders
* Mentor junior talent and support team development
**What Will You Do?**
* Manage portions of business or technical projects focused on the design or development of analytical solutions.
* Share expertise with the community through discussions, presentations, or peer reviews
* Set and manage expectations with business partners for small projects, and with limited guidance, identify potential conflicts and build consensus.
* Communicate analysis, insights, and results to team, peers, and business partners, and with guidance, tailor communication to the audience.
* Be a mentor or resource for less experienced analytic talent, onboard new employees and interns, and support recruiting and talent assessment efforts.
* Support various training and skill development initiatives.
* Perform other duties as assigned.
**What Will Our Ideal Candidate Have?**
* Master's in STEM related field or equivalent.
* 5 years of related experience.
* Advanced working knowledge of modeling/research/ analytics or actuarial required.
* Strong grasp of value creation and business model concepts.
* Advanced knowledge of multiple statistical software programs.
* Ability to develop advanced models and interpret model results.
* Application of advanced statistics underlying data models.
* Ability to develop emerging statistical procedures to work.
* Advanced knowledge in 2\-3 of the following: Regression, Classification, Machine Vision, Natural Language Processing, Deep Learning and Statistical modeling.
**What is a Must Have?**
* Master's degree in Statistics, Mathematics, Decision Sciences, Actuarial Science or related analytical STEM field plus three years of experience, or Ph.D in Statistics, Mathematics, Decision Sciences, Actuarial Science or related analytical STEM field plus zero years of experience, or any suitable and equivalent combination of education and work experience.
* Heavy concentration in mathematics, including statistics and programming, business intelligence/analytics, as well as data science tools and research using large data sets.
* Additional verification of specific coursework will be required.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62">
      <c r="A62" t="inlineStr">
        <is>
          <t>in-abae49da88e2a151</t>
        </is>
      </c>
      <c r="B62" t="inlineStr">
        <is>
          <t>Staff, Data Scientist – Conversational AI</t>
        </is>
      </c>
      <c r="C62" t="inlineStr">
        <is>
          <t>Walmart</t>
        </is>
      </c>
      <c r="D62" t="inlineStr">
        <is>
          <t>indeed</t>
        </is>
      </c>
      <c r="E62">
        <f>HYPERLINK("https://www.indeed.com/viewjob?jk=abae49da88e2a151", "https://www.indeed.com/viewjob?jk=abae49da88e2a151")</f>
        <v/>
      </c>
      <c r="F62">
        <f>HYPERLINK("https://click.appcast.io/t/JbERrc7eBz5_wJ_WxG7dQGP-kJ-s-8NF7yx4GXsRtB0=", "https://click.appcast.io/t/JbERrc7eBz5_wJ_WxG7dQGP-kJ-s-8NF7yx4GXsRtB0=")</f>
        <v/>
      </c>
      <c r="G62" t="inlineStr">
        <is>
          <t>Sunnyvale, CA, US</t>
        </is>
      </c>
      <c r="H62" s="2" t="n">
        <v>46084</v>
      </c>
      <c r="I62" t="inlineStr">
        <is>
          <t>**Position Summary...**
-----------------------
**What you'll do...**
---------------------
Cortex Team is Walmarts core A.I. conversational platform, powering the vision of delivering the worlds best personal assistants to Walmarts customers, accessible via natural voice commands, text messages, rich UI interactions, and a mix of all of the above via multi\-modal experiences. We believe*conversations*are a natural and powerful user interface for interacting with technology and enable a richer customer experiences both online and in\-store. We are building and designing the next generation of Natural Language Understanding (NLU) services that other teams can easily integrate and leverage, and build rich experiences: from pure voice and text shopping assistants (Siri,Sparky), to customer care channels, to mobile apps with rich, intertwined, multi\-modal interaction modes (Me@Walmart). Interested in diving in? We need passionate and seasoned NLP data\-scientists to help us improve and evolve our capabilities, taking into account the full conversational context, multi\-modal interactions, and an ever increasing list of use cases. Come at the right time, and you will have an enormous opportunity to make a massive impact on the design, architecture, and implementation of an innovative, mission critical product, driven by data\-science, used every day, by people you know, and which customers love. As part of the emerging tech group, you will also have the additional opportunity of building demos, proof of concepts, creating white papers, writing blogs, etc. Minimum Qualifications
* Experience with Python; solid knowledge SQL.
* Hands on experience with classical ML models, test/train/evaluation metrics, key parameters/techniques that affect model performance
* Understanding of relevant statistical measures such as confidence intervals, significance of error measurements, development and evaluation data sets.
* Familiarity and ideally experience with NLU/NLP, more recent deep ML models (e.g., Transformers, BERT, Llama, Gpts, Gemini) and safe fine\-tuning of these.
* A business analytical mind; ability to communicate with consumers of the model and present results in intuitive ways.
* Experience analyzing data to identify patterns and conducting error/deviation analysis; passion for fixing issues in the data and finding the optimal representation.
* Ability to take a project from scoping requirements through actual launch.
* A continuous drive to explore, improve, enhance, automate, and optimize models and products.
* Excellent oral and written communication skills.
* Bachelors degree or certification in Machine Learning, Computer Science, Engineering, Mathematics, Statistics or any other related field.
Preferred Qualifications
* Exposure to real\-world, production grade agentic systems.
* Familiarity with LLMs serving optimizations and multi\-LoRa
* Ability to develop experimental and analytic plans for data modeling processes, use of strong baselines, ability to accurately determine cause and effect relations
* Strong attention to detail and exceptional level of organization
* Proven ability to achieve results in a fast paced, highly collaborative, dynamic work environment
* Hands\-on expertise in many disparate technologies and the full model lifecycle, typically ranging from data pipelines, data extraction, model training, model serving, labeling tools, ML\-ops, ad\-hoc tooling and all points in between.
* PhD in a relevant field (Machine Learning, Computer Science, Engineering, Mathematics, Physics, Statistics or a related field)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680 West California Avenue, Sunnyvale, CA 94086\-4834,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63">
      <c r="A63" t="inlineStr">
        <is>
          <t>in-8fe51a394de352e3</t>
        </is>
      </c>
      <c r="B63" t="inlineStr">
        <is>
          <t>(USA) Senior, Data Scientist</t>
        </is>
      </c>
      <c r="C63" t="inlineStr">
        <is>
          <t>Walmart</t>
        </is>
      </c>
      <c r="D63" t="inlineStr">
        <is>
          <t>indeed</t>
        </is>
      </c>
      <c r="E63">
        <f>HYPERLINK("https://www.indeed.com/viewjob?jk=8fe51a394de352e3", "https://www.indeed.com/viewjob?jk=8fe51a394de352e3")</f>
        <v/>
      </c>
      <c r="F63">
        <f>HYPERLINK("https://click.appcast.io/t/w7R4wFwDyg743wS1jVmBNaLvr0Eg23xpQ3lQU4_XW6E=", "https://click.appcast.io/t/w7R4wFwDyg743wS1jVmBNaLvr0Eg23xpQ3lQU4_XW6E=")</f>
        <v/>
      </c>
      <c r="G63" t="inlineStr">
        <is>
          <t>Bentonville, AR, US</t>
        </is>
      </c>
      <c r="H63" s="2" t="n">
        <v>46084</v>
      </c>
      <c r="I63" t="inlineStr">
        <is>
          <t>**Position Summary...**
-----------------------
**What you'll do...**
---------------------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support the understanding of the priority order of requirements and service level agreements Help identify the most suitable source for data that is fit for purpose Perform initial data quality checks on extracted data
Data Strategy Requires knowledge of understanding of business value and relevance of data and data enabled insights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and apply principles of the defined strategy to routine business problems that involve a single function
Model Deployment and Scaling Requires knowledge of impact of variables and features on model performance understanding of servers model formats to store models To support efforts to ensure that analytical models and techniques used can be deployed into production Support evaluation of the analytical model Support the scalability and sustainability of analytical models
Code Development and Testing Requires knowledge of coding languages like SQL Java C Python and others Testing methods such as static dynamic software composition analysis manual penetration testing and others Business domain understanding To write code to develop the required solution and application features by using the recommended programming language and leveraging business technical and data requirements Test the code using the recommended testing approach
Model Assessment and Validation Requires knowledge of model fit testing tuning and validation techniques eg Chi square ROC curve root mean square error etc Impact of variables and features on model performance To Identify the model evaluation metrics Apply best practice techniques for model testing and tuning to assess accuracy fit validity and robustness for multistage models and model ensembles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Tech Problem Formulation Requires knowledge of Analytics big data analytics automation techniques and methods Business understanding Precedence and use cases Business requirements and insights To translate own business problems within ones discipline to data related or mathematical solutions Identify appropriate methods tools to be leveraged to provide a solution for the problem Share use cases and gives examples to demonstrate how the method would solve the business problem
Analytical Modeling Requires knowledge of feature relevance and selection Exploratory data analysis methods and techniques Advanced statistical methods and best practice advanced modelling techniques eg graphical models Bayesian inference basic level of NLP Vision neural networks SVM Random Forest etc Multivariate calculus Statistical models behind standard ML models Advanced excel techniques and Programming languages like RPython Basic classical optimization techniques eg NewtonRapson methods Gradient descent Numerical methods of optimization eg Linear Programming Integer Programming Quadratic Programming etc To select the analytical modeling technique most suitable for the structured complex data and develops custom analytical models Conduct exploratory data analysis activities for example basic statistical analysis hypothesis testing statistical inferences on available data Define and finalize features based on model responses and introduces new or revised features to enhance the analysis and outcomes Identify the dimensions of the experiment finalize the design test hypotheses and conduct the experiment Perform trend and cluster analysis on data to answer practical business problems and provide recommendations and key insights to the business Mentor and guide junior associates on basic modeling and analytics techniques to solve complex problems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Respect the Individual: Demonstrates and encourages respect for all builds a highperforming team seeks and embraces differences in people cultures ideas and experiences creates a workplace where all associates feel seen supported and connected through culture of belonging so associates thrive and perform drives a positive associate and customermember experience for all identifies attracts and retains the best team members  
Respect the Individual: Creates a discipline and focus around developing talent through feedback coaching mentoring and developmental opportunities promotes an environment allowing everyone to bring their best selves to work empowers associates and partners to act in the best interest of the customermember and company and regularly recognizes others contributions and accomplishments  
Respect the Individual: Builds strong and trusting relationships with team members and business partners works collaboratively and crossfunctionally to achieve objectives and communicates and listens attentively with energy and positivity to motivate influence and inspire commitment and action  
Act with Integrity Maintains and promotes the highest standards of integrity ethics and compliance models the Walmart values and leads by example to foster our culture supports Walmarts goal of becoming a regenerative company by making a positive impact for associates customers and the world around us eg creating a sense of belonging eliminating waste participating in local giving  
Act with Integrity Follows the law our code of conduct and company policies and sets expectations for others to do the same promotes an environment where associates feel comfortable sharing concerns and reinforces our culture of nonretaliation listens to concerns raised by associates takes action and encourages others to do the same holds self and others accountable for achieving results in a way that is consistent with our values  
Act with Integrity Acts as an altruistic servant leader and is consistently humble selfaware honest and transparent  
Serve our Customers and Members Delivers expected business results while putting the customermember first and consistently applying an omnimerchant mindset and acts with an Every Day LowCost mindset to drive value and Every Day Low Prices for customersmembers  
Serve our Customers and Members Adopts a holistic perspective that considers data analytics customermember insights and different parts of the business when making plans and shaping the teams strategy  
Strive for Excellence Consistently raises the bar and seeks to improve demonstrates curiosity and a growth mindset seeks feedback asks thoughtful questions fosters an environment that supports learning innovation and learning from mistakes and intelligent risktaking and exhibits resilience in the face of setbacks  
Strive for Excellence Seeks and implements continuous improvements and encourages the team to leverage new digital tools and ways of working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64">
      <c r="A64" t="inlineStr">
        <is>
          <t>in-7b536bef062e220e</t>
        </is>
      </c>
      <c r="B64" t="inlineStr">
        <is>
          <t>Principal Applied Scientist, AWS Marketplace &amp; Partner Services</t>
        </is>
      </c>
      <c r="C64" t="inlineStr">
        <is>
          <t>Amazon Web Services</t>
        </is>
      </c>
      <c r="D64" t="inlineStr">
        <is>
          <t>indeed</t>
        </is>
      </c>
      <c r="E64">
        <f>HYPERLINK("https://www.indeed.com/viewjob?jk=7b536bef062e220e", "https://www.indeed.com/viewjob?jk=7b536bef062e220e")</f>
        <v/>
      </c>
      <c r="F64">
        <f>HYPERLINK("https://www.amazon.jobs/jobs/3177084/principal-applied-scientist-aws-marketplace--partner-services?cmpid=DA_INAD200785B", "https://www.amazon.jobs/jobs/3177084/principal-applied-scientist-aws-marketplace--partner-services?cmpid=DA_INAD200785B")</f>
        <v/>
      </c>
      <c r="G64" t="inlineStr">
        <is>
          <t>San Diego, CA, US</t>
        </is>
      </c>
      <c r="H64" s="2" t="n">
        <v>46056</v>
      </c>
      <c r="I6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65">
      <c r="A65" t="inlineStr">
        <is>
          <t>in-3ba3c177c127d1c5</t>
        </is>
      </c>
      <c r="B65" t="inlineStr">
        <is>
          <t>Principal Applied Scientist, AWS Marketplace &amp; Partner Services</t>
        </is>
      </c>
      <c r="C65" t="inlineStr">
        <is>
          <t>Amazon Web Services</t>
        </is>
      </c>
      <c r="D65" t="inlineStr">
        <is>
          <t>indeed</t>
        </is>
      </c>
      <c r="E65">
        <f>HYPERLINK("https://www.indeed.com/viewjob?jk=3ba3c177c127d1c5", "https://www.indeed.com/viewjob?jk=3ba3c177c127d1c5")</f>
        <v/>
      </c>
      <c r="F65">
        <f>HYPERLINK("https://www.amazon.jobs/jobs/3177084/principal-applied-scientist-aws-marketplace--partner-services?cmpid=DA_INAD200785B", "https://www.amazon.jobs/jobs/3177084/principal-applied-scientist-aws-marketplace--partner-services?cmpid=DA_INAD200785B")</f>
        <v/>
      </c>
      <c r="G65" t="inlineStr">
        <is>
          <t>Austin, TX, US</t>
        </is>
      </c>
      <c r="H65" s="2" t="n">
        <v>46056</v>
      </c>
      <c r="I65"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66">
      <c r="A66" t="inlineStr">
        <is>
          <t>in-182c3e52d91fc186</t>
        </is>
      </c>
      <c r="B66" t="inlineStr">
        <is>
          <t>Principal Applied Scientist, AWS Marketplace &amp; Partner Services</t>
        </is>
      </c>
      <c r="C66" t="inlineStr">
        <is>
          <t>Amazon Web Services</t>
        </is>
      </c>
      <c r="D66" t="inlineStr">
        <is>
          <t>indeed</t>
        </is>
      </c>
      <c r="E66">
        <f>HYPERLINK("https://www.indeed.com/viewjob?jk=182c3e52d91fc186", "https://www.indeed.com/viewjob?jk=182c3e52d91fc186")</f>
        <v/>
      </c>
      <c r="F66">
        <f>HYPERLINK("https://www.amazon.jobs/jobs/3177084/principal-applied-scientist-aws-marketplace--partner-services?cmpid=DA_INAD200785B", "https://www.amazon.jobs/jobs/3177084/principal-applied-scientist-aws-marketplace--partner-services?cmpid=DA_INAD200785B")</f>
        <v/>
      </c>
      <c r="G66" t="inlineStr">
        <is>
          <t>Seattle, WA, US</t>
        </is>
      </c>
      <c r="H66" s="2" t="n">
        <v>46056</v>
      </c>
      <c r="I66"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67">
      <c r="A67" t="inlineStr">
        <is>
          <t>in-4ccdcd913275eadf</t>
        </is>
      </c>
      <c r="B67" t="inlineStr">
        <is>
          <t>Principal Applied Scientist, AWS Marketplace &amp; Partner Services</t>
        </is>
      </c>
      <c r="C67" t="inlineStr">
        <is>
          <t>Amazon Web Services</t>
        </is>
      </c>
      <c r="D67" t="inlineStr">
        <is>
          <t>indeed</t>
        </is>
      </c>
      <c r="E67">
        <f>HYPERLINK("https://www.indeed.com/viewjob?jk=4ccdcd913275eadf", "https://www.indeed.com/viewjob?jk=4ccdcd913275eadf")</f>
        <v/>
      </c>
      <c r="F67">
        <f>HYPERLINK("https://www.amazon.jobs/jobs/3177084/principal-applied-scientist-aws-marketplace--partner-services?cmpid=DA_INAD200785B", "https://www.amazon.jobs/jobs/3177084/principal-applied-scientist-aws-marketplace--partner-services?cmpid=DA_INAD200785B")</f>
        <v/>
      </c>
      <c r="G67" t="inlineStr">
        <is>
          <t>New York, NY, US</t>
        </is>
      </c>
      <c r="H67" s="2" t="n">
        <v>46056</v>
      </c>
      <c r="I67"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68">
      <c r="A68" t="inlineStr">
        <is>
          <t>in-0d4d15afe96ef2db</t>
        </is>
      </c>
      <c r="B68" t="inlineStr">
        <is>
          <t>Sr. Applied Scientist, AWS Healthcare-AI</t>
        </is>
      </c>
      <c r="C68" t="inlineStr">
        <is>
          <t>Amazon.com</t>
        </is>
      </c>
      <c r="D68" t="inlineStr">
        <is>
          <t>indeed</t>
        </is>
      </c>
      <c r="E68">
        <f>HYPERLINK("https://www.indeed.com/viewjob?jk=0d4d15afe96ef2db", "https://www.indeed.com/viewjob?jk=0d4d15afe96ef2db")</f>
        <v/>
      </c>
      <c r="F68">
        <f>HYPERLINK("https://www.amazon.jobs/jobs/3179064/sr-applied-scientist-aws-healthcareai?cmpid=DA_INAD200785B", "https://www.amazon.jobs/jobs/3179064/sr-applied-scientist-aws-healthcareai?cmpid=DA_INAD200785B")</f>
        <v/>
      </c>
      <c r="G68" t="inlineStr">
        <is>
          <t>Mountain View, CA, US</t>
        </is>
      </c>
      <c r="H68" s="2" t="n">
        <v>46055</v>
      </c>
      <c r="I68"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69">
      <c r="A69" t="inlineStr">
        <is>
          <t>in-7ebff395dfd50e4c</t>
        </is>
      </c>
      <c r="B69" t="inlineStr">
        <is>
          <t>Sr. Applied Scientist, AWS Healthcare-AI</t>
        </is>
      </c>
      <c r="C69" t="inlineStr">
        <is>
          <t>Amazon.com</t>
        </is>
      </c>
      <c r="D69" t="inlineStr">
        <is>
          <t>indeed</t>
        </is>
      </c>
      <c r="E69">
        <f>HYPERLINK("https://www.indeed.com/viewjob?jk=7ebff395dfd50e4c", "https://www.indeed.com/viewjob?jk=7ebff395dfd50e4c")</f>
        <v/>
      </c>
      <c r="F69">
        <f>HYPERLINK("https://www.amazon.jobs/jobs/3179064/sr-applied-scientist-aws-healthcareai?cmpid=DA_INAD200785B", "https://www.amazon.jobs/jobs/3179064/sr-applied-scientist-aws-healthcareai?cmpid=DA_INAD200785B")</f>
        <v/>
      </c>
      <c r="G69" t="inlineStr">
        <is>
          <t>Seattle, WA, US</t>
        </is>
      </c>
      <c r="H69" s="2" t="n">
        <v>46055</v>
      </c>
      <c r="I69"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70">
      <c r="A70" t="inlineStr">
        <is>
          <t>in-e7144c40d5fd2c06</t>
        </is>
      </c>
      <c r="B70" t="inlineStr">
        <is>
          <t>Applied Scientist (Contract), Artificial General Intelligence</t>
        </is>
      </c>
      <c r="C70" t="inlineStr">
        <is>
          <t>Amazon.com</t>
        </is>
      </c>
      <c r="D70" t="inlineStr">
        <is>
          <t>indeed</t>
        </is>
      </c>
      <c r="E70">
        <f>HYPERLINK("https://www.indeed.com/viewjob?jk=e7144c40d5fd2c06", "https://www.indeed.com/viewjob?jk=e7144c40d5fd2c06")</f>
        <v/>
      </c>
      <c r="F70">
        <f>HYPERLINK("https://www.amazon.jobs/jobs/3179168/applied-scientist-contract-artificial-general-intelligence?cmpid=DA_INAD200785B", "https://www.amazon.jobs/jobs/3179168/applied-scientist-contract-artificial-general-intelligence?cmpid=DA_INAD200785B")</f>
        <v/>
      </c>
      <c r="G70" t="inlineStr">
        <is>
          <t>Bellevue, WA, US</t>
        </is>
      </c>
      <c r="H70" s="2" t="n">
        <v>46055</v>
      </c>
      <c r="I7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71">
      <c r="A71" t="inlineStr">
        <is>
          <t>in-022210b0bc2a1564</t>
        </is>
      </c>
      <c r="B71" t="inlineStr">
        <is>
          <t>Applied Scientist (Contract), Artificial General Intelligence</t>
        </is>
      </c>
      <c r="C71" t="inlineStr">
        <is>
          <t>Amazon.com</t>
        </is>
      </c>
      <c r="D71" t="inlineStr">
        <is>
          <t>indeed</t>
        </is>
      </c>
      <c r="E71">
        <f>HYPERLINK("https://www.indeed.com/viewjob?jk=022210b0bc2a1564", "https://www.indeed.com/viewjob?jk=022210b0bc2a1564")</f>
        <v/>
      </c>
      <c r="F71">
        <f>HYPERLINK("https://www.amazon.jobs/jobs/3179169/applied-scientist-contract-artificial-general-intelligence?cmpid=DA_INAD200785B", "https://www.amazon.jobs/jobs/3179169/applied-scientist-contract-artificial-general-intelligence?cmpid=DA_INAD200785B")</f>
        <v/>
      </c>
      <c r="G71" t="inlineStr">
        <is>
          <t>Boston, MA, US</t>
        </is>
      </c>
      <c r="H71" s="2" t="n">
        <v>46055</v>
      </c>
      <c r="I7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72">
      <c r="A72" t="inlineStr">
        <is>
          <t>in-219faf18adba1665</t>
        </is>
      </c>
      <c r="B72" t="inlineStr">
        <is>
          <t>Applied Scientist (Contract), Artificial General Intelligence</t>
        </is>
      </c>
      <c r="C72" t="inlineStr">
        <is>
          <t>Amazon.com</t>
        </is>
      </c>
      <c r="D72" t="inlineStr">
        <is>
          <t>indeed</t>
        </is>
      </c>
      <c r="E72">
        <f>HYPERLINK("https://www.indeed.com/viewjob?jk=219faf18adba1665", "https://www.indeed.com/viewjob?jk=219faf18adba1665")</f>
        <v/>
      </c>
      <c r="F72">
        <f>HYPERLINK("https://www.amazon.jobs/jobs/3179188/applied-scientist-contract-artificial-general-intelligence?cmpid=DA_INAD200785B", "https://www.amazon.jobs/jobs/3179188/applied-scientist-contract-artificial-general-intelligence?cmpid=DA_INAD200785B")</f>
        <v/>
      </c>
      <c r="G72" t="inlineStr">
        <is>
          <t>Bellevue, WA, US</t>
        </is>
      </c>
      <c r="H72" s="2" t="n">
        <v>46055</v>
      </c>
      <c r="I7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73">
      <c r="A73" t="inlineStr">
        <is>
          <t>in-be390dab597c66d8</t>
        </is>
      </c>
      <c r="B73" t="inlineStr">
        <is>
          <t>Applied Scientist (Contract), Artificial General Intelligence</t>
        </is>
      </c>
      <c r="C73" t="inlineStr">
        <is>
          <t>Amazon.com</t>
        </is>
      </c>
      <c r="D73" t="inlineStr">
        <is>
          <t>indeed</t>
        </is>
      </c>
      <c r="E73">
        <f>HYPERLINK("https://www.indeed.com/viewjob?jk=be390dab597c66d8", "https://www.indeed.com/viewjob?jk=be390dab597c66d8")</f>
        <v/>
      </c>
      <c r="F73">
        <f>HYPERLINK("https://www.amazon.jobs/jobs/3179169/applied-scientist-contract-artificial-general-intelligence?cmpid=DA_INAD200785B", "https://www.amazon.jobs/jobs/3179169/applied-scientist-contract-artificial-general-intelligence?cmpid=DA_INAD200785B")</f>
        <v/>
      </c>
      <c r="G73" t="inlineStr">
        <is>
          <t>Bellevue, WA, US</t>
        </is>
      </c>
      <c r="H73" s="2" t="n">
        <v>46055</v>
      </c>
      <c r="I7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74">
      <c r="A74" t="inlineStr">
        <is>
          <t>in-2f554fbde72b897f</t>
        </is>
      </c>
      <c r="B74" t="inlineStr">
        <is>
          <t>Applied Scientist (Contract), Artificial General Intelligence</t>
        </is>
      </c>
      <c r="C74" t="inlineStr">
        <is>
          <t>Amazon.com</t>
        </is>
      </c>
      <c r="D74" t="inlineStr">
        <is>
          <t>indeed</t>
        </is>
      </c>
      <c r="E74">
        <f>HYPERLINK("https://www.indeed.com/viewjob?jk=2f554fbde72b897f", "https://www.indeed.com/viewjob?jk=2f554fbde72b897f")</f>
        <v/>
      </c>
      <c r="F74">
        <f>HYPERLINK("https://www.amazon.jobs/jobs/3179168/applied-scientist-contract-artificial-general-intelligence?cmpid=DA_INAD200785B", "https://www.amazon.jobs/jobs/3179168/applied-scientist-contract-artificial-general-intelligence?cmpid=DA_INAD200785B")</f>
        <v/>
      </c>
      <c r="G74" t="inlineStr">
        <is>
          <t>Boston, MA, US</t>
        </is>
      </c>
      <c r="H74" s="2" t="n">
        <v>46055</v>
      </c>
      <c r="I7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75">
      <c r="A75" t="inlineStr">
        <is>
          <t>in-0c750afc937ab5d0</t>
        </is>
      </c>
      <c r="B75" t="inlineStr">
        <is>
          <t>Applied Scientist (Contract), Artificial General Intelligence</t>
        </is>
      </c>
      <c r="C75" t="inlineStr">
        <is>
          <t>Amazon.com</t>
        </is>
      </c>
      <c r="D75" t="inlineStr">
        <is>
          <t>indeed</t>
        </is>
      </c>
      <c r="E75">
        <f>HYPERLINK("https://www.indeed.com/viewjob?jk=0c750afc937ab5d0", "https://www.indeed.com/viewjob?jk=0c750afc937ab5d0")</f>
        <v/>
      </c>
      <c r="F75">
        <f>HYPERLINK("https://www.amazon.jobs/jobs/3179188/applied-scientist-contract-artificial-general-intelligence?cmpid=DA_INAD200785B", "https://www.amazon.jobs/jobs/3179188/applied-scientist-contract-artificial-general-intelligence?cmpid=DA_INAD200785B")</f>
        <v/>
      </c>
      <c r="G75" t="inlineStr">
        <is>
          <t>Boston, MA, US</t>
        </is>
      </c>
      <c r="H75" s="2" t="n">
        <v>46055</v>
      </c>
      <c r="I7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76">
      <c r="A76" t="inlineStr">
        <is>
          <t>in-a262151654efcb5d</t>
        </is>
      </c>
      <c r="B76" t="inlineStr">
        <is>
          <t>Applied Scientist (Contract), Artificial General Intelligence</t>
        </is>
      </c>
      <c r="C76" t="inlineStr">
        <is>
          <t>Amazon.com</t>
        </is>
      </c>
      <c r="D76" t="inlineStr">
        <is>
          <t>indeed</t>
        </is>
      </c>
      <c r="E76">
        <f>HYPERLINK("https://www.indeed.com/viewjob?jk=a262151654efcb5d", "https://www.indeed.com/viewjob?jk=a262151654efcb5d")</f>
        <v/>
      </c>
      <c r="F76">
        <f>HYPERLINK("https://www.amazon.jobs/jobs/3179187/applied-scientist-contract-artificial-general-intelligence?cmpid=DA_INAD200785B", "https://www.amazon.jobs/jobs/3179187/applied-scientist-contract-artificial-general-intelligence?cmpid=DA_INAD200785B")</f>
        <v/>
      </c>
      <c r="G76" t="inlineStr">
        <is>
          <t>Bellevue, WA, US</t>
        </is>
      </c>
      <c r="H76" s="2" t="n">
        <v>46051</v>
      </c>
      <c r="I7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77">
      <c r="A77" t="inlineStr">
        <is>
          <t>in-570b14b3ce3ac28a</t>
        </is>
      </c>
      <c r="B77" t="inlineStr">
        <is>
          <t>Applied Scientist (Contract), Artificial General Intelligence</t>
        </is>
      </c>
      <c r="C77" t="inlineStr">
        <is>
          <t>Amazon.com</t>
        </is>
      </c>
      <c r="D77" t="inlineStr">
        <is>
          <t>indeed</t>
        </is>
      </c>
      <c r="E77">
        <f>HYPERLINK("https://www.indeed.com/viewjob?jk=570b14b3ce3ac28a", "https://www.indeed.com/viewjob?jk=570b14b3ce3ac28a")</f>
        <v/>
      </c>
      <c r="F77">
        <f>HYPERLINK("https://www.amazon.jobs/jobs/3179187/applied-scientist-contract-artificial-general-intelligence?cmpid=DA_INAD200785B", "https://www.amazon.jobs/jobs/3179187/applied-scientist-contract-artificial-general-intelligence?cmpid=DA_INAD200785B")</f>
        <v/>
      </c>
      <c r="G77" t="inlineStr">
        <is>
          <t>Boston, MA, US</t>
        </is>
      </c>
      <c r="H77" s="2" t="n">
        <v>46051</v>
      </c>
      <c r="I7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78">
      <c r="A78" t="inlineStr">
        <is>
          <t>in-47bab7ca13ecf6cd</t>
        </is>
      </c>
      <c r="B78" t="inlineStr">
        <is>
          <t>Sr. Applied Scientist - SLAM, Amazon Industrial Robotics</t>
        </is>
      </c>
      <c r="C78" t="inlineStr">
        <is>
          <t>Amazon.com</t>
        </is>
      </c>
      <c r="D78" t="inlineStr">
        <is>
          <t>indeed</t>
        </is>
      </c>
      <c r="E78">
        <f>HYPERLINK("https://www.indeed.com/viewjob?jk=47bab7ca13ecf6cd", "https://www.indeed.com/viewjob?jk=47bab7ca13ecf6cd")</f>
        <v/>
      </c>
      <c r="F78">
        <f>HYPERLINK("https://www.amazon.jobs/jobs/3172078/sr-applied-scientist--slam-amazon-industrial-robotics?cmpid=DA_INAD200785B", "https://www.amazon.jobs/jobs/3172078/sr-applied-scientist--slam-amazon-industrial-robotics?cmpid=DA_INAD200785B")</f>
        <v/>
      </c>
      <c r="G78" t="inlineStr">
        <is>
          <t>Reading, MA, US</t>
        </is>
      </c>
      <c r="H78" s="2" t="n">
        <v>46050</v>
      </c>
      <c r="I7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9">
      <c r="A79" t="inlineStr">
        <is>
          <t>in-d1a4167837f21f2c</t>
        </is>
      </c>
      <c r="B79" t="inlineStr">
        <is>
          <t>Sr. Applied Scientist - SLAM, Amazon Industrial Robotics</t>
        </is>
      </c>
      <c r="C79" t="inlineStr">
        <is>
          <t>Amazon.com</t>
        </is>
      </c>
      <c r="D79" t="inlineStr">
        <is>
          <t>indeed</t>
        </is>
      </c>
      <c r="E79">
        <f>HYPERLINK("https://www.indeed.com/viewjob?jk=d1a4167837f21f2c", "https://www.indeed.com/viewjob?jk=d1a4167837f21f2c")</f>
        <v/>
      </c>
      <c r="F79">
        <f>HYPERLINK("https://www.amazon.jobs/jobs/3172078/sr-applied-scientist--slam-amazon-industrial-robotics?cmpid=DA_INAD200785B", "https://www.amazon.jobs/jobs/3172078/sr-applied-scientist--slam-amazon-industrial-robotics?cmpid=DA_INAD200785B")</f>
        <v/>
      </c>
      <c r="G79" t="inlineStr">
        <is>
          <t>Reading, MA, US</t>
        </is>
      </c>
      <c r="H79" s="2" t="n">
        <v>46050</v>
      </c>
      <c r="I79"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80">
      <c r="A80" t="inlineStr">
        <is>
          <t>in-e8a0a224c4ae8a27</t>
        </is>
      </c>
      <c r="B80" t="inlineStr">
        <is>
          <t>Principal Applied Scientist, Sensing, Industrial Robotics Group</t>
        </is>
      </c>
      <c r="C80" t="inlineStr">
        <is>
          <t>Amazon.com</t>
        </is>
      </c>
      <c r="D80" t="inlineStr">
        <is>
          <t>indeed</t>
        </is>
      </c>
      <c r="E80">
        <f>HYPERLINK("https://www.indeed.com/viewjob?jk=e8a0a224c4ae8a27", "https://www.indeed.com/viewjob?jk=e8a0a224c4ae8a27")</f>
        <v/>
      </c>
      <c r="F80">
        <f>HYPERLINK("https://www.amazon.jobs/jobs/3170953/principal-applied-scientist-sensing-industrial-robotics-group-?cmpid=DA_INAD200785B", "https://www.amazon.jobs/jobs/3170953/principal-applied-scientist-sensing-industrial-robotics-group-?cmpid=DA_INAD200785B")</f>
        <v/>
      </c>
      <c r="G80" t="inlineStr">
        <is>
          <t>Reading, MA, US</t>
        </is>
      </c>
      <c r="H80" s="2" t="n">
        <v>46050</v>
      </c>
      <c r="I80"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81">
      <c r="A81" t="inlineStr">
        <is>
          <t>in-7714dc3f509dbd01</t>
        </is>
      </c>
      <c r="B81" t="inlineStr">
        <is>
          <t>Principal Applied Scientist, Sensing, Industrial Robotics Group</t>
        </is>
      </c>
      <c r="C81" t="inlineStr">
        <is>
          <t>Amazon.com</t>
        </is>
      </c>
      <c r="D81" t="inlineStr">
        <is>
          <t>indeed</t>
        </is>
      </c>
      <c r="E81">
        <f>HYPERLINK("https://www.indeed.com/viewjob?jk=7714dc3f509dbd01", "https://www.indeed.com/viewjob?jk=7714dc3f509dbd01")</f>
        <v/>
      </c>
      <c r="F81">
        <f>HYPERLINK("https://www.amazon.jobs/jobs/3170953/principal-applied-scientist-sensing-industrial-robotics-group-?cmpid=DA_INAD200785B", "https://www.amazon.jobs/jobs/3170953/principal-applied-scientist-sensing-industrial-robotics-group-?cmpid=DA_INAD200785B")</f>
        <v/>
      </c>
      <c r="G81" t="inlineStr">
        <is>
          <t>Reading, MA, US</t>
        </is>
      </c>
      <c r="H81" s="2" t="n">
        <v>46050</v>
      </c>
      <c r="I81"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82">
      <c r="A82" t="inlineStr">
        <is>
          <t>in-256ebb6323fd0dfc</t>
        </is>
      </c>
      <c r="B82" t="inlineStr">
        <is>
          <t>Applied Scientist II, Prime Video Personalization and Discovery Science</t>
        </is>
      </c>
      <c r="C82" t="inlineStr">
        <is>
          <t>Amazon.com</t>
        </is>
      </c>
      <c r="D82" t="inlineStr">
        <is>
          <t>indeed</t>
        </is>
      </c>
      <c r="E82">
        <f>HYPERLINK("https://www.indeed.com/viewjob?jk=256ebb6323fd0dfc", "https://www.indeed.com/viewjob?jk=256ebb6323fd0dfc")</f>
        <v/>
      </c>
      <c r="F82">
        <f>HYPERLINK("https://www.amazon.jobs/jobs/3168905/applied-scientist-ii-prime-video-personalization-and-discovery-science?cmpid=DA_INAD200785B", "https://www.amazon.jobs/jobs/3168905/applied-scientist-ii-prime-video-personalization-and-discovery-science?cmpid=DA_INAD200785B")</f>
        <v/>
      </c>
      <c r="G82" t="inlineStr">
        <is>
          <t>Sunnyvale, CA, US</t>
        </is>
      </c>
      <c r="H82" s="2" t="n">
        <v>46047</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3">
      <c r="A83" t="inlineStr">
        <is>
          <t>in-bbf1a0d2b923bae1</t>
        </is>
      </c>
      <c r="B83" t="inlineStr">
        <is>
          <t>Applied Scientist II, Prime Video Personalization and Discovery Science</t>
        </is>
      </c>
      <c r="C83" t="inlineStr">
        <is>
          <t>Amazon.com</t>
        </is>
      </c>
      <c r="D83" t="inlineStr">
        <is>
          <t>indeed</t>
        </is>
      </c>
      <c r="E83">
        <f>HYPERLINK("https://www.indeed.com/viewjob?jk=bbf1a0d2b923bae1", "https://www.indeed.com/viewjob?jk=bbf1a0d2b923bae1")</f>
        <v/>
      </c>
      <c r="F83">
        <f>HYPERLINK("https://www.amazon.jobs/jobs/3168905/applied-scientist-ii-prime-video-personalization-and-discovery-science?cmpid=DA_INAD200785B", "https://www.amazon.jobs/jobs/3168905/applied-scientist-ii-prime-video-personalization-and-discovery-science?cmpid=DA_INAD200785B")</f>
        <v/>
      </c>
      <c r="G83" t="inlineStr">
        <is>
          <t>New York, NY, US</t>
        </is>
      </c>
      <c r="H83" s="2" t="n">
        <v>46047</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4">
      <c r="A84" t="inlineStr">
        <is>
          <t>in-3978dcd011c69910</t>
        </is>
      </c>
      <c r="B84" t="inlineStr">
        <is>
          <t>Applied Scientist II, Prime Video Personalization and Discovery Science</t>
        </is>
      </c>
      <c r="C84" t="inlineStr">
        <is>
          <t>Amazon.com</t>
        </is>
      </c>
      <c r="D84" t="inlineStr">
        <is>
          <t>indeed</t>
        </is>
      </c>
      <c r="E84">
        <f>HYPERLINK("https://www.indeed.com/viewjob?jk=3978dcd011c69910", "https://www.indeed.com/viewjob?jk=3978dcd011c69910")</f>
        <v/>
      </c>
      <c r="F84">
        <f>HYPERLINK("https://www.amazon.jobs/jobs/3168905/applied-scientist-ii-prime-video-personalization-and-discovery-science?cmpid=DA_INAD200785B", "https://www.amazon.jobs/jobs/3168905/applied-scientist-ii-prime-video-personalization-and-discovery-science?cmpid=DA_INAD200785B")</f>
        <v/>
      </c>
      <c r="G84" t="inlineStr">
        <is>
          <t>Seattle, WA, US</t>
        </is>
      </c>
      <c r="H84" s="2" t="n">
        <v>46047</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5">
      <c r="A85" t="inlineStr">
        <is>
          <t>in-612ccbca6810f12c</t>
        </is>
      </c>
      <c r="B85" t="inlineStr">
        <is>
          <t>Applied Scientist, Amazon Connect</t>
        </is>
      </c>
      <c r="C85" t="inlineStr">
        <is>
          <t>Amazon Web Services</t>
        </is>
      </c>
      <c r="D85" t="inlineStr">
        <is>
          <t>indeed</t>
        </is>
      </c>
      <c r="E85">
        <f>HYPERLINK("https://www.indeed.com/viewjob?jk=612ccbca6810f12c", "https://www.indeed.com/viewjob?jk=612ccbca6810f12c")</f>
        <v/>
      </c>
      <c r="F85">
        <f>HYPERLINK("https://www.amazon.jobs/jobs/3168981/applied-scientist-amazon-connect?cmpid=DA_INAD200785B", "https://www.amazon.jobs/jobs/3168981/applied-scientist-amazon-connect?cmpid=DA_INAD200785B")</f>
        <v/>
      </c>
      <c r="G85" t="inlineStr">
        <is>
          <t>New York, NY, US</t>
        </is>
      </c>
      <c r="H85" s="2" t="n">
        <v>46047</v>
      </c>
      <c r="I8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6">
      <c r="A86" t="inlineStr">
        <is>
          <t>in-6faf220a35b9522a</t>
        </is>
      </c>
      <c r="B86" t="inlineStr">
        <is>
          <t>Applied Scientist, Amazon Connect</t>
        </is>
      </c>
      <c r="C86" t="inlineStr">
        <is>
          <t>Amazon Web Services</t>
        </is>
      </c>
      <c r="D86" t="inlineStr">
        <is>
          <t>indeed</t>
        </is>
      </c>
      <c r="E86">
        <f>HYPERLINK("https://www.indeed.com/viewjob?jk=6faf220a35b9522a", "https://www.indeed.com/viewjob?jk=6faf220a35b9522a")</f>
        <v/>
      </c>
      <c r="F86">
        <f>HYPERLINK("https://www.amazon.jobs/jobs/3168981/applied-scientist-amazon-connect?cmpid=DA_INAD200785B", "https://www.amazon.jobs/jobs/3168981/applied-scientist-amazon-connect?cmpid=DA_INAD200785B")</f>
        <v/>
      </c>
      <c r="G86" t="inlineStr">
        <is>
          <t>Seattle, WA, US</t>
        </is>
      </c>
      <c r="H86" s="2" t="n">
        <v>46047</v>
      </c>
      <c r="I8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7">
      <c r="A87" t="inlineStr">
        <is>
          <t>in-d0fae0bde79979d0</t>
        </is>
      </c>
      <c r="B87" t="inlineStr">
        <is>
          <t>Applied Scientist, Safety ML</t>
        </is>
      </c>
      <c r="C87" t="inlineStr">
        <is>
          <t>Amazon.com</t>
        </is>
      </c>
      <c r="D87" t="inlineStr">
        <is>
          <t>indeed</t>
        </is>
      </c>
      <c r="E87">
        <f>HYPERLINK("https://www.indeed.com/viewjob?jk=d0fae0bde79979d0", "https://www.indeed.com/viewjob?jk=d0fae0bde79979d0")</f>
        <v/>
      </c>
      <c r="F87">
        <f>HYPERLINK("https://www.amazon.jobs/jobs/3161224/applied-scientist-safety-ml?cmpid=DA_INAD200785B", "https://www.amazon.jobs/jobs/3161224/applied-scientist-safety-ml?cmpid=DA_INAD200785B")</f>
        <v/>
      </c>
      <c r="G87" t="inlineStr">
        <is>
          <t>Seattle, WA, US</t>
        </is>
      </c>
      <c r="H87" s="2" t="n">
        <v>46037</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88">
      <c r="A88" t="inlineStr">
        <is>
          <t>in-69ae7901b26c3862</t>
        </is>
      </c>
      <c r="B88" t="inlineStr">
        <is>
          <t>Applied Scientist, Safety ML</t>
        </is>
      </c>
      <c r="C88" t="inlineStr">
        <is>
          <t>Amazon.com</t>
        </is>
      </c>
      <c r="D88" t="inlineStr">
        <is>
          <t>indeed</t>
        </is>
      </c>
      <c r="E88">
        <f>HYPERLINK("https://www.indeed.com/viewjob?jk=69ae7901b26c3862", "https://www.indeed.com/viewjob?jk=69ae7901b26c3862")</f>
        <v/>
      </c>
      <c r="F88">
        <f>HYPERLINK("https://www.amazon.jobs/jobs/3161224/applied-scientist-safety-ml?cmpid=DA_INAD200785B", "https://www.amazon.jobs/jobs/3161224/applied-scientist-safety-ml?cmpid=DA_INAD200785B")</f>
        <v/>
      </c>
      <c r="G88" t="inlineStr">
        <is>
          <t>San Francisco, CA, US</t>
        </is>
      </c>
      <c r="H88" s="2" t="n">
        <v>46037</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89">
      <c r="A89" t="inlineStr">
        <is>
          <t>in-e0c4c5c8bf83e5fb</t>
        </is>
      </c>
      <c r="B89" t="inlineStr">
        <is>
          <t>Principal Applied Scientist, Measurement, AdTech and Data Science, Ads Performance Measurement</t>
        </is>
      </c>
      <c r="C89" t="inlineStr">
        <is>
          <t>Amazon.com</t>
        </is>
      </c>
      <c r="D89" t="inlineStr">
        <is>
          <t>indeed</t>
        </is>
      </c>
      <c r="E89">
        <f>HYPERLINK("https://www.indeed.com/viewjob?jk=e0c4c5c8bf83e5fb", "https://www.indeed.com/viewjob?jk=e0c4c5c8bf83e5fb")</f>
        <v/>
      </c>
      <c r="F89">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89" t="inlineStr">
        <is>
          <t>Seattle, WA, US</t>
        </is>
      </c>
      <c r="H89" s="2" t="n">
        <v>46037</v>
      </c>
      <c r="I89"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90">
      <c r="A90" t="inlineStr">
        <is>
          <t>in-213855e18d67ad4e</t>
        </is>
      </c>
      <c r="B90" t="inlineStr">
        <is>
          <t>Principal Applied Scientist, Measurement, AdTech and Data Science, Ads Performance Measurement</t>
        </is>
      </c>
      <c r="C90" t="inlineStr">
        <is>
          <t>Amazon.com</t>
        </is>
      </c>
      <c r="D90" t="inlineStr">
        <is>
          <t>indeed</t>
        </is>
      </c>
      <c r="E90">
        <f>HYPERLINK("https://www.indeed.com/viewjob?jk=213855e18d67ad4e", "https://www.indeed.com/viewjob?jk=213855e18d67ad4e")</f>
        <v/>
      </c>
      <c r="F90">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90" t="inlineStr">
        <is>
          <t>New York, NY, US</t>
        </is>
      </c>
      <c r="H90" s="2" t="n">
        <v>46037</v>
      </c>
      <c r="I90"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91">
      <c r="A91" t="inlineStr">
        <is>
          <t>in-cb12b420cd4b4141</t>
        </is>
      </c>
      <c r="B91" t="inlineStr">
        <is>
          <t>Principal Applied Scientist, Measurement, AdTech and Data Science, Ads Performance Measurement</t>
        </is>
      </c>
      <c r="C91" t="inlineStr">
        <is>
          <t>Amazon.com</t>
        </is>
      </c>
      <c r="D91" t="inlineStr">
        <is>
          <t>indeed</t>
        </is>
      </c>
      <c r="E91">
        <f>HYPERLINK("https://www.indeed.com/viewjob?jk=cb12b420cd4b4141", "https://www.indeed.com/viewjob?jk=cb12b420cd4b4141")</f>
        <v/>
      </c>
      <c r="F91">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91" t="inlineStr">
        <is>
          <t>Palo Alto, CA, US</t>
        </is>
      </c>
      <c r="H91" s="2" t="n">
        <v>46037</v>
      </c>
      <c r="I91"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92">
      <c r="A92" t="inlineStr">
        <is>
          <t>in-523a3391cd1ea5fb</t>
        </is>
      </c>
      <c r="B92" t="inlineStr">
        <is>
          <t>Applied Scientist, LLM Code Agents, Kiro Science</t>
        </is>
      </c>
      <c r="C92" t="inlineStr">
        <is>
          <t>Amazon.com</t>
        </is>
      </c>
      <c r="D92" t="inlineStr">
        <is>
          <t>indeed</t>
        </is>
      </c>
      <c r="E92">
        <f>HYPERLINK("https://www.indeed.com/viewjob?jk=523a3391cd1ea5fb", "https://www.indeed.com/viewjob?jk=523a3391cd1ea5fb")</f>
        <v/>
      </c>
      <c r="F92">
        <f>HYPERLINK("https://www.amazon.jobs/jobs/3161363/applied-scientist-llm-code-agents-kiro-science?cmpid=DA_INAD200785B", "https://www.amazon.jobs/jobs/3161363/applied-scientist-llm-code-agents-kiro-science?cmpid=DA_INAD200785B")</f>
        <v/>
      </c>
      <c r="G92" t="inlineStr">
        <is>
          <t>Seattle, WA, US</t>
        </is>
      </c>
      <c r="H92" s="2" t="n">
        <v>46035</v>
      </c>
      <c r="I9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93">
      <c r="A93" t="inlineStr">
        <is>
          <t>in-7b011724ce34813b</t>
        </is>
      </c>
      <c r="B93" t="inlineStr">
        <is>
          <t>Applied Scientist, LLM Code Agents, Kiro Science</t>
        </is>
      </c>
      <c r="C93" t="inlineStr">
        <is>
          <t>Amazon.com</t>
        </is>
      </c>
      <c r="D93" t="inlineStr">
        <is>
          <t>indeed</t>
        </is>
      </c>
      <c r="E93">
        <f>HYPERLINK("https://www.indeed.com/viewjob?jk=7b011724ce34813b", "https://www.indeed.com/viewjob?jk=7b011724ce34813b")</f>
        <v/>
      </c>
      <c r="F93">
        <f>HYPERLINK("https://www.amazon.jobs/jobs/3161363/applied-scientist-llm-code-agents-kiro-science?cmpid=DA_INAD200785B", "https://www.amazon.jobs/jobs/3161363/applied-scientist-llm-code-agents-kiro-science?cmpid=DA_INAD200785B")</f>
        <v/>
      </c>
      <c r="G93" t="inlineStr">
        <is>
          <t>Santa Clara, CA, US</t>
        </is>
      </c>
      <c r="H93" s="2" t="n">
        <v>46035</v>
      </c>
      <c r="I9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94">
      <c r="A94" t="inlineStr">
        <is>
          <t>in-87643908a7ab0169</t>
        </is>
      </c>
      <c r="B94" t="inlineStr">
        <is>
          <t>Applied Scientist II, Prime Video Personalization and Discovery Science</t>
        </is>
      </c>
      <c r="C94" t="inlineStr">
        <is>
          <t>Amazon.com</t>
        </is>
      </c>
      <c r="D94" t="inlineStr">
        <is>
          <t>indeed</t>
        </is>
      </c>
      <c r="E94">
        <f>HYPERLINK("https://www.indeed.com/viewjob?jk=87643908a7ab0169", "https://www.indeed.com/viewjob?jk=87643908a7ab0169")</f>
        <v/>
      </c>
      <c r="F94">
        <f>HYPERLINK("https://www.amazon.jobs/jobs/3165157/applied-scientist-ii-prime-video-personalization-and-discovery-science?cmpid=DA_INAD200785B", "https://www.amazon.jobs/jobs/3165157/applied-scientist-ii-prime-video-personalization-and-discovery-science?cmpid=DA_INAD200785B")</f>
        <v/>
      </c>
      <c r="G94" t="inlineStr">
        <is>
          <t>Seattle, WA, US</t>
        </is>
      </c>
      <c r="H94" s="2" t="n">
        <v>46034</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5">
      <c r="A95" t="inlineStr">
        <is>
          <t>in-7ab0200d09035177</t>
        </is>
      </c>
      <c r="B95" t="inlineStr">
        <is>
          <t>Applied Scientist II, Prime Video Personalization and Discovery Science</t>
        </is>
      </c>
      <c r="C95" t="inlineStr">
        <is>
          <t>Amazon.com</t>
        </is>
      </c>
      <c r="D95" t="inlineStr">
        <is>
          <t>indeed</t>
        </is>
      </c>
      <c r="E95">
        <f>HYPERLINK("https://www.indeed.com/viewjob?jk=7ab0200d09035177", "https://www.indeed.com/viewjob?jk=7ab0200d09035177")</f>
        <v/>
      </c>
      <c r="F95">
        <f>HYPERLINK("https://www.amazon.jobs/jobs/3165157/applied-scientist-ii-prime-video-personalization-and-discovery-science?cmpid=DA_INAD200785B", "https://www.amazon.jobs/jobs/3165157/applied-scientist-ii-prime-video-personalization-and-discovery-science?cmpid=DA_INAD200785B")</f>
        <v/>
      </c>
      <c r="G95" t="inlineStr">
        <is>
          <t>Sunnyvale, CA, US</t>
        </is>
      </c>
      <c r="H95" s="2" t="n">
        <v>46034</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6">
      <c r="A96" t="inlineStr">
        <is>
          <t>in-a837a249ace5be7b</t>
        </is>
      </c>
      <c r="B96" t="inlineStr">
        <is>
          <t>Applied Scientist, Alexa Smart Home</t>
        </is>
      </c>
      <c r="C96" t="inlineStr">
        <is>
          <t>Amazon.com</t>
        </is>
      </c>
      <c r="D96" t="inlineStr">
        <is>
          <t>indeed</t>
        </is>
      </c>
      <c r="E96">
        <f>HYPERLINK("https://www.indeed.com/viewjob?jk=a837a249ace5be7b", "https://www.indeed.com/viewjob?jk=a837a249ace5be7b")</f>
        <v/>
      </c>
      <c r="F96">
        <f>HYPERLINK("https://www.amazon.jobs/jobs/3169205/applied-scientist-alexa-smart-home?cmpid=DA_INAD200785B", "https://www.amazon.jobs/jobs/3169205/applied-scientist-alexa-smart-home?cmpid=DA_INAD200785B")</f>
        <v/>
      </c>
      <c r="G96" t="inlineStr">
        <is>
          <t>Sunnyvale, CA, US</t>
        </is>
      </c>
      <c r="H96" s="2" t="n">
        <v>46033</v>
      </c>
      <c r="I9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7">
      <c r="A97" t="inlineStr">
        <is>
          <t>in-2b48a6f8165eceaa</t>
        </is>
      </c>
      <c r="B97" t="inlineStr">
        <is>
          <t>Applied Scientist, Alexa Smart Home</t>
        </is>
      </c>
      <c r="C97" t="inlineStr">
        <is>
          <t>Amazon.com</t>
        </is>
      </c>
      <c r="D97" t="inlineStr">
        <is>
          <t>indeed</t>
        </is>
      </c>
      <c r="E97">
        <f>HYPERLINK("https://www.indeed.com/viewjob?jk=2b48a6f8165eceaa", "https://www.indeed.com/viewjob?jk=2b48a6f8165eceaa")</f>
        <v/>
      </c>
      <c r="F97">
        <f>HYPERLINK("https://www.amazon.jobs/jobs/3169205/applied-scientist-alexa-smart-home?cmpid=DA_INAD200785B", "https://www.amazon.jobs/jobs/3169205/applied-scientist-alexa-smart-home?cmpid=DA_INAD200785B")</f>
        <v/>
      </c>
      <c r="G97" t="inlineStr">
        <is>
          <t>Seattle, WA, US</t>
        </is>
      </c>
      <c r="H97" s="2" t="n">
        <v>46033</v>
      </c>
      <c r="I9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8">
      <c r="A98" t="inlineStr">
        <is>
          <t>in-fb218802fdee30a6</t>
        </is>
      </c>
      <c r="B98" t="inlineStr">
        <is>
          <t>Applied Scientist, AWS Applied AI Solutions</t>
        </is>
      </c>
      <c r="C98" t="inlineStr">
        <is>
          <t>Amazon Web Services</t>
        </is>
      </c>
      <c r="D98" t="inlineStr">
        <is>
          <t>indeed</t>
        </is>
      </c>
      <c r="E98">
        <f>HYPERLINK("https://www.indeed.com/viewjob?jk=fb218802fdee30a6", "https://www.indeed.com/viewjob?jk=fb218802fdee30a6")</f>
        <v/>
      </c>
      <c r="F98">
        <f>HYPERLINK("https://www.amazon.jobs/jobs/3166907/applied-scientist-aws-applied-ai-solutions?cmpid=DA_INAD200785B", "https://www.amazon.jobs/jobs/3166907/applied-scientist-aws-applied-ai-solutions?cmpid=DA_INAD200785B")</f>
        <v/>
      </c>
      <c r="G98" t="inlineStr">
        <is>
          <t>New York, NY, US</t>
        </is>
      </c>
      <c r="H98" s="2" t="n">
        <v>46030</v>
      </c>
      <c r="I9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9">
      <c r="A99" t="inlineStr">
        <is>
          <t>in-610eab43ef67e63c</t>
        </is>
      </c>
      <c r="B99" t="inlineStr">
        <is>
          <t>Applied Scientist, AWS Applied AI Solutions</t>
        </is>
      </c>
      <c r="C99" t="inlineStr">
        <is>
          <t>Amazon Web Services</t>
        </is>
      </c>
      <c r="D99" t="inlineStr">
        <is>
          <t>indeed</t>
        </is>
      </c>
      <c r="E99">
        <f>HYPERLINK("https://www.indeed.com/viewjob?jk=610eab43ef67e63c", "https://www.indeed.com/viewjob?jk=610eab43ef67e63c")</f>
        <v/>
      </c>
      <c r="F99">
        <f>HYPERLINK("https://www.amazon.jobs/jobs/3166907/applied-scientist-aws-applied-ai-solutions?cmpid=DA_INAD200785B", "https://www.amazon.jobs/jobs/3166907/applied-scientist-aws-applied-ai-solutions?cmpid=DA_INAD200785B")</f>
        <v/>
      </c>
      <c r="G99" t="inlineStr">
        <is>
          <t>Seattle, WA, US</t>
        </is>
      </c>
      <c r="H99" s="2" t="n">
        <v>46030</v>
      </c>
      <c r="I9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00">
      <c r="A100" t="inlineStr">
        <is>
          <t>in-0b640f6ba1b52975</t>
        </is>
      </c>
      <c r="B100" t="inlineStr">
        <is>
          <t>Senior Data Scientist, Amazon Global Logistics</t>
        </is>
      </c>
      <c r="C100" t="inlineStr">
        <is>
          <t>Amazon.com</t>
        </is>
      </c>
      <c r="D100" t="inlineStr">
        <is>
          <t>indeed</t>
        </is>
      </c>
      <c r="E100">
        <f>HYPERLINK("https://www.indeed.com/viewjob?jk=0b640f6ba1b52975", "https://www.indeed.com/viewjob?jk=0b640f6ba1b52975")</f>
        <v/>
      </c>
      <c r="F100">
        <f>HYPERLINK("https://www.amazon.jobs/jobs/3166902/senior-data-scientist-amazon-global-logistics?cmpid=DA_INAD200785B", "https://www.amazon.jobs/jobs/3166902/senior-data-scientist-amazon-global-logistics?cmpid=DA_INAD200785B")</f>
        <v/>
      </c>
      <c r="G100" t="inlineStr">
        <is>
          <t>Boston, MA, US</t>
        </is>
      </c>
      <c r="H100" s="2" t="n">
        <v>46029</v>
      </c>
      <c r="I100"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101">
      <c r="A101" t="inlineStr">
        <is>
          <t>in-b1293b8c02d93ba8</t>
        </is>
      </c>
      <c r="B101" t="inlineStr">
        <is>
          <t>Senior Data Scientist, Amazon Global Logistics</t>
        </is>
      </c>
      <c r="C101" t="inlineStr">
        <is>
          <t>Amazon.com</t>
        </is>
      </c>
      <c r="D101" t="inlineStr">
        <is>
          <t>indeed</t>
        </is>
      </c>
      <c r="E101">
        <f>HYPERLINK("https://www.indeed.com/viewjob?jk=b1293b8c02d93ba8", "https://www.indeed.com/viewjob?jk=b1293b8c02d93ba8")</f>
        <v/>
      </c>
      <c r="F101">
        <f>HYPERLINK("https://www.amazon.jobs/jobs/3166902/senior-data-scientist-amazon-global-logistics?cmpid=DA_INAD200785B", "https://www.amazon.jobs/jobs/3166902/senior-data-scientist-amazon-global-logistics?cmpid=DA_INAD200785B")</f>
        <v/>
      </c>
      <c r="G101" t="inlineStr">
        <is>
          <t>Bellevue, WA, US</t>
        </is>
      </c>
      <c r="H101" s="2" t="n">
        <v>46029</v>
      </c>
      <c r="I101"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102">
      <c r="A102" t="inlineStr">
        <is>
          <t>in-43667226b9b76ff1</t>
        </is>
      </c>
      <c r="B102" t="inlineStr">
        <is>
          <t>Applied Scientist II, Prime Video Personalization and Discovery Science</t>
        </is>
      </c>
      <c r="C102" t="inlineStr">
        <is>
          <t>Amazon.com</t>
        </is>
      </c>
      <c r="D102" t="inlineStr">
        <is>
          <t>indeed</t>
        </is>
      </c>
      <c r="E102">
        <f>HYPERLINK("https://www.indeed.com/viewjob?jk=43667226b9b76ff1", "https://www.indeed.com/viewjob?jk=43667226b9b76ff1")</f>
        <v/>
      </c>
      <c r="F102">
        <f>HYPERLINK("https://www.amazon.jobs/jobs/3155448/applied-scientist-ii-prime-video-personalization-and-discovery-science?cmpid=DA_INAD200785B", "https://www.amazon.jobs/jobs/3155448/applied-scientist-ii-prime-video-personalization-and-discovery-science?cmpid=DA_INAD200785B")</f>
        <v/>
      </c>
      <c r="G102" t="inlineStr">
        <is>
          <t>Seattle, WA, US</t>
        </is>
      </c>
      <c r="H102" s="2" t="n">
        <v>46028</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3">
      <c r="A103" t="inlineStr">
        <is>
          <t>in-57984a5d5f5cbb33</t>
        </is>
      </c>
      <c r="B103" t="inlineStr">
        <is>
          <t>Applied Scientist II, Prime Video Personalization and Discovery Science</t>
        </is>
      </c>
      <c r="C103" t="inlineStr">
        <is>
          <t>Amazon.com</t>
        </is>
      </c>
      <c r="D103" t="inlineStr">
        <is>
          <t>indeed</t>
        </is>
      </c>
      <c r="E103">
        <f>HYPERLINK("https://www.indeed.com/viewjob?jk=57984a5d5f5cbb33", "https://www.indeed.com/viewjob?jk=57984a5d5f5cbb33")</f>
        <v/>
      </c>
      <c r="F103">
        <f>HYPERLINK("https://www.amazon.jobs/jobs/3155448/applied-scientist-ii-prime-video-personalization-and-discovery-science?cmpid=DA_INAD200785B", "https://www.amazon.jobs/jobs/3155448/applied-scientist-ii-prime-video-personalization-and-discovery-science?cmpid=DA_INAD200785B")</f>
        <v/>
      </c>
      <c r="G103" t="inlineStr">
        <is>
          <t>Sunnyvale, CA, US</t>
        </is>
      </c>
      <c r="H103" s="2" t="n">
        <v>46028</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4">
      <c r="A104" t="inlineStr">
        <is>
          <t>in-5a2b972a9bce983a</t>
        </is>
      </c>
      <c r="B104" t="inlineStr">
        <is>
          <t>Applied Scientist II, Prime Video Personalization and Discovery Science</t>
        </is>
      </c>
      <c r="C104" t="inlineStr">
        <is>
          <t>Amazon.com</t>
        </is>
      </c>
      <c r="D104" t="inlineStr">
        <is>
          <t>indeed</t>
        </is>
      </c>
      <c r="E104">
        <f>HYPERLINK("https://www.indeed.com/viewjob?jk=5a2b972a9bce983a", "https://www.indeed.com/viewjob?jk=5a2b972a9bce983a")</f>
        <v/>
      </c>
      <c r="F104">
        <f>HYPERLINK("https://www.amazon.jobs/jobs/3155448/applied-scientist-ii-prime-video-personalization-and-discovery-science?cmpid=DA_INAD200785B", "https://www.amazon.jobs/jobs/3155448/applied-scientist-ii-prime-video-personalization-and-discovery-science?cmpid=DA_INAD200785B")</f>
        <v/>
      </c>
      <c r="G104" t="inlineStr">
        <is>
          <t>New York, NY, US</t>
        </is>
      </c>
      <c r="H104" s="2" t="n">
        <v>46028</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5">
      <c r="A105" t="inlineStr">
        <is>
          <t>in-cdc1788be23eebd1</t>
        </is>
      </c>
      <c r="B105" t="inlineStr">
        <is>
          <t>Senior Applied Scientist, Distributed SQL</t>
        </is>
      </c>
      <c r="C105" t="inlineStr">
        <is>
          <t>Amazon Web Services</t>
        </is>
      </c>
      <c r="D105" t="inlineStr">
        <is>
          <t>indeed</t>
        </is>
      </c>
      <c r="E105">
        <f>HYPERLINK("https://www.indeed.com/viewjob?jk=cdc1788be23eebd1", "https://www.indeed.com/viewjob?jk=cdc1788be23eebd1")</f>
        <v/>
      </c>
      <c r="F105">
        <f>HYPERLINK("https://www.amazon.jobs/jobs/3148444/senior-applied-scientist-distributed-sql?cmpid=DA_INAD200785B", "https://www.amazon.jobs/jobs/3148444/senior-applied-scientist-distributed-sql?cmpid=DA_INAD200785B")</f>
        <v/>
      </c>
      <c r="G105" t="inlineStr">
        <is>
          <t>East Palo Alto, CA, US</t>
        </is>
      </c>
      <c r="H105" s="2" t="n">
        <v>46012</v>
      </c>
      <c r="I10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06">
      <c r="A106" t="inlineStr">
        <is>
          <t>in-87d9c0fd2088a16d</t>
        </is>
      </c>
      <c r="B106" t="inlineStr">
        <is>
          <t>Senior Applied Scientist, Distributed SQL</t>
        </is>
      </c>
      <c r="C106" t="inlineStr">
        <is>
          <t>Amazon Web Services</t>
        </is>
      </c>
      <c r="D106" t="inlineStr">
        <is>
          <t>indeed</t>
        </is>
      </c>
      <c r="E106">
        <f>HYPERLINK("https://www.indeed.com/viewjob?jk=87d9c0fd2088a16d", "https://www.indeed.com/viewjob?jk=87d9c0fd2088a16d")</f>
        <v/>
      </c>
      <c r="F106">
        <f>HYPERLINK("https://www.amazon.jobs/jobs/3148444/senior-applied-scientist-distributed-sql?cmpid=DA_INAD200785B", "https://www.amazon.jobs/jobs/3148444/senior-applied-scientist-distributed-sql?cmpid=DA_INAD200785B")</f>
        <v/>
      </c>
      <c r="G106" t="inlineStr">
        <is>
          <t>Seattle, WA, US</t>
        </is>
      </c>
      <c r="H106" s="2" t="n">
        <v>46012</v>
      </c>
      <c r="I10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07">
      <c r="A107" t="inlineStr">
        <is>
          <t>in-596d7b97b2884a34</t>
        </is>
      </c>
      <c r="B107" t="inlineStr">
        <is>
          <t>Applied Scientist, Delivery Foundation Model</t>
        </is>
      </c>
      <c r="C107" t="inlineStr">
        <is>
          <t>Amazon.com</t>
        </is>
      </c>
      <c r="D107" t="inlineStr">
        <is>
          <t>indeed</t>
        </is>
      </c>
      <c r="E107">
        <f>HYPERLINK("https://www.indeed.com/viewjob?jk=596d7b97b2884a34", "https://www.indeed.com/viewjob?jk=596d7b97b2884a34")</f>
        <v/>
      </c>
      <c r="F107">
        <f>HYPERLINK("https://www.amazon.jobs/jobs/3169077/applied-scientist-delivery-foundation-model-?cmpid=DA_INAD200785B", "https://www.amazon.jobs/jobs/3169077/applied-scientist-delivery-foundation-model-?cmpid=DA_INAD200785B")</f>
        <v/>
      </c>
      <c r="G107" t="inlineStr">
        <is>
          <t>Bellevue, WA, US</t>
        </is>
      </c>
      <c r="H107" s="2" t="n">
        <v>46009</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08">
      <c r="A108" t="inlineStr">
        <is>
          <t>in-b9b7b631a1092d53</t>
        </is>
      </c>
      <c r="B108" t="inlineStr">
        <is>
          <t>Applied Scientist, Delivery Foundation Model</t>
        </is>
      </c>
      <c r="C108" t="inlineStr">
        <is>
          <t>Amazon.com</t>
        </is>
      </c>
      <c r="D108" t="inlineStr">
        <is>
          <t>indeed</t>
        </is>
      </c>
      <c r="E108">
        <f>HYPERLINK("https://www.indeed.com/viewjob?jk=b9b7b631a1092d53", "https://www.indeed.com/viewjob?jk=b9b7b631a1092d53")</f>
        <v/>
      </c>
      <c r="F108">
        <f>HYPERLINK("https://www.amazon.jobs/jobs/3169077/applied-scientist-delivery-foundation-model-?cmpid=DA_INAD200785B", "https://www.amazon.jobs/jobs/3169077/applied-scientist-delivery-foundation-model-?cmpid=DA_INAD200785B")</f>
        <v/>
      </c>
      <c r="G108" t="inlineStr">
        <is>
          <t>Santa Clara, CA, US</t>
        </is>
      </c>
      <c r="H108" s="2" t="n">
        <v>46009</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09">
      <c r="A109" t="inlineStr">
        <is>
          <t>in-028a530c08aa2b70</t>
        </is>
      </c>
      <c r="B109" t="inlineStr">
        <is>
          <t>Principal Applied Scientist, Kiro Science</t>
        </is>
      </c>
      <c r="C109" t="inlineStr">
        <is>
          <t>Amazon Web Services</t>
        </is>
      </c>
      <c r="D109" t="inlineStr">
        <is>
          <t>indeed</t>
        </is>
      </c>
      <c r="E109">
        <f>HYPERLINK("https://www.indeed.com/viewjob?jk=028a530c08aa2b70", "https://www.indeed.com/viewjob?jk=028a530c08aa2b70")</f>
        <v/>
      </c>
      <c r="F109">
        <f>HYPERLINK("https://www.amazon.jobs/jobs/3161064/principal-applied-scientist-kiro-science?cmpid=DA_INAD200785B", "https://www.amazon.jobs/jobs/3161064/principal-applied-scientist-kiro-science?cmpid=DA_INAD200785B")</f>
        <v/>
      </c>
      <c r="G109" t="inlineStr">
        <is>
          <t>New York, NY, US</t>
        </is>
      </c>
      <c r="H109" s="2" t="n">
        <v>45999</v>
      </c>
      <c r="I10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10">
      <c r="A110" t="inlineStr">
        <is>
          <t>in-6909ed07115241bc</t>
        </is>
      </c>
      <c r="B110" t="inlineStr">
        <is>
          <t>Principal Applied Scientist, Kiro Science</t>
        </is>
      </c>
      <c r="C110" t="inlineStr">
        <is>
          <t>Amazon Web Services</t>
        </is>
      </c>
      <c r="D110" t="inlineStr">
        <is>
          <t>indeed</t>
        </is>
      </c>
      <c r="E110">
        <f>HYPERLINK("https://www.indeed.com/viewjob?jk=6909ed07115241bc", "https://www.indeed.com/viewjob?jk=6909ed07115241bc")</f>
        <v/>
      </c>
      <c r="F110">
        <f>HYPERLINK("https://www.amazon.jobs/jobs/3161064/principal-applied-scientist-kiro-science?cmpid=DA_INAD200785B", "https://www.amazon.jobs/jobs/3161064/principal-applied-scientist-kiro-science?cmpid=DA_INAD200785B")</f>
        <v/>
      </c>
      <c r="G110" t="inlineStr">
        <is>
          <t>Santa Clara, CA, US</t>
        </is>
      </c>
      <c r="H110" s="2" t="n">
        <v>45999</v>
      </c>
      <c r="I11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11">
      <c r="A111" t="inlineStr">
        <is>
          <t>in-de76f1bcf4852bbc</t>
        </is>
      </c>
      <c r="B111" t="inlineStr">
        <is>
          <t>Principal Applied Scientist, Sponsored Products and Brands</t>
        </is>
      </c>
      <c r="C111" t="inlineStr">
        <is>
          <t>Amazon.com</t>
        </is>
      </c>
      <c r="D111" t="inlineStr">
        <is>
          <t>indeed</t>
        </is>
      </c>
      <c r="E111">
        <f>HYPERLINK("https://www.indeed.com/viewjob?jk=de76f1bcf4852bbc", "https://www.indeed.com/viewjob?jk=de76f1bcf4852bbc")</f>
        <v/>
      </c>
      <c r="F111">
        <f>HYPERLINK("https://www.amazon.jobs/jobs/3130855/principal-applied-scientist-sponsored-products-and-brands?cmpid=DA_INAD200785B", "https://www.amazon.jobs/jobs/3130855/principal-applied-scientist-sponsored-products-and-brands?cmpid=DA_INAD200785B")</f>
        <v/>
      </c>
      <c r="G111" t="inlineStr">
        <is>
          <t>New York, NY, US</t>
        </is>
      </c>
      <c r="H111" s="2" t="n">
        <v>45979</v>
      </c>
      <c r="I11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in-441fd7f79c1ba735</t>
        </is>
      </c>
      <c r="B112" t="inlineStr">
        <is>
          <t>Principal Applied Scientist, Sponsored Products and Brands</t>
        </is>
      </c>
      <c r="C112" t="inlineStr">
        <is>
          <t>Amazon.com</t>
        </is>
      </c>
      <c r="D112" t="inlineStr">
        <is>
          <t>indeed</t>
        </is>
      </c>
      <c r="E112">
        <f>HYPERLINK("https://www.indeed.com/viewjob?jk=441fd7f79c1ba735", "https://www.indeed.com/viewjob?jk=441fd7f79c1ba735")</f>
        <v/>
      </c>
      <c r="F112">
        <f>HYPERLINK("https://www.amazon.jobs/jobs/3130855/principal-applied-scientist-sponsored-products-and-brands?cmpid=DA_INAD200785B", "https://www.amazon.jobs/jobs/3130855/principal-applied-scientist-sponsored-products-and-brands?cmpid=DA_INAD200785B")</f>
        <v/>
      </c>
      <c r="G112" t="inlineStr">
        <is>
          <t>Seattle, WA, US</t>
        </is>
      </c>
      <c r="H112" s="2" t="n">
        <v>45979</v>
      </c>
      <c r="I11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in-9b5342b2abf092ab</t>
        </is>
      </c>
      <c r="B113" t="inlineStr">
        <is>
          <t>Senior Applied Scientist, Sponsored Products and Brands</t>
        </is>
      </c>
      <c r="C113" t="inlineStr">
        <is>
          <t>Amazon.com</t>
        </is>
      </c>
      <c r="D113" t="inlineStr">
        <is>
          <t>indeed</t>
        </is>
      </c>
      <c r="E113">
        <f>HYPERLINK("https://www.indeed.com/viewjob?jk=9b5342b2abf092ab", "https://www.indeed.com/viewjob?jk=9b5342b2abf092ab")</f>
        <v/>
      </c>
      <c r="F113">
        <f>HYPERLINK("https://www.amazon.jobs/jobs/3130062/senior-applied-scientist-sponsored-products-and-brands?cmpid=DA_INAD200785B", "https://www.amazon.jobs/jobs/3130062/senior-applied-scientist-sponsored-products-and-brands?cmpid=DA_INAD200785B")</f>
        <v/>
      </c>
      <c r="G113" t="inlineStr">
        <is>
          <t>Seattle, WA, US</t>
        </is>
      </c>
      <c r="H113" s="2" t="n">
        <v>45979</v>
      </c>
      <c r="I11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14">
      <c r="A114" t="inlineStr">
        <is>
          <t>in-ff173715f0eacf63</t>
        </is>
      </c>
      <c r="B114" t="inlineStr">
        <is>
          <t>Senior Applied Scientist, Sponsored Products and Brands</t>
        </is>
      </c>
      <c r="C114" t="inlineStr">
        <is>
          <t>Amazon.com</t>
        </is>
      </c>
      <c r="D114" t="inlineStr">
        <is>
          <t>indeed</t>
        </is>
      </c>
      <c r="E114">
        <f>HYPERLINK("https://www.indeed.com/viewjob?jk=ff173715f0eacf63", "https://www.indeed.com/viewjob?jk=ff173715f0eacf63")</f>
        <v/>
      </c>
      <c r="F114">
        <f>HYPERLINK("https://www.amazon.jobs/jobs/3130062/senior-applied-scientist-sponsored-products-and-brands?cmpid=DA_INAD200785B", "https://www.amazon.jobs/jobs/3130062/senior-applied-scientist-sponsored-products-and-brands?cmpid=DA_INAD200785B")</f>
        <v/>
      </c>
      <c r="G114" t="inlineStr">
        <is>
          <t>New York, NY, US</t>
        </is>
      </c>
      <c r="H114" s="2" t="n">
        <v>45979</v>
      </c>
      <c r="I11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15">
      <c r="A115" t="inlineStr">
        <is>
          <t>in-e6be73320b905ba2</t>
        </is>
      </c>
      <c r="B115" t="inlineStr">
        <is>
          <t>Sr. Applied Scientist, Sponsored Products</t>
        </is>
      </c>
      <c r="C115" t="inlineStr">
        <is>
          <t>Amazon.com</t>
        </is>
      </c>
      <c r="D115" t="inlineStr">
        <is>
          <t>indeed</t>
        </is>
      </c>
      <c r="E115">
        <f>HYPERLINK("https://www.indeed.com/viewjob?jk=e6be73320b905ba2", "https://www.indeed.com/viewjob?jk=e6be73320b905ba2")</f>
        <v/>
      </c>
      <c r="F115">
        <f>HYPERLINK("https://www.amazon.jobs/jobs/3136156/sr-applied-scientist-sponsored-products?cmpid=DA_INAD200785B", "https://www.amazon.jobs/jobs/3136156/sr-applied-scientist-sponsored-products?cmpid=DA_INAD200785B")</f>
        <v/>
      </c>
      <c r="G115" t="inlineStr">
        <is>
          <t>Arlington, VA, US</t>
        </is>
      </c>
      <c r="H115" s="2" t="n">
        <v>45976</v>
      </c>
      <c r="I11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16">
      <c r="A116" t="inlineStr">
        <is>
          <t>in-a3fd4d88a9caf774</t>
        </is>
      </c>
      <c r="B116" t="inlineStr">
        <is>
          <t>Sr. Applied Scientist, Sponsored Products</t>
        </is>
      </c>
      <c r="C116" t="inlineStr">
        <is>
          <t>Amazon.com</t>
        </is>
      </c>
      <c r="D116" t="inlineStr">
        <is>
          <t>indeed</t>
        </is>
      </c>
      <c r="E116">
        <f>HYPERLINK("https://www.indeed.com/viewjob?jk=a3fd4d88a9caf774", "https://www.indeed.com/viewjob?jk=a3fd4d88a9caf774")</f>
        <v/>
      </c>
      <c r="F116">
        <f>HYPERLINK("https://www.amazon.jobs/jobs/3136156/sr-applied-scientist-sponsored-products?cmpid=DA_INAD200785B", "https://www.amazon.jobs/jobs/3136156/sr-applied-scientist-sponsored-products?cmpid=DA_INAD200785B")</f>
        <v/>
      </c>
      <c r="G116" t="inlineStr">
        <is>
          <t>New York, NY, US</t>
        </is>
      </c>
      <c r="H116" s="2" t="n">
        <v>45976</v>
      </c>
      <c r="I11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17">
      <c r="A117" t="inlineStr">
        <is>
          <t>in-9628cd4ccbfa8acf</t>
        </is>
      </c>
      <c r="B117" t="inlineStr">
        <is>
          <t>Sr. Applied Scientist, Sponsored Products</t>
        </is>
      </c>
      <c r="C117" t="inlineStr">
        <is>
          <t>Amazon.com</t>
        </is>
      </c>
      <c r="D117" t="inlineStr">
        <is>
          <t>indeed</t>
        </is>
      </c>
      <c r="E117">
        <f>HYPERLINK("https://www.indeed.com/viewjob?jk=9628cd4ccbfa8acf", "https://www.indeed.com/viewjob?jk=9628cd4ccbfa8acf")</f>
        <v/>
      </c>
      <c r="F117">
        <f>HYPERLINK("https://www.amazon.jobs/jobs/3136156/sr-applied-scientist-sponsored-products?cmpid=DA_INAD200785B", "https://www.amazon.jobs/jobs/3136156/sr-applied-scientist-sponsored-products?cmpid=DA_INAD200785B")</f>
        <v/>
      </c>
      <c r="G117" t="inlineStr">
        <is>
          <t>Seattle, WA, US</t>
        </is>
      </c>
      <c r="H117" s="2" t="n">
        <v>45976</v>
      </c>
      <c r="I11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18">
      <c r="A118" t="inlineStr">
        <is>
          <t>in-9e27fa6062b5a907</t>
        </is>
      </c>
      <c r="B118" t="inlineStr">
        <is>
          <t>Applied Scientist, AWS Agentic AI</t>
        </is>
      </c>
      <c r="C118" t="inlineStr">
        <is>
          <t>Amazon Web Services</t>
        </is>
      </c>
      <c r="D118" t="inlineStr">
        <is>
          <t>indeed</t>
        </is>
      </c>
      <c r="E118">
        <f>HYPERLINK("https://www.indeed.com/viewjob?jk=9e27fa6062b5a907", "https://www.indeed.com/viewjob?jk=9e27fa6062b5a907")</f>
        <v/>
      </c>
      <c r="F118">
        <f>HYPERLINK("https://www.amazon.jobs/jobs/3141517/applied-scientist-aws-agentic-ai-?cmpid=DA_INAD200785B", "https://www.amazon.jobs/jobs/3141517/applied-scientist-aws-agentic-ai-?cmpid=DA_INAD200785B")</f>
        <v/>
      </c>
      <c r="G118" t="inlineStr">
        <is>
          <t>Santa Clara, CA, US</t>
        </is>
      </c>
      <c r="H118" s="2" t="n">
        <v>45962</v>
      </c>
      <c r="I11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in-fdd3df5e31e56ddb</t>
        </is>
      </c>
      <c r="B119" t="inlineStr">
        <is>
          <t>Applied Scientist, AWS Agentic AI</t>
        </is>
      </c>
      <c r="C119" t="inlineStr">
        <is>
          <t>Amazon Web Services</t>
        </is>
      </c>
      <c r="D119" t="inlineStr">
        <is>
          <t>indeed</t>
        </is>
      </c>
      <c r="E119">
        <f>HYPERLINK("https://www.indeed.com/viewjob?jk=fdd3df5e31e56ddb", "https://www.indeed.com/viewjob?jk=fdd3df5e31e56ddb")</f>
        <v/>
      </c>
      <c r="F119">
        <f>HYPERLINK("https://www.amazon.jobs/jobs/3141517/applied-scientist-aws-agentic-ai-?cmpid=DA_INAD200785B", "https://www.amazon.jobs/jobs/3141517/applied-scientist-aws-agentic-ai-?cmpid=DA_INAD200785B")</f>
        <v/>
      </c>
      <c r="G119" t="inlineStr">
        <is>
          <t>New York, NY, US</t>
        </is>
      </c>
      <c r="H119" s="2" t="n">
        <v>45962</v>
      </c>
      <c r="I11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in-5b35e028f1e09211</t>
        </is>
      </c>
      <c r="B120" t="inlineStr">
        <is>
          <t>Applied Scientist, AWS Agentic AI</t>
        </is>
      </c>
      <c r="C120" t="inlineStr">
        <is>
          <t>Amazon Web Services</t>
        </is>
      </c>
      <c r="D120" t="inlineStr">
        <is>
          <t>indeed</t>
        </is>
      </c>
      <c r="E120">
        <f>HYPERLINK("https://www.indeed.com/viewjob?jk=5b35e028f1e09211", "https://www.indeed.com/viewjob?jk=5b35e028f1e09211")</f>
        <v/>
      </c>
      <c r="F120">
        <f>HYPERLINK("https://www.amazon.jobs/jobs/3141517/applied-scientist-aws-agentic-ai-?cmpid=DA_INAD200785B", "https://www.amazon.jobs/jobs/3141517/applied-scientist-aws-agentic-ai-?cmpid=DA_INAD200785B")</f>
        <v/>
      </c>
      <c r="G120" t="inlineStr">
        <is>
          <t>Seattle, WA, US</t>
        </is>
      </c>
      <c r="H120" s="2" t="n">
        <v>45962</v>
      </c>
      <c r="I12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in-156cfc8def53599d</t>
        </is>
      </c>
      <c r="B121" t="inlineStr">
        <is>
          <t>Applied Scientist, Prime Video - Content Understanding, Localization &amp; Enrichment Team</t>
        </is>
      </c>
      <c r="C121" t="inlineStr">
        <is>
          <t>Amazon.com</t>
        </is>
      </c>
      <c r="D121" t="inlineStr">
        <is>
          <t>indeed</t>
        </is>
      </c>
      <c r="E121">
        <f>HYPERLINK("https://www.indeed.com/viewjob?jk=156cfc8def53599d", "https://www.indeed.com/viewjob?jk=156cfc8def53599d")</f>
        <v/>
      </c>
      <c r="F121">
        <f>HYPERLINK("https://www.amazon.jobs/jobs/3111928/applied-scientist-prime-video--content-understanding-localization--enrichment-team?cmpid=DA_INAD200785B", "https://www.amazon.jobs/jobs/3111928/applied-scientist-prime-video--content-understanding-localization--enrichment-team?cmpid=DA_INAD200785B")</f>
        <v/>
      </c>
      <c r="G121" t="inlineStr">
        <is>
          <t>Seattle, WA, US</t>
        </is>
      </c>
      <c r="H121" s="2" t="n">
        <v>45943</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22">
      <c r="A122" t="inlineStr">
        <is>
          <t>in-7447d94588307200</t>
        </is>
      </c>
      <c r="B122" t="inlineStr">
        <is>
          <t>Applied Scientist, Prime Video - Content Understanding, Localization &amp; Enrichment Team</t>
        </is>
      </c>
      <c r="C122" t="inlineStr">
        <is>
          <t>Amazon.com</t>
        </is>
      </c>
      <c r="D122" t="inlineStr">
        <is>
          <t>indeed</t>
        </is>
      </c>
      <c r="E122">
        <f>HYPERLINK("https://www.indeed.com/viewjob?jk=7447d94588307200", "https://www.indeed.com/viewjob?jk=7447d94588307200")</f>
        <v/>
      </c>
      <c r="F122">
        <f>HYPERLINK("https://www.amazon.jobs/jobs/3111928/applied-scientist-prime-video--content-understanding-localization--enrichment-team?cmpid=DA_INAD200785B", "https://www.amazon.jobs/jobs/3111928/applied-scientist-prime-video--content-understanding-localization--enrichment-team?cmpid=DA_INAD200785B")</f>
        <v/>
      </c>
      <c r="G122" t="inlineStr">
        <is>
          <t>San Francisco, CA, US</t>
        </is>
      </c>
      <c r="H122" s="2" t="n">
        <v>45943</v>
      </c>
      <c r="I1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23">
      <c r="A123" t="inlineStr">
        <is>
          <t>in-3e2c4bfbdbf73866</t>
        </is>
      </c>
      <c r="B123" t="inlineStr">
        <is>
          <t>Principal Applied Scientist, Advertiser Growth, Amazon Sponsored Products &amp; Brands</t>
        </is>
      </c>
      <c r="C123" t="inlineStr">
        <is>
          <t>Amazon.com</t>
        </is>
      </c>
      <c r="D123" t="inlineStr">
        <is>
          <t>indeed</t>
        </is>
      </c>
      <c r="E123">
        <f>HYPERLINK("https://www.indeed.com/viewjob?jk=3e2c4bfbdbf73866", "https://www.indeed.com/viewjob?jk=3e2c4bfbdbf73866")</f>
        <v/>
      </c>
      <c r="F123">
        <f>HYPERLINK("https://www.amazon.jobs/jobs/3115279/principal-applied-scientist-advertiser-growth-amazon-sponsored-products--brands?cmpid=DA_INAD200785B", "https://www.amazon.jobs/jobs/3115279/principal-applied-scientist-advertiser-growth-amazon-sponsored-products--brands?cmpid=DA_INAD200785B")</f>
        <v/>
      </c>
      <c r="G123" t="inlineStr">
        <is>
          <t>New York, NY, US</t>
        </is>
      </c>
      <c r="H123" s="2" t="n">
        <v>45942</v>
      </c>
      <c r="I12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in-db438b225f948b2e</t>
        </is>
      </c>
      <c r="B124" t="inlineStr">
        <is>
          <t>Principal Applied Scientist, Advertiser Growth, Amazon Sponsored Products &amp; Brands</t>
        </is>
      </c>
      <c r="C124" t="inlineStr">
        <is>
          <t>Amazon.com</t>
        </is>
      </c>
      <c r="D124" t="inlineStr">
        <is>
          <t>indeed</t>
        </is>
      </c>
      <c r="E124">
        <f>HYPERLINK("https://www.indeed.com/viewjob?jk=db438b225f948b2e", "https://www.indeed.com/viewjob?jk=db438b225f948b2e")</f>
        <v/>
      </c>
      <c r="F124">
        <f>HYPERLINK("https://www.amazon.jobs/jobs/3115279/principal-applied-scientist-advertiser-growth-amazon-sponsored-products--brands?cmpid=DA_INAD200785B", "https://www.amazon.jobs/jobs/3115279/principal-applied-scientist-advertiser-growth-amazon-sponsored-products--brands?cmpid=DA_INAD200785B")</f>
        <v/>
      </c>
      <c r="G124" t="inlineStr">
        <is>
          <t>Palo Alto, CA, US</t>
        </is>
      </c>
      <c r="H124" s="2" t="n">
        <v>45942</v>
      </c>
      <c r="I12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in-c4f7941f9e0ede31</t>
        </is>
      </c>
      <c r="B125" t="inlineStr">
        <is>
          <t>Principal Applied Scientist, Advertiser Growth, Amazon Sponsored Products &amp; Brands</t>
        </is>
      </c>
      <c r="C125" t="inlineStr">
        <is>
          <t>Amazon.com</t>
        </is>
      </c>
      <c r="D125" t="inlineStr">
        <is>
          <t>indeed</t>
        </is>
      </c>
      <c r="E125">
        <f>HYPERLINK("https://www.indeed.com/viewjob?jk=c4f7941f9e0ede31", "https://www.indeed.com/viewjob?jk=c4f7941f9e0ede31")</f>
        <v/>
      </c>
      <c r="F125">
        <f>HYPERLINK("https://www.amazon.jobs/jobs/3115279/principal-applied-scientist-advertiser-growth-amazon-sponsored-products--brands?cmpid=DA_INAD200785B", "https://www.amazon.jobs/jobs/3115279/principal-applied-scientist-advertiser-growth-amazon-sponsored-products--brands?cmpid=DA_INAD200785B")</f>
        <v/>
      </c>
      <c r="G125" t="inlineStr">
        <is>
          <t>Seattle, WA, US</t>
        </is>
      </c>
      <c r="H125" s="2" t="n">
        <v>45942</v>
      </c>
      <c r="I12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in-534b0eb990dc2512</t>
        </is>
      </c>
      <c r="B126" t="inlineStr">
        <is>
          <t>Applied Scientist, Workplace Health &amp; Safety</t>
        </is>
      </c>
      <c r="C126" t="inlineStr">
        <is>
          <t>Amazon.com</t>
        </is>
      </c>
      <c r="D126" t="inlineStr">
        <is>
          <t>indeed</t>
        </is>
      </c>
      <c r="E126">
        <f>HYPERLINK("https://www.indeed.com/viewjob?jk=534b0eb990dc2512", "https://www.indeed.com/viewjob?jk=534b0eb990dc2512")</f>
        <v/>
      </c>
      <c r="F126">
        <f>HYPERLINK("https://www.amazon.jobs/jobs/3144886/applied-scientist-workplace-health--safety-?cmpid=DA_INAD200785B", "https://www.amazon.jobs/jobs/3144886/applied-scientist-workplace-health--safety-?cmpid=DA_INAD200785B")</f>
        <v/>
      </c>
      <c r="G126" t="inlineStr">
        <is>
          <t>Nashville, TN, US</t>
        </is>
      </c>
      <c r="H126" s="2" t="n">
        <v>45917</v>
      </c>
      <c r="I12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in-b3ba003636553445</t>
        </is>
      </c>
      <c r="B127" t="inlineStr">
        <is>
          <t>Applied Scientist, Workplace Health &amp; Safety</t>
        </is>
      </c>
      <c r="C127" t="inlineStr">
        <is>
          <t>Amazon.com</t>
        </is>
      </c>
      <c r="D127" t="inlineStr">
        <is>
          <t>indeed</t>
        </is>
      </c>
      <c r="E127">
        <f>HYPERLINK("https://www.indeed.com/viewjob?jk=b3ba003636553445", "https://www.indeed.com/viewjob?jk=b3ba003636553445")</f>
        <v/>
      </c>
      <c r="F127">
        <f>HYPERLINK("https://www.amazon.jobs/jobs/3144886/applied-scientist-workplace-health--safety-?cmpid=DA_INAD200785B", "https://www.amazon.jobs/jobs/3144886/applied-scientist-workplace-health--safety-?cmpid=DA_INAD200785B")</f>
        <v/>
      </c>
      <c r="G127" t="inlineStr">
        <is>
          <t>Bellevue, WA, US</t>
        </is>
      </c>
      <c r="H127" s="2" t="n">
        <v>45917</v>
      </c>
      <c r="I12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in-4aa73bc14a6b029b</t>
        </is>
      </c>
      <c r="B128" t="inlineStr">
        <is>
          <t>Sr. Applied Scientist, Prime Video - Personalization and Discovery Science</t>
        </is>
      </c>
      <c r="C128" t="inlineStr">
        <is>
          <t>Amazon.com</t>
        </is>
      </c>
      <c r="D128" t="inlineStr">
        <is>
          <t>indeed</t>
        </is>
      </c>
      <c r="E128">
        <f>HYPERLINK("https://www.indeed.com/viewjob?jk=4aa73bc14a6b029b", "https://www.indeed.com/viewjob?jk=4aa73bc14a6b029b")</f>
        <v/>
      </c>
      <c r="F128">
        <f>HYPERLINK("https://www.amazon.jobs/jobs/3084479/sr-applied-scientist-prime-video--personalization-and-discovery-science?cmpid=DA_INAD200785B", "https://www.amazon.jobs/jobs/3084479/sr-applied-scientist-prime-video--personalization-and-discovery-science?cmpid=DA_INAD200785B")</f>
        <v/>
      </c>
      <c r="G128" t="inlineStr">
        <is>
          <t>Seattle, WA, US</t>
        </is>
      </c>
      <c r="H128" s="2" t="n">
        <v>45896</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29">
      <c r="A129" t="inlineStr">
        <is>
          <t>in-b5aa5e97c31dea23</t>
        </is>
      </c>
      <c r="B129" t="inlineStr">
        <is>
          <t>Sr. Applied Scientist, Prime Video - Personalization and Discovery Science</t>
        </is>
      </c>
      <c r="C129" t="inlineStr">
        <is>
          <t>Amazon.com</t>
        </is>
      </c>
      <c r="D129" t="inlineStr">
        <is>
          <t>indeed</t>
        </is>
      </c>
      <c r="E129">
        <f>HYPERLINK("https://www.indeed.com/viewjob?jk=b5aa5e97c31dea23", "https://www.indeed.com/viewjob?jk=b5aa5e97c31dea23")</f>
        <v/>
      </c>
      <c r="F129">
        <f>HYPERLINK("https://www.amazon.jobs/jobs/3084479/sr-applied-scientist-prime-video--personalization-and-discovery-science?cmpid=DA_INAD200785B", "https://www.amazon.jobs/jobs/3084479/sr-applied-scientist-prime-video--personalization-and-discovery-science?cmpid=DA_INAD200785B")</f>
        <v/>
      </c>
      <c r="G129" t="inlineStr">
        <is>
          <t>New York, NY, US</t>
        </is>
      </c>
      <c r="H129" s="2" t="n">
        <v>45896</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30">
      <c r="A130" t="inlineStr">
        <is>
          <t>in-136a56c23db93247</t>
        </is>
      </c>
      <c r="B130" t="inlineStr">
        <is>
          <t>Sr. Applied Scientist, Prime Video - Personalization and Discovery Science</t>
        </is>
      </c>
      <c r="C130" t="inlineStr">
        <is>
          <t>Amazon.com</t>
        </is>
      </c>
      <c r="D130" t="inlineStr">
        <is>
          <t>indeed</t>
        </is>
      </c>
      <c r="E130">
        <f>HYPERLINK("https://www.indeed.com/viewjob?jk=136a56c23db93247", "https://www.indeed.com/viewjob?jk=136a56c23db93247")</f>
        <v/>
      </c>
      <c r="F130">
        <f>HYPERLINK("https://www.amazon.jobs/jobs/3084479/sr-applied-scientist-prime-video--personalization-and-discovery-science?cmpid=DA_INAD200785B", "https://www.amazon.jobs/jobs/3084479/sr-applied-scientist-prime-video--personalization-and-discovery-science?cmpid=DA_INAD200785B")</f>
        <v/>
      </c>
      <c r="G130" t="inlineStr">
        <is>
          <t>Sunnyvale, CA, US</t>
        </is>
      </c>
      <c r="H130" s="2" t="n">
        <v>45896</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31">
      <c r="A131" t="inlineStr">
        <is>
          <t>in-91797fa2c49649db</t>
        </is>
      </c>
      <c r="B131" t="inlineStr">
        <is>
          <t>Sr. Applied Scientist, Amazon Advertising</t>
        </is>
      </c>
      <c r="C131" t="inlineStr">
        <is>
          <t>Amazon.com</t>
        </is>
      </c>
      <c r="D131" t="inlineStr">
        <is>
          <t>indeed</t>
        </is>
      </c>
      <c r="E131">
        <f>HYPERLINK("https://www.indeed.com/viewjob?jk=91797fa2c49649db", "https://www.indeed.com/viewjob?jk=91797fa2c49649db")</f>
        <v/>
      </c>
      <c r="F131">
        <f>HYPERLINK("https://www.amazon.jobs/jobs/3035686/sr-applied-scientist-amazon-advertising?cmpid=DA_INAD200785B", "https://www.amazon.jobs/jobs/3035686/sr-applied-scientist-amazon-advertising?cmpid=DA_INAD200785B")</f>
        <v/>
      </c>
      <c r="G131" t="inlineStr">
        <is>
          <t>Palo Alto, CA, US</t>
        </is>
      </c>
      <c r="H131" s="2" t="n">
        <v>45851</v>
      </c>
      <c r="I1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in-52d5b4794cff77e1</t>
        </is>
      </c>
      <c r="B132" t="inlineStr">
        <is>
          <t>Sr. Applied Scientist, Amazon Advertising</t>
        </is>
      </c>
      <c r="C132" t="inlineStr">
        <is>
          <t>Amazon.com</t>
        </is>
      </c>
      <c r="D132" t="inlineStr">
        <is>
          <t>indeed</t>
        </is>
      </c>
      <c r="E132">
        <f>HYPERLINK("https://www.indeed.com/viewjob?jk=52d5b4794cff77e1", "https://www.indeed.com/viewjob?jk=52d5b4794cff77e1")</f>
        <v/>
      </c>
      <c r="F132">
        <f>HYPERLINK("https://www.amazon.jobs/jobs/3035686/sr-applied-scientist-amazon-advertising?cmpid=DA_INAD200785B", "https://www.amazon.jobs/jobs/3035686/sr-applied-scientist-amazon-advertising?cmpid=DA_INAD200785B")</f>
        <v/>
      </c>
      <c r="G132" t="inlineStr">
        <is>
          <t>Simi Valley, CA, US</t>
        </is>
      </c>
      <c r="H132" s="2" t="n">
        <v>45851</v>
      </c>
      <c r="I1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in-b03e61752a8dd54f</t>
        </is>
      </c>
      <c r="B133" t="inlineStr">
        <is>
          <t>Sr. Applied Scientist, Amazon Advertising</t>
        </is>
      </c>
      <c r="C133" t="inlineStr">
        <is>
          <t>Amazon.com</t>
        </is>
      </c>
      <c r="D133" t="inlineStr">
        <is>
          <t>indeed</t>
        </is>
      </c>
      <c r="E133">
        <f>HYPERLINK("https://www.indeed.com/viewjob?jk=b03e61752a8dd54f", "https://www.indeed.com/viewjob?jk=b03e61752a8dd54f")</f>
        <v/>
      </c>
      <c r="F133">
        <f>HYPERLINK("https://www.amazon.jobs/jobs/3035686/sr-applied-scientist-amazon-advertising?cmpid=DA_INAD200785B", "https://www.amazon.jobs/jobs/3035686/sr-applied-scientist-amazon-advertising?cmpid=DA_INAD200785B")</f>
        <v/>
      </c>
      <c r="G133" t="inlineStr">
        <is>
          <t>Seattle, WA, US</t>
        </is>
      </c>
      <c r="H133" s="2"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in-682f36535ac0fc58</t>
        </is>
      </c>
      <c r="B134" t="inlineStr">
        <is>
          <t>Sr. Applied Scientist, Amazon Advertising</t>
        </is>
      </c>
      <c r="C134" t="inlineStr">
        <is>
          <t>Amazon.com</t>
        </is>
      </c>
      <c r="D134" t="inlineStr">
        <is>
          <t>indeed</t>
        </is>
      </c>
      <c r="E134">
        <f>HYPERLINK("https://www.indeed.com/viewjob?jk=682f36535ac0fc58", "https://www.indeed.com/viewjob?jk=682f36535ac0fc58")</f>
        <v/>
      </c>
      <c r="F134">
        <f>HYPERLINK("https://www.amazon.jobs/jobs/3035686/sr-applied-scientist-amazon-advertising?cmpid=DA_INAD200785B", "https://www.amazon.jobs/jobs/3035686/sr-applied-scientist-amazon-advertising?cmpid=DA_INAD200785B")</f>
        <v/>
      </c>
      <c r="G134" t="inlineStr">
        <is>
          <t>Arlington, VA, US</t>
        </is>
      </c>
      <c r="H134" s="2"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in-57dfb852275d4739</t>
        </is>
      </c>
      <c r="B135" t="inlineStr">
        <is>
          <t>Sr. Applied Scientist, Amazon Advertising</t>
        </is>
      </c>
      <c r="C135" t="inlineStr">
        <is>
          <t>Amazon.com</t>
        </is>
      </c>
      <c r="D135" t="inlineStr">
        <is>
          <t>indeed</t>
        </is>
      </c>
      <c r="E135">
        <f>HYPERLINK("https://www.indeed.com/viewjob?jk=57dfb852275d4739", "https://www.indeed.com/viewjob?jk=57dfb852275d4739")</f>
        <v/>
      </c>
      <c r="F135">
        <f>HYPERLINK("https://www.amazon.jobs/jobs/3035686/sr-applied-scientist-amazon-advertising?cmpid=DA_INAD200785B", "https://www.amazon.jobs/jobs/3035686/sr-applied-scientist-amazon-advertising?cmpid=DA_INAD200785B")</f>
        <v/>
      </c>
      <c r="G135" t="inlineStr">
        <is>
          <t>New York, NY,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in-020d44c8a07eed63</t>
        </is>
      </c>
      <c r="B136" t="inlineStr">
        <is>
          <t>Sr. Applied Scientist, Amazon Advertising</t>
        </is>
      </c>
      <c r="C136" t="inlineStr">
        <is>
          <t>Amazon.com</t>
        </is>
      </c>
      <c r="D136" t="inlineStr">
        <is>
          <t>indeed</t>
        </is>
      </c>
      <c r="E136">
        <f>HYPERLINK("https://www.indeed.com/viewjob?jk=020d44c8a07eed63", "https://www.indeed.com/viewjob?jk=020d44c8a07eed63")</f>
        <v/>
      </c>
      <c r="F136">
        <f>HYPERLINK("https://www.amazon.jobs/jobs/3035686/sr-applied-scientist-amazon-advertising?cmpid=DA_INAD200785B", "https://www.amazon.jobs/jobs/3035686/sr-applied-scientist-amazon-advertising?cmpid=DA_INAD200785B")</f>
        <v/>
      </c>
      <c r="G136" t="inlineStr">
        <is>
          <t>West Hollywood, CA,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in-254bf7ee9a320233</t>
        </is>
      </c>
      <c r="B137" t="inlineStr">
        <is>
          <t>Sr. Applied Scientist, Amazon Advertising</t>
        </is>
      </c>
      <c r="C137" t="inlineStr">
        <is>
          <t>Amazon.com</t>
        </is>
      </c>
      <c r="D137" t="inlineStr">
        <is>
          <t>indeed</t>
        </is>
      </c>
      <c r="E137">
        <f>HYPERLINK("https://www.indeed.com/viewjob?jk=254bf7ee9a320233", "https://www.indeed.com/viewjob?jk=254bf7ee9a320233")</f>
        <v/>
      </c>
      <c r="F137">
        <f>HYPERLINK("https://www.amazon.jobs/jobs/3035686/sr-applied-scientist-amazon-advertising?cmpid=DA_INAD200785B", "https://www.amazon.jobs/jobs/3035686/sr-applied-scientist-amazon-advertising?cmpid=DA_INAD200785B")</f>
        <v/>
      </c>
      <c r="G137" t="inlineStr">
        <is>
          <t>Los Angeles, CA, US</t>
        </is>
      </c>
      <c r="H137" s="2"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in-2d69d6b1c571aece</t>
        </is>
      </c>
      <c r="B138" t="inlineStr">
        <is>
          <t>Sr. Applied Scientist, Amazon Advertising</t>
        </is>
      </c>
      <c r="C138" t="inlineStr">
        <is>
          <t>Amazon.com</t>
        </is>
      </c>
      <c r="D138" t="inlineStr">
        <is>
          <t>indeed</t>
        </is>
      </c>
      <c r="E138">
        <f>HYPERLINK("https://www.indeed.com/viewjob?jk=2d69d6b1c571aece", "https://www.indeed.com/viewjob?jk=2d69d6b1c571aece")</f>
        <v/>
      </c>
      <c r="F138">
        <f>HYPERLINK("https://www.amazon.jobs/jobs/3035686/sr-applied-scientist-amazon-advertising?cmpid=DA_INAD200785B", "https://www.amazon.jobs/jobs/3035686/sr-applied-scientist-amazon-advertising?cmpid=DA_INAD200785B")</f>
        <v/>
      </c>
      <c r="G138" t="inlineStr">
        <is>
          <t>Austin, TX, US</t>
        </is>
      </c>
      <c r="H138" s="2" t="n">
        <v>45851</v>
      </c>
      <c r="I1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in-5c64d4a69d7c74e8</t>
        </is>
      </c>
      <c r="B139" t="inlineStr">
        <is>
          <t>Applied Scientist, Prime Video - Personalization and Discovery Science</t>
        </is>
      </c>
      <c r="C139" t="inlineStr">
        <is>
          <t>Amazon.com</t>
        </is>
      </c>
      <c r="D139" t="inlineStr">
        <is>
          <t>indeed</t>
        </is>
      </c>
      <c r="E139">
        <f>HYPERLINK("https://www.indeed.com/viewjob?jk=5c64d4a69d7c74e8", "https://www.indeed.com/viewjob?jk=5c64d4a69d7c74e8")</f>
        <v/>
      </c>
      <c r="F139">
        <f>HYPERLINK("https://www.amazon.jobs/jobs/3033050/applied-scientist-prime-video--personalization-and-discovery-science?cmpid=DA_INAD200785B", "https://www.amazon.jobs/jobs/3033050/applied-scientist-prime-video--personalization-and-discovery-science?cmpid=DA_INAD200785B")</f>
        <v/>
      </c>
      <c r="G139" t="inlineStr">
        <is>
          <t>Seattle, WA, US</t>
        </is>
      </c>
      <c r="H139" s="2" t="n">
        <v>45845</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0">
      <c r="A140" t="inlineStr">
        <is>
          <t>in-cde00a9cb6e65b17</t>
        </is>
      </c>
      <c r="B140" t="inlineStr">
        <is>
          <t>Applied Scientist, Prime Video - Personalization and Discovery Science</t>
        </is>
      </c>
      <c r="C140" t="inlineStr">
        <is>
          <t>Amazon.com</t>
        </is>
      </c>
      <c r="D140" t="inlineStr">
        <is>
          <t>indeed</t>
        </is>
      </c>
      <c r="E140">
        <f>HYPERLINK("https://www.indeed.com/viewjob?jk=cde00a9cb6e65b17", "https://www.indeed.com/viewjob?jk=cde00a9cb6e65b17")</f>
        <v/>
      </c>
      <c r="F140">
        <f>HYPERLINK("https://www.amazon.jobs/jobs/3033050/applied-scientist-prime-video--personalization-and-discovery-science?cmpid=DA_INAD200785B", "https://www.amazon.jobs/jobs/3033050/applied-scientist-prime-video--personalization-and-discovery-science?cmpid=DA_INAD200785B")</f>
        <v/>
      </c>
      <c r="G140" t="inlineStr">
        <is>
          <t>New York, NY, US</t>
        </is>
      </c>
      <c r="H140" s="2" t="n">
        <v>45845</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1">
      <c r="A141" t="inlineStr">
        <is>
          <t>in-8b64e09e5f34218f</t>
        </is>
      </c>
      <c r="B141" t="inlineStr">
        <is>
          <t>Applied Scientist, Prime Video - Personalization and Discovery Science</t>
        </is>
      </c>
      <c r="C141" t="inlineStr">
        <is>
          <t>Amazon.com</t>
        </is>
      </c>
      <c r="D141" t="inlineStr">
        <is>
          <t>indeed</t>
        </is>
      </c>
      <c r="E141">
        <f>HYPERLINK("https://www.indeed.com/viewjob?jk=8b64e09e5f34218f", "https://www.indeed.com/viewjob?jk=8b64e09e5f34218f")</f>
        <v/>
      </c>
      <c r="F141">
        <f>HYPERLINK("https://www.amazon.jobs/jobs/3033050/applied-scientist-prime-video--personalization-and-discovery-science?cmpid=DA_INAD200785B", "https://www.amazon.jobs/jobs/3033050/applied-scientist-prime-video--personalization-and-discovery-science?cmpid=DA_INAD200785B")</f>
        <v/>
      </c>
      <c r="G141" t="inlineStr">
        <is>
          <t>Sunnyvale, CA, US</t>
        </is>
      </c>
      <c r="H141" s="2" t="n">
        <v>45845</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2">
      <c r="A142" t="inlineStr">
        <is>
          <t>in-55e8daf7a7436833</t>
        </is>
      </c>
      <c r="B142" t="inlineStr">
        <is>
          <t>Sr. Data Scientist, Amazon Leo Global Planning, Amazon Leo</t>
        </is>
      </c>
      <c r="C142" t="inlineStr">
        <is>
          <t>Amazon.com</t>
        </is>
      </c>
      <c r="D142" t="inlineStr">
        <is>
          <t>indeed</t>
        </is>
      </c>
      <c r="E142">
        <f>HYPERLINK("https://www.indeed.com/viewjob?jk=55e8daf7a7436833", "https://www.indeed.com/viewjob?jk=55e8daf7a7436833")</f>
        <v/>
      </c>
      <c r="F142">
        <f>HYPERLINK("https://www.amazon.jobs/jobs/3016062/sr-data-scientist-amazon-leo-global-planning-amazon-leo?cmpid=DA_INAD200785B", "https://www.amazon.jobs/jobs/3016062/sr-data-scientist-amazon-leo-global-planning-amazon-leo?cmpid=DA_INAD200785B")</f>
        <v/>
      </c>
      <c r="G142" t="inlineStr">
        <is>
          <t>Redmond, WA, US</t>
        </is>
      </c>
      <c r="H142" s="2" t="n">
        <v>45830</v>
      </c>
      <c r="I14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43">
      <c r="A143" t="inlineStr">
        <is>
          <t>in-d2aeb1b97df8b4ed</t>
        </is>
      </c>
      <c r="B143" t="inlineStr">
        <is>
          <t>Sr. Data Scientist, Amazon Leo Global Planning, Amazon Leo</t>
        </is>
      </c>
      <c r="C143" t="inlineStr">
        <is>
          <t>Amazon.com</t>
        </is>
      </c>
      <c r="D143" t="inlineStr">
        <is>
          <t>indeed</t>
        </is>
      </c>
      <c r="E143">
        <f>HYPERLINK("https://www.indeed.com/viewjob?jk=d2aeb1b97df8b4ed", "https://www.indeed.com/viewjob?jk=d2aeb1b97df8b4ed")</f>
        <v/>
      </c>
      <c r="F143">
        <f>HYPERLINK("https://www.amazon.jobs/jobs/3016062/sr-data-scientist-amazon-leo-global-planning-amazon-leo?cmpid=DA_INAD200785B", "https://www.amazon.jobs/jobs/3016062/sr-data-scientist-amazon-leo-global-planning-amazon-leo?cmpid=DA_INAD200785B")</f>
        <v/>
      </c>
      <c r="G143" t="inlineStr">
        <is>
          <t>Bellevue, WA, US</t>
        </is>
      </c>
      <c r="H143" s="2" t="n">
        <v>45830</v>
      </c>
      <c r="I14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44">
      <c r="A144" t="inlineStr">
        <is>
          <t>in-10649b5e7a581145</t>
        </is>
      </c>
      <c r="B144" t="inlineStr">
        <is>
          <t>Principal Applied Scientist, Delivery Foundation Model</t>
        </is>
      </c>
      <c r="C144" t="inlineStr">
        <is>
          <t>Amazon.com</t>
        </is>
      </c>
      <c r="D144" t="inlineStr">
        <is>
          <t>indeed</t>
        </is>
      </c>
      <c r="E144">
        <f>HYPERLINK("https://www.indeed.com/viewjob?jk=10649b5e7a581145", "https://www.indeed.com/viewjob?jk=10649b5e7a581145")</f>
        <v/>
      </c>
      <c r="F144">
        <f>HYPERLINK("https://www.amazon.jobs/jobs/3006938/principal-applied-scientist-delivery-foundation-model-?cmpid=DA_INAD200785B", "https://www.amazon.jobs/jobs/3006938/principal-applied-scientist-delivery-foundation-model-?cmpid=DA_INAD200785B")</f>
        <v/>
      </c>
      <c r="G144" t="inlineStr">
        <is>
          <t>Santa Clara, CA, US</t>
        </is>
      </c>
      <c r="H144" s="2" t="n">
        <v>45810</v>
      </c>
      <c r="I14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45">
      <c r="A145" t="inlineStr">
        <is>
          <t>in-270c901c66b03770</t>
        </is>
      </c>
      <c r="B145" t="inlineStr">
        <is>
          <t>Principal Applied Scientist, Delivery Foundation Model</t>
        </is>
      </c>
      <c r="C145" t="inlineStr">
        <is>
          <t>Amazon.com</t>
        </is>
      </c>
      <c r="D145" t="inlineStr">
        <is>
          <t>indeed</t>
        </is>
      </c>
      <c r="E145">
        <f>HYPERLINK("https://www.indeed.com/viewjob?jk=270c901c66b03770", "https://www.indeed.com/viewjob?jk=270c901c66b03770")</f>
        <v/>
      </c>
      <c r="F145">
        <f>HYPERLINK("https://www.amazon.jobs/jobs/3006938/principal-applied-scientist-delivery-foundation-model-?cmpid=DA_INAD200785B", "https://www.amazon.jobs/jobs/3006938/principal-applied-scientist-delivery-foundation-model-?cmpid=DA_INAD200785B")</f>
        <v/>
      </c>
      <c r="G145" t="inlineStr">
        <is>
          <t>Bellevue, WA, US</t>
        </is>
      </c>
      <c r="H145" s="2" t="n">
        <v>45810</v>
      </c>
      <c r="I14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46">
      <c r="A146" t="inlineStr">
        <is>
          <t>in-cf4ab49bb8e522b0</t>
        </is>
      </c>
      <c r="B146" t="inlineStr">
        <is>
          <t>Principal Applied Scientist, Delivery Foundation Model</t>
        </is>
      </c>
      <c r="C146" t="inlineStr">
        <is>
          <t>Amazon.com</t>
        </is>
      </c>
      <c r="D146" t="inlineStr">
        <is>
          <t>indeed</t>
        </is>
      </c>
      <c r="E146">
        <f>HYPERLINK("https://www.indeed.com/viewjob?jk=cf4ab49bb8e522b0", "https://www.indeed.com/viewjob?jk=cf4ab49bb8e522b0")</f>
        <v/>
      </c>
      <c r="F146">
        <f>HYPERLINK("https://www.amazon.jobs/jobs/3006938/principal-applied-scientist-delivery-foundation-model-?cmpid=DA_INAD200785B", "https://www.amazon.jobs/jobs/3006938/principal-applied-scientist-delivery-foundation-model-?cmpid=DA_INAD200785B")</f>
        <v/>
      </c>
      <c r="G146" t="inlineStr">
        <is>
          <t>Austin, TX, US</t>
        </is>
      </c>
      <c r="H146" s="2" t="n">
        <v>45810</v>
      </c>
      <c r="I1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47">
      <c r="A147" t="inlineStr">
        <is>
          <t>in-7fc47855f1c72512</t>
        </is>
      </c>
      <c r="B147" t="inlineStr">
        <is>
          <t>Principal Applied Scientist, Delivery Foundation Model</t>
        </is>
      </c>
      <c r="C147" t="inlineStr">
        <is>
          <t>Amazon.com</t>
        </is>
      </c>
      <c r="D147" t="inlineStr">
        <is>
          <t>indeed</t>
        </is>
      </c>
      <c r="E147">
        <f>HYPERLINK("https://www.indeed.com/viewjob?jk=7fc47855f1c72512", "https://www.indeed.com/viewjob?jk=7fc47855f1c72512")</f>
        <v/>
      </c>
      <c r="F147">
        <f>HYPERLINK("https://www.amazon.jobs/jobs/3006938/principal-applied-scientist-delivery-foundation-model-?cmpid=DA_INAD200785B", "https://www.amazon.jobs/jobs/3006938/principal-applied-scientist-delivery-foundation-model-?cmpid=DA_INAD200785B")</f>
        <v/>
      </c>
      <c r="G147" t="inlineStr">
        <is>
          <t>New York, NY, US</t>
        </is>
      </c>
      <c r="H147" s="2" t="n">
        <v>45810</v>
      </c>
      <c r="I1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48">
      <c r="A148" t="inlineStr">
        <is>
          <t>in-b3e968de061a0889</t>
        </is>
      </c>
      <c r="B148" t="inlineStr">
        <is>
          <t>Senior Applied Scientist, Delivery Foundation Model</t>
        </is>
      </c>
      <c r="C148" t="inlineStr">
        <is>
          <t>Amazon.com</t>
        </is>
      </c>
      <c r="D148" t="inlineStr">
        <is>
          <t>indeed</t>
        </is>
      </c>
      <c r="E148">
        <f>HYPERLINK("https://www.indeed.com/viewjob?jk=b3e968de061a0889", "https://www.indeed.com/viewjob?jk=b3e968de061a0889")</f>
        <v/>
      </c>
      <c r="F148">
        <f>HYPERLINK("https://www.amazon.jobs/jobs/2998435/senior-applied-scientist-delivery-foundation-model-?cmpid=DA_INAD200785B", "https://www.amazon.jobs/jobs/2998435/senior-applied-scientist-delivery-foundation-model-?cmpid=DA_INAD200785B")</f>
        <v/>
      </c>
      <c r="G148" t="inlineStr">
        <is>
          <t>Santa Clara, CA, US</t>
        </is>
      </c>
      <c r="H148" s="2" t="n">
        <v>45806</v>
      </c>
      <c r="I1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in-8fd58fb66a30e8b4</t>
        </is>
      </c>
      <c r="B149" t="inlineStr">
        <is>
          <t>Senior Applied Scientist, Delivery Foundation Model</t>
        </is>
      </c>
      <c r="C149" t="inlineStr">
        <is>
          <t>Amazon.com</t>
        </is>
      </c>
      <c r="D149" t="inlineStr">
        <is>
          <t>indeed</t>
        </is>
      </c>
      <c r="E149">
        <f>HYPERLINK("https://www.indeed.com/viewjob?jk=8fd58fb66a30e8b4", "https://www.indeed.com/viewjob?jk=8fd58fb66a30e8b4")</f>
        <v/>
      </c>
      <c r="F149">
        <f>HYPERLINK("https://www.amazon.jobs/jobs/2998435/senior-applied-scientist-delivery-foundation-model-?cmpid=DA_INAD200785B", "https://www.amazon.jobs/jobs/2998435/senior-applied-scientist-delivery-foundation-model-?cmpid=DA_INAD200785B")</f>
        <v/>
      </c>
      <c r="G149" t="inlineStr">
        <is>
          <t>Bellevue, WA, US</t>
        </is>
      </c>
      <c r="H149" s="2" t="n">
        <v>45806</v>
      </c>
      <c r="I14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in-f20ee497fc7e71fc</t>
        </is>
      </c>
      <c r="B150" t="inlineStr">
        <is>
          <t>Senior Applied Scientist, Delivery Foundation Model</t>
        </is>
      </c>
      <c r="C150" t="inlineStr">
        <is>
          <t>Amazon.com</t>
        </is>
      </c>
      <c r="D150" t="inlineStr">
        <is>
          <t>indeed</t>
        </is>
      </c>
      <c r="E150">
        <f>HYPERLINK("https://www.indeed.com/viewjob?jk=f20ee497fc7e71fc", "https://www.indeed.com/viewjob?jk=f20ee497fc7e71fc")</f>
        <v/>
      </c>
      <c r="F150">
        <f>HYPERLINK("https://www.amazon.jobs/jobs/2998435/senior-applied-scientist-delivery-foundation-model-?cmpid=DA_INAD200785B", "https://www.amazon.jobs/jobs/2998435/senior-applied-scientist-delivery-foundation-model-?cmpid=DA_INAD200785B")</f>
        <v/>
      </c>
      <c r="G150" t="inlineStr">
        <is>
          <t>New York, NY, US</t>
        </is>
      </c>
      <c r="H150" s="2" t="n">
        <v>45806</v>
      </c>
      <c r="I15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in-9b04ac2f3f65db26</t>
        </is>
      </c>
      <c r="B151" t="inlineStr">
        <is>
          <t>Sr. Applied Scientist - Privacy, Privacy Engineering</t>
        </is>
      </c>
      <c r="C151" t="inlineStr">
        <is>
          <t>Amazon.com</t>
        </is>
      </c>
      <c r="D151" t="inlineStr">
        <is>
          <t>indeed</t>
        </is>
      </c>
      <c r="E151">
        <f>HYPERLINK("https://www.indeed.com/viewjob?jk=9b04ac2f3f65db26", "https://www.indeed.com/viewjob?jk=9b04ac2f3f65db26")</f>
        <v/>
      </c>
      <c r="F151">
        <f>HYPERLINK("https://www.amazon.jobs/jobs/2997657/sr-applied-scientist--privacy-privacy-engineering?cmpid=DA_INAD200785B", "https://www.amazon.jobs/jobs/2997657/sr-applied-scientist--privacy-privacy-engineering?cmpid=DA_INAD200785B")</f>
        <v/>
      </c>
      <c r="G151" t="inlineStr">
        <is>
          <t>San Francisco, CA, US</t>
        </is>
      </c>
      <c r="H151" s="2" t="n">
        <v>45787</v>
      </c>
      <c r="I15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in-c1482a66e0337e87</t>
        </is>
      </c>
      <c r="B152" t="inlineStr">
        <is>
          <t>Sr. Applied Scientist - Privacy, Privacy Engineering</t>
        </is>
      </c>
      <c r="C152" t="inlineStr">
        <is>
          <t>Amazon.com</t>
        </is>
      </c>
      <c r="D152" t="inlineStr">
        <is>
          <t>indeed</t>
        </is>
      </c>
      <c r="E152">
        <f>HYPERLINK("https://www.indeed.com/viewjob?jk=c1482a66e0337e87", "https://www.indeed.com/viewjob?jk=c1482a66e0337e87")</f>
        <v/>
      </c>
      <c r="F152">
        <f>HYPERLINK("https://www.amazon.jobs/jobs/2997657/sr-applied-scientist--privacy-privacy-engineering?cmpid=DA_INAD200785B", "https://www.amazon.jobs/jobs/2997657/sr-applied-scientist--privacy-privacy-engineering?cmpid=DA_INAD200785B")</f>
        <v/>
      </c>
      <c r="G152" t="inlineStr">
        <is>
          <t>Santa Clara, CA, US</t>
        </is>
      </c>
      <c r="H152" s="2" t="n">
        <v>45787</v>
      </c>
      <c r="I15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in-711ef60382c28bfd</t>
        </is>
      </c>
      <c r="B153" t="inlineStr">
        <is>
          <t>Sr. Applied Scientist - Privacy, Privacy Engineering</t>
        </is>
      </c>
      <c r="C153" t="inlineStr">
        <is>
          <t>Amazon.com</t>
        </is>
      </c>
      <c r="D153" t="inlineStr">
        <is>
          <t>indeed</t>
        </is>
      </c>
      <c r="E153">
        <f>HYPERLINK("https://www.indeed.com/viewjob?jk=711ef60382c28bfd", "https://www.indeed.com/viewjob?jk=711ef60382c28bfd")</f>
        <v/>
      </c>
      <c r="F153">
        <f>HYPERLINK("https://www.amazon.jobs/jobs/2997657/sr-applied-scientist--privacy-privacy-engineering?cmpid=DA_INAD200785B", "https://www.amazon.jobs/jobs/2997657/sr-applied-scientist--privacy-privacy-engineering?cmpid=DA_INAD200785B")</f>
        <v/>
      </c>
      <c r="G153" t="inlineStr">
        <is>
          <t>Seattle, WA, US</t>
        </is>
      </c>
      <c r="H153" s="2" t="n">
        <v>45787</v>
      </c>
      <c r="I15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in-5a0229ade7021c78</t>
        </is>
      </c>
      <c r="B154" t="inlineStr">
        <is>
          <t>Sr. Applied Scientist - Privacy, Privacy Engineering</t>
        </is>
      </c>
      <c r="C154" t="inlineStr">
        <is>
          <t>Amazon.com</t>
        </is>
      </c>
      <c r="D154" t="inlineStr">
        <is>
          <t>indeed</t>
        </is>
      </c>
      <c r="E154">
        <f>HYPERLINK("https://www.indeed.com/viewjob?jk=5a0229ade7021c78", "https://www.indeed.com/viewjob?jk=5a0229ade7021c78")</f>
        <v/>
      </c>
      <c r="F154">
        <f>HYPERLINK("https://www.amazon.jobs/jobs/2997657/sr-applied-scientist--privacy-privacy-engineering?cmpid=DA_INAD200785B", "https://www.amazon.jobs/jobs/2997657/sr-applied-scientist--privacy-privacy-engineering?cmpid=DA_INAD200785B")</f>
        <v/>
      </c>
      <c r="G154" t="inlineStr">
        <is>
          <t>Sunnyvale, CA, US</t>
        </is>
      </c>
      <c r="H154" s="2" t="n">
        <v>45787</v>
      </c>
      <c r="I15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in-e17072215af6a528</t>
        </is>
      </c>
      <c r="B155" t="inlineStr">
        <is>
          <t>Principal Applied Scientist, Delivery Foundation Model</t>
        </is>
      </c>
      <c r="C155" t="inlineStr">
        <is>
          <t>Amazon.com</t>
        </is>
      </c>
      <c r="D155" t="inlineStr">
        <is>
          <t>indeed</t>
        </is>
      </c>
      <c r="E155">
        <f>HYPERLINK("https://www.indeed.com/viewjob?jk=e17072215af6a528", "https://www.indeed.com/viewjob?jk=e17072215af6a528")</f>
        <v/>
      </c>
      <c r="F155">
        <f>HYPERLINK("https://www.amazon.jobs/jobs/2998635/principal-applied-scientist-delivery-foundation-model-?cmpid=DA_INAD200785B", "https://www.amazon.jobs/jobs/2998635/principal-applied-scientist-delivery-foundation-model-?cmpid=DA_INAD200785B")</f>
        <v/>
      </c>
      <c r="G155" t="inlineStr">
        <is>
          <t>New York, NY, US</t>
        </is>
      </c>
      <c r="H155" s="2" t="n">
        <v>45757</v>
      </c>
      <c r="I15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56">
      <c r="A156" t="inlineStr">
        <is>
          <t>in-c39fdabb09be086b</t>
        </is>
      </c>
      <c r="B156" t="inlineStr">
        <is>
          <t>Principal Applied Scientist, Delivery Foundation Model</t>
        </is>
      </c>
      <c r="C156" t="inlineStr">
        <is>
          <t>Amazon.com</t>
        </is>
      </c>
      <c r="D156" t="inlineStr">
        <is>
          <t>indeed</t>
        </is>
      </c>
      <c r="E156">
        <f>HYPERLINK("https://www.indeed.com/viewjob?jk=c39fdabb09be086b", "https://www.indeed.com/viewjob?jk=c39fdabb09be086b")</f>
        <v/>
      </c>
      <c r="F156">
        <f>HYPERLINK("https://www.amazon.jobs/jobs/2998635/principal-applied-scientist-delivery-foundation-model-?cmpid=DA_INAD200785B", "https://www.amazon.jobs/jobs/2998635/principal-applied-scientist-delivery-foundation-model-?cmpid=DA_INAD200785B")</f>
        <v/>
      </c>
      <c r="G156" t="inlineStr">
        <is>
          <t>Santa Clara, CA, US</t>
        </is>
      </c>
      <c r="H156" s="2" t="n">
        <v>45757</v>
      </c>
      <c r="I15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57">
      <c r="A157" t="inlineStr">
        <is>
          <t>in-a523f764bfcc94d7</t>
        </is>
      </c>
      <c r="B157" t="inlineStr">
        <is>
          <t>Principal Applied Scientist, Delivery Foundation Model</t>
        </is>
      </c>
      <c r="C157" t="inlineStr">
        <is>
          <t>Amazon.com</t>
        </is>
      </c>
      <c r="D157" t="inlineStr">
        <is>
          <t>indeed</t>
        </is>
      </c>
      <c r="E157">
        <f>HYPERLINK("https://www.indeed.com/viewjob?jk=a523f764bfcc94d7", "https://www.indeed.com/viewjob?jk=a523f764bfcc94d7")</f>
        <v/>
      </c>
      <c r="F157">
        <f>HYPERLINK("https://www.amazon.jobs/jobs/2998635/principal-applied-scientist-delivery-foundation-model-?cmpid=DA_INAD200785B", "https://www.amazon.jobs/jobs/2998635/principal-applied-scientist-delivery-foundation-model-?cmpid=DA_INAD200785B")</f>
        <v/>
      </c>
      <c r="G157" t="inlineStr">
        <is>
          <t>Bellevue, WA, US</t>
        </is>
      </c>
      <c r="H157" s="2" t="n">
        <v>45757</v>
      </c>
      <c r="I15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58">
      <c r="A158" t="inlineStr">
        <is>
          <t>in-e65de884f207b182</t>
        </is>
      </c>
      <c r="B158" t="inlineStr">
        <is>
          <t>Senior Data Scientist, NLP &amp; Graph Analytics</t>
        </is>
      </c>
      <c r="C158" t="inlineStr">
        <is>
          <t>TRM Labs</t>
        </is>
      </c>
      <c r="D158" t="inlineStr">
        <is>
          <t>indeed</t>
        </is>
      </c>
      <c r="E158">
        <f>HYPERLINK("https://www.indeed.com/viewjob?jk=e65de884f207b182", "https://www.indeed.com/viewjob?jk=e65de884f207b182")</f>
        <v/>
      </c>
      <c r="F158">
        <f>HYPERLINK("https://jobs.ashbyhq.com/trm-labs/2f22f7c3-4550-4bec-8dfb-5d07e711226d?utm_source=KaWmZ89zGg", "https://jobs.ashbyhq.com/trm-labs/2f22f7c3-4550-4bec-8dfb-5d07e711226d?utm_source=KaWmZ89zGg")</f>
        <v/>
      </c>
      <c r="G158" t="inlineStr">
        <is>
          <t>US</t>
        </is>
      </c>
      <c r="H158" s="2" t="n">
        <v>46084</v>
      </c>
      <c r="I158"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We’re looking for a **Full Stack Data Scientist / Machine Learning Engineer** to join our **Knowledge Layer team**, a group focused on extracting, structuring, and analyzing knowledge from large\-scale, unstructured data. This team sits at the intersection of **knowledge graphs, entity resolution, graph extraction, and graph analytics**, and plays a critical role in powering TRM’s core intelligence products.
While the team has strong backend and graph engineering expertise, we are looking for someone to be the **machine learning and data science voice in the room** — bringing practical ML expertise, especially in **knowledge extraction and graph\-based ML**, to help accelerate and scale our capabilities. This is an ideal role for someone who enjoys operating end\-to\-end: from model selection and experimentation, to productionizing ML systems and APIs.
This role is based in San Francisco, CA.
**The impact you will have:**
* Design, build, and productionize machine learning models focused on:
	+ Knowledge extraction from unstructured data (e.g., NER, entity linking)
	+ Graph\-based learning and inference
	+ Entity resolution and relationship discovery
* Evaluate and leverage existing ML models and frameworks to solve real\-world problems efficiently
* Partner closely with backend and graph engineers to integrate ML models into production services and APIs
* Contribute to the design and evolution of knowledge graphs and ontologies
* Perform exploratory data analysis (EDA) to inform modeling decisions and system design
* Own ML components end\-to\-end, including experimentation, evaluation, deployment, and iteration
* Help shape best practices for applied ML within the Knowledge Layer team
**What we’re looking for:**
* 5\+ years of experience in data science, machine learning engineering, or applied ML
* Strong programming experience in Python
* Hands\-on experience building, training, or deploying machine learning models in production
* Familiarity with NLP or information extraction techniques, such as Named Entity Recognition (NER), text classification, or embedding\-based approaches
* Experience or strong interest in knowledge graphs, graph data, or graph\-based ML
* Solid software engineering fundamentals, including building and maintaining APIs or services
* Ability to translate ambiguous problem spaces into practical ML solutions
* Strong communication skills and comfort collaborating with engineers across disciplines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159">
      <c r="A159" t="inlineStr">
        <is>
          <t>in-3b5294626df41bae</t>
        </is>
      </c>
      <c r="B159" t="inlineStr">
        <is>
          <t>Lead AI/ML Scientist - Remote</t>
        </is>
      </c>
      <c r="C159" t="inlineStr">
        <is>
          <t>Optum</t>
        </is>
      </c>
      <c r="D159" t="inlineStr">
        <is>
          <t>indeed</t>
        </is>
      </c>
      <c r="E159">
        <f>HYPERLINK("https://www.indeed.com/viewjob?jk=3b5294626df41bae", "https://www.indeed.com/viewjob?jk=3b5294626df41bae")</f>
        <v/>
      </c>
      <c r="F159">
        <f>HYPERLINK("https://uhg.taleo.net/careersection/10000/jobdetail.ftl?job=2348743&amp;lang=en", "https://uhg.taleo.net/careersection/10000/jobdetail.ftl?job=2348743&amp;lang=en")</f>
        <v/>
      </c>
      <c r="G159" t="inlineStr">
        <is>
          <t>Eden Prairie, MN, US</t>
        </is>
      </c>
      <c r="H159" s="2" t="n">
        <v>46084</v>
      </c>
      <c r="I159"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As a Lead AI/ML Engineer, you will be responsible for the design, implementation, and scaling of AI systems for health applications at Optum. These systems will solve problems focused on improving patient engagement, predicting progression of disease, supporting novel designs of clinical trials using both structured and unstructured (text) data, and optimizing claims processing. You will apply state\-of\-the\-art approaches for MLOps to ensure the performance and reliability of machine learning models serving our customers and build data pipelines that deliver real\-time insights.
You'll enjoy the flexibility to work remotely \* from anywhere within the U.S. as you take on some tough challenges. For all hires in the Minneapolis or Washington, D.C. area, you will be required to work in the office a minimum of four days per week.
 **Primary Responsibilities:**
* Collaborate with cross\-functional teams to determine applicability of AI to business problems
* Process and transform source data to be used in machine learning pipelines, leveraging distributed computing environments and parallel processing approaches.
* Build robust training and evaluation pipelines using Python, PyTorch/TensorFlow, and modern ML tooling
* Follow best practices for software development (tests, packaging, GitHub, code review)
* Communicate clearly with cross functional teams and stakeholders through written documents, technical talks, and presentations
* Stay up\-to\-date with latest AI/ML technologies and research
* Publish findings in top tier AI and ML venues (e.g., NeurIPS, ICML, ICLR, ACL, EMNLP, CHIL, etc.) and present internally to Optum AI and business leaders
* Closely collaborate with the Responsible Use of AI (RUAI) team to ensure that the delivered solutions are compliant with the company policies and standards.
* Develop evaluation protocols, diagnostics, and documentation to support model governance and regulatory requirements
* Establish best practices for end\-to\-end machine learning, deep learning and GenAI development cycles to ensure rigor in process and quality in outcome
* Mentorship and leadership of project team members
You'll be rewarded and recognized for your performance in an environment that will challenge you and give you clear direction on what it takes to succeed in your role as well as provide development for other roles you may be interested in.
**Required Qualifications:**
* Advanced degree in Computer Science, Mathematics, Statistics, or related field
* PhD with 3\+ years of experience in AI/ML solutions delivery role or Masters with 8\+ years in AI/ML solutions delivery role
* Experience using in cloud platforms and services (Azure, AWS, GCP, etc.)
* Proficiency in AI/ML engineering development with Python
* Demonstrated experience leading and implementing AI/ML projects from ideation to evaluation, delivery, and monitoring
* Experience with AI Cloud services like Azure ML, Databricks, Azure OpenAI, or similar services in GCP / AWS
* Expertise in Large Language Modeling and Transformer Architectures with experience in prompt engineering, evaluation, and LLM optimization
* Proven exceptional verbal and written communication skills to lead/mentor project teams, as well as to communicate technical content and analytical insights/complex findings in a clear and concise manner to multiple audiences, including senior management
* Proven working knowledge of software development tools and practices including DevOps and CI/CD tools (Git, Docker, Kubernetes, etc.)
 **Preferred Qualifications:**
* Experience working with healthcare data (claims, EHR, clinician notes, etc.) and implementing AI solutions in a healthcare setting
* Experience implementing agent architectures that can plan, call tools/APIs, interact with retrieval systems, and handle multistep clinical workflows
* Proven solid publication record in toptier AI/ML/NLP venues (e.g., NeurIPS, ICML, ICLR, ACL, EMNLP, CHIL, etc.)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li-4374839448</t>
        </is>
      </c>
      <c r="B2" t="inlineStr">
        <is>
          <t>Data Scientist / Data Engineer  - Full time role</t>
        </is>
      </c>
      <c r="C2" t="inlineStr">
        <is>
          <t>Ztek Consulting</t>
        </is>
      </c>
      <c r="D2" t="inlineStr">
        <is>
          <t>linkedin</t>
        </is>
      </c>
      <c r="E2" t="inlineStr"/>
      <c r="F2" t="inlineStr"/>
      <c r="G2" t="inlineStr">
        <is>
          <t>Vienna, VA</t>
        </is>
      </c>
      <c r="H2" t="inlineStr"/>
      <c r="I2" t="inlineStr">
        <is>
          <t>Below are the 2 open roles:
**Role 1: Data Scientist** 
* 5\+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 RAG, Embedding, Vector DB, hugging face transformer, BERT, BART, LLMs
**Role 2: Data Engineer**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t>
        </is>
      </c>
    </row>
    <row r="3">
      <c r="A3" t="inlineStr">
        <is>
          <t>li-4378348569</t>
        </is>
      </c>
      <c r="B3" t="inlineStr">
        <is>
          <t>Junior Data Scientist</t>
        </is>
      </c>
      <c r="C3" t="inlineStr">
        <is>
          <t>New York City Police Department</t>
        </is>
      </c>
      <c r="D3" t="inlineStr">
        <is>
          <t>linkedin</t>
        </is>
      </c>
      <c r="E3" t="inlineStr"/>
      <c r="F3" t="inlineStr"/>
      <c r="G3" t="inlineStr"/>
      <c r="H3" t="inlineStr"/>
      <c r="I3" t="inlineStr">
        <is>
          <t>The mission of the New York City Police Department is to enhance the quality of life in New York City by working in partnership with the community to enforce the law, preserve peace, protect the people, reduce fear, and maintain order. The New York City Police Department strives to foster a safe and fair city through the strategic deployment of resources, focusing on both crime prevention and addressing quality\-of\-life concerns while building lasting community relationships.
 The Office of Management Analysis and Planning (OMAP) analyze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The Office of Management Analysis and Planning (OMAP) is seeking a highly motivated Junior Data Scientist to join the New York City Police Department (NYPD) Data Science team. OMAP serves as the primary evaluation and assessment arm of the NYPD. Acting as a "think tank", OMAP focuses on exploring and implementing innovative strategies and efficiencies aimed at enhancing policy development, evaluating programs, and optimizing organizational structures and staffing.
 A successful candidate will contribute to the section mission by developing data science services that solve Department challenges. They will also harmonize analysis and research to advise leadership on policy and improve Department decision making. Key responsibilities include experience with Python and machine learning, the ability to work with both structured and unstructured datasets (e.g. text, geospatial, network data), and the ability to write clean code to integrate data science services with business intelligence tools. Strong project management and interpersonal skills are required.
 WORK LOCATION:
 1 Police Plaza. N.Y. 10038
**Hours/Shift**
 Monday \- Friday 8 x 4 or 10 x 6
 TO APPLY
 Click the 'Apply' button, or visit: https://cityjobs.nyc.gov and search for Job ID \# 771461
 MANAGEMENT AUDITOR \- 40502
**Minimum Qualifications**
*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accounting, including one course each in: advanced accounting, auditing, and cost accounting; and one of the following:
* one year of full\-time satisfactory experience in management auditing, financial auditing, and/or information technology (IT) auditing; or
* a valid Certified Public Accountant license issued by the New York State Education Department; or
* a valid Certified Internal Auditor certificate issued by the Institute of Internal Auditors (IIA); or
* A satisfactory combination of education and/or experience equivalent to "1" above. Education and/or experience may be substituted as follows:
* two years of full\-time satisfactory experience in financial or managerial accounting may be substituted for the one year of experience described in "1(A)" above;
* undergraduate or graduate credits from an accredited college or university, accredited by regional, national, professional or specialized agencies recognized as accrediting bodies by the U.S. Secretary of Education and by the Council for Higher Education Accreditation (CHEA) in management, computer science, public administration, and/or business administration may be substituted for up to 9 semester credits in accounting, on a credit for credit basis.
 However, all candidates must have a baccalaureate degree including or supplemented by 15 semester credits in accounting, including one course each in advanced accounting, auditing, and cost accounting, and one of the following: at least one year of the experience described in "1(A)" above or its equivalent; or a Certified Public Accountant license; or a Certified Internal Auditor certificate, as described in "1(B)" or "1(C)" above.
 To be eligible for placement in Assignment Level II individuals must have, in addition to meeting the minimum requirements, at least one year of experience as a Management Auditor \- Assignment I or at least two years of experience in management auditing, financial auditing, and/or information technology (IT) auditing.
**Preferred Skills**
* Experience developing full\-stack software applications using Python, DQL, and/or R. \- Ability to develop statistical and machine learning models (e.g. scikit\-learn, statsmodels, PyTorch) \- Ability to develop metrics to measure business objectives and improve the operational effectiveness of the Department. \- Ability to develop data visualizations and business communication for department leadership to improve organizational decision making (e.g. Pandas, NumPy, Matplotlib) \- Ability to work with unstructured data, such as text, geospatial, and network data is preferred (e.g. NLTK, GeoPy. networkx) \- Ability to write clean and simple code to automate business tools such as Word, Excel, PowerPoint, ArcGIS, and Power BI is required. \- Excellent oral, written, analytic, organizational, and interpersonal skills and attention to detail are required. \- Ability to manage multiple projects simultaneously and meet tight deadlines. \- Ability to work both independently and on a team. \- Ability to work cross\-functionally to strengthen relationships with internal stakeholders, agencies, and academic institutions. \- Knowledge and understanding of criminal justice policy and research literature is preferred.
 55a Program
 This position is also open to qualified persons with a disability who are eligible for the 55\-a Program. Please indicate at the top of your resume and cover letter that you would like to be considered for the position through the 55\-a Program.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row>
    <row r="4">
      <c r="A4" t="inlineStr">
        <is>
          <t>li-4376594840</t>
        </is>
      </c>
      <c r="B4" t="inlineStr">
        <is>
          <t>Data Scientist (Multiple Levels)</t>
        </is>
      </c>
      <c r="C4" t="inlineStr">
        <is>
          <t>Noblis</t>
        </is>
      </c>
      <c r="D4" t="inlineStr">
        <is>
          <t>linkedin</t>
        </is>
      </c>
      <c r="E4" t="inlineStr"/>
      <c r="F4" t="inlineStr"/>
      <c r="G4" t="inlineStr">
        <is>
          <t>Washington, DC</t>
        </is>
      </c>
      <c r="H4" t="inlineStr"/>
      <c r="I4" t="inlineStr">
        <is>
          <t>**Responsibilities**
 We are seeking highly qualified Subject Matter Experts (SMEs) across multiple levels (I\-V) to support data science, aviation, engineering, psychological, analytical, and technical programs within the Federal Aviation Administration (FAA) or related federal initiatives. SMEs will apply advanced knowledge in their respective technical or analytical disciplines—particularly data science, machine learning, and data\-driven analysis—to solve complex problems, integrate requirements, and contribute to system design, program execution, and organizational effectiveness.
 SMEs will participate in multidisciplinary teams, utilizing advanced analytical tools, simulation environments, laboratories, data analysis platforms, and test facilities. They will provide guidance in technical planning, data strategy, process improvement, and performance evaluation, ensuring that data\-driven insights inform program and mission outcomes.
 Key Responsibilities (All Levels)
* Apply advanced knowledge in data science, engineering, psychology, or related technical disciplines to solve complex technical or organizational problems within the FAA or similar environments.
* Extract insights and value from large and complex datasets to inform decision\-making, enhance system performance, and drive innovation across programs.
* Develop and implement data\-driven solutions and predictive models using advanced statistical, machine learning, and data analysis techniques.
* Collect, clean, and integrate data from multiple sources to support analytical, technical, and operational objectives.
* Perform exploratory data analysis (EDA) to identify trends, patterns, and relationships in data relevant to aviation safety, engineering performance, human factors, or organizational outcomes.
* Utilize scientific, engineering, and analytical tools (e.g., Python, R, SQL, MATLAB, data visualization platforms) to design, test, and validate analytical models and simulations.
* Collaborate with cross\-functional teams—including software engineers, data analysts, behavioral scientists, and domain experts—to integrate data science solutions into operational systems and decision\-support workflows.
* Develop and review technical documentation, reports, and data\-driven recommendations to support program planning, compliance, and strategic decisions.
* Communicate analytical findings and technical insights to stakeholders in a clear, actionable manner, enabling evidence\-based decision\-making.
* Contribute to technical planning, data infrastructure design, and process optimization, ensuring alignment with program goals and federal data standards.
* Mentor junior staff and provide expertise in data science methodologies, enhancing team capabilities and promoting a culture of analytical excellence.
**Required Qualifications**
 Qualifications for all Levels:
* U.S. citizen or green card permanent resident (3\+ years U.S. residency)
* Ability to obtain and maintain FAA Sutiability/Public Trust.
* Experience with FAA and the environment.
 Level I
**Required Qualifications**
* Bachelor’s degree in engineering, science, or related field and 4\+ years of relevant experience; or equivalent aviation\-related experience with 6\+ years.
 D.C. Salary Range: $71,800\.00 \- $112,150
 Level II
**Required Qualifications:**
* Bachelor’s degree in engineering, science, or related field and 8\+ years of relevant experience; or equivalent aviation\-related experience with 12\+ years.
 D.C. Salary Range: $78,900 \- $123,300
 Level III
**Required Qualifications:**
* Master’s degree in engineering, science, or related field and 10\+ years of experience; or Bachelor’s degree with 12\+ years of experience.
 D.C. Salary Range: $105,100 \- $164,125
 Level IV
**Required Qualifications:**
* Master’s degree in engineering, science, or related field and 13\+ years of experience; or Bachelor’s degree with 17\+ years of experience.
 D.C. Salary Range: $127,100 \- $198,575
 Level V
**Required Qualifications:**
* Doctorate degree in psychology, industrial/organizational psychology, engineering, science, or related technical/analytical field and 10\+ years of experience; or Master’s degree with 12\+ years, or Bachelor’s degree with 17\+ years of experience.
 D.C. Salary Range: $153,800 \- $240,350
**Desired Qualifications**
 Desired Expertise
* Demonstrated experience in data science, machine learning, statistics, or quantitative analysis, preferably in aviation, engineering, or related technical domains.
* Proficiency with data science tools and programming languages (e.g., Python, R, SQL, TensorFlow, PyTorch, scikit\-learn, Tableau, Power BI).
* Strong understanding of data pipelines, data governance, and analytical model deployment in operational environments.
* Ability to translate complex technical and analytical concepts into actionable insights for diverse stakeholders.
 Level I
* Experience with technical problem\-solving, system integration, or engineering team support in aviation\-related programs.
 Level II
* Demonstrated experience leading small technical teams, performing process improvement, and applying engineering/scientific tools to complex problems.
 Level III
* Experience in advanced technical planning, integration of complex systems, and use of data analysis and test facilities for problem resolution.
 Level IV
* Proven record of technical leadership, mentorship of junior SMEs, and contributions to program or organizational strategy.
* Experience with large\-scale program integration, advanced modeling, simulation, or laboratory testing.
 Level V
* Expertise in psychological, organizational, technical, or analytical domains applied to aviation, engineering, or large\-scale program environments.
* Demonstrated leadership in multidisciplinary teams, system\-of\-systems problem solving, and organizational planning.
* Experience applying human factors, industrial/organizational psychology, or advanced analytics to improve performance, safety, and process outcomes.
* THIS POSITION IS CONTINGENT ON AWARD AND POSITION AVAILABILITY\*\*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$71,800\.00 \- USD $240,350\.00 /Yr.</t>
        </is>
      </c>
    </row>
    <row r="5">
      <c r="A5" t="inlineStr">
        <is>
          <t>li-4309698313</t>
        </is>
      </c>
      <c r="B5" t="inlineStr">
        <is>
          <t>Data Scientist</t>
        </is>
      </c>
      <c r="C5" t="inlineStr">
        <is>
          <t>DataAnnotation</t>
        </is>
      </c>
      <c r="D5" t="inlineStr">
        <is>
          <t>linkedin</t>
        </is>
      </c>
      <c r="E5" t="inlineStr"/>
      <c r="F5" t="inlineStr"/>
      <c r="G5" t="inlineStr">
        <is>
          <t>Arizona, United States</t>
        </is>
      </c>
      <c r="H5" t="inlineStr"/>
      <c r="I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6">
      <c r="A6" t="inlineStr">
        <is>
          <t>li-4309687901</t>
        </is>
      </c>
      <c r="B6" t="inlineStr">
        <is>
          <t>Data Scientist</t>
        </is>
      </c>
      <c r="C6" t="inlineStr">
        <is>
          <t>DataAnnotation</t>
        </is>
      </c>
      <c r="D6" t="inlineStr">
        <is>
          <t>linkedin</t>
        </is>
      </c>
      <c r="E6" t="inlineStr"/>
      <c r="F6" t="inlineStr"/>
      <c r="G6" t="inlineStr">
        <is>
          <t>Washington, DC</t>
        </is>
      </c>
      <c r="H6" t="inlineStr"/>
      <c r="I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7">
      <c r="A7" t="inlineStr">
        <is>
          <t>li-4380798863</t>
        </is>
      </c>
      <c r="B7" t="inlineStr">
        <is>
          <t>Data Scientist</t>
        </is>
      </c>
      <c r="C7" t="inlineStr">
        <is>
          <t>Microsoft</t>
        </is>
      </c>
      <c r="D7" t="inlineStr">
        <is>
          <t>linkedin</t>
        </is>
      </c>
      <c r="E7" t="inlineStr"/>
      <c r="F7" t="inlineStr"/>
      <c r="G7" t="inlineStr">
        <is>
          <t>Redmond, WA</t>
        </is>
      </c>
      <c r="H7" t="inlineStr"/>
      <c r="I7" t="inlineStr">
        <is>
          <t>**Overview**
 The Bing organization is looking for a Data and Applied Scientist for its online metric team. The team is pushing the boundaries regarding online A/B experimentation capabilities and methods, as well as informs our understanding for how users engage with search engines and integrated AI experiences, and then translates the insights into actionable metrics. These metrics provide direction to the the Bing and MAI organization and help engineers make the right ship decisions for their thousands of online controlled experiments.
 Hundreds of millions of users visit Bing.com worldwide monthly, and we have a large opportunity to grow further. At Bing, we celebrate our data driven culture: changes only ship when their impact is understood and positive. This role is a great opportunity to make solid, and even multiplicative impact on the org.
 As a data and applied scientist in this team, you will have the chance to work on and deliver metrics that drive the direction of major Bing initiatives. You will have the chance to be involved in the analysis and decision making for 1000s of online controlled A/B experiments. Come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analyze, and interpret A/B online experiments to evaluate user engagement and generate actionable, trustworthy insights that inform product decisions.
* Perform hands\-on analysis of large\-scale telemetry data using advanced statistical methods, algorithms, and data tools to uncover meaningful patterns and trends.
* Develop and monitor key success metrics to measure and improve Bing customer satisfaction, engagement, and retention.
* Formulate data\-driven strategies to understand correlations among critical Bing metrics and deliver clear, rigorous ship decisions.
* Effectively communicate analytical methodologies, data visualizations, and evidence\-based recommendations across cross\-functional teams to drive alignment and impact.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with SQL\-like query languages.
* Hands on experience in design \&amp; problem\-solving skills with one or more programming languages, such as Python, Java, C\# or C\+\+ .
* Ability to work independently, influence others, and solid communication and collaboration skills.
* Familiarity with search engines, dealing with online instrumentation.
* Experience with large datasets and interest in consumer online search behaviors.
* Experience with building machine learning models on large scale data.
 \#MicrosoftAI \#Search \#MAI \#nextplay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li-4309690813</t>
        </is>
      </c>
      <c r="B8" t="inlineStr">
        <is>
          <t>Data Scientist</t>
        </is>
      </c>
      <c r="C8" t="inlineStr">
        <is>
          <t>DataAnnotation</t>
        </is>
      </c>
      <c r="D8" t="inlineStr">
        <is>
          <t>linkedin</t>
        </is>
      </c>
      <c r="E8" t="inlineStr"/>
      <c r="F8" t="inlineStr"/>
      <c r="G8" t="inlineStr">
        <is>
          <t>Rhode Island, United States</t>
        </is>
      </c>
      <c r="H8" t="inlineStr"/>
      <c r="I8"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9">
      <c r="A9" t="inlineStr">
        <is>
          <t>li-4371276519</t>
        </is>
      </c>
      <c r="B9" t="inlineStr">
        <is>
          <t>Data Scientist - Product</t>
        </is>
      </c>
      <c r="C9" t="inlineStr">
        <is>
          <t>ElevenLabs</t>
        </is>
      </c>
      <c r="D9" t="inlineStr">
        <is>
          <t>linkedin</t>
        </is>
      </c>
      <c r="E9" t="inlineStr"/>
      <c r="F9" t="inlineStr"/>
      <c r="G9" t="inlineStr"/>
      <c r="H9" t="inlineStr"/>
      <c r="I9"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This role is remote, so it can be executed globally. If you prefer, you can work from our offices in New York, London and Warsaw.
****About ElevenLabs****
 At ElevenLabs, we are pioneering voice technology with our cutting\-edge research and products.
 We launched in January 2023 and have since reached over 1 million users globally and have partnered with the world’s biggest names (see customer stories). We have closed our Series\-B funding at 1\.1B valuation earlier this year and are backed by the leading names in tech and AI (Nat Fridman, Daniel Gross, Andreessen Horowitz, Sequoia, Instagram co\-founder Mike Krieger, Oculus VR co\-founder Brendan Iribe, Deepmind \&amp; Inflection co\-founder Mustafa Suleyman, and many others).
 We are at an exciting phase of our growth and innovation and are looking for ambitious people to help us further push the boundaries of voice AI. This is a rare chance to be an early member of a company on the rise. If this excites you, we want to meet you!
****Who We Are****
 A global team of passionate and innovative individuals united by curiosity and a shared goal: to be the first choice for AI audio solutions. Together, we are shaping a new technology and market from the ground up. We innovate quickly and take pride in getting things right, from the big picture initiatives to the details that keep us moving smoothly every day. We work with high autonomy and accountability where the best idea wins at any time and from anyone.
****About The Role****
 We’re looking for a Data Scientist with deep experience leveraging data to drive decision\-making across our Product and Growth teams. Data plays a critical role in understanding our users, given the scale of our user base and the diversity of personas and use cases that our products power. While we already have 1\+ million users and significant revenue, there is still an incredible amount of low\-hanging fruit.
****In This Role You Will:****
* Dive deep into our ecosystem across awareness, acquisition, retention, revenue, and referral to uncover opportunities for growth and impact.
* Conduct in\-depth analyses to guide strategic decisions and identify new opportunities.
* Design and evaluate experiments to ensure we release impactful features with measurable results.
* Define and monitor KPIs, building scalable frameworks and dashboards that empower data\-informed decision\-making.
* Shape the data foundations and processes for how we use data across teams, helping to build a world\-class analytics practice.
****Who You Are****
 We're looking for exceptional individuals who combine technical excellence with ethical awareness, who are excited by hard problems and motivated by human impact. You’ll strive with us if you:
* Are passionate about audio AI driven by a desire to make content universally accessible and breaking the frontiers of new tech.
* Are a highly motivated and driven individual with a strong work ethic. Our team is aware of this critical moment of audio AI evolution and is committed to going the extra mile to lead.
* Are analytical, efficient, and strive on solving complex challenges with a first principles mindset.
* Consistently strive for excellence, delivering high\-quality work quickly and exceeding expectations.
* Take initiative and work autonomously from day one, prioritizing learning and contribution while leaving ego aside.
****What You Bring****
* Expertise in product analytics, with a strong foundation in SQL/Python and familiarity with analytics tools across the data stack.
* Strong product sense with an ability to put yourself in the shoes of our users and derive actionable insights from qualitative and quantitative data.
* A deep understanding of key product metrics such as retention, activation, and LTV
* Proven ability to design and analyze A/B tests, ensuring statistical integrity and actionable results.
* Experience building data pipelines and dashboards that effectively communicate insights to stakeholders.
* Not afraid to get your hands dirty to get the job done, whether it’s implementing your own telemetry, diving into the codebase to debug an issue with logging, or implementing new tools as our data stack evolves.
****What We Offer****
* High\-velocity innovation: Rapid experimentation, lean autonomous teams, and minimal bureaucracy.
* A truly global team: Collaboration with teammates across 30\+ countries, a global customer footprint and office hubs in New York, London and Warsaw. Annual company offsite for the whole team to get together (the last one in Croatia!)
* Remote first: We prioritize your talent, not your location, with structured asynchronous workflows for maximum impact and minimal meetings.
* Continuous growth: Collaborate with AI leaders, shape your path, and contribute where you excel most.</t>
        </is>
      </c>
    </row>
    <row r="10">
      <c r="A10" t="inlineStr">
        <is>
          <t>li-4380793684</t>
        </is>
      </c>
      <c r="B10" t="inlineStr">
        <is>
          <t>Data Scientist</t>
        </is>
      </c>
      <c r="C10" t="inlineStr">
        <is>
          <t>Microsoft AI</t>
        </is>
      </c>
      <c r="D10" t="inlineStr">
        <is>
          <t>linkedin</t>
        </is>
      </c>
      <c r="E10" t="inlineStr"/>
      <c r="F10" t="inlineStr"/>
      <c r="G10" t="inlineStr">
        <is>
          <t>Mountain View, CA</t>
        </is>
      </c>
      <c r="H10" t="inlineStr"/>
      <c r="I10" t="inlineStr">
        <is>
          <t>**Overview**
 The Bing organization is looking for a Data and Applied Scientist for its online metric team. The team is pushing the boundaries regarding online A/B experimentation capabilities and methods, as well as informs our understanding for how users engage with search engines and integrated AI experiences, and then translates the insights into actionable metrics. These metrics provide direction to the the Bing and MAI organization and help engineers make the right ship decisions for their thousands of online controlled experiments.
 Hundreds of millions of users visit Bing.com worldwide monthly, and we have a large opportunity to grow further. At Bing, we celebrate our data driven culture: changes only ship when their impact is understood and positive. This role is a great opportunity to make solid, and even multiplicative impact on the org.
 As a data and applied scientist in this team, you will have the chance to work on and deliver metrics that drive the direction of major Bing initiatives. You will have the chance to be involved in the analysis and decision making for 1000s of online controlled A/B experiments. Come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analyze, and interpret A/B online experiments to evaluate user engagement and generate actionable, trustworthy insights that inform product decisions.
* Perform hands\-on analysis of large\-scale telemetry data using advanced statistical methods, algorithms, and data tools to uncover meaningful patterns and trends.
* Develop and monitor key success metrics to measure and improve Bing customer satisfaction, engagement, and retention.
* Formulate data\-driven strategies to understand correlations among critical Bing metrics and deliver clear, rigorous ship decisions.
* Effectively communicate analytical methodologies, data visualizations, and evidence\-based recommendations across cross\-functional teams to drive alignment and impact.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with SQL\-like query languages.
* Hands on experience in design \&amp; problem\-solving skills with one or more programming languages, such as Python, Java, C\# or C\+\+ .
* Ability to work independently, influence others, and solid communication and collaboration skills.
* Familiarity with search engines, dealing with online instrumentation.
* Experience with large datasets and interest in consumer online search behaviors.
* Experience with building machine learning models on large scale data.
 \#MicrosoftAI \#Search \#MAI \#nextplay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
      <c r="A11" t="inlineStr">
        <is>
          <t>li-4364881380</t>
        </is>
      </c>
      <c r="B11" t="inlineStr">
        <is>
          <t>Data Scientist</t>
        </is>
      </c>
      <c r="C11" t="inlineStr">
        <is>
          <t>DataAnnotation</t>
        </is>
      </c>
      <c r="D11" t="inlineStr">
        <is>
          <t>linkedin</t>
        </is>
      </c>
      <c r="E11" t="inlineStr"/>
      <c r="F11" t="inlineStr"/>
      <c r="G11" t="inlineStr">
        <is>
          <t>New York, United States</t>
        </is>
      </c>
      <c r="H11" t="inlineStr"/>
      <c r="I11"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2">
      <c r="A12" t="inlineStr">
        <is>
          <t>li-4379688879</t>
        </is>
      </c>
      <c r="B12" t="inlineStr">
        <is>
          <t>RESEARCH OFFICER &amp; DATA SCIENTIST - POPULATION DATA SCIENCE</t>
        </is>
      </c>
      <c r="C12" t="inlineStr">
        <is>
          <t>Swansea University / Prifysgol Abertawe</t>
        </is>
      </c>
      <c r="D12" t="inlineStr">
        <is>
          <t>linkedin</t>
        </is>
      </c>
      <c r="E12" t="inlineStr"/>
      <c r="F12" t="inlineStr"/>
      <c r="G12" t="inlineStr">
        <is>
          <t>Medicine Lake, MT</t>
        </is>
      </c>
      <c r="H12" t="inlineStr"/>
      <c r="I12" t="inlineStr">
        <is>
          <t>* Home
* The University
* Job Opportunities and Working At Swansea
* Current Vacancies
* Research Officer \&amp; Data Scientist \- Population Data Science
 Back to list
 Research Officer \&amp; Data Scientist \- Population Data Science
 Related pages
* Current Vacancies
* Benefits \&amp; Rewards
* Equality Diversity \&amp; Inclusion
* Information for Applicants
* Information for New Staff
* Performance Enabling
* UK Visas \&amp; Immigration
 Apply Now
 Job Number SU01443 Contract Type Fixed Term Salary £39,355 to £45,413 per annum Working Pattern Full Time Faculty/Directorate Faculty of Medicine, Health and Life Science Location Singleton Campus, Swansea Closing Date 18 Mar 2026 Interview Date 1 Apr 2026 Informal Enquiries
* Ashley Akbari a.akbari@swansea.ac.uk
* Alysha Morgan a.l.morgan@swansea.ac.uk
**About The University**
 Swansea University is a research\-led university that has been making a difference since 1920\. The University community thrives on exploration and discovery and offers the right balance of excellent teaching and research, matched by an enviable quality of life.
 Our stunning waterfront campuses and multicultural community make us a desirable workplace for colleagues from around the world. Our reward and benefits, and ways of working enable those who join us to have enriching careers, matched by an excellent work\-life balance.
**About The Role**
 We have 2 fixed term roles available working full\-time, one ending on 30th September 2029 and one Maternity cover until 30th April 2027\.
 The Population Data Science group at Swansea University (https://popdatasci.swan.ac.uk/) supports world\-leading research to develop cutting\-edge analytical tools and methodologies to address the most pressing health research challenges. Home to Researchers \&amp; Data Scientists who focus on a range of projects and programmes that seek to improve services and people's lives through population data science research. This multidisciplinary team works in a fast\-moving, agile environment and is committed to demonstrating the value of data science to a range of technical and non\-technical audiences.
 Utilising the Secure Anonymised Information Linkage (SAIL) Databank’s (www.saildatabank.co.uk) rich anonymised population\-scale, individual\-level, linked data sources to answer important population\-level questions that inform policy and evaluate national programmes and projects. We are looking for a Research Officer \&amp; Data Scientist to join our team who will work closely with various stakeholders, organisations, and groups. Our team regularly collaborates as part of many funded research projects and programmes nationally and internationally. Applications are sought from applicants with skills and experience in routine data analysis (preferably in health or social care) and a background in any of the following areas: epidemiology, statistics, operational research, or related informatics, to work in research and data science.
 The Research Officer \&amp; Data Scientist will be part of the ADR Wales (Administrative Data Research Wales) https://adrwales.org/, which brings together world\-renowned data science experts, leading academics and specialist teams within Welsh Government to produce evidence that shapes future policy decisions in Wales. The partnership is ideally placed to maximise the utility of anonymous and secure data to shape public service delivery, which will ultimately improve the lives of people in Wales.
 Equality, Diversity \&amp; Inclusion
 The University is committed to supporting and promoting equality and diversity in all its practices and activities. We aim to establish an inclusive environment and welcome diverse applications from the following protected characteristics: age, disability, gender reassignment, marriage and civil partnership, pregnancy and maternity, race (including colour, nationality, ethnic and national origin), religion or belief, sex, sexual orientation.
 As an inclusive and welcoming workplace, we value people for their skills regardless of their background. Applications are welcome in Welsh and will not be treated less favourably than those submitted in English.
 Welsh Language Skills
 The Welsh language level required for this role is Level 1 \- A little. The role holder will be able to pronounce Welsh words, answer the phone in Welsh (good morning/afternoon) and use very basic everyday words and phrases (thank you, please etc.). Level 1 can be reached by completing a 1 hour course.
 The University is a proud bilingual institution, our Welsh Language Strategy outlines our aspiration to promote the language and enable our staff to engage with the language as an additional workplace skill and as a gateway to new cultural and social opportunities. Applications are welcome in Welsh and will not be treated less favourably than those submitted in English. Welsh speakers have the right to an interview in Welsh. Applicants for a role where Welsh skills are essential are expected to present their application in Welsh and will be interviewed in Welsh, if shortlisted.
 Additional Information
 Applications for this role will take the format of a CV submission and cover letter.
 Apply Now
 Share
 Share; Research Officer \&amp; Data Scientist \- Population Data Science
 Share this via
 Or copy the link
**Job Description**
 Download Job Description Print this page Back to list
* Current Vacancies
* Benefits \&amp; Rewards
* Equality Diversity \&amp; Inclusion
* Information for Applicants
* Information for New Staff
* Performance Enabling
* UK Visas \&amp; Immigration</t>
        </is>
      </c>
    </row>
    <row r="13">
      <c r="A13" t="inlineStr">
        <is>
          <t>li-4309689869</t>
        </is>
      </c>
      <c r="B13" t="inlineStr">
        <is>
          <t>Data Scientist</t>
        </is>
      </c>
      <c r="C13" t="inlineStr">
        <is>
          <t>DataAnnotation</t>
        </is>
      </c>
      <c r="D13" t="inlineStr">
        <is>
          <t>linkedin</t>
        </is>
      </c>
      <c r="E13" t="inlineStr"/>
      <c r="F13" t="inlineStr"/>
      <c r="G13" t="inlineStr">
        <is>
          <t>Kentucky, United States</t>
        </is>
      </c>
      <c r="H13" t="inlineStr"/>
      <c r="I1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4">
      <c r="A14" t="inlineStr">
        <is>
          <t>li-4309699353</t>
        </is>
      </c>
      <c r="B14" t="inlineStr">
        <is>
          <t>Applied Data Scientist</t>
        </is>
      </c>
      <c r="C14" t="inlineStr">
        <is>
          <t>DataAnnotation</t>
        </is>
      </c>
      <c r="D14" t="inlineStr">
        <is>
          <t>linkedin</t>
        </is>
      </c>
      <c r="E14" t="inlineStr"/>
      <c r="F14" t="inlineStr"/>
      <c r="G14" t="inlineStr">
        <is>
          <t>Connecticut, United States</t>
        </is>
      </c>
      <c r="H14" t="inlineStr"/>
      <c r="I14"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5">
      <c r="A15" t="inlineStr">
        <is>
          <t>li-4309687887</t>
        </is>
      </c>
      <c r="B15" t="inlineStr">
        <is>
          <t>Data Scientist</t>
        </is>
      </c>
      <c r="C15" t="inlineStr">
        <is>
          <t>DataAnnotation</t>
        </is>
      </c>
      <c r="D15" t="inlineStr">
        <is>
          <t>linkedin</t>
        </is>
      </c>
      <c r="E15" t="inlineStr"/>
      <c r="F15" t="inlineStr"/>
      <c r="G15" t="inlineStr">
        <is>
          <t>Louisiana, United States</t>
        </is>
      </c>
      <c r="H15" t="inlineStr"/>
      <c r="I1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6">
      <c r="A16" t="inlineStr">
        <is>
          <t>li-4309699252</t>
        </is>
      </c>
      <c r="B16" t="inlineStr">
        <is>
          <t>Data Scientist</t>
        </is>
      </c>
      <c r="C16" t="inlineStr">
        <is>
          <t>DataAnnotation</t>
        </is>
      </c>
      <c r="D16" t="inlineStr">
        <is>
          <t>linkedin</t>
        </is>
      </c>
      <c r="E16" t="inlineStr"/>
      <c r="F16" t="inlineStr"/>
      <c r="G16" t="inlineStr">
        <is>
          <t>Missouri, United States</t>
        </is>
      </c>
      <c r="H16" t="inlineStr"/>
      <c r="I1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7">
      <c r="A17" t="inlineStr">
        <is>
          <t>li-4362081493</t>
        </is>
      </c>
      <c r="B17" t="inlineStr">
        <is>
          <t>senior data scientist - Digital Data Science (Seattle, WA)</t>
        </is>
      </c>
      <c r="C17" t="inlineStr">
        <is>
          <t>Starbucks</t>
        </is>
      </c>
      <c r="D17" t="inlineStr">
        <is>
          <t>linkedin</t>
        </is>
      </c>
      <c r="E17" t="inlineStr"/>
      <c r="F17" t="inlineStr"/>
      <c r="G17" t="inlineStr">
        <is>
          <t>Seattle, WA</t>
        </is>
      </c>
      <c r="H17" t="inlineStr"/>
      <c r="I17" t="inlineStr">
        <is>
          <t>**Senior** 
**Data Scientist – Seattle, WA – U.S.**
**Now Brewing – Senior Data Scientist, Data \&amp; Analytics!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Are you driven to uncover meaningful insights and build data\-powered solutions that shape the future of the world’s leading coffeehouse brand?
 As a
 **Senior Data Scientist** 
 within Starbucks’ Data \&amp; Analytics (D\&amp;A) organization, you will be part of the centralized data science and engineering team that drives strategic decision\-making and ML/AI capabilities across the business. The D\&amp;A organization spans four key pillars: Customer, Retail Operations, Supply Chain, and Enterprise. Each domain is focused on solving unique and complex challenges through data science. Whether personalizing marketing campaigns, optimizing store operations, improving inventory flow, or unlocking enterprise\-wide initiatives, our data scientists apply advanced analytics, experimentation, and modeling to elevate the Starbucks experience. This centralized recruiting approach allows us to match candidates with the most relevant opportunities based on their skills and interests, ensuring alignment with business needs and personal growth. Join a team where data meets purpose to shape what’s next for Starbucks.
***As a senior data scientist, you will…***
* Lead the design and development of scalable data science solutions from the start to the finish by utilizing machine learning, and statistical analysis. Build scalable processes for cleaning, aggregating, and loading data.
* Understanding business initiatives, challenges, questions, concerns, or ideas, transforming them into successful data science solutions, and monitor data science metrics and KPIs
* Mentor data analysts \&amp; data scientists on best practices, processes, frameworks, and KPIs
* Contribute to project planning, and assist the team with estimations, timelines, and prioritization. Assists in developing the analytical roadmap, data, and technology strategy.
* Own the end\-to\-end lifecycle of AI/ML solutions, from ideation and prototyping to production deployment, ensuring robust offline evaluation and real\-time performance monitoring.
**We’d Love To Hear From People With**
* Education: BS\+ with a concentration in a quantitative discipline \- Stats, Math, Comp Sci, Engineering, Econ, Quantitative Social Science or similar discipline. Masters preferred
* Minimum of 5\+ years of industry experience in data and analytics work
* Strong problem\-solving skills with the ability to influence leadership teams at different levels
* Significant experience working with predictive and statistical modeling, machine learning, and strong expertise in all phases of the modeling pipeline
* Strong SQL, databases, and ETL / ELT skills required including cleaning and managing data.
* Advanced competency and expertise in Python, R, or some combination
* Demonstrated track record of delivering AI/ML models into production with measurable business impact, including expertise in evaluation techniques (A/B testing, lift analysis) and model governance.
* Experience working with distributed data processing frameworks such as Spark and Databricks, and languages such as Java, PySpark, or Scala
* Strong collaboration instincts – desire \&amp; ability to work with partners to achieve the best outcome for the business.
* Excellent communication, presentation, and storytelling skills. The role requires effective communication with colleagues, stakeholders, and leaders from diverse backgrounds.
* Proven ability to manage multiple, time\-sensitive projects and competing priorities simultaneously to drive projects to completion with minimal guidance and high attention to details.
**Preferred Skills**
* Experience building personalization and recommendation systems (e.g., collaborative filtering, content\-based, or hybrid approaches) for digital platforms or mobile apps.
* Familiarity with ranking algorithms, reinforcement learning, and contextual bandits for optimizing customer experiences.
* Hands\-on experience with model deployment in production environments, including monitoring, retraining, and performance optimization at scale.
* Strong understanding of offline and online evaluation techniques for recommendation systems (e.g., precision/recall, NDCG, A/B testing).
* Knowledge of feature engineering for behavioral and transactional data, and experience leveraging real\-time data streams for model updates.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 
*.*</t>
        </is>
      </c>
    </row>
    <row r="18">
      <c r="A18" t="inlineStr">
        <is>
          <t>li-4380911053</t>
        </is>
      </c>
      <c r="B18" t="inlineStr">
        <is>
          <t>Data Scientist</t>
        </is>
      </c>
      <c r="C18" t="inlineStr">
        <is>
          <t>Microsoft AI</t>
        </is>
      </c>
      <c r="D18" t="inlineStr">
        <is>
          <t>linkedin</t>
        </is>
      </c>
      <c r="E18" t="inlineStr"/>
      <c r="F18" t="inlineStr"/>
      <c r="G18" t="inlineStr">
        <is>
          <t>Redmond, WA</t>
        </is>
      </c>
      <c r="H18" t="inlineStr"/>
      <c r="I18" t="inlineStr">
        <is>
          <t>**Overview**
 The Bing organization is looking for a Data and Applied Scientist for its online metric team. The team is pushing the boundaries regarding online A/B experimentation capabilities and methods, as well as informs our understanding for how users engage with search engines and integrated AI experiences, and then translates the insights into actionable metrics. These metrics provide direction to the the Bing and MAI organization and help engineers make the right ship decisions for their thousands of online controlled experiments.
 Hundreds of millions of users visit Bing.com worldwide monthly, and we have a large opportunity to grow further. At Bing, we celebrate our data driven culture: changes only ship when their impact is understood and positive. This role is a great opportunity to make solid, and even multiplicative impact on the org.
 As a data and applied scientist in this team, you will have the chance to work on and deliver metrics that drive the direction of major Bing initiatives. You will have the chance to be involved in the analysis and decision making for 1000s of online controlled A/B experiments. Come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analyze, and interpret A/B online experiments to evaluate user engagement and generate actionable, trustworthy insights that inform product decisions.
* Perform hands\-on analysis of large\-scale telemetry data using advanced statistical methods, algorithms, and data tools to uncover meaningful patterns and trends.
* Develop and monitor key success metrics to measure and improve Bing customer satisfaction, engagement, and retention.
* Formulate data\-driven strategies to understand correlations among critical Bing metrics and deliver clear, rigorous ship decisions.
* Effectively communicate analytical methodologies, data visualizations, and evidence\-based recommendations across cross\-functional teams to drive alignment and impact.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with SQL\-like query languages.
* Hands on experience in design \&amp; problem\-solving skills with one or more programming languages, such as Python, Java, C\# or C\+\+ .
* Ability to work independently, influence others, and solid communication and collaboration skills.
* Familiarity with search engines, dealing with online instrumentation.
* Experience with large datasets and interest in consumer online search behaviors.
* Experience with building machine learning models on large scale data.
 \#MicrosoftAI \#Search \#MAI \#nextplay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li-4309802294</t>
        </is>
      </c>
      <c r="B19" t="inlineStr">
        <is>
          <t>Applied Data Scientist</t>
        </is>
      </c>
      <c r="C19" t="inlineStr">
        <is>
          <t>DataAnnotation</t>
        </is>
      </c>
      <c r="D19" t="inlineStr">
        <is>
          <t>linkedin</t>
        </is>
      </c>
      <c r="E19" t="inlineStr"/>
      <c r="F19" t="inlineStr"/>
      <c r="G19" t="inlineStr">
        <is>
          <t>Delaware, United States</t>
        </is>
      </c>
      <c r="H19" t="inlineStr"/>
      <c r="I19"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0">
      <c r="A20" t="inlineStr">
        <is>
          <t>li-4309691957</t>
        </is>
      </c>
      <c r="B20" t="inlineStr">
        <is>
          <t>Applied Data Scientist</t>
        </is>
      </c>
      <c r="C20" t="inlineStr">
        <is>
          <t>DataAnnotation</t>
        </is>
      </c>
      <c r="D20" t="inlineStr">
        <is>
          <t>linkedin</t>
        </is>
      </c>
      <c r="E20" t="inlineStr"/>
      <c r="F20" t="inlineStr"/>
      <c r="G20" t="inlineStr">
        <is>
          <t>Idaho, United States</t>
        </is>
      </c>
      <c r="H20" t="inlineStr"/>
      <c r="I20"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1">
      <c r="A21" t="inlineStr">
        <is>
          <t>li-4309807133</t>
        </is>
      </c>
      <c r="B21" t="inlineStr">
        <is>
          <t>Applied Data Scientist</t>
        </is>
      </c>
      <c r="C21" t="inlineStr">
        <is>
          <t>DataAnnotation</t>
        </is>
      </c>
      <c r="D21" t="inlineStr">
        <is>
          <t>linkedin</t>
        </is>
      </c>
      <c r="E21" t="inlineStr"/>
      <c r="F21" t="inlineStr"/>
      <c r="G21" t="inlineStr">
        <is>
          <t>Vermont, United States</t>
        </is>
      </c>
      <c r="H21" t="inlineStr"/>
      <c r="I21" t="inlineStr">
        <is>
          <t>We are looking for an Applied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2">
      <c r="A22" t="inlineStr">
        <is>
          <t>li-4380944691</t>
        </is>
      </c>
      <c r="B22" t="inlineStr">
        <is>
          <t>Data Scientist I</t>
        </is>
      </c>
      <c r="C22" t="inlineStr">
        <is>
          <t>University of Rochester</t>
        </is>
      </c>
      <c r="D22" t="inlineStr">
        <is>
          <t>linkedin</t>
        </is>
      </c>
      <c r="E22" t="inlineStr"/>
      <c r="F22" t="inlineStr"/>
      <c r="G22" t="inlineStr">
        <is>
          <t>Rochester, New York Metropolitan Area</t>
        </is>
      </c>
      <c r="H22" t="inlineStr"/>
      <c r="I22" t="inlineStr">
        <is>
          <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**Job Location (Full Address):**
 601 Elmwood Ave, Rochester, New York, United States of America, 14642
**Opening**
 Worker Subtype:
 Regular
**Time Type**
 Full time
**Scheduled Weekly Hours**
 40
**Department**
 400073 Pediatric Critical Care
**Work Shift**
 UR \- Day (United States of America)
**Range**
 UR URG 110
**Compensation Range**
 $60,431\.00 \- $84,603\.00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**Responsibilities**
 Participates in the design, implementation and dissemination of advanced analytics and data science projects. Works with and advises key stakeholders to provide analysis and insights to enable data\-driven decision\-making. Supports the development and evolution of advanced statistical and mathematical methods, including machine learning capabilities. Works in partnership with team members to solve complex problems, ensure robust, scalable analytics solutions and implement them efficiently and effectively across the enterprise.
**Essential Functions**
* Works with senior team members to translate complex data into insights and compelling stories. Presents data models, analyses and visuals, including dynamic visuals such as dashboards, to internal and external stakeholders. Iterates and refines based on feedback.
* Works with project leaders and end\-users to understand project requirements. Understands underlying clinical and research requirements and formulates, designs and executes analytical solutions to support them.
* Provides scalable solutions and collaborates on dissemination efforts. Creates and implements data science solutions to support analytical efforts and expand dashboard capabilities. Works with senior team members to develop and manage project plans. Executes and evolves project plans.
* Develops preliminary analyses and prototypes. In collaboration with senior team members, analyzes and models structured data and implements algorithms to support analysis using advanced statistical and mathematical methods. Develops and implements robust, reproducible processes to prepare, extract and enrich a variety of structured and unstructured data sources.
* Writes, tests and deploys queries and/or API connections to internal and external databases. Cleans and manipulates data so that it is in a usable format for others. Designs and builds data marts and data warehouses to support advanced reporting scenarios. Links data from multiple sources and stores it in a format that is easy to query.
* Maintains current knowledge base and expertise relative to the technology and software used by related to the functional areas being supported.
* Designs and develops prototypes of data models, ML pipelines, dashboards and reporting. Cultivates new data sources to offer insights and analyses needed for research and decision\-making.
* Other duties as assigned.
**Minimum Education \&amp; Experience**
* Bachelor's degree in Data Science, Math, Information Science or related field and 1 year of relevant experience required
* Master's degree preferred
* Or equivalent combination of education and experience
* Considerable experience with relational databases preferred
**Knowledge, Skills And Abilities**
* Strong attention to detail, ability to develop creative solutions to complex problems and strong critical thinking skills required
* Strong analytic, qualitative and quantitative data analysis skills, with demonstrated ability to break down complex problems into phased deliverables required
* Ability to work independently and successfully complete assigned tasks on time with limited oversight required
* Excellent verbal and written communication and presentation skills, including the ability to describe data science concepts to lay/nonexpert audiences required
* Proficiency with Python (or R), including common machine/deep learning libraries and their implementation required
* Fluency with data visualization tools, such as Tableau, Spotfire or PowerBI preferred
 The University of Rochester is committed to fostering, cultivating, and preserving an inclusive and welcoming culture to advance the University’s Mission to Learn, Discover, Heal, Create –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t>
        </is>
      </c>
    </row>
    <row r="23">
      <c r="A23" t="inlineStr">
        <is>
          <t>li-4379647568</t>
        </is>
      </c>
      <c r="B23" t="inlineStr">
        <is>
          <t>Data Scientist</t>
        </is>
      </c>
      <c r="C23" t="inlineStr">
        <is>
          <t>Haystack</t>
        </is>
      </c>
      <c r="D23" t="inlineStr">
        <is>
          <t>linkedin</t>
        </is>
      </c>
      <c r="E23" t="inlineStr"/>
      <c r="F23" t="inlineStr"/>
      <c r="G23" t="inlineStr"/>
      <c r="H23" t="inlineStr"/>
      <c r="I23" t="inlineStr">
        <is>
          <t>Principal, AI Data Scientist \| Philadelphia, Pennsylvania, United States \| On\-site
 We're seeking an experienced AI Data Scientist to join a global biopharma company dedicated to transforming patient lives. This organization is at the forefront of developing life\-changing medicines, with a robust pipeline in oncology and neuroscience.
 The Role
 • Support the implementation of innovative AI/ML/GenAI solutions for clinical trial execution and digital healthcare.
 • Develop and implement AI/ML/GenAI solutions to optimize clinical trial operations, including patient recruitment and data monitoring.
 • Create GenAI applications for automated clinical trial documentation like medical reports and protocols.
 • Design and develop predictive models and generative AI solutions using diverse healthcare data sources.
 • Collaborate with cross\-functional teams to address business challenges with AI\-driven solutions.
 • Ensure compliance with regulatory requirements and data privacy standards.
 What You'll Need
 • Advanced degree (MS or PhD) in Data Science, Computer Science, Biostatistics, or related field.
 • 3\-5 years of professional experience, with 1\+ years applying AI/ML in healthcare or clinical research.
 • Strong programming skills in Python, R, or similar, with experience in modern ML frameworks (PyTorch, TensorFlow).
 • Demonstrated experience with generative AI technologies, including LLM architectures and frameworks.
 • Knowledge and experience with digital healthcare tools design and development.
 • Familiarity with high\-compute cloud\-based platforms, particularly AWS, and MLOps deployment approaches.
 What's On Offer
 • Opportunity to work on cutting\-edge AI/ML/GenAI technologies in a biopharma setting.
 • Collaborative environment with cross\-functional teams.
 • Contribute to transforming patient lives through innovative solutions.
 • Comprehensive benefits package.
 Important Information
 • Candidates must be based within commuting distance of Philadelphia.
 • Candidates must have the legal right to work in United States.
 Apply via Haystack today!</t>
        </is>
      </c>
    </row>
    <row r="24">
      <c r="A24" t="inlineStr">
        <is>
          <t>li-4380946462</t>
        </is>
      </c>
      <c r="B24" t="inlineStr">
        <is>
          <t>Business Model Data Scientist</t>
        </is>
      </c>
      <c r="C24" t="inlineStr">
        <is>
          <t>Intuit</t>
        </is>
      </c>
      <c r="D24" t="inlineStr">
        <is>
          <t>linkedin</t>
        </is>
      </c>
      <c r="E24" t="inlineStr"/>
      <c r="F24" t="inlineStr"/>
      <c r="G24" t="inlineStr">
        <is>
          <t>San Diego, CA</t>
        </is>
      </c>
      <c r="H24" t="inlineStr"/>
      <c r="I24" t="inlineStr">
        <is>
          <t>**Overview**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Causal Inference: Lead causal inference and econometric analyses to understand and influence key levers of business growth with a crisp understanding of incremental impact.
 Experimentation: Design, implement, and analyze experiments and quasi\-experiments to measure the impact of new initiatives in product and marketing.
 Define KPIs and Success Metrics: Establish key business indicators for projects, ensuring alignment with company objectives and clear measures of success.
 Communication: Translate complex technical findings into clear, actionable insights for senior leadership, including product, finance, and marketing executives.
 Mentorship: Mentor junior team members and help shape the team’s analytical rigor and methodology standards in causal inference and A/B testing.
 Leadership and Ownership: Demonstrate boundaryless leadership and extreme accountability \- proactively drives outcomes across teams and leads with influence, not authority....Less
**Qualifications**
 A Bachelor's degree in Statistics, Economics, Computer Science or a related quantitative field is required. Advanced degrees, particularly a Master's or PhD in economics or statistics, are highly desirable.
 At least 6 years of experience applying statistical / econometric and modeling skills in decision making without an advanced degree, 2 years of experience with an advanced degree.
 Demonstrated expertise in causal inference—including but not limited to advanced experimentation, synthetic controls, regression discontinuity, and instrumental variables—with a track record of rigorously solving problems with these methods.
 A demonstrated ability to navigate through ambiguity and deliver results that significantly impact the business.
 Excellent communication skills and the ability to work effectively with both technical and non\-technical colleagues.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5">
      <c r="A25" t="inlineStr">
        <is>
          <t>li-4379665802</t>
        </is>
      </c>
      <c r="B25" t="inlineStr">
        <is>
          <t>Junior Data Scientist - Healthcare</t>
        </is>
      </c>
      <c r="C25" t="inlineStr">
        <is>
          <t>Integra FEC</t>
        </is>
      </c>
      <c r="D25" t="inlineStr">
        <is>
          <t>linkedin</t>
        </is>
      </c>
      <c r="E25" t="inlineStr"/>
      <c r="F25" t="inlineStr"/>
      <c r="G25" t="inlineStr">
        <is>
          <t>Austin, TX</t>
        </is>
      </c>
      <c r="H25" t="inlineStr"/>
      <c r="I25" t="inlineStr">
        <is>
          <t>Integra Med Analytics, based in Austin, TX, is a team of researchers and economists who seek to use forensic data analysis to promote integrity in the healthcare system. 
 We are looking for strong candidates with quantitative and/or healthcare backgrounds and a natural curiosity to learn to join our team and help tackle complex projects by efficiently analyzing data. 
 Job Description:
* Plan, develop, and take ownership in data\-intensive investigations of healthcare fraud
* Conduct background research to develop hypotheses of where fraud occurs
* Write scripts to retrieve and organize data; parse free\-form text fields, images, and spreadsheets to derive insights
* Construct and analyze large datasets to find fraudulent patterns; develop quantitative and empirical methods to detect where fraud occurs
* Summarize and present findings to technical and non\-technical audiences
 Qualifications
 Required
* Completion of bachelor's degree in statistics, mathematics, engineering, computer science, data science, economics, or other quantitative field
* Demonstrated experience with R, Python, and/or SQL
* Attention to detail
* Intellectual curiosity and interest in fraud analysis
* Highest ethical standards
* Strong teamwork abilities
 Preferred
* Excellent skills in R, Python, and/or SQL
* Experience working with healthcare data
* Experience working in the healthcare industry
* Demonstrated aptitude for research
**Applicants must be authorized to work for any employer in the U.S. We are unable to sponsor or take over sponsorship of an employment Visa at this time.**</t>
        </is>
      </c>
    </row>
    <row r="26">
      <c r="A26" t="inlineStr">
        <is>
          <t>li-4380936993</t>
        </is>
      </c>
      <c r="B26" t="inlineStr">
        <is>
          <t>Business Model Data Scientist</t>
        </is>
      </c>
      <c r="C26" t="inlineStr">
        <is>
          <t>Intuit</t>
        </is>
      </c>
      <c r="D26" t="inlineStr">
        <is>
          <t>linkedin</t>
        </is>
      </c>
      <c r="E26" t="inlineStr"/>
      <c r="F26" t="inlineStr"/>
      <c r="G26" t="inlineStr">
        <is>
          <t>Mountain View, CA</t>
        </is>
      </c>
      <c r="H26" t="inlineStr"/>
      <c r="I26" t="inlineStr">
        <is>
          <t>**Overview**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Causal Inference: Lead causal inference and econometric analyses to understand and influence key levers of business growth with a crisp understanding of incremental impact.
 Experimentation: Design, implement, and analyze experiments and quasi\-experiments to measure the impact of new initiatives in product and marketing.
 Define KPIs and Success Metrics: Establish key business indicators for projects, ensuring alignment with company objectives and clear measures of success.
 Communication: Translate complex technical findings into clear, actionable insights for senior leadership, including product, finance, and marketing executives.
 Mentorship: Mentor junior team members and help shape the team’s analytical rigor and methodology standards in causal inference and A/B testing.
 Leadership and Ownership: Demonstrate boundaryless leadership and extreme accountability \- proactively drives outcomes across teams and leads with influence, not authority....Less
**Qualifications**
 A Bachelor's degree in Statistics, Economics, Computer Science or a related quantitative field is required. Advanced degrees, particularly a Master's or PhD in economics or statistics, are highly desirable.
 At least 6 years of experience applying statistical / econometric and modeling skills in decision making without an advanced degree, 2 years of experience with an advanced degree.
 Demonstrated expertise in causal inference—including but not limited to advanced experimentation, synthetic controls, regression discontinuity, and instrumental variables—with a track record of rigorously solving problems with these methods.
 A demonstrated ability to navigate through ambiguity and deliver results that significantly impact the business.
 Excellent communication skills and the ability to work effectively with both technical and non\-technical colleagues.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7">
      <c r="A27" t="inlineStr">
        <is>
          <t>li-4378944284</t>
        </is>
      </c>
      <c r="B27" t="inlineStr">
        <is>
          <t>Senior Data Scientist</t>
        </is>
      </c>
      <c r="C27" t="inlineStr">
        <is>
          <t>Rebyc Recruiting</t>
        </is>
      </c>
      <c r="D27" t="inlineStr">
        <is>
          <t>linkedin</t>
        </is>
      </c>
      <c r="E27" t="inlineStr"/>
      <c r="F27" t="inlineStr"/>
      <c r="G27" t="inlineStr"/>
      <c r="H27" t="inlineStr"/>
      <c r="I27" t="inlineStr">
        <is>
          <t>🚨 WE'RE HIRING \| Data Scientist \| 100% Remote \| $150,000 💰
 𝗨𝗦 𝗖𝗶𝘁𝗶𝘇𝗲𝗻𝘀 𝗮𝗻𝗱 𝗚𝗿𝗲𝗲𝗻 𝗖𝗮𝗿𝗱 𝗛𝗼𝗹𝗱𝗲𝗿𝘀 𝗢𝗻𝗹𝘆
 If you can turn raw data into decisions that matter — we want to talk.
 We're looking for a sharp, driven Data Scientist to join our fully remote team and do work that actually moves the needle.
 🔥 What you'll bring:
 ✅ Exceptional skills is Math and Analytics \- PhD is NEEDED
 ✅ Expert\-level Python and/or R
 ✅ A knack for data visualization that tells a story
 ✅ Hands\-on experience with Google Cloud Platform (GCP) — BIG PLUS
 ⭐ Bonus points for ML chops using PyTorch, TensorFlow, or scikit\-learn
 💻 100% Remote. No exceptions.
 💵 $150K compensation.
 🌍 Work from anywhere.
 Sound like you? Apply here or tag someone who should apply. Let's build something great together. 👇
 hashtag\#DataScience hashtag\#NowHiring hashtag\#RemoteJobs hashtag\#Python hashtag\#GCP hashtag\#MachineLearning hashtag\#DataScientist hashtag\#TechJobs hashtag\#Hiring</t>
        </is>
      </c>
    </row>
    <row r="28">
      <c r="A28" t="inlineStr">
        <is>
          <t>li-4371003533</t>
        </is>
      </c>
      <c r="B28" t="inlineStr">
        <is>
          <t>Data Scientist (CBP BI Required)</t>
        </is>
      </c>
      <c r="C28" t="inlineStr">
        <is>
          <t>Elder Research</t>
        </is>
      </c>
      <c r="D28" t="inlineStr">
        <is>
          <t>linkedin</t>
        </is>
      </c>
      <c r="E28" t="inlineStr"/>
      <c r="F28" t="inlineStr"/>
      <c r="G28" t="inlineStr"/>
      <c r="H28" t="inlineStr"/>
      <c r="I28" t="inlineStr">
        <is>
          <t>**Job Title: Data Scientist**
**Workplace: Remote** 
 (preference for candidates located in the National Capital Region \- DMV)
**Clearance Required:** 
**CBP BI** 
 or
 **DHS Suitability** 
 clearance adjudicated within the past 4 years
**Position Overview**
 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
**Requirements**
*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 Advanced Degree (Masters or PhD) in Statistics, Applied Mathematics, Data Science, Computer Science, Operations Research or other closely related other quantitative or mathematical discipline. A PhD degree may be substituted for up to three (3\) years of relevant experience.
* Demonstrates knowledge of data mining methods, databases, data visualization and machine learning.
* Ability to communicate analysis techniques, concepts and products.
* Ability to develop data\-driven solutions, data models, and visualizations
**Preferred Experience And Skills**
* Expertise using Qlik to embed visualizations into webpages
* Experience with Tableau and Power BI tools.
* Familiarity with Databricks or similar cloud\-based distributed database technologies
* Familiarity with PySpark and Python
* Comfortable developing complex SQL queries to extract, transform, and load data
* Experience with analytic techniques such as Anomaly detection, Clustering, and Time\-series (e.g., ARIMA)
* Experience implementing NLP concepts including preprocessing (stemming, etc.), TF\-IDF, Named Entity Recognition, and LLMs.
* Demonstrated experience within an AWS environment (AWS certifications preferred).
* Familiarity with industry best\-practices for software\-hardware optimization when processing large sets of data.
**Why apply to this position at Elder Research?**
* Competitive Salary and Benefits
* Important Work / Make a Difference: supporting Customs and Border Protection in their efforts to protect the United States.
* Job Stability: Elder Research is not a typical government contractor, we hire you for a career not just a contract.
* Remote Work: in an industry of declining remote work opportunities.
* People\-Focused Culture: we prioritize work\-life\-balance and provide a positive, supportive work environment as well as opportunities for professional growth and advancement.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29">
      <c r="A29" t="inlineStr">
        <is>
          <t>li-4380951409</t>
        </is>
      </c>
      <c r="B29" t="inlineStr">
        <is>
          <t>Data Scientist, Sr.</t>
        </is>
      </c>
      <c r="C29" t="inlineStr">
        <is>
          <t>Wiraa</t>
        </is>
      </c>
      <c r="D29" t="inlineStr">
        <is>
          <t>linkedin</t>
        </is>
      </c>
      <c r="E29" t="inlineStr"/>
      <c r="F29" t="inlineStr"/>
      <c r="G29" t="inlineStr"/>
      <c r="H29" t="inlineStr"/>
      <c r="I29" t="inlineStr">
        <is>
          <t>**About The Company**
 General Mills is a leading global food company committed to making the food people love. With a rich history of innovation and a focus on quality, sustainability, and community engagement, we produce a wide range of products enjoyed by consumers worldwide. Our mission is to nourish lives through high\-quality, delicious, and nutritious food offerings. We foster a collaborative and inclusive work environment that encourages creativity, continuous learning, and professional growth. As part of our team, you will contribute to shaping the future of food and making a positive impact on communities around the globe.
**About The Role**
 We are seeking a highly skilled Senior Data Scientist to join our dynamic analytics team. In this role, you will leverage your expertise in machine learning, data mining, and information retrieval to develop innovative analytics engines and services that support our business objectives. Your primary focus will be designing, prototyping, and building next\-generation advanced analytics solutions, including large language model (LLM)\-based agentic AI systems. You will work closely with product owners, business partners, and fellow data scientists to translate complex business problems into effective data\-driven solutions. Your insights will directly influence strategic decision\-making and operational efficiencies across the organization.
 The ideal candidate will have a strong foundation in statistical reasoning, programming, and AI technologies, with a passion for applying cutting\-edge techniques such as generative AI, retrieval\-augmented generation (RAG), and agent workflows. This role offers an exciting opportunity to innovate within the food industry by harnessing the power of data and AI to improve product development, supply chain management, and customer engagement.
**Qualifications**
* Bachelor's degree in Data Science, Computer Science, Engineering, Mathematics, Statistics, or related field
* 6\+ years of relevant professional experience, including at least 2 years in Data Science roles
* Proficiency in Python, including package development and core programming principles
* Experience with generative AI concepts such as embeddings, large language models (LLMs), agents, and retrieval\-augmented generation (RAG)
* Strong SQL skills and experience with complex data warehousing and database systems
* Knowledge of machine learning methodologies and data visualization tools
* Ability to critically analyze data, identify questionable data points, and address data quality issues
* Excellent communication and collaboration skills to translate business needs into technical solutions and present findings effectively
 Preferred qualifications include experience with deploying Python packages, managing large\-scale projects, working with cloud platforms like Google Cloud, and applying data science in consumer goods or supply chain contexts. A Master’s degree in a related field is also advantageous.
**Responsibilities**
* Design and implement LLM\-based agentic AI solutions for semi\-structured data, including problem framing, data curation, and evaluation of classification, entity extraction, and summarization tasks
* Develop high\-quality Agentic AI and RAG workflows, optimizing data ingestion, chunking, embeddings, and vector indexing to enhance retrieval performance
* Evaluate emerging technologies to inform strategic efforts and identify opportunities for process improvements
* Rapidly learn and iterate on novel AI methodologies, especially around generative AI and related frameworks
* Implement generative AI techniques such as prompt engineering, LLM fine\-tuning, RAG, and tool integrations to address business challenges
* Collaborate with stakeholders to translate business objectives into measurable data science outcomes
* Frame business needs into statistical problems, developing solutions that balance technical complexity with timely value delivery
* Communicate insights and recommendations clearly to build trust and facilitate data\-driven decision\-making
* Advocate for the value of data science and analytical methods across teams and leadership
* Develop and maintain scalable data science processes, frameworks, tools, and standards for ongoing use and improvement
* Engage with team members, solicit feedback, and foster a collaborative environment to drive innovation
**Benefits**
* Competitive salary within the range of $108,900 to $181,700 annually
* Comprehensive health, dental, and vision insurance plans
* Retirement and financial wellness programs
* Generous paid time off and holiday leave
* Wellbeing support and employee assistance programs
* Opportunities for professional development and continuous learning
* Participation in performance\-based incentive programs
 Equal Opportunity
 General Mills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encourage applicants of all backgrounds to apply and join our team in making a positive impact through innovative food solutions.</t>
        </is>
      </c>
    </row>
    <row r="30">
      <c r="A30" t="inlineStr">
        <is>
          <t>li-4380961849</t>
        </is>
      </c>
      <c r="B30" t="inlineStr">
        <is>
          <t>Data Scientist</t>
        </is>
      </c>
      <c r="C30" t="inlineStr">
        <is>
          <t>TalentAlly</t>
        </is>
      </c>
      <c r="D30" t="inlineStr">
        <is>
          <t>linkedin</t>
        </is>
      </c>
      <c r="E30" t="inlineStr"/>
      <c r="F30" t="inlineStr"/>
      <c r="G30" t="inlineStr"/>
      <c r="H30" t="inlineStr"/>
      <c r="I30" t="inlineStr">
        <is>
          <t>**Job Category:** 
 Business Analytics
**Requisition Number:** 
 PRINC001844
 Job Details
 Description
**Applicants must be authorized to work for ANY employer in the U.S. We are unable to sponsor or take over sponsorship of an employment Visa at this time.** 
 Principal Data Scientist \- why this role matters to you:
 Work for Delta Defense, the private company that provides Marketing, Operations and Customer Service for the U.S. Concealed Carry Association. The USCCA safeguards life, freedom, and finances for responsible American protectors. Learn more about the USCCA at https://www.usconcealedcarry.com/
 As Principal Data Scientist, you'll lead the design and deployment of advanced analytics, machine learning, and AI solutions that directly enhance member services, strengthen operational decision\-making, and drive responsible gun ownership awareness. This role combines high\-level strategy with deep technical execution\-few opportunities offer this level of meaningful, socially relevant impact.
 With modern platforms like Snowflake, Sigma, and Python plus hands\-on use of generative AI, LLMs, and agentic AI frameworks, you'll be at the forefront of applied AI innovation. You'll have the freedom to experiment, prototype, and deploy solutions that push the boundaries of what's possible in our industry.
**Principal Data Scientist \- Essential Duties \&amp; Responsibilities:** 
**Leadership and Strategy:** 
* Collaborate with the Director of Advanced Analytics to define and advance the data science vision and roadmap, ensuring alignment with enterprise goals.
* Lead, mentor, and develop the data science team and external consultants to build a high\-performing and collaborative practice.
* Champion the adoption of best practices in machine learning, MLOps, model governance, and AI safety.
* Provide expert guidance and technical oversight on all data science projects and initiatives.
* Fosters a culture of accountability, professional development, high performance, and integrity.
**Project Delivery and Business Partnership:** 
* Partner with senior leaders across business units to identify strategic opportunities for AI and data science innovation.
* Translate business problems into clear, measurable, and scalable data science solutions.
* Oversee end\-to\-end project execution, including scoping, design, development, deployment, and post\-implementation support.
* Communicate technical concepts and insights effectively to executive \&amp; non\-technical audiences.
**Technical Excellence and Innovation:** 
* Design, build, and deploy robust machine learning and optimization models using Python, SQL and Snowflake.
* Implement and maintain automated MLOps pipelines for model training, testing, deployment, and monitoring.
* Lead the development of generative AI applications (e.g., LLM\-based tools, summarization, recommendation engines) and agentic AI systems (e.g., multi\-agent planning, tool use frameworks).
* Promote experimentation and continuous learning to stay ahead of emerging technologies and methodologies.
**Governance and Enablement:** 
* Ensure all models and AI systems meet standards for security, compliance, ethics, and responsible AI.
* Develop reusable tools, templates, and frameworks to accelerate delivery and reduce technical debt.
* Collaborate with engineering, analytics, and IT teams to ensure cohesive platform architecture and infrastructure readiness.
**Principal Data Scientist \- Required Education, Experience and Skills:** 
* **Master's degree or PhD** 
 in Data Science, Machine Learning, Computer Science, Operations Research, or a related field is
 **required** 
 .
* At least 7 years of experience developing and deploying data science solutions in business settings.
* Proven leadership experience with a demonstrated ability to mentor and manage high\-performing teams.
* Expert proficiency in Python (NumPy, Pandas, scikit\-learn, PyTorch, transformers) and advanced SQL.
* Experience with modern data and compute platforms including Snowflake, Databricks, Spark, and cloud services (AWS, Azure, GCP).
* Strong track record of delivering business value through predictive modeling, prescriptive analytics, and AI system design.
* Exceptional written and verbal communication skills, with the ability to influence and align cross\-functional stakeholders, explain complex technical concepts to non\-technical audiences, and present effectively to executive leadership.
* Demonstrates the Core Values of Delta Defense, LLC.
**This position is based at our corporate headquarters in West Bend, Wisconsin. A hybrid arrangement with some remote work will be considered.** 
 Target base salary range $145,000 \- $180,000 based on experience. Eligible for company bonus plan.
**Review benefits information and submit your application at:** 
 Delta Defense Careers
**Why YOU should Work at Delta Defense!** 
* We are a fun, fast\-paced, and rewarding place to work and grow!
* Nationally recognized in 2023 and 2024 as a Newsweek Top 100 America's Most Loved Workplace
* Top Workplaces USA award in 2022!
* Named on Inc. 5000 "Fastest Growing Private Companies" list 14 years in a row!
* Milwaukee Journal Sentinel "Top Workplace" award 7 years in a row!
* Milwaukee Business Journal "Best Place to Work" award 6 years in a row!
 PM19
 September 9, 2025
 PIe059f5434e33\-29448\-38314950
 PDN\-a133d6eb\-f929\-4dbd\-8cfa\-b8ef485a635e</t>
        </is>
      </c>
    </row>
    <row r="31">
      <c r="A31" t="inlineStr">
        <is>
          <t>li-4379661989</t>
        </is>
      </c>
      <c r="B31" t="inlineStr">
        <is>
          <t>Senior Data Scientist</t>
        </is>
      </c>
      <c r="C31" t="inlineStr">
        <is>
          <t>Clover Health</t>
        </is>
      </c>
      <c r="D31" t="inlineStr">
        <is>
          <t>linkedin</t>
        </is>
      </c>
      <c r="E31" t="inlineStr"/>
      <c r="F31" t="inlineStr"/>
      <c r="G31" t="inlineStr"/>
      <c r="H31" t="inlineStr"/>
      <c r="I31" t="inlineStr">
        <is>
          <t>At Counterpart Health, we are transforming healthcare and improving patient care with our innovative tool, Counterpart Assistant. By supporting Primary Care Physicians (PCPs), we are able to deliver improved outcomes to our patients at a lower cost through early diagnosis and longitudinal care management of chronic conditions.
 The Data Science team is responsible for leveraging our most valuable asset—our data—to generate meaningful value for our members. From building models that assist physicians in treating conditions to identifying members in need of specialized care, Data Science at Clover develops data products and insights that are central to our mission and differentiation as a company.
 Our impact is tremendous—as a Senior Data Scientist, you’ll help build a revolutionary healthcare company by delivering data\-driven solutions that directly improve patient outcomes.
**As a Senior Data Scientist You Will**
* Lead large\-scale projects from ideation through enterprise impact.
* Apply a broad problem\-solving toolkit to develop both creative and practical solutions.
* Evaluate trade\-offs between out\-of\-the\-box and customized solutions, optimizing for speed and effectiveness.
* Implement scalable, bug\-free, and well\-tested solutions that reduce complexity rather than add to it.
* Understand business challenges and deliver results that meaningfully solve key problems.
* Proactively engage with stakeholders across all levels to align data science efforts with business needs.
* Identify and mitigate risks early, preventing roadblocks that could arise later.
* Serve as a trusted advisor and thought partner, ensuring projects are delivered on time and aligned with business objectives.
* Mentor and collaborate with peers, improving team\-wide problem\-solving capabilities and technical execution.
**Success In This Role Looks Like** 
* First 90 Days:
+ By your ability to forecast project impact.
+ By leading data driven product performance assessment.
* Beyond 90 Days:
+ Proactive identification and implementation of strategic improvements with data driven strategies.
+ By leading toward improved team outcomes.
**You Should Get In Touch If**
* You have an advanced degree in a quantitative field (Master’s \+ 3\-4 years of experience or Ph.D. \+ 2\+ years of experience).
* You have a strong foundation in probability, statistics, and machine learning tools, including SQL, Python, and relevant ML/statistical packages.
* You have successfully used data science to drive enterprise value in a business function.
* You are comfortable leading projects and have experience taking large\-scale initiatives from concept to measurable business impact.
* You improve the work of those around you through mentorship, code review, and leadership by example.
* You can clearly communicate how your work contributes to business goals, ensuring alignment with top\-level company objectives.
**Benefits Overview**
* Financial Well\-Being: Our commitment to attracting and retaining top talent begins with a competitive base salary and equity opportunities. Additionally, we offer a performance\-based bonus program and regular compensation reviews to recognize and reward exceptional contributions.
* Physical Well\-Being: We prioritize the health and well\-being of our employees and their families by offering comprehensive group medical coverage that include coverage for hospitalization, outpatient care, optical services, and dental benefits.
* Mental Well\-Being: We understand the importance of mental health in fostering productivity and maintaining work\-life balance. To support this, we offer initiatives such as No\-Meeting Fridays, company holidays, access to mental health resources, and a generous annual leave policy. Additionally, we embrace a remote\-first culture that supports collaboration and flexibility, allowing our team members to thrive from any location.
* Professional Development: We are committed to developing our talent professionally. We offer learning programs, mentorship, professional development funding, and regular performance feedback and reviews.
**Additional Perks**
* Reimbursement for office setup expenses
* Monthly cell phone \&amp; internet stipend
* Flexibility to work from home, enabling collaboration with global teams
* Paid parental leave for all new parents
* And much more!
**About Counterpart Health:** 
 In 2018, Clover Health set out to do something unprecedented: build a clinically intuitive, AI\-enabled solution that fits within physicians' workflows to help support the earlier diagnosis and management of chronic conditions.
 Years later, that vision is a reality, with thousands of practitioners using Counterpart Assistant during patient visits to improve disease management, reduce medical expenses, and drive success in value\-based care.
 With an exceptional team of value\-based care and technology experts, Counterpart Health is driving value\-based care at the speed of software.
 Counterpart Health is a subsidiary of Clover Health. From Clover’s inception, Diversity \&amp; Inclusion have always been key to our success. We are an Equal Opportunity Employer and our employees are people with different strengths, experiences, perspectives, opinions,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*Pursuant to the San Francisco Fair Chance Ordinance, we will consider for employment qualified applicants with arrest and conviction records. We are an E\-Verify company.*
 A reasonable estimate of the base salary range for this role is $180,000 to $220,000\. Final pay is based on several factors including but not limited to internal equity, market data, and the applicant’s education, work experience, certifications, etc.</t>
        </is>
      </c>
    </row>
    <row r="32">
      <c r="A32" t="inlineStr">
        <is>
          <t>li-4380963470</t>
        </is>
      </c>
      <c r="B32" t="inlineStr">
        <is>
          <t>Senior Data Scientist - Remote</t>
        </is>
      </c>
      <c r="C32" t="inlineStr">
        <is>
          <t>Optum</t>
        </is>
      </c>
      <c r="D32" t="inlineStr">
        <is>
          <t>linkedin</t>
        </is>
      </c>
      <c r="E32" t="inlineStr"/>
      <c r="F32" t="inlineStr"/>
      <c r="G32" t="inlineStr">
        <is>
          <t>Eden Prairie, MN</t>
        </is>
      </c>
      <c r="H32" t="inlineStr"/>
      <c r="I3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Positions in this function produce innovative solutions driven by exploratory data analysis from unstructured, diverse datasets typically measured in gigabytes or larger. Applies knowledge of statistics, machine learning, programming, data modeling, simulation, and advanced mathematics to recognize patterns, identify opportunities, pose business questions, and make valuable discoveries leading to prototype development and product improvement. Uses a flexible, analytical approach to design, develop, and evaluate predictive and prescriptive models and advanced algorithms that lead to optimal value extraction from the data. Works with analytics and statistical software such as SQL, R, Python, Hadoop and others to perform analysis and interpret data. This function is not intended for employees performing the following work: less complex analysis on small data sets; rules\-based algorithmic or descriptive analytics; development of big data infrastructure.
 Positions in this function produce innovative solutions driven by exploratory data analysis from unstructured, diverse datasets typically measured in gigabytes or larger. Applies knowledge of statistics, machine learning, programming, data modeling, simulation, and advanced mathematics to recognize patterns, identify opportunities, pose business questions, and make valuable discoveries leading to prototype development and product improvement. Uses a flexible, analytical approach to design, develop, and evaluate predictive and prescriptive models and advanced algorithms that lead to optimal value extraction from the data. Works with analytics and statistical software such as SQL, R, Python, Hadoop and others to perform analysis and interpret data. This function is not intended for employees performing the following work: less complex analysis on small data sets; rules\-based algorithmic or descriptive analytics; development of big data infrastructure.
 You'll enjoy the flexibility to work remotely \* from anywhere within the U.S. as you take on some tough challenges. For all hires in the Minneapolis or Washington, D.C. area, you will be required to work in the office a minimum of four days per week.
**Primary Responsibilities**
* Clearly communicate with diverse teams including legal, compliance, and AI development over a wide variety of AI methods including Generative AI and traditional ML
* Document findings, create reports, and present results to stakeholders
* Design, and develop job aids and guidance documentation for best practices of responsible AI
* Develop Python scripts to automate testing processes and analyze results
* Help identify vulnerabilities related to PII/PHI exposure in AI interactions
* Maintain test data sets and contribute to improving testing methodologies
* Stay abreast of the latest developments in AI/ML research and incorporate relevant findings into work
* Provide mentorship and guidance to colleagues, fostering a culture of continuous learning and improvement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with the full ML system development, deployment, and maintenance lifecycle
* 3\+ years of experience working with advanced NLP models and methodologies
* 3\+ years of experience with python and ML frameworks (e.g., scikit\-learn, Pandas, Numpy)
**Preferred Qualifications**
* Deep understanding of ethical considerations and fairness in AI model development
* Proven solid analytical thinking and problem\-solving abilities
* Proven excellent written and verbal communication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3">
      <c r="A33" t="inlineStr">
        <is>
          <t>li-4369688214</t>
        </is>
      </c>
      <c r="B33" t="inlineStr">
        <is>
          <t>Senior Data Scientist</t>
        </is>
      </c>
      <c r="C33" t="inlineStr">
        <is>
          <t>Blue Cross Blue Shield of Massachusetts</t>
        </is>
      </c>
      <c r="D33" t="inlineStr">
        <is>
          <t>linkedin</t>
        </is>
      </c>
      <c r="E33" t="inlineStr"/>
      <c r="F33" t="inlineStr"/>
      <c r="G33" t="inlineStr">
        <is>
          <t>Boston, MA</t>
        </is>
      </c>
      <c r="H33" t="inlineStr"/>
      <c r="I33" t="inlineStr">
        <is>
          <t>**Ready to help us transform healthcare? Bring your true colors to blue.**
 As a Senior Data Scientist working in the analytics hub within the finance department, you will serve as an analytics lead for our business units, responsible for connecting them with effective analytics solutions. Your work will go beyond traditional analysis; you will be deeply involved in understanding complex business challenges and building the analytical frameworks that guide our strategy and improve performance.
 This role is for a data scientist who wants to see their work make a direct impact. You will act as a trusted consultant to business leaders, using your expertise to solve meaningful problems and find new business opportunities.
 This role is eligible for our Flex Persona for candidates local to our Boston, MA office.
**What You Will Do**
* Drive Strategy \&amp; Discovery: Partner directly with business leaders to translate their goals into data\-driven hypotheses. You'll move beyond taking requirements to proactively identifying and framing complex problems that can be solved with advanced analytics and machine learning.
* End\-to\-End Model Development: Own the entire machine learning lifecycle, from prototyping and feature engineering to building, validating, and deploying production\-ready models. You'll be responsible for the quality and real\-world impact of your solutions.
* Quantify Business Impact: Develop and execute the frameworks for measuring the success of analytical initiatives. You will be expected to clearly communicate the value of your work to stakeholders, connecting model performance to key business metrics like revenue, efficiency, and customer satisfaction.
* Champion Technical Excellence: Promote best practices in code, modeling, and MLOps. You will build scalable, reproducible, and easily maintainable solutions and help mentor other members of the team.
* Lead through Influence: Act as the central point of contact for your projects, collaborating with Data Engineers, Product Managers, and business stakeholders to ensure your models are successfully integrated and adopted.
* Innovate and Explore: Stay current with state\-of\-the\-art techniques in the field and lead the exploration of new data sources, tools, and methodologies to solve emerging business challenges.
**What You Bring**
* Experience: 5\+ years of hands\-on experience transforming large, complex datasets into impactful analytical solutions that have driven business decisions. Experience with healthcare data (e.g., medical claims, pharmacy claims, eligibility) is highly desirable.
* Education: A degree in a quantitative field like Statistics, Mathematics, Computer Science, Engineering, or a related discipline.
**Technical Proficiency**
* Deep expertise in Python or R for statistical modeling, machine learning, and data manipulation.
* Proficiency in SQL and experience working with large\-scale relational databases (experience with Snowflake is highly desirable).
* Advanced knowledge of the end\-to\-end machine learning lifecycle, from feature engineering and model development to validation and performance monitoring.
* Proficiency with version control systems like Git for collaborative development.
* Strong data visualization skills, with expertise in tools like Tableau to create compelling, easy\-to\-understand dashboards.
**Strategic \&amp; Collaborative Mindset**
* A self\-directed and creative problem\-solver, with the ability to work independently on complex analytical challenges from data to platform to final solution.
* An efficiency\-driven approach, with a demonstrated ability to automate processes and build scalable, repeatable solutions.
* A proven ability to navigate ambiguity, translating high\-level business questions into well\-defined analytical projects.
* Experience leading projects in an Agile environment, from initial discovery and use case definition to final delivery.
* Excellent communication skills, with the ability to clearly explain complex technical concepts and results to both technical and non\-technical stakeholders.
* A natural curiosity and drive to innovate, with the ability to mentor others and introduce new tools and techniques to the team.
**Minimum Education Requirements**
 High school degree or equivalent required unless otherwise noted above
 Location
 Boston
 Time Type
 Full time
 Salary Range: $156,240\.00 \- $190,960\.00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34">
      <c r="A34" t="inlineStr">
        <is>
          <t>li-4371252142</t>
        </is>
      </c>
      <c r="B34" t="inlineStr">
        <is>
          <t>Advanced Data Scientist</t>
        </is>
      </c>
      <c r="C34" t="inlineStr">
        <is>
          <t>Honeywell</t>
        </is>
      </c>
      <c r="D34" t="inlineStr">
        <is>
          <t>linkedin</t>
        </is>
      </c>
      <c r="E34" t="inlineStr"/>
      <c r="F34" t="inlineStr"/>
      <c r="G34" t="inlineStr">
        <is>
          <t>Atlanta, GA</t>
        </is>
      </c>
      <c r="H34" t="inlineStr"/>
      <c r="I34" t="inlineStr">
        <is>
          <t>**Job Description**
 Honeywell Forge and AI team is a significant business segment of Honeywell International Inc., focusing on providing innovative AI and software solutions that enhance operational efficiency and drive digital transformation across various industries. Forge is the flagship software product of Honeywell. Forge and AI team, as the AI center of excellence, leverages advanced technologies such as the Internet of Things (IoT), cloud computing, artificial intelligence (AI), and data analytics to create integrated solutions that improve productivity, safety, and sustainability.
 Key functions and offerings of Honeywell Forge and AI team include: Industrial IoT Solutions, Data Analytics, Cybersecurity, Smart Building Solutions, Supply Chain Optimization, Sustainability Initiatives, and Smart Manufacturing
 We’re looking for a new team member who is motivated by cracking tough challenges with data, trained in problem solving, and with an unending thirst for learning.
 As an Advance Data Scientist, you will join a high\-performing, global team, and be responsible for designing, developing, and implementing data driven solutions for all Honeywell business groups and functions. You will work closely with data scientists and data engineers, application architects to integrate results into operational platforms
**Responsibilities**
* The Advance Data Scientist role is expected to work within Honeywell to build and deploy innovative AI/ML models and solutions that generate new business growth and value.
* You will also be responsible for recommending innovative solutions by using various data science methods including hypothesis testing and be responsible for defining the data acquisition strategy when required.
* You will also be expected to actively participate in defining and governing our analytics strategy for Honeywell building out AI/ML capabilities of our Forge platform and promoting data science methods and processes across functions
* You will report to the Director of Artificial intelligence
**Qualifications**
 YOU MUST HAVE
* Bachelor’s degree in computer science, Engineering, Applied Mathematics or related STEM field
* Minimum of 4 years of full time Data Science prototyping experience (Python) using machine learning techniques and algorithms (supervised, unsupervised, reinforcement learning etc.) in a commercial setup.
* Minimum of 4 years of full time Machine Learning experience applied on top of processes, systems, and hardware in a commercial setup.
* Minimum of 4 years of experience with distributed storage and compute tools (e.g. Spark)
* Minimum of 4 years' experience developing and deploying machine learning models on cloud platforms (e.g. AWS, Azure, GCP etc.)
* Minimum of 4 years of experience in deep learning frameworks like PyTorch, Tensorflow, Keras
* Minimum of 4 years' Experience with designing, building models and deploying pipelines to production using containerized microservices and/or orchestrated batch runs
 WE VALUE
* Master's degree in computer science, Engineering, Applied Mathematics or related STEM field
* PhD degree in Computer Science, Engineering, Applied Mathematics or related STEM field
* Experience with MLOPS best practices and implementations
* Experience with LLM and Natural Language Processing models
* Experience working with remote and global teams
* Results driven with a positive can\-do attitude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
 The application period for the job is estimated to be 40 days from the job posting date; however, this may be shortened or extended depending on business needs and the availability of qualified candidates. Job Posting Date: 2/10/2026
 Due to compliance with U.S. export control laws and regulations, candidate must be a U.S. Person, which is defined as, a U.S. citizen, a U.S. permanent resident, or have protected status in the U.S. under asylum or refugee status or have the ability to obtain an export authorization.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35">
      <c r="A35" t="inlineStr">
        <is>
          <t>li-4380905517</t>
        </is>
      </c>
      <c r="B35" t="inlineStr">
        <is>
          <t>Senior Applied Scientist</t>
        </is>
      </c>
      <c r="C35" t="inlineStr">
        <is>
          <t>QXO</t>
        </is>
      </c>
      <c r="D35" t="inlineStr">
        <is>
          <t>linkedin</t>
        </is>
      </c>
      <c r="E35" t="inlineStr"/>
      <c r="F35" t="inlineStr"/>
      <c r="G35" t="inlineStr">
        <is>
          <t>Seattle, WA</t>
        </is>
      </c>
      <c r="H35" t="inlineStr"/>
      <c r="I35"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36">
      <c r="A36" t="inlineStr">
        <is>
          <t>li-4380963774</t>
        </is>
      </c>
      <c r="B36" t="inlineStr">
        <is>
          <t>DATA SCIENTIST</t>
        </is>
      </c>
      <c r="C36" t="inlineStr">
        <is>
          <t>TalentAlly</t>
        </is>
      </c>
      <c r="D36" t="inlineStr">
        <is>
          <t>linkedin</t>
        </is>
      </c>
      <c r="E36" t="inlineStr"/>
      <c r="F36" t="inlineStr"/>
      <c r="G36" t="inlineStr">
        <is>
          <t>Fairfax, VA</t>
        </is>
      </c>
      <c r="H36" t="inlineStr"/>
      <c r="I36" t="inlineStr">
        <is>
          <t>**\*\*\*Position is 100% on\-site\*\*\*** 
**\*\*\*Secret Clearance Is Required\*\*\*** 
 VSolvitis looking for a broadly talented Data Scientist with quantitative research skills to take an active role on our data analytics team. You will work on vast amounts of DEA data to discover hidden information by applying modern statistical and ML/AI techniques. The main scripting languages used on this program are Python and some 'R'. The databases are MS SQL Server and Elastic Search and are used against the enterprise data warehouses with Kibana, Tableau or other BI and Visualization tools. This is a mature team that is high profile and charged with delivering solutions in Data Sciences enabling maximum leverage of DEA master data. At a higher Level, this position is part of a team of developers and IT SME's who support the DEA data warehouse project and the ability to recognize opportunities for the correlation of data is vital for this position. The need for strategic thinking, with the ability to easily spot gaps, ensure accuracy, and find differences in what should be the same values in data, and lags in data that will ultimately affect velocity and overall quality of the products, is highly desired.
 Your primary focus will be applying data mining techniques, doing statistical analysis, and building high\-quality prediction systems integrated with DEA programs and DEA data (e.g. structured, unstructured, and mixed datasets). You will also design and develop automatic scoring using machine learning techniques, build recommendation systems, design, and develop classifiers for feature extraction. This program is one in which pushing boundaries and innovation within the scope of the program is valued. There is a fully supported effort to develop and further Power BI/ML/AI in the quest for 'making the data dance'. The Data Sciences group provides innovative algorithm development using various techniques to achieve desired insight or open eyes to new revealing results and possibilities. In addition to technical knowledge the team values the ability to collaborate and communicate with one another to ensure a highly productive, respectful, and harmonious work setting, be it virtual or mixed of onsite and remote.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 Work with large DEA data using descriptive statistics and data visualization tools
* Create insights from existing DEA data, and drive the collection of new data and ways to address new data
* Collaborate with clients and team members to understand and communicate results, and to put insights into operation
* Enhancing data collection procedures to include information that is relevant for building analytical systems
* Doing ad\-hoc analysis and presenting results in a clear manner
* Work with other team members such as those focused on Data warehousing, Tools development, software development, DevOps, systems analysts etc.
* Design accurate and scalable prediction algorithms
* Collaborate with engineering team to bring analytical prototypes to production
* Generate actionable insights for business improvements
**Basic Qualifications** 
* U.S. Citizenship Required
* Secret Clearance Required
* Must be able to pass a DEA Security Approval
* Team experience (i.e., managing tasks with other Data Scientists; communicator to client and other DEA Team Leads; good communication skills orally and in writing)
* At least 2 years of data science and custom Machine Learning and AI model training experience solved 'real world' problem (to include supervised and unsupervised) and Natural Language Processing (NLP) expertise focusing on unstructured data with Anaconda, VScode with Git Version control
* Bachelor's or Master's degree in Computer Science, Data Science, or a related field.
* 5\+ years' of professional experience in data science and analysis
* 5\+ years' Python, "R" or other scripting languages
* 2\+ years' database experience
* ML practice \- using scikit learn, tensorflow, or pytorch and perform DEA (Data exploration Analysis), clean data, model selection, feature selection/tuning, and deployment
* 2\+ years' experience with data visualization tools
* Utilize a strong understanding of Machine Learning basics to design and implement effective models for \[specific industry/sector] applications.
* Professional experience in implementing and deploying Deep Learning models to solve complex problems
* Collaborate with cross\-functional teams as a team player to integrate data science solutions into our products and services.
* Demonstrate excellent communication skills to convey complex technical concepts to non\-technical stakeholders and team members.
* Utilize Git for version control, ensuring effective collaboration and code management within the team.
* Embrace Agile methodologies to adapt to fast\-paced development cycles and deliver high\-quality results.
* Solid understanding of statistical analysis and data visualization techniques.
* Ability to work independently and collaboratively in a team\-oriented environment.
* Dedication to continued learning, be team\-oriented, self\-driven, quality minded, and customer\-friendly
* If applicable: If you are or have been recently employed by the U.S. government, a post\-employment ethics letter will be required if employment with VSolvit is offered
**Preferred Qualifications (but not required)** 
* Graduate degree in a quantitative social science or a STEM field highly desired
* 10\+ years' of professional experience in data science and analysis
* 10\+ years' Python, "R" or other scripting languages
* 5\+ years' of relational database experience
* 5\+ years of non\-relational/big data experience
* Experience or knowledge of ELK may be helpful
* Experience with common data science toolkits, such as R, Weka, NumPy, MatLab, etc.
* Proficiency in using data query languages such as SQL, Hive, Pig, Pandas, MongoDB
* Proficiency in big data modeling work: Hadoop, Pig, Scala, Spark
* Good, applied statistics skills, such as distributions, statistical testing, regression, etc.
* Substantial experience with statistics and the scientific method, and the ability to perform self\-directed hypothesis\-driven research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 
 PDN\-a1008b14\-e84b\-48b4\-a3e9\-fdacdeb57f4f</t>
        </is>
      </c>
    </row>
    <row r="37">
      <c r="A37" t="inlineStr">
        <is>
          <t>li-4343924466</t>
        </is>
      </c>
      <c r="B37" t="inlineStr">
        <is>
          <t>Senior Applied Scientist</t>
        </is>
      </c>
      <c r="C37" t="inlineStr">
        <is>
          <t>Microsoft</t>
        </is>
      </c>
      <c r="D37" t="inlineStr">
        <is>
          <t>linkedin</t>
        </is>
      </c>
      <c r="E37" t="inlineStr"/>
      <c r="F37" t="inlineStr"/>
      <c r="G37" t="inlineStr">
        <is>
          <t>Mountain View, CA</t>
        </is>
      </c>
      <c r="H37" t="inlineStr"/>
      <c r="I37" t="inlineStr">
        <is>
          <t>**Overview**
 Microsoft is innovating rapidly in the advertising space to grow its share of this market by providing the ad industry with the state\-of\-the\-art online advertising platform and service and Microsoft's advertising team is at the core of this effort.
 In this role, the Senior Applied Scientist will design and implement state\-of\-the\-art machine learning models and algorithms that power key systems within Microsoft Ads, Microsoft Audience Network, Copilot, and beyond. Your work will directly impact millions of users and advertisers by delivering scalable solutions that enhance ad relevance and optimize user experiences.
 We are hiring for multiple Senior Applied Scientist roles on Microsoft Advertising team for the following team:
**Signals Modeling Team**
 (This role is available in Mountain View, CA, or Redmond, WA)
 The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The role for this team is focused on building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deploy cutting\-edge machine learning models, including transformers, generative AI, and reinforcement learning, to optimize user interactions and ad relevance across Microsoft Ads and Copilot.
* Design scalable algorithms for online and offline systems, delivering innovative solutions for content selection, user engagement modeling, and ad generation.
* Drive experimentation through A/B testing and offline validation to evaluate model performance and refine user behavior predictions.
* Build robust data pipelines and frameworks for handling large\-scale, high\-dimensional datasets to support advanced AI applications.
* Stay at the forefront of AI research, incorporating the latest advancements to drive innovation and impact across Microsoft platforms.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Proven experience in programming and data analysis skills
* 2\+ years of experience in developing and deploying large\-scale machine learning models..
* Proven expertise in the areas of Generative AI, deep learning, or transformers.
* 2\+ years of experience in reinforcement learning and contextual bandits.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8">
      <c r="A38" t="inlineStr">
        <is>
          <t>li-4371016799</t>
        </is>
      </c>
      <c r="B38" t="inlineStr">
        <is>
          <t>Director, Data Scientist (Predictive &amp; Agentic AI)</t>
        </is>
      </c>
      <c r="C38" t="inlineStr">
        <is>
          <t>SymphonyAI</t>
        </is>
      </c>
      <c r="D38" t="inlineStr">
        <is>
          <t>linkedin</t>
        </is>
      </c>
      <c r="E38" t="inlineStr"/>
      <c r="F38" t="inlineStr"/>
      <c r="G38" t="inlineStr">
        <is>
          <t>New York, NY</t>
        </is>
      </c>
      <c r="H38" t="inlineStr"/>
      <c r="I38" t="inlineStr">
        <is>
          <t>**Job Description**
 SymphonyAI is seeking a Director of Data Science \- Predictive \&amp; Agentic AI to lead the design, development, and deployment of advanced AI capabilities across our enterprise SaaS platforms. This role sits at the intersection of predictive analytics, agentic AI systems, and real\-world enterprise workflows, with a strong focus on delivering measurable business outcomes for customers. This role requires both deep technical
 **expertise** 
 and the ability to translate AI innovation into customer and business value.
 AI Strategy \&amp; Leadership
* Must have a proven track record of leading and mentor a high\-performing, global team of data scientists, ML engineers, and applied researchers.
* Define and execute the AI vision and roadmap across Predictive AI, Decision Intelligence, Agentic AI, and Generative AI.
* Act as a thought leader for AI strategy, influencing executive stakeholders and product direction.
 Predictive \&amp; Decision Intelligence
* Own the development of predictive, prescriptive, and causal models, including forecasting, optimization, propensity modeling, anomaly detection, and decision scoring.
* Ensure predictive models serve as the statistical foundation for agentic and generative AI workflows.
* Translate probabilistic outputs into clear, actionable recommendations for enterprise users.
 Agentic \&amp; Generative AI
* Drive the design and deployment of LLM\-powered agents and multi\-agent systems that reason, plan, and execute actions grounded in trusted data and models.
* Oversee model development using LLMs, transformers, diffusion models, and hybrid architectures that combine deterministic and generative approaches.
* Ensure generative AI augments human decision\-making rather than replacing core analytical rigor.
 Experimentation, Evaluation \&amp; Consistency
* Establish a robust experimentation and measurement framework, including offline validation, online A/B testing, causal inference, and counterfactual analysis.
* Own model consistency, stability, and reproducibility, ensuring reliable outputs under equivalent conditions and clear signaling when uncertainty or variability is expected.
* Define success metrics tied directly to business outcomes and user adoption.
 Explainability, Trust \&amp; Human\-in\-the\-Loop
* Build AI systems that are explainable, transparent, and auditable, with clear decision rationale, feature attribution, and confidence scoring.
* Design human\-in\-the\-loop workflows, enabling expert users to review, override, and refine AI recommendations.
* Ensure AI outputs align with the intuitive expectations of experienced domain professionals.
 Platform, Governance \&amp; Collaboration
* Partner closely with engineering, product management, and customer success to deliver scalable AI solutions in SaaS environments.
* Establish best practices for MLOps, model monitoring, governance, and responsible AI, ensuring compliance, safety, and operational excellence.
* Stay ahead of emerging trends in predictive modeling, agentic systems, foundation models, and AI orchestration.
 What You Will Bring
* Proven experience leading enterprise\-scale data science organizations delivering real\-world AI products.
* Deep expertise in predictive modeling, machine learning, and statistical methods, combined with hands\-on experience in LLMs and agentic AI frameworks.
* Strong intuition for trust, explainability, and usability in AI systems used by expert, high\-stakes decision makers.
* Track record of translating complex AI capabilities into measurable business impact.
* Excellent communication skills, with the ability to influence both technical and non\-technical stakeholders.
* Passion for building inclusive teams, fostering experimentation, and driving continuous learning.</t>
        </is>
      </c>
    </row>
    <row r="39">
      <c r="A39" t="inlineStr">
        <is>
          <t>li-4362287424</t>
        </is>
      </c>
      <c r="B39" t="inlineStr">
        <is>
          <t>Sr. Data Scientist - Marketing Science &amp; Offerings</t>
        </is>
      </c>
      <c r="C39" t="inlineStr">
        <is>
          <t>Ovative Group</t>
        </is>
      </c>
      <c r="D39" t="inlineStr">
        <is>
          <t>linkedin</t>
        </is>
      </c>
      <c r="E39" t="inlineStr"/>
      <c r="F39" t="inlineStr"/>
      <c r="G39" t="inlineStr">
        <is>
          <t>New York, United States</t>
        </is>
      </c>
      <c r="H39" t="inlineStr"/>
      <c r="I39" t="inlineStr">
        <is>
          <t>**About Ovative Group**
 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
 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
**About The Role**
 As the Senior Data Scientist, you will play a key role in
* Developing advanced marketing measurement capabilities that unlock our company vision to transform the measure of marketing success. You will be at the forefront of developing and delivering differentiated AI assisted marketing data science and measurement solutions focused on maximizing profitable enterprise revenue and customer value for our clients.
* Partnering with driven, solution\-minded experts, business leaders, analysts, and scientists at Ovative in engaging with clients, and defining approaches and road maps for solutions to client problems.
* Technical mentoring of junior data scientists, guiding their algorithmic, testing methodological approaches, and reviewing their code.
* Working with technology leaders, product owners and engineers to convert novel solutions developed to scalable new services and product offerings at Ovative.
* Being a part of an inclusive culture that inspires and motivates the team and attracts new, diverse technical talent to the organization.
**Responsibilities Of a Sr. Data Scientist**
* Lead technical contributor in a high\-performance data science \&amp; advanced analytics team, responsible for your team’s productivity, operational excellence, and business impact
* Drive value across multiple business verticals by leading the technical development and deployment of impactful and interpretable models
* Partner closely with Engineering and Product Management to scale your team’s innovative measurement solutions into product and service offerings
* Provide mentoring, training, and other opportunities for effective technical development of data scientists
* Assist with technical parts of business development as needed, including RFP response, sales and conference presentations using AI assistance where applicable.
* Build strong relationships across the organization to understand internal stakeholder needs for trusted data science support
**Requirements**
* 5\+ years of hands\-on experience in data science, analytics, or a related quantitative field, with a strong track record of delivering business value through technical innovation.
* Proven success as a technical contributor in high\-performing data science teams, preferably within product\-centric or consulting environments.
* Very Important: Ability to quickly learn and execute
* Expertise in advanced statistical modeling and machine learning, with hands\-on experience preferred in techniques such as:
* Media Mix Modeling (MMM)
* Incrementality Testing/ Causal Inference
* Attribution Modeling
* Customer Analytics: Lifetime Value (CLV) Modeling, Segmentation
* Generative AI Data Science
* Proficiency in the following preferred programming and data environments:
* Languages: SQL, and/or R or Python
* Tools: Git, Docker, MLOps, POSIT IDEs, cloud notebooks, Frameworks like Shiny, Streamlit, etc
* Data platforms: BigQuery, Databricks
* Familiarity with cloud infrastructure and deployment practices (e.g., AWS/GCP/Azure), MLOps pipelines, and containerization is a plus.
* Experience with Bayesian/Probabilistic modeling frameworks (e.g., PyMC, Stan) is a plus.
* Strong business acumen, especially within digital and traditional marketing domains; ability to translate data insights into clear strategic recommendations.
* Excellent communicator: able to lead conversations with technical and non\-technical stakeholders, including senior client partners and internal executives.
* Demonstrated leadership and mentorship skills; able to think independently, guide junior team members and influence cross\-functional teams.
* Bonus: Familiarity with Generative AI applications in marketing analytics (e.g., using LLMs for data summarization, content tagging, or creative testing insights).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Sr. Data Scientist positions, our compensation ranges from $90,000 to $132,000, which is inclusive of a 20% bonus.
**Benefits Of Working At Ovative Group**
 We provide strong, competitive, holistic benefits that understand the importance of your life inside and out of work.
**Culture:**
 Culture matters and we’ve been recognized as a Top Workplace for ten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Ovative is committed to fostering an inclusive environment where everyone can participate and thrive. We do not tolerate discrimination of any kind, including on the basis of race, sexual orientation, gender identity, or gender expression. Our policies reflect this commitment—for example, our medical leave benefits are inclusive of same\-sex partners, ensuring equitable care and support for all families.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Generous paid vacation policy
* 401k match program
* Top\-notch health insurance options, inclusive of same sex partners
* Family formation benefits including reimbursement options for fertility, pregnancy, and parenting needs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row>
    <row r="40">
      <c r="A40" t="inlineStr">
        <is>
          <t>li-4363102754</t>
        </is>
      </c>
      <c r="B40" t="inlineStr">
        <is>
          <t>Senior Data Scientist - Cards and Credit</t>
        </is>
      </c>
      <c r="C40" t="inlineStr">
        <is>
          <t>Mercury</t>
        </is>
      </c>
      <c r="D40" t="inlineStr">
        <is>
          <t>linkedin</t>
        </is>
      </c>
      <c r="E40" t="inlineStr"/>
      <c r="F40" t="inlineStr"/>
      <c r="G40" t="inlineStr"/>
      <c r="H40" t="inlineStr"/>
      <c r="I40" t="inlineStr">
        <is>
          <t>In the 1950s, Norman Borlaug embarked on an effort to breed a new type of wheat that was disease resistant and had higher yields. In the outskirts of Mexico City, he combined his background of agricultural research and theoretical knowledge with careful experimentation and diligent data collection to run over 6,000 experiments \- and he was ultimately successful, kicking off the “Green Revolution” that increased global crop yields by an estimated 44% and earned him a Nobel Prize.
 At Mercury, we’re building the future of financial infrastructure for startups and growing businesses. We’re looking for a full\-stack Data Scientist to support our Cards \&amp; Credit roadmap, partnering closely with Product, Engineering, Design, Underwriting, and Operations to shape how our card and credit products evolve and scale.
 In this role, you’ll apply strong analytical judgment and product intuition to help us understand customer behavior, evaluate tradeoffs, and make smart investment decisions across the cards and lending lifecycles — from eligibility and activation to spend, retention, incentives, and credit performance. You’ll help build a data\-informed culture across Mercury so teams can move quickly, measure what matters, and invest intelligently.
 Here are some things you’ll do on the job:
* Bring impeccable communication and complete ownership — independently identifying opportunities, developing strong points of view, and influencing executives, Cards \&amp; Credit leaders, and cross\-functional partners through clear, concise, and persuasive storytelling.
* Develop a nuanced understanding of cardholder behavior and economics, helping teams reason about tradeoffs between growth, engagement, risk, and unit economics.
* Define, own, and analyze metrics that inform both tactical decisions and long\-term strategy across the cards and credit lifecycle (e.g., eligibility, activation, spend, utilization, rewards, retention, loss signals).
* Design and evaluate experiments using rigorous statistical approaches, including A/B testing, cohort analysis, causal inference techniques, and trend analysis.
* Build and improve data pipelines and tools to streamline data collection, processing, and analysis workflows, ensuring the integrity, reliability, and security of data assets.
 You should:
* Bring 7\+ years of experience working with large datasets to drive product or business impact in data science or analytics roles.
* Be fluent in SQL and comfortable with python.
* Demonstrate strong judgment in defining and analyzing product metrics, running experiments, and translating ambiguous questions into structured analyses.
* Operate with exceptional proactivity and independence — identifying opportunities, forming strong points of view, and making your case to stakeholders.
* Be experienced with modern analytics and data modeling stacks (e.g., dbt, dimensional models), with a solid understanding of how data is produced and consumed.
* Apply AI tools to accelerate analytical and business workflows, improving scalability, decision quality, and reducing manual or repetitive work across teams.
 Nice to have:
* Experience working on cards or credit products, such as corporate cards, charge cards, consumer cards, or revolving credit products.
* Familiarity with card economics and lifecycle concepts, including spend behavior, interchange, rewards and incentives, utilization, credit limits, and retention.
* Experience leveraging underwriting inputs, lifecycle risk signals, or third\-party credit data to inform or optimize credit strategy or product decisions.
* Experience building or supporting credit models for cards or lending products, including probability of default modeling, credit limit setting, or portfolio monitoring.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USD
* Canadian employees (any location): CAD 189,700 \- 237,100
*Mercury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41">
      <c r="A41" t="inlineStr">
        <is>
          <t>li-4380939728</t>
        </is>
      </c>
      <c r="B41" t="inlineStr">
        <is>
          <t>Sr. Staff Data Scientist</t>
        </is>
      </c>
      <c r="C41" t="inlineStr">
        <is>
          <t>Intuit</t>
        </is>
      </c>
      <c r="D41" t="inlineStr">
        <is>
          <t>linkedin</t>
        </is>
      </c>
      <c r="E41" t="inlineStr"/>
      <c r="F41" t="inlineStr"/>
      <c r="G41" t="inlineStr">
        <is>
          <t>San Diego, CA</t>
        </is>
      </c>
      <c r="H41" t="inlineStr"/>
      <c r="I41" t="inlineStr">
        <is>
          <t>**Overview**
 The Global Business Solutions Group (GBSG) Product Growth team is dedicated to accelerating business outcomes through a data\-driven, product\-led approach to growth. We leverage Product\-Led Growth strategies, scalable growth loops, and rigorous experimentation to identify and amplify the highest\-impact opportunities across the product ecosystem. Our team brings together exceptional talent across disciplines to run rapid experiments, conduct deep analytical investigations, and drive cross\-functional alignment that unlocks durable customer and revenue growth.
 As a Sr. Staff Data Scientist, you will serve as a senior technical leader and strategic thought partner to product and business executives. You will shape the growth roadmap by framing ambiguous opportunities, defining measurable hypotheses, and leading the design and interpretation of complex experiments. You will elevate the analytical bar across the organization, applying advanced causal inference and statistical methodologies to separate signal from noise and guide high\-stakes investment decisions. Your work will directly influence company\-level growth strategy, ensuring we scale initiatives that create meaningful customer value and sustained top\-line impact.
**Responsibilities**
**Set Technical Vision and Elevate the Analytical Bar**
* Shape and evolve the data science strategy that powers product\-led growth and scalable growth loops across the ecosystem.
* Define best practices for experimentation, causal inference, and advanced analytics to ensure high\-quality, decision\-grade insights.
* Apply sophisticated statistical modeling and machine learning techniques to transform complex, ambiguous data into clear strategic direction.
**Lead Deep Analytics and Experimentation at Scale**
* Develop a holistic view of the end\-to\-end customer journey, synthesizing signals across acquisition, activation, engagement, retention, and monetization.
* Frame high\-value hypotheses and design robust experiments that isolate causal impact and inform investment decisions.
* Partner with cross\-functional leaders to prioritize and scale the most impactful growth initiatives.
**Drive Cross\-Functional Influence and Execution**
* Act as a trusted thought partner to Product, Engineering, Design, Marketing, and Finance, translating analytical insights into strategic product and business actions.
* Influence roadmap decisions by grounding discussions in data, clear trade\-offs, and measurable outcomes.
* Raise the organization’s analytical maturity by improving instrumentation, data quality, logging standards, and experimentation frameworks.
**Serve as a Senior Technical Leader**
* Operate as a subject matter expert in causal inference and experimentation, mentoring other data scientists and setting a high standard for analytical rigor.
* Lead through influence, fostering a culture of hypothesis\-driven decision\-making and continuous learning.
* Tackle ambiguous, high\-stakes problems that span multiple teams and require both depth and breadth of expertise.
**Operate with Velocity and Impact**
* Rapidly synthesize diverse data sources and business metrics to uncover actionable insights.
* Balance methodological rigor with pragmatic execution, ensuring that insights are translated quickly into measurable business outcomes.
**Qualifications**
**Experience and Technical Depth**
* 8\+ years of experience in data science, applied statistics, or advanced analytics, with a demonstrated track record of driving measurable product and business growth.
* Deep expertise in causal inference, experimentation, statistical modeling, and machine learning, with the ability to apply appropriate methodologies to complex, ambiguous problems.
* Proven ability to translate sophisticated analytical findings into clear, decision\-ready recommendations that influence strategy and investment.
**Technical Proficiency**
* Advanced proficiency in SQL and at least one programming language such as Python or R for large\-scale data analysis and modeling.
* Strong foundation in experimental design, hypothesis testing, and scalable analytics frameworks.
* Experience with data visualization tools and executive\-ready storytelling to communicate insights effectively.
* Familiarity with data architecture, instrumentation, and pipeline development to ensure high\-quality, reliable analytics is preferred.
**Leadership and Cross\-Functional Influence**
* Demonstrated ability to operate as a senior individual contributor who influences across Product, Engineering, Marketing, and Business leadership.
* Track record of navigating new domains quickly, identifying the critical metrics that matter, and establishing analytical clarity in ambiguous environments.
* Exceptional communication skills, with the ability to tailor messaging to technical and non\-technical audiences and drive alignment through data.
**Mindset and Impact Orientation**
* Strong customer\-first orientation with the ability to connect analytical insights to meaningful customer value and business outcomes.
* Entrepreneurial and agile mindset, balancing long\-term strategic thinking with rapid, hypothesis\-driven execution.
* High ownership mentality with a bias toward action and measurable impact.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42">
      <c r="A42" t="inlineStr">
        <is>
          <t>li-4371242292</t>
        </is>
      </c>
      <c r="B42" t="inlineStr">
        <is>
          <t>Applied Scientist Gen AI - Amazon Advertising, CreativeX</t>
        </is>
      </c>
      <c r="C42" t="inlineStr">
        <is>
          <t>Amazon</t>
        </is>
      </c>
      <c r="D42" t="inlineStr">
        <is>
          <t>linkedin</t>
        </is>
      </c>
      <c r="E42" t="inlineStr"/>
      <c r="F42" t="inlineStr"/>
      <c r="G42" t="inlineStr">
        <is>
          <t>Seattle, WA</t>
        </is>
      </c>
      <c r="H42" t="inlineStr"/>
      <c r="I42" t="inlineStr">
        <is>
          <t>**Description**
 Amazon Advertising is one of Amazon's fastest growing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The Creative X team within Amazon Advertising time aims to democratize access to high\-quality creatives (audio, images, videos, text) by building AI\-driven solutions for advertisers. To accomplish this, we are investing in understanding how best users can leverage Generative AI methods such as latent\-diffusion models, large language models (LLM), generative audio (music and speech synthesis), computer vision (CV), reinforced learning (RL) and related.
 As an Applied Scientist you will be part of a close\-knit team of other applied scientists and product managers, UX and engineers who are highly collaborative and at the top of their respective fields.
 We are looking for talented Applied Scientists who are adept at a variety of skills, especially at the development and use of multi\-modal Generative AI and can use state\-of\-the\-art generative music and audio, computer vision, latent diffusion or related foundational models that will accelerate our plans to generate high\-quality creatives on behalf of advertisers. Every member of the team is expected to build customer (advertiser) facing features, contribute to the collaborative spirit within the team, publish, patent, and bring SOTA research to raise the bar within the team.
**As An Applied Scientist On This Team, You Will**
* Drive the invention and development of novel multi\-modal agentic architectures and models for the use of Generative AI methods in advertising.
* Work closely and integrate end\-to\-end proof\-of\-concept Machine Learning projects that have a high degree of ambiguity, scale and complexity.
* Build interface\-oriented systems that use Machine Learning models, perform proof\-of\-concept, experiment, optimize, and deploy your models into production; work closely with software engineers to assist in productionizing your ML models.
* Curate relevant multi\-modal datasets.
* Perform hands\-on analysis and modeling of experiments with human\-in\-the\-loop that eg increase traffic monetization and merchandise sales, without compromising the shopper experience.
* Run A/B experiments, gather data, and perform statistical analysis.
* Establish scalable, efficient, automated processes for large\-scale data analysis, machine\-learning model development, model validation and serving.
* Mentor and help recruit Applied Scientists to the team.
* Present results and explain methods to senior leadership.
* Willingness to publish research at internal and external top scientific venues.
* Write and pursue IP submissions.
 Key job responsibilities
 This role is focused on developing new multi\-modal Generative AI methods to augment generative imagery and videos. You will develop new multi\-modal paradigms, models, datasets and agentic architectures that will be at the core of advertising\-facing tools that we are launching. You may also work on development of ML and GenAI models suitable for advertising. You will conduct literature reviews to stay on the SOTA of the field. You will regularly engage with product managers, UX designers and engineers who will partner with you to productize your work.
 For reference see our products: Enhanced Video Generator, Creative Agent and Creative Studio.
 A day in the life
 On a day\-to\-day basis, you will be doing your independent research and work to develop models, you will participate in sprint planning, collaborative sessions with your peers, and demo new models and share results with peers, other partner teams and leadership.
**About The Team**
 The team is a dynamic team of applied scientists, UX researchers, engineers and product leaders. We reside in the Creative X organization, which focuses on creating products for advertisers that will improve the quality of the creatives within Amazon Ads.
 We are open to hiring candidates to work out of one of the following locations:
 UK (London), USA (Seattle).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USA, WA, Seattle \- 142,800\.00 \- 193,200\.00 USD annually
**Company** 
 \- Amazon.com Services LLC \- A57
 Job ID: A3178156</t>
        </is>
      </c>
    </row>
    <row r="43">
      <c r="A43" t="inlineStr">
        <is>
          <t>li-4369494289</t>
        </is>
      </c>
      <c r="B43" t="inlineStr">
        <is>
          <t>Principal Data Scientist</t>
        </is>
      </c>
      <c r="C43" t="inlineStr">
        <is>
          <t>Microsoft</t>
        </is>
      </c>
      <c r="D43" t="inlineStr">
        <is>
          <t>linkedin</t>
        </is>
      </c>
      <c r="E43" t="inlineStr"/>
      <c r="F43" t="inlineStr"/>
      <c r="G43" t="inlineStr">
        <is>
          <t>Redmond, WA</t>
        </is>
      </c>
      <c r="H43" t="inlineStr"/>
      <c r="I43" t="inlineStr">
        <is>
          <t>**Overview**
 The Bing organization is looking for a Principal Data and Applied Scientist for its online metric team. The team is pushing the boundaries of online A/B experimentation capabilities and impact measurement methods, as well as informs our understanding for how users engage with search engines and integrated AI experiences and then translates the insights into actionable metrics. These metrics provide direction to the Bing and MAI organization and help engineers make the right ship decisions for their thousands of A/B experiments.
 Bing.com reaches about a billion people worldwide, and we have a large opportunity to grow further. At Bing, we celebrate our data driven culture: changes only ship when their impact is understood and positive. This role is at the center of what defines our decision\-making processes and is an excellent opportunity to make a multiplicative impact across the org.
 As a data and applied scientist in this team, you will have the chance to work on and deliver metrics that drive the direction of major Bing initiatives. You will have the chance to be involved in the analysis and decision making for 1000s of online controlled A/B experiments. Come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innovation in large\-scale online A/B experimentation for AI\-powered web search, designing, building, and monitoring success metrics that directly measure user satisfaction, trust, and long\-term retention across Bing experiences.
* Serve as a technical visionary and thought leader in online experimentation, shaping the future of product learning through research\-driven, AI\-enabled approaches that support trustworthy, agile, and evidence\-based decision\-making at global scale.
* Provide senior technical leadership and deep industry perspective, guiding cross\-functional partners in the adoption of advanced experimentation platforms, causal inference techniques, and modern data science methodologies to deliver high\-impact, scientifically rigorous experimentation programs.
* Build and scale advanced experimentation expertise across teams, spanning specialized tools, statistical methods, and ML\-driven evaluation frameworks, to drive measurable business outcomes and extend the reach and impact of Search’s end\-to\-end experimentation ecosystem.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 OR Master's Degree in Data Science, Mathematics, Statistics, Econometrics, Economics, Operations Research, Computer Science, or related field AND 10\+ years data\-science experience (e.g., managing structured and unstructured data, applying statistical techniques and reporting results)
+ OR Bachelor's Degree in Data Science, Mathematics, Statistics, Econometrics, Economics, Operations Research, Computer Science, or related field AND 12\+ years data\-science experience (e.g., managing structured and unstructured data, applying statistical techniques and reporting results)
+ OR equivalent experience.
+ Experience with SQL\-like query languages
+ Hands on experience in design \&amp; problem\-solving skills with one or more programming languages, such as Python, Java, C\# or C\+\+
+ Ability to work independently, influence others, and solid communication and collaboration skills.
* Familiarity with search engines, dealing with online instrumentation.
* Experience with large datasets and interest in consumer online search behaviors.
* Experience with building machine learning models on large scale data.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\#Search \#MAI \#nextplay \#searchjobs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
      <c r="A44" t="inlineStr">
        <is>
          <t>li-4380950323</t>
        </is>
      </c>
      <c r="B44" t="inlineStr">
        <is>
          <t>Senior Staff Data Scientist</t>
        </is>
      </c>
      <c r="C44" t="inlineStr">
        <is>
          <t>Intuit</t>
        </is>
      </c>
      <c r="D44" t="inlineStr">
        <is>
          <t>linkedin</t>
        </is>
      </c>
      <c r="E44" t="inlineStr"/>
      <c r="F44" t="inlineStr"/>
      <c r="G44" t="inlineStr">
        <is>
          <t>San Diego, CA</t>
        </is>
      </c>
      <c r="H44" t="inlineStr"/>
      <c r="I44" t="inlineStr">
        <is>
          <t>**Overview**
 We are seeking a Senior Staff Data Scientist to join our Strategy Data Science team. This role is designed for a strategic, business\-oriented data scientist who thrives at the intersection of data, business strategy, and cross\-functional collaboration. You will partner with leaders across Product Marketing, Channel Marketing, Finance, Data Engineering, and other Data Science teams to translate evolving business strategies into impactful, data\-driven initiatives.
 Your work will bridge the gap between raw data and high\-level business application, ensuring insights not only answer immediate questions but also guide long\-term strategic direction. You will apply deep product analytics, advanced analytical methods, modeling, and scenario planning to inform critical decisions and shape the future of Intuit’s growth.
 You’ll thrive here if you are equally comfortable diving deep into data, navigating ambiguity, and influencing high\-level strategy.
**Responsibilities**
* Set analytical direction to influence strategic roadmaps across QuickBooks customer growth initiatives by partnering with senior leaders in Product Marketing, Channel Marketing, Finance, Data Engineering, and Data Science to translate evolving business priorities into durable, data\-informed strategies and decision frameworks.
* Own and lead the most complex and ambiguous problem spaces, defining success metrics, analytical approaches, and learning agendas where the path forward is unclear and standard methodologies are insufficient.
* Invent and scale novel analytical frameworks and methodologies that synthesize experimentation, causal inference, research, product analytics, and financial modeling to uncover long\-term customer growth opportunities.
* Build and apply durable customer segmentation frameworks to improve product targeting, positioning, and customer experience.
* Serve as a strategic thought partner to executive and senior leadership, influencing roadmaps, investment decisions, and tradeoffs through clear articulation of insights, risks, limitations, and strategic implications.
* Multiply impact through mentorship and standards\-setting, raising the bar for analytical rigor and strategic storytelling across the data science and analytics community.
**Qualifications**
* 10\+ years of experience in data science, strategy, or qualitative research roles. Experience in consulting or a strategy\-focused capacity is a plus.
* Technical proficiency in SQL, Python, GitHub, and Databricks. Experience with BI tools (Tableau, Qlik Sense) is a plus.
* Strong track record of hypothesis generation and translating insights into data\-driven execution with measurable impact on strategic roadmaps. Experience building models, analyzing experimentation, applying research, and using financial modeling to iterate on learning plans.
* Strong understanding of A/B testing and causal inference principles, with the ability to guide teams on interpretation, limitations, and strategic implications.
* Exceptional communication skills, with the ability to influence executives and collaborate effectively across technical and non\-technical teams.
* Ability to thrive in ambiguity and connect data to strategic clarity.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45">
      <c r="A45" t="inlineStr">
        <is>
          <t>li-4371231730</t>
        </is>
      </c>
      <c r="B45" t="inlineStr">
        <is>
          <t>Applied Scientist, Console Science</t>
        </is>
      </c>
      <c r="C45" t="inlineStr">
        <is>
          <t>Amazon Web Services (AWS)</t>
        </is>
      </c>
      <c r="D45" t="inlineStr">
        <is>
          <t>linkedin</t>
        </is>
      </c>
      <c r="E45" t="inlineStr"/>
      <c r="F45" t="inlineStr"/>
      <c r="G45" t="inlineStr">
        <is>
          <t>Santa Clara, CA</t>
        </is>
      </c>
      <c r="H45" t="inlineStr"/>
      <c r="I45" t="inlineStr">
        <is>
          <t>**Description**
 We are looking for passionate, talented, and inventive Applied Scientists with a strong machine learning background to help build industry\-leading Conversational AI Systems. Our mission is to provide a delightful experience to Amazon’s customers by pushing the envelope in Natural Language Understanding (NLU), Dialog Systems including Generative AI with Large Language Models (LLMs) and Applied Machine Learning (ML).
 As part of our Science team in AWS Console, you will work alongside internationally recognized experts to develop novel algorithms and modeling techniques to advance the state\-of\-the\-art in human language technology. Your work will directly impact millions of our customers in the form of products and services that make use language technology. You will gain hands on experience with Amazon’s heterogeneous text, structured data sources, and large\-scale computing resources to accelerate advances in language understanding.
 We are hiring in all areas of human language technology: NLU, Dialog Management, Conversational AI, LLMs and Generative AI.
**About The Team**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\- 192,200\.00 \- 260,000\.00 USD annually
**Company** 
 \- Amazon Development Center U.S., Inc. \- B02
 Job ID: A3177929</t>
        </is>
      </c>
    </row>
    <row r="46">
      <c r="A46" t="inlineStr">
        <is>
          <t>li-4380955186</t>
        </is>
      </c>
      <c r="B46" t="inlineStr">
        <is>
          <t>Staff Data Scientist - Mailchimp Web</t>
        </is>
      </c>
      <c r="C46" t="inlineStr">
        <is>
          <t>Intuit</t>
        </is>
      </c>
      <c r="D46" t="inlineStr">
        <is>
          <t>linkedin</t>
        </is>
      </c>
      <c r="E46" t="inlineStr"/>
      <c r="F46" t="inlineStr"/>
      <c r="G46" t="inlineStr">
        <is>
          <t>Mountain View, CA</t>
        </is>
      </c>
      <c r="H46" t="inlineStr"/>
      <c r="I46" t="inlineStr">
        <is>
          <t>**Overview**
 As a Staff Data Scientist on the Web Analytics team, you will help lead strategic, data\-driven decision making at Mailchimp. In this role, you will apply a variety of analytical tools and techniques to conduct deep dive analysis to both help understand and better explain customer behavior and business trends as well as predict future business outcomes. You will partner with stakeholders across the company \-product, finance, marketing, legal, and others \-\- to drive improvements in the conversion funnel for our prospect\-facing website through a focus on rigorous experimentation, strategic deep dives, robust reporting, and modeling to arm Mailchimp with insights that will help steer our future.
**Responsibilities**
* Build experimentation plans to robustly isolate impact of website changes, and guide future strategy for key initiatives Coordinate data infrastructure work to ensure appropriate tracking is in\-place to conduct high\-quality analyses
* Analyze large behavioral data sets to create a complete picture of the Mailchimp customer, their behaviors, and needs, turning them into actionable recommendations and insights that tie to larger strategic business goals
* Profile customer groups to identify how the website experience can be tailored to their needs
* Analyze short, medium and long term impact of pricing and promotion changes on customer acquisition
* Develop analytical and scientific frameworks to develop an understanding of the customer journey and engagement
* Calculate the downstream impact of high value actions taken by customers across the Mailchimp and Intuit ecosystems
* Guide other analysts and researchers on the design, execution, and analysis of quantitative, qualitative, and mixed\-methods research studies
* Own and build analytical tools and solutions addressing product and business needs and questions enabling better decisions by leadership
* Implement methodologies for statistical inference to identify and size the impact of web initiatives
* Design insightful and actionable dashboards to guide web decision making
* Craft narratives and recommendations from analyses, build presentations, and present findings to business stakeholders
**Qualifications**
* 7\+ years of experience in an analytics\-focused role, prior work experience within a technology (software) company
* Deep understanding of web analytics data and event tracking (Google Analytics experience is strongly preferred)
* Broad experience deploying website experiments across optimization levers (copy testing, page re\-builds, audiences, promotions, pricing), test designs (A/B, Factorial, Sequential, etc) and inference (Frequentist, Bayesian)
* Expertise with funnel and cohort analysis to prioritize initiatives and guide strategy
* Proven experience analyzing data from a variety of sources (quantitative and qualitative), presenting the data in a clear and concise manner, and create actionable insights
* Expertise in SQL, Python/R
* Experience with statistical methods such as regression and hypothesis testing Demonstrated, hands\-on experience with data visualization tools, e.g. Looker and Tableau
* Ability to build relationships, be persuasive and influential within and across immediate working groups
* Experience working with cloud\-based data warehouses like Google BigQuery, Redshift, or Snowflake
* Experience with mentoring others in User Experience Research practice
* Bachelor’s or Graduate degree, Field of Studies required: In a quantitative field or commensurate experience such as Statistics, Business Analytics, Data Science, Applied Math, Econometrics or Operations Research.
* Experience with distributed computing is a plus
* Experience with Causal Inference methods is a big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47">
      <c r="A47" t="inlineStr">
        <is>
          <t>li-4380791912</t>
        </is>
      </c>
      <c r="B47" t="inlineStr">
        <is>
          <t>Manager, Data Scientist - Alternative Data Strategy</t>
        </is>
      </c>
      <c r="C47" t="inlineStr">
        <is>
          <t>Capital One</t>
        </is>
      </c>
      <c r="D47" t="inlineStr">
        <is>
          <t>linkedin</t>
        </is>
      </c>
      <c r="E47" t="inlineStr"/>
      <c r="F47" t="inlineStr"/>
      <c r="G47" t="inlineStr">
        <is>
          <t>New York, NY</t>
        </is>
      </c>
      <c r="H47" t="inlineStr"/>
      <c r="I47"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Alternate Data Strategy team works on bringing new innovative data for underwriting and decisioning. This role in the Alternative Data Strategy team, focuses on developing innovative and reliable solutions for evaluating alternative datasets, engineering features, ensuring data integrity, and enabling impact. The scope includes feature engineering, designing scalable systems for data processing and monitoring, and building challenger models to enhance existing ones across US Card using new data and involves cross\-functional collaboration and various learning opportunities.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Mgr, Data Science
 New York, NY: $215,200 \- $245,600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8">
      <c r="A48" t="inlineStr">
        <is>
          <t>li-4379688879</t>
        </is>
      </c>
      <c r="B48" t="inlineStr">
        <is>
          <t>RESEARCH OFFICER &amp; DATA SCIENTIST - POPULATION DATA SCIENCE</t>
        </is>
      </c>
      <c r="C48" t="inlineStr">
        <is>
          <t>Swansea University / Prifysgol Abertawe</t>
        </is>
      </c>
      <c r="D48" t="inlineStr">
        <is>
          <t>linkedin</t>
        </is>
      </c>
      <c r="E48">
        <f>HYPERLINK("https://www.linkedin.com/jobs/view/4379688879", "https://www.linkedin.com/jobs/view/4379688879")</f>
        <v/>
      </c>
      <c r="F48">
        <f>HYPERLINK("https://www.swansea.ac.uk/jobs-at-swansea/current-vacancies/details/?opening-id=11177&amp;urlHash=sXP7", "https://www.swansea.ac.uk/jobs-at-swansea/current-vacancies/details/?opening-id=11177&amp;urlHash=sXP7")</f>
        <v/>
      </c>
      <c r="G48" t="inlineStr">
        <is>
          <t>Medicine Lake, MT</t>
        </is>
      </c>
      <c r="H48" t="inlineStr"/>
      <c r="I48" t="inlineStr">
        <is>
          <t>* Home
* The University
* Job Opportunities and Working At Swansea
* Current Vacancies
* Research Officer \&amp; Data Scientist \- Population Data Science
 Back to list
 Research Officer \&amp; Data Scientist \- Population Data Science
 Related pages
* Current Vacancies
* Benefits \&amp; Rewards
* Equality Diversity \&amp; Inclusion
* Information for Applicants
* Information for New Staff
* Performance Enabling
* UK Visas \&amp; Immigration
 Apply Now
 Job Number SU01443 Contract Type Fixed Term Salary £39,355 to £45,413 per annum Working Pattern Full Time Faculty/Directorate Faculty of Medicine, Health and Life Science Location Singleton Campus, Swansea Closing Date 18 Mar 2026 Interview Date 1 Apr 2026 Informal Enquiries
* Ashley Akbari a.akbari@swansea.ac.uk
* Alysha Morgan a.l.morgan@swansea.ac.uk
**About The University**
 Swansea University is a research\-led university that has been making a difference since 1920\. The University community thrives on exploration and discovery and offers the right balance of excellent teaching and research, matched by an enviable quality of life.
 Our stunning waterfront campuses and multicultural community make us a desirable workplace for colleagues from around the world. Our reward and benefits, and ways of working enable those who join us to have enriching careers, matched by an excellent work\-life balance.
**About The Role**
 We have 2 fixed term roles available working full\-time, one ending on 30th September 2029 and one Maternity cover until 30th April 2027\.
 The Population Data Science group at Swansea University (https://popdatasci.swan.ac.uk/) supports world\-leading research to develop cutting\-edge analytical tools and methodologies to address the most pressing health research challenges. Home to Researchers \&amp; Data Scientists who focus on a range of projects and programmes that seek to improve services and people's lives through population data science research. This multidisciplinary team works in a fast\-moving, agile environment and is committed to demonstrating the value of data science to a range of technical and non\-technical audiences.
 Utilising the Secure Anonymised Information Linkage (SAIL) Databank’s (www.saildatabank.co.uk) rich anonymised population\-scale, individual\-level, linked data sources to answer important population\-level questions that inform policy and evaluate national programmes and projects. We are looking for a Research Officer \&amp; Data Scientist to join our team who will work closely with various stakeholders, organisations, and groups. Our team regularly collaborates as part of many funded research projects and programmes nationally and internationally. Applications are sought from applicants with skills and experience in routine data analysis (preferably in health or social care) and a background in any of the following areas: epidemiology, statistics, operational research, or related informatics, to work in research and data science.
 The Research Officer \&amp; Data Scientist will be part of the ADR Wales (Administrative Data Research Wales) https://adrwales.org/, which brings together world\-renowned data science experts, leading academics and specialist teams within Welsh Government to produce evidence that shapes future policy decisions in Wales. The partnership is ideally placed to maximise the utility of anonymous and secure data to shape public service delivery, which will ultimately improve the lives of people in Wales.
 Equality, Diversity \&amp; Inclusion
 The University is committed to supporting and promoting equality and diversity in all its practices and activities. We aim to establish an inclusive environment and welcome diverse applications from the following protected characteristics: age, disability, gender reassignment, marriage and civil partnership, pregnancy and maternity, race (including colour, nationality, ethnic and national origin), religion or belief, sex, sexual orientation.
 As an inclusive and welcoming workplace, we value people for their skills regardless of their background. Applications are welcome in Welsh and will not be treated less favourably than those submitted in English.
 Welsh Language Skills
 The Welsh language level required for this role is Level 1 \- A little. The role holder will be able to pronounce Welsh words, answer the phone in Welsh (good morning/afternoon) and use very basic everyday words and phrases (thank you, please etc.). Level 1 can be reached by completing a 1 hour course.
 The University is a proud bilingual institution, our Welsh Language Strategy outlines our aspiration to promote the language and enable our staff to engage with the language as an additional workplace skill and as a gateway to new cultural and social opportunities. Applications are welcome in Welsh and will not be treated less favourably than those submitted in English. Welsh speakers have the right to an interview in Welsh. Applicants for a role where Welsh skills are essential are expected to present their application in Welsh and will be interviewed in Welsh, if shortlisted.
 Additional Information
 Applications for this role will take the format of a CV submission and cover letter.
 Apply Now
 Share
 Share; Research Officer \&amp; Data Scientist \- Population Data Science
 Share this via
 Or copy the link
**Job Description**
 Download Job Description Print this page Back to list
* Current Vacancies
* Benefits \&amp; Rewards
* Equality Diversity \&amp; Inclusion
* Information for Applicants
* Information for New Staff
* Performance Enabling
* UK Visas \&amp; Immigration</t>
        </is>
      </c>
    </row>
    <row r="49">
      <c r="A49" t="inlineStr">
        <is>
          <t>li-4381134052</t>
        </is>
      </c>
      <c r="B49" t="inlineStr">
        <is>
          <t>Junior Data Scientist</t>
        </is>
      </c>
      <c r="C49" t="inlineStr">
        <is>
          <t>RIVO Holdings, LLC</t>
        </is>
      </c>
      <c r="D49" t="inlineStr">
        <is>
          <t>linkedin</t>
        </is>
      </c>
      <c r="E49">
        <f>HYPERLINK("https://www.linkedin.com/jobs/view/4381134052", "https://www.linkedin.com/jobs/view/4381134052")</f>
        <v/>
      </c>
      <c r="F49" t="inlineStr"/>
      <c r="G49" t="inlineStr">
        <is>
          <t>San Diego, CA</t>
        </is>
      </c>
      <c r="H49" t="inlineStr"/>
      <c r="I49" t="inlineStr">
        <is>
          <t>At RIVO, you will find we
 **recognize hard work and performance, foster a culture of growth,** 
 and
 **encourage collaboration** 
 across departments. We value the unique skills and experiences that each employee brings to the table, recognizing that this diversity strengthens our company and helps us fulfill our core values:
 **Respect, Integrity, Value, and Opportunity** 
 . If you share these same values and are eager to grow both personally and professionally, we encourage you to explore opportunities with us and apply today to join our dynamic team!
**Follow us on Instagram and TikTok to see our culture and values come to life!**
 Just named a
 **2025 Top Workplace in the Financial Services Industry!** 
 Check out our most recent award article by clicking
 **HERE** 
 !
**Job Description**
***\*\*This is a fully on\-site role. Hybrid/remote work is not available at this time\*\*
 \*\*We are unable to sponsor or take over sponsorship of an employment Visa at this time\*\****
 Are you early in your
 **data science career** 
 and eager to work on real, production‑impacting models? RIVO is excited to find our next
 **Junior Data Scientist** 
 to join our Data Team and help build the data pipelines, features, and model experiments that power our decision‑making tools within our Risk \&amp; Underwriting teams.
 This is a great role for someone who is
 **eager to learn** 
 and be
 **mentored by senior team members** 
 ,
 **loves hands‑on data work** 
 , and
 **has a knack for solving analytical problems** 
 . If you're excited about solving meaningful problems with data — and growing your skills along the way — we’d love to hear from you!
**What You’ll Do:**
* Build and maintain feature pipelines that support risk and underwriting models.
* Use Python and SQL to explore, transform, and prepare datasets for modeling.
* Assist with training, validating, and monitoring predictive models — including probability‑of‑default and other underwriting scores.
* Support A/B testing and champion/challenger experiments to evaluate new features and model improvements.
* Look for opportunities to apply AI tools to streamline workflows and enhance analysis
* Identify and troubleshoot data quality issues such as anomalies, schema drift, or inconsistent signals.
* Collaborate with Underwriting, Data Engineering, and Analytics partners to translate business questions into analytical solutions.
* Contribute to improving our model infrastructure, pipelines, and analytical workflows.
**Why You’ll Love Working Here:**
* Collaborative team culture with strong mentorship to grow your data science skills
* Work directly on high‑impact models used across the business
* Exposure to real‑world ML workflows in production
* Opportunities to grow into more advanced modeling, experimentation, or analytics engineering paths
**Qualifications**
**What You Bring:**
* **Bachelor’s degree** 
 in Data Science, Computer Science, Statistics, Mathematics, Economics, Engineering, or a related quantitative field
 **required.**
* **1–3 years of experience (including internships)** 
 in data science, analytics, or a similar applied role
 **required** 
 .
* A strong foundation in Python and SQL for data manipulation and modeling.
* Solid understanding of core machine learning concepts (classification, validation methods, evaluation metrics).
* Familiarity with EDA and hands‑on experience working with structured (and ideally some unstructured) datasets.
* A growth mindset — you’re eager to learn, ask thoughtful questions, and proactively seek clarity when needed.
* A natural sense of curiosity and genuine passion for data science and machine learning.
* Willingness to upskill independently, explore new tools or techniques, and bring fresh ideas to the team.
* A proactive interest in using AI tools to learn faster, work smarter, and boost team impact.
* Strong attention to detail and an appreciation for clean, well‑structured, reliable data.
* Comfortable communicating your findings clearly to your manager and project partners.
* Experience with Git/GitHub is a plus (or excitement to learn it quickly).
**Additional Information**
**Company Benefits** 
* **Optimal Work\-Life Balance:** 
 Benefit from a schedule with no evening or weekend work – enjoy your weekends for relaxation and personal time
* **Childcare \&amp; Family Support:** 
 Receive up to $5,000 annually in childcare reimbursement to ease the balancing act of work and family \&amp; Exclusive access to comprehensive fertility treatment coverage to financially support your family\-building journey
* **Stay Fit for Free:** 
 Join our FREE weekly group workouts and keep your health and energy levels at their peak
* **Company Events \&amp; Social Hours:** 
 Enjoy regular happy hours and company\-wide events to celebrate achievements and build community with fellow employees
* **Padres Tickets:** 
 Catch a Padres game with exclusive access to season long raffle drawings in the RIVO ticket section. Go Padres!
* **Daily Perks:** 
 Savor FREE coffee, energy drinks, and snacks – fueling your productivity and satisfaction!
* **Parking \&amp; Commute Made Easy:** 
 Say goodbye to commuting hassles and high gas prices – enjoy a company\-paid parking or MTS pass
* **Dedication Incentives:** 
 Opportunity to earn more money with our perfect attendance incentive – your dedication and reliability deserve recognition
* **Generous Time Off:** 
 Recharge and live your best life with company paid holidays and PTO each year
* **Comprehensive Health Coverage:** 
 Benefit from medical, dental, and vision plans with a 70/30 cost share—because your well\-being is our priority
* **Secure Your Future:** 
 Take advantage of our 401(k) plan with employer matching to invest in your future with confidence
 We offer a comprehensive compensation and benefits package where you will be rewarded based on your performance and recognized for the value you bring to the business. A reasonable estimate of the salary range for this job is $87,500\.00 to $101,000\.00\. Individual salaries within those ranges takes into account the wide range of factors that are considered in making compensation decisions including but not limited to education; experience and training; licensure and certifications; knowledge and skill sets; and other business and organizational needs.
 RIVO Holdings, LLC is an equal opportunity employer, and all qualified applicants will receive consideration for employment without regard to race, color, religion, sex (including pregnancy, sexual orientation, or gender identity), national origin, citizenship status, disability, age (40 years old or older) and genetic information (including family medical history), past or present military or veteran status, or any other characteristic protected by applicable law.</t>
        </is>
      </c>
    </row>
    <row r="50">
      <c r="A50" t="inlineStr">
        <is>
          <t>li-4379690945</t>
        </is>
      </c>
      <c r="B50" t="inlineStr">
        <is>
          <t>Data Scientist</t>
        </is>
      </c>
      <c r="C50" t="inlineStr">
        <is>
          <t>Capgemini</t>
        </is>
      </c>
      <c r="D50" t="inlineStr">
        <is>
          <t>linkedin</t>
        </is>
      </c>
      <c r="E50">
        <f>HYPERLINK("https://www.linkedin.com/jobs/view/4379690945", "https://www.linkedin.com/jobs/view/4379690945")</f>
        <v/>
      </c>
      <c r="F50" t="inlineStr"/>
      <c r="G50" t="inlineStr">
        <is>
          <t>Nashville, TN</t>
        </is>
      </c>
      <c r="H50" t="inlineStr"/>
      <c r="I50" t="inlineStr">
        <is>
          <t>The ideal candidate's favorite words are learning, data, scale, and agility. You will leverage your strong collaboration skills and ability to extract valuable insights from highly complex data sets to ask the right questions and find the right answers.
**Responsibilities** 
* Analyze raw data: assessing quality, cleansing, structuring for downstream processing
* Design accurate and scalable prediction algorithms
* Collaborate with engineering team to bring analytical prototypes to production
* Generate actionable insights for business improvements
**Qualifications** 
* Bachelor's degree or equivalent experience in quantative field (Statistics, Mathematics, Computer Science, Engineering, etc.)
* At least 1 \- 2 years' of experience in quantitative analytics or data modeling
* Deep understanding of predictive modeling, machine\-learning, clustering and classification techniques, and algorithms
* Fluency in a programming language (Python, C,C\+\+, Java, SQL)
* Familiarity with Big Data frameworks and visualization tools (Cassandra, Hadoop, Spark, Tableau)</t>
        </is>
      </c>
    </row>
    <row r="51">
      <c r="A51" t="inlineStr">
        <is>
          <t>li-4380983800</t>
        </is>
      </c>
      <c r="B51" t="inlineStr">
        <is>
          <t>Data Scientist (Machine Learning)</t>
        </is>
      </c>
      <c r="C51" t="inlineStr">
        <is>
          <t>Lucid Services Group</t>
        </is>
      </c>
      <c r="D51" t="inlineStr">
        <is>
          <t>linkedin</t>
        </is>
      </c>
      <c r="E51">
        <f>HYPERLINK("https://www.linkedin.com/jobs/view/4380983800", "https://www.linkedin.com/jobs/view/4380983800")</f>
        <v/>
      </c>
      <c r="F51" t="inlineStr"/>
      <c r="G51" t="inlineStr">
        <is>
          <t>Florida, United States</t>
        </is>
      </c>
      <c r="H51" t="inlineStr"/>
      <c r="I51" t="inlineStr">
        <is>
          <t>We are looking for a skilled
 **Data Scientist / Machine Learning Engineer** 
 to join a client of ours in Florida and help build intelligent systems that turn data into actionable insights. In this role, you will develop machine learning models, analyze complex datasets, and deploy scalable solutions that support data\-driven decision\-making across the organization.
 This role offers ability to be remote, but candidates must be Florida residents.
**Key Responsibilities** 
* Design, develop, and deploy
 **machine learning models** 
 to solve business problems
* Analyze large datasets to extract meaningful insights and patterns
* Build and maintain
 **data pipelines and feature engineering workflows**
* Train, evaluate, and optimize machine learning and statistical models
* Collaborate with engineering and product teams to integrate ML models into applications
* Develop and maintain
 **Python\-based ML services and APIs**
* Communicate findings and insights to technical and non\-technical stakeholders
* Monitor model performance and continuously improve model accuracy and reliability
**Required Qualifications** 
* Bachelor’s or Master’s degree in
 **Computer Science, Data Science, Statistics, Mathematics, or a related field**
* **3–5\+ years of experience** 
 in data science or machine learning engineering
* Strong programming skills in
 **Python**
* Experience with
 **machine learning frameworks** 
 such as Scikit\-learn, TensorFlow, or PyTorch
* Experience working with
 **large datasets and data processing tools**
* Strong understanding of
 **statistics, predictive modeling, and data analysis**
* Experience with
 **SQL and data querying**
* Ability to communicate complex technical concepts clearly
**Preferred Qualifications** 
* Experience deploying models in
 **cloud environments (Azure, AWS, or GCP)**
* Experience with
 **MLOps, model deployment, and monitoring**
* Familiarity with
 **data visualization tools** 
 such as Power BI, Tableau, or Matplotlib
* Experience working with
 **big data technologies** 
 such as Spark or Databricks
* Knowledge of
 **Docker, Kubernetes, or containerized ML workflows**
**What We Offer** 
* Competitive salary and comprehensive benefits
* Flexible work environment (remote or hybrid options)
* Opportunities to work on cutting\-edge AI and machine learning solutions
* Collaborative and innovative team culture</t>
        </is>
      </c>
    </row>
    <row r="52">
      <c r="A52" t="inlineStr">
        <is>
          <t>li-4378970545</t>
        </is>
      </c>
      <c r="B52" t="inlineStr">
        <is>
          <t>AI Engineer/Data Scientist</t>
        </is>
      </c>
      <c r="C52" t="inlineStr">
        <is>
          <t>Commercial Bank of California</t>
        </is>
      </c>
      <c r="D52" t="inlineStr">
        <is>
          <t>linkedin</t>
        </is>
      </c>
      <c r="E52">
        <f>HYPERLINK("https://www.linkedin.com/jobs/view/4378970545", "https://www.linkedin.com/jobs/view/4378970545")</f>
        <v/>
      </c>
      <c r="F52" t="inlineStr"/>
      <c r="G52" t="inlineStr">
        <is>
          <t>California, United States</t>
        </is>
      </c>
      <c r="H52" t="inlineStr"/>
      <c r="I52" t="inlineStr">
        <is>
          <t>**AI Engineer/Data Scientist** 
**Location:** 
 Irvine, CA
**Job Type:** 
 Full\-Time \| Exempt \| Remote/Hybrid Eligible
**Salary Range:** 
 $170,000 – $220,000 per year
**About Commercial Bank of California** 
 Commercial Bank of California (CBC) is the largest Latino\-owned bank in California and a certified Minority Depository Institution (MDI). Headquartered in Irvine and founded in 2003, CBC is one of the largest privately held banks in the state, with over $3\.5 billion in assets as of December 2025\.
 We are a purpose\-driven financial institution committed to building long\-term relationships and delivering innovative, personalized banking solutions. Our leadership reflects the diverse communities we serve, and our mission is rooted in empowering entrepreneurs, business owners, and community leaders to thrive.
 As a certified MDI, CBC is proud to play a vital role in advancing financial inclusion and economic opportunity. We believe in a higher vision for banking—one that prioritizes trust, collaboration, and community impact. Join us and be part of a team that’s redefining what it means to be a community\-focused, relationship\-driven bank that puts people over profits.
**Job Summary** 
 As a Senior AI Engineer/Data Scientist, you will lead the design, development, and deployment of production\-grade AI solutions within our financial services ecosystem. You will bridge the gap between complex data science and scalable software engineering, utilizing Azure AI Foundry to build secure, high\-performing models. A primary focus will be on Intelligent Automation—replacing manual financial workflows with AI\-driven agents and LLM\-powered systems.
**Essential Duties and Responsibilities** 
* Design and implement end\-to\-end AI pipelines using Azure AI Foundry (formerly Azure AI Studio),
* including orchestrating complex AI workflows, building RAG (Retrieval\-Augmented Generation) systems for financial document processing, and deploying large language models.
* You’ll establish best practices for prompt engineering, model fine\-tuning, and responsible AI implementation across the organization.
* Identify and automate high\-value banking processes using a combination of traditional ML, generative AI, and agentic systems. This includes automating loan origination workflows, regulatory reporting, document intelligence systems, customer service automation, and compliance monitoring using tools like Azure Document Intelligence, OpenAI models, Claude, and custom solutions.
* Identify manual processes in banking operations (e.g., KYC, credit scoring, fraud detection) and engineer automated solutions using AI agents and RAG (Retrieval\-Augmented Generation) architectures.
* Leverage Claude Code and other developer\-centric AI tools to accelerate the software development lifecycle (SDLC) and maintain high code quality.
* Evaluate and fine\-tune Large Language Models (LLMs) like GPT\-4, Claude 4, and Llama 3 for finance\-specific terminology and compliance requirements.
* Work closely with cybersecurity teams to ensure all AI deployments adhere to banking regulations (GDPR, CCPA, and Basel III standards), implementing robust guardrails and "Human\-in\-the\-Loop" systems.
* Document solutions, present technical findings, and support knowledge sharing across teams.
* This individual will create production\-ready AI systems by incorporating Enterprise\-wide framework, rapidly adapt to emerging AI techniques, and own the lifecycle of models and agents from initial ideation through monitoring and maintenance. The engineer will coordinate with cross\-functional data and business teams but retain technical accountability.
* Own the complete AI development lifecycle: prototype, productionize, monitor, and continuously improve models and systems.
* Rapidly evaluate, adopt, and optimize new AI techniques and platforms as technology evolves
**Minimum Qualifications** 
* Technical AI/ML Expertise
* 7\+ years of experience in AI/ML engineering or data science with minimum 10\+ IT Engineering experience.
* Bachelor’s degree in computer science, Engineering, Mathematics, Data Science, Information Systems, or equivalent.
* Deep Learning \&amp; LLMs: Proven experience with Prompt Engineering, RAG, and fine\-tuning techniques.
* Cloud Platforms: Mastery of Azure AI Foundry, Azure Machine Learning, and Azure OpenAI Service.
* AI Tooling: Hands\-on experience with Claude Code, GitHub Copilot, LangChain, and LlamaIndex for agentic workflows.
* Programming: Expert\-level proficiency in Python (PyTorch, TensorFlow, Scikit\-learn) and SQL.
* Direct experience in the financial industry, understanding the nuances of risk management, transaction monitoring, and payments is a plus.
* Familiarity with financial data structures and the challenges of legacy banking system integration.
* Strong understanding of MLOps (Machine Learning Operations) to manage model versioning, monitoring, and retraining.
* Experience with CI/CD pipelines, containerization (Docker/Kubernetes), and API development (FastAPI/Flask).
* Familiarity with synthetic data generation for financial modeling
* Understanding of real\-time fraud detection architectures
* Experience with conversational AI for banking (chatbots, virtual assistants)
* Experience vetting potential use cases for AI capabilities, implementing viable approaches, and defining/tracking measures of success
* Deep understanding of data engineering, integration, and pipeline architecture.
* Preferred Qualifications:
* Certifications such as Microsoft Certified: Azure AI Engineer Associate (AI\-102\) or Azure Data Scientist Associate (DP\-100\).
* Prior experience in banking, financial services, or fintech (strongly preferred)
* A portfolio of successful AI\-driven automation projects that resulted in measurable ROI or time savings.
* *This list is not all inclusive. Additional duties will be assigned as needed*
**Benefits \&amp; Perks** 
* Competitive employer contribution to medical, dental and vision coverage
* 401k plan with employer match
* Flexible Spending Accounts (FSA) and Dependent Care Accounts
* Employee Assistance Program (EAP)
* Employer provided Calm subscription
* Employer provided mental health benefits through Teladoc
* Life, AD\&amp;D and disability insurance
* Minimum 15 Days of Vacation, 11 Paid Federal Holidays, Paid Time off to Volunteer
* Online discount program
* Tuition Reimbursement Program</t>
        </is>
      </c>
    </row>
    <row r="53">
      <c r="A53" t="inlineStr">
        <is>
          <t>li-4380996063</t>
        </is>
      </c>
      <c r="B53" t="inlineStr">
        <is>
          <t>Data Scientist 2</t>
        </is>
      </c>
      <c r="C53" t="inlineStr">
        <is>
          <t>Gormat</t>
        </is>
      </c>
      <c r="D53" t="inlineStr">
        <is>
          <t>linkedin</t>
        </is>
      </c>
      <c r="E53">
        <f>HYPERLINK("https://www.linkedin.com/jobs/view/4380996063", "https://www.linkedin.com/jobs/view/4380996063")</f>
        <v/>
      </c>
      <c r="F53">
        <f>HYPERLINK("https://www.adzuna.com/details/5652668383?v=5E9103569A1686BB2D82A34005D44A13CE843A43&amp;r=21377319&amp;frd=3750c46ac4026f0825efeea03090f813&amp;ccd=84f91dab895751ee4fe24a65600dc826&amp;utm_source=linkedin7&amp;utm_medium=organic&amp;chnlid=1931&amp;title=Data%20Scientist%202&amp;a=e&amp;urlHash=4bcX", "https://www.adzuna.com/details/5652668383?v=5E9103569A1686BB2D82A34005D44A13CE843A43&amp;r=21377319&amp;frd=3750c46ac4026f0825efeea03090f813&amp;ccd=84f91dab895751ee4fe24a65600dc826&amp;utm_source=linkedin7&amp;utm_medium=organic&amp;chnlid=1931&amp;title=Data%20Scientist%202&amp;a=e&amp;urlHash=4bcX")</f>
        <v/>
      </c>
      <c r="G53" t="inlineStr">
        <is>
          <t>Annapolis Junction, MD</t>
        </is>
      </c>
      <c r="H53" t="inlineStr"/>
      <c r="I53" t="inlineStr">
        <is>
          <t>We are seeking a Data Scientist with a primary focus of using AI/ML experience to impact and assess large datasets. This includes data modeling, computational mathematics, qualitative and quantitative techniques, data visualizations, and AI/ML model development and deployment.
**The Level 2 Data Scientist shall possess the following capabilities:**
* Foundations: (Mathematical, Computational, Statistical).
* Data Processing: (Data management and curation, data description and visualization, workflow and reproducibility).
* Modeling, Inference, and Prediction: (Data modeling and assessment, domain\-specific considerations).
* Ability to make and communicate principal conclusions from data using elements of mathematics, statistics, computer science, and applications\-specific knowledge.
*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Customer data holdings.
*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 Primary focus is having AI/ML experience to impact and assess large datasets. This includes data modeling, computational mathematics, qualitative and quantitative techniques, data visualizations, and AI/ML model development and deployment. Advanced statistical and predictive modeling. Large\-scale data processing (e.g., Spark, cloud data platforms). Python and SQL proficiency. Data visualization using Tableau, Power BI, or Python libraries. Automated analytics workflow development. Ability to translate complex data into strategic insights. Target knowledge or experience is a plus. Strong collaboration is preferred.
**Qualifications**
* Bachelor's Degree with 3 years of relevant experience, associate's degree with 5 years of experience may be considered for individuals with in\-depth experience that is clearly related to the position.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 or upper\-level math courses designated as elementary or basic do not count.
* Broader range of degrees will be considered if accompanied by a Certificate in Data Science from an accredited college/university.
* Relevant experience must be in designing/implementing machine learning, data science, advanced analytical algorithms, programming (skill in at least on high 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 Advanced statistical and predictive modeling experience.
* Large\-scale data processing (e.g., Spark, cloud data platforms) experience.
* Python and SQL proficiency.
* Data visualization using Tableau, Power BI, or Python libraries.
* Automated analytics workflow development.
* Ability to translate complex data into strategic insights.
* Target knowledge or experience in OCP is a plus.
* Strong collaboration is preferred.
**TS/SCI With Polygraph Is Required.**
***Job Posted by ApplicantPro***</t>
        </is>
      </c>
    </row>
    <row r="54">
      <c r="A54" t="inlineStr">
        <is>
          <t>li-4380971618</t>
        </is>
      </c>
      <c r="B54" t="inlineStr">
        <is>
          <t>Data Scientist II</t>
        </is>
      </c>
      <c r="C54" t="inlineStr">
        <is>
          <t>Manheim Dallas-Fort Worth</t>
        </is>
      </c>
      <c r="D54" t="inlineStr">
        <is>
          <t>linkedin</t>
        </is>
      </c>
      <c r="E54">
        <f>HYPERLINK("https://www.linkedin.com/jobs/view/4380971618", "https://www.linkedin.com/jobs/view/4380971618")</f>
        <v/>
      </c>
      <c r="F54" t="inlineStr"/>
      <c r="G54" t="inlineStr">
        <is>
          <t>Atlanta, GA</t>
        </is>
      </c>
      <c r="H54" t="inlineStr"/>
      <c r="I54" t="inlineStr">
        <is>
          <t>We're seeking a Senior Decision Scientist to join our Decision Science and Data Engineering (DSDE) team supporting analytics across Cox Automotive's Retail business. This role focuses on independently building and deploying production\-grade AI machine learning solutions that drive business decisions for Retail analytics teams.
 You'll work directly with stakeholders to understand business requirements, develop and execute data models using advanced ML algorithms, and translate technical work into actionable insights. This position requires end\-to\-end ownership from problem formulation through production deployment, collaborating with data engineers on scalable solutions and leveraging GenAI/LLM technologies to accelerate development.
**What You'll Do**
* Own ML projects end\-to\-end: problem definition, development, deployment, and maintenance
* Design and deploy production\-ready models with monitoring and automated retraining
* Collaborate with data engineers on scalable pipelines and leverage GenAI/LLM tools to accelerate development
* Present findings and recommendations to stakeholders across analytics teams
* Research emerging methodologies and contribute to team AI practices
**Who You Are**
**Required Qualifications**
* Applicants must currently be authorized to work in the United States for any employer without current or future sponsorship. No OPT, CPT, STEM/OPT or visa sponsorship now or in future
* Bachelor's Degree with 2\+ years as a Data Scientist OR Master's Degree with 1\+ years OR PhD in Statistics, Computer Science, Data Science, Applied Mathematics, Operations Research, Economics, or related quantitative field
* 2\+ years professional experience as a Data Scientist
* Hands\-on experience building and deploying production ML models that deliver measurable impact
* Hands\-on experience with supervised/unsupervised learning and GenAI/LLM solutions
* Advanced Python and expert\-level Snowflake SQL
* Proficiency with Git/GitHub for version control and collaboration
* Strong communication skills \- translating technical work to business value
* Experience working closely with Data Engineering teams or strong understanding of data engineering and data pipelining
* Ideal candidate lives within a commutable distance to either Atlanta GA or Irvine CA office
**Preferred Qualifications**
* Dataiku or Google Vertex AI experience
* Cloud platform experience (AWS/Azure/GCP)
* Modern data stack tools (dbt, Airflow, Databricks)
* Automotive or dealer analytics background Contributions to open\-source projects or technical publications
**Drug Testing**
 To be employed in this role, you'll need to clear a pre\-employment drug test. Cox Automotive does not currently administer a pre\-employment drug test for marijuana for this position. However, we are a drug\-free workplace, so the possession, use or being under the influence of drugs illegal under federal or state law during work hours, on company property and/or in company vehicles is prohibited.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55">
      <c r="A55" t="inlineStr">
        <is>
          <t>li-4380788695</t>
        </is>
      </c>
      <c r="B55" t="inlineStr">
        <is>
          <t>Data Scientist I/II</t>
        </is>
      </c>
      <c r="C55" t="inlineStr">
        <is>
          <t>Wiraa</t>
        </is>
      </c>
      <c r="D55" t="inlineStr">
        <is>
          <t>linkedin</t>
        </is>
      </c>
      <c r="E55">
        <f>HYPERLINK("https://www.linkedin.com/jobs/view/4380788695", "https://www.linkedin.com/jobs/view/4380788695")</f>
        <v/>
      </c>
      <c r="F55" t="inlineStr"/>
      <c r="G55" t="inlineStr"/>
      <c r="H55" t="inlineStr"/>
      <c r="I55" t="inlineStr">
        <is>
          <t>**About The Company**
 BNSF Railway is one of the largest freight railroads in the United States, operating across 28 western states and three Canadian provinces. The company plays a vital role in transporting essential products and materials that support communities nationwide and worldwide. As a leader in the transportation industry, BNSF is committed to safety, inclusion, and excellence, fostering a culture where all employees are valued and empowered to succeed. The organization’s dedicated team ensures the efficient movement of goods that feed, clothe, supply, and power communities, making a tangible difference in everyday life.
 BNSF \| Tech is the innovative technology division of BNSF Railway, focused on transforming freight and mobility through cutting\-edge solutions. By leveraging advanced data analytics, artificial intelligence, and machine learning, BNSF \| Tech aims to position itself as a preeminent freight and transportation company in North America. The division emphasizes a forward\-thinking approach, fostering a dynamic environment where technological innovation drives operational excellence and sustainable growth.
**About The Role**
 We are seeking a highly skilled Data \&amp; AI Lead to join our remote team within the United States. This role offers an exciting opportunity to lead data science initiatives that transform BNSF's data assets into real\-time enterprise solutions. The successful candidate will collaborate with cross\-functional teams to identify business problems, develop data\-driven models, and implement machine learning solutions that optimize processes and generate actionable insights. This position is integral to driving innovation within the organization, supporting strategic decision\-making, and advancing BNSF’s technological capabilities.
 The ideal candidate will have a strong background in data science, machine learning, and analytics, with experience in developing and deploying models in a cloud environment. You will be responsible for maintaining data pipelines, analyzing large datasets, and creating visualizations to effectively communicate findings. Occasional travel to our corporate headquarters in Fort Worth, TX, will be required, with travel expenses covered by BNSF. The role offers a competitive salary range, comprehensive benefits, and the opportunity to be part of a pioneering team shaping the future of freight rail.
**Qualifications**
* Minimum of 2 years experience building data science solutions or relevant experience
* Demonstrated understanding of statistical analysis and machine learning techniques
* Proficiency in programming languages such as Python, R, SQL, and familiarity with Java or Scala
* Experience with data visualization tools
* Experience with data science cloud platforms
* Bachelor’s degree or higher in Operations Research, Computer Science, Industrial Engineering, or a related field (preferred)
* Previous hands\-on experience with AI/Machine Learning frameworks like TensorFlow, PyTorch, or scikit\-learn (preferred)
* Experience in transportation industries such as rail, shipping, airline, logistics, or supply chain (preferred)
* Knowledge of geospatial Python libraries (preferred)
* Experience working in an Agile environment (Scrum, Kanban, SAFe) (preferred)
**Responsibilities**
* Collaborate with cross\-functional teams to identify business challenges and develop data\-driven solutions
* Apply data science skills to analyze large, complex datasets and uncover meaningful patterns
* Develop, train, and deploy machine learning models to predict outcomes and optimize processes
* Work closely with stakeholders to understand their needs and deliver actionable insights
* Create visualizations and reports to communicate findings effectively to technical and non\-technical audiences
* Maintain and enhance data pipelines to ensure data integrity, quality, and accuracy
* Stay current with industry trends, emerging technologies, and advancements in data science and AI
* Extract, aggregate, and synthesize data using SQL, NoSQL, R, Python, and other tools to support analysis and model deployment
* Lead moderate to complex AI, machine learning, and optimization projects aligned with business objectives
**Benefits**
* Industry\-leading 401(k) plan and Railroad Retirement program
* Comprehensive health care options including medical, dental, vision, telemedicine, and mental health support
* Health savings accounts (HSA) with employer contributions, life and disability insurance
* Family benefits such as parental leave, pediatric and family building support, adoption and surrogacy reimbursement, and dependent care spending accounts with employer matching
* Access to discounts on travel, gym memberships, counseling services, and wellness programs
* Annual bonus through Incentive Compensation Program
* Generous leave and time\-off policies to promote work\-life balance
* Resources and tools to support professional growth and development
 Equal Opportunity
 BNSF Railway is an Equal Opportunity Employer. We are committed to fostering an inclusive environment where all qualified applicants receive consideration for employment without regard to race, color, religion, sex, sexual orientation, gender identity, national origin, disability, or protected veteran status. We encourage individuals from diverse backgrounds to apply and contribute to our ongoing success.</t>
        </is>
      </c>
    </row>
    <row r="56">
      <c r="A56" t="inlineStr">
        <is>
          <t>li-4364989647</t>
        </is>
      </c>
      <c r="B56" t="inlineStr">
        <is>
          <t>Staff Data Scientist, Forecasting-Finance</t>
        </is>
      </c>
      <c r="C56" t="inlineStr">
        <is>
          <t>Airbnb</t>
        </is>
      </c>
      <c r="D56" t="inlineStr">
        <is>
          <t>linkedin</t>
        </is>
      </c>
      <c r="E56">
        <f>HYPERLINK("https://www.linkedin.com/jobs/view/4364989647", "https://www.linkedin.com/jobs/view/4364989647")</f>
        <v/>
      </c>
      <c r="F56" t="inlineStr"/>
      <c r="G56" t="inlineStr"/>
      <c r="H56" t="inlineStr"/>
      <c r="I5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has become a global platform that connects travelers and hosts from over 34,000 cities. As such, it has collected a diverse set of numerical, textual, visual, and unstructured data, which can be mined for insights that will propel our community and product forward. We are looking for a talented Staff Data Scientist to join our Forecasting team, focusing on Revenue \&amp; Cancellation modeling.
**The Difference You Will Make**
 We are seeking a Staff Data Scientist to join our forecasting team, operating at the intersection of statistical forecasting and financial strategy. The role focuses on owning forecasting within the revenue pipeline and hierarchy, including model selection, system design, automation, and ongoing performance management. We are looking for a self\-directed practitioner who can reason about evolving business dynamics, make principled tradeoffs, and ensure forecasts remain reliable and decision relevant as the business changes.
**A Typical Day**
* Own the design, operation, and evolution of end to end forecasting systems for revenue drivers, including data pipelines, model components, validation logic, and automated delivery into planning and financial workflows.
* Select, adapt, and maintain forecasting approaches appropriate to each problem context, balancing accuracy, stability, interpretability, and operational cost rather than optimizing for modeling sophistication alone.
* Engage in stakeholder management, effectively communicating with various teams and levels within the organization to gather input and share insights.
* Drive the process of extracting actionable insights from complex data sets to influence business growth and strategic decision\-making.
* Continuously improve forecasting infrastructure and processes to reduce manual intervention, shorten cycle time, and increase trust in outputs.
**Your Expertise**
* 9\+ years of industry experience in a fast\-paced tech environment with a BS/Master’s in a technical field related to mathematics, statistics, machine learning, or 6\+ years of relevant experience and a PhD in similar fields.
* Extensive industry experience applying forecasting in production settings, with demonstrated ownership of forecasting pipelines or decision systems, not just standalone models.
* Expertise in SQL and relational databases, along with strong fluency in programming languages such as R, Python, and Stan.
* Experience building automated modeling workflows, including backtesting frameworks, model validation, scheduled retraining, and performance monitoring.
* Familiarity with version control, reproducibility, and data quality practices required for operating models in regulated or high visibility financial contexts.
* Comfort working across disciplines and making tradeoffs between statistical rigor, engineering complexity, and business constraints.
 This role is ideal for candidates with strong technical judgment who want to own how forecasts are built, operated, and used at the financial core of the business. The position emphasizes end\-to\-end forecasting systems, from data and models through automation, monitoring, and decision support, rather than isolated modeling work. If you are motivated by making forecasts reliable, interpretable, and consequential for real financial decisions, we encourage you to apply.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$194,000—$240,000 USD</t>
        </is>
      </c>
    </row>
    <row r="57">
      <c r="A57" t="inlineStr">
        <is>
          <t>li-4379699461</t>
        </is>
      </c>
      <c r="B57" t="inlineStr">
        <is>
          <t>Data Scientist - Remote</t>
        </is>
      </c>
      <c r="C57" t="inlineStr">
        <is>
          <t>City of Hope</t>
        </is>
      </c>
      <c r="D57" t="inlineStr">
        <is>
          <t>linkedin</t>
        </is>
      </c>
      <c r="E57">
        <f>HYPERLINK("https://www.linkedin.com/jobs/view/4379699461", "https://www.linkedin.com/jobs/view/4379699461")</f>
        <v/>
      </c>
      <c r="F57">
        <f>HYPERLINK("https://www.cityofhopejobs.org/job/9888/data-scientist-remote-business-services-us/?utm_source=linkedinjobs&amp;urlHash=XtQg", "https://www.cityofhopejobs.org/job/9888/data-scientist-remote-business-services-us/?utm_source=linkedinjobs&amp;urlHash=XtQg")</f>
        <v/>
      </c>
      <c r="G57" t="inlineStr"/>
      <c r="H57" t="inlineStr"/>
      <c r="I57" t="inlineStr">
        <is>
          <t>Join the transformative team at City of Hope, where we're changing lives and making a real difference in the fight against cancer, diabetes, and other life\-threatening illnesses. City of Hope’s growing national system includes its Los Angeles campus, a network of clinical care locations across Southern California, a new cancer center in Orange County, California, and treatment facilities in Atlanta, Chicago and Phoenix. Our dedicated and compassionate employees are driven by a common mission: To deliver the cures of tomorrow to the people who need them today.
**\*\* This is a Fully Remote Opportunity within the United States\*\***
**As a successful candidate, you will:**
 The Data Scientist will design, develop, and deploy advanced machine learning and artificial intelligence solutions to support cancer research and clinical operations. This role integrates data science, AI engineering, and ML systems development, including deep learning architectures and large language model (LLM) applications such as retrieval\-augmented generation (RAG), agent\-based systems, and domain\-specific model adaptation. The position also involves development of multimodal AI models that integrate structured clinical data, unstructured text, medical imaging, and genomic data. The role requires advanced theoretical and applied knowledge in machine learning, distributed systems, and modern AI frameworks.
* Collaborate with administrative leaders, clinicians and IT specialists
* Query large datasets from multiple systems
* Design, develop, validate, and deploy machine learning and deep learning models, including transformer\-based architectures, multimodal neural networks, and large language model (LLM) systems
* Architect, deploy, and monitor production\-grade AI systems, including LLM\-based RAG pipelines, agent frameworks, and multimodal inference systems in cloud or distributed environments.
* Produce technical documentation, visualizations and presentations
* Lead technical design and implementation of complex AI initiatives involving cross\-functional research, clinical, and engineering teams.
* Completes own work independently
* Design multimodal AI solutions integrating text, imaging, genomic, and structured clinical data using deep learning and transformer\-based models.
* Performs other related duties as assigned or requested.
**Your qualifications should include:**
* Master’s degree in Computer Science, Data Science, Machine Learning, Artificial Intelligence, Statistics, Applied Mathematics, Bioinformatics, Engineering, or a closely related quantitative field ; or Bachelor’s degree with 3\+ years of experience.
**Preferred:**
* Familiarity with a health care environment and EHR data
* Familiarity with multimodal data such as genomics and medical images
* Background in deep neural networks and Natural Language Processing (NLP)
* Familiarity with Cloud services platforms like Microsoft Azure
* Experience with Generative AI and Large Language Models (LLMs), including RAG, fine\-tuning, embedding models, prompt engineering, and integration into agentic data science workflows.
* Proficiency with version control systems (Git) and collaborative development workflows
* Awareness of the most recent trends and developments in the Data Science / Machine Learning fields
 Skills:
* Experience with relational databases and SQL queries
* Proficient in Python and related data and ML packages
* Proficient in standard data science workflows, including training, evaluating/testing, and deploying machine learning and deep learning models
* Familiarity with LLM frameworks and packages such as LangChain, LangGraph, for building advanced AI solution
* Ability to work independently and use creative approaches to problem\-solving
* Capable of turning questions into testable hypotheses, extracting data from complex databases, creating and evaluating statistical models
* Experience in data visualization and ability to communicate results to both technical and non\-technical audiences
* Experience in authoring and contributing to peer\-reviewed scientific publications
* Experience in completing end to end projects with minimal to no supervision
* Experience in being a part of big projects with many internal and external teams involved
* Experience managing collaborative data science projects
**We currently have 4 Openings**
**City of Hope employees pay is based on the following criteria: work experience, qualifications, and work location.**
**City of Hope is an equal opportunity employer.**
**To learn more about our Comprehensive Benefits, please** 
**CLICK HERE** 
**.**</t>
        </is>
      </c>
    </row>
    <row r="58">
      <c r="A58" t="inlineStr">
        <is>
          <t>li-4380008515</t>
        </is>
      </c>
      <c r="B58" t="inlineStr">
        <is>
          <t>Data Scientist, Hair Color Development, L'Oréal Research &amp; Innovation</t>
        </is>
      </c>
      <c r="C58" t="inlineStr">
        <is>
          <t>L'Oréal</t>
        </is>
      </c>
      <c r="D58" t="inlineStr">
        <is>
          <t>linkedin</t>
        </is>
      </c>
      <c r="E58">
        <f>HYPERLINK("https://www.linkedin.com/jobs/view/4380008515", "https://www.linkedin.com/jobs/view/4380008515")</f>
        <v/>
      </c>
      <c r="F58">
        <f>HYPERLINK("https://loa.avature.net/careers/JobDetail/233929?src=LinkedIn&amp;urlHash=oRXN", "https://loa.avature.net/careers/JobDetail/233929?src=LinkedIn&amp;urlHash=oRXN")</f>
        <v/>
      </c>
      <c r="G58" t="inlineStr">
        <is>
          <t>Clark, NJ</t>
        </is>
      </c>
      <c r="H58" t="inlineStr"/>
      <c r="I58" t="inlineStr">
        <is>
          <t>Data Scientist, Hair Color Development, L'Oréal Research \&amp; Innovation – Clark, New Jersey
 Life is too short for a boring career, so build an extraordinary one with us. We believe your career should spark the same thrill and curiosity as your personal interests. Creativity drives everything we do, turning ideas into meaningful impact. With opportunities across brands, markets, and divisions, your growth knows no boundaries.
 Who We Are
 Join us at L’Oréal, the world's \#1 beauty company present in over 150 markets. For over a century, we have been transforming; fueled by data, tech, innovation, and science. Together, we tackle big challenges while making sure we stay committed to making the world a more inclusive and a better place for everyone \&amp; our planet.
 At L’Oréal Research \&amp; Innovation we are pushing the boundaries of Science \&amp; Tech. We invest heavily in cutting\-edge research, leveraging advanced technologies to understand skin, hair, and microbiome, while discovering new active ingredients and launching outperforming formulas. Our 4,100 L'Oréal R\&amp;I experts leverage Science \&amp; Technology to invent safe, trustable, sustainable \&amp; responsible beauty products and experiences that will change people’s lives.
 As a Data Scientist, you will join our Hair Color Development team in Clark, New Jersey, a central hub for innovation. You will play a key role in our digital transformation. You will not just "crunch numbers"; you will revolutionize how we design, measure, and deploy hair color technologies globally. Your mission is to turn complex raw data into actionable insights that accelerate product development and optimize color performance for the Consumer Products and Professional Products divisions.
**A Day In The Life**
* Innovate with Data: Design and implement data\-driven models and automation tools to streamline and optimize the hair color formulation and development process.
* Drive Automation Projects: Lead technical projects from concept to deployment, building robust data pipelines and automated systems to accelerate our research and innovation cycles.
* Collaborate and Influence: Partner with formulation chemists, lab managers, and global teams to understand their challenges and translate them into technical solutions.
* Analyze and Visualize: Interpret complex datasets to extract meaningful insights, creating dashboards and reports that guide strategic decisions for product development.
**We Are Looking For**
* Education: Bachelor’s with 3\-5 years of relevant experience in developing automation solutions and managing data\-focused projects
* Field of Study: Computer Science, Data Science, or a related technical field
* A solid educational foundation in Computer Science, Data Science, or a related technical field.
* Proficiency in AI, data management, processing, visualization, and insight generation is essential.
* Proficiency in programming languages/data analysis tools such as Python, R, MATLAB, Spotfire, and Power BI.
* Strong analytical and problem\-solving skills, with the ability to translate business needs into technical specifications.
* Excellent communication skills to collaborate effectively with both technical and scientific stakeholders.
* Knowledge of color measurement and data a plus.
* The ability to be onsite, in the office, as this is an essential function of the position (required)
* Authorization to work in the United States on a full\-time, permanent, ongoing basis without the need for legal sponsorship now or in the future (required)
 What’s In It For You
* A place for you to leave your comfort zone and grow beyond your potential (here, you’ll be encouraged to try new things and take risks!)
* Real responsibility from day 1, there’s no sitting on the sidelines at L’Oréal
* An environment where people of every ethnicity, social background, age, religion, gender and sexual orientation as well as people with disabilities are accepted, can speak up, will thrive and are celebrated!
* A place where you can contribute to something bigger! Many of our brands have societal /environmental causes to make concrete difference
* Competitive Benefits Package (Medical, Dental, Vision, 401K, Pension Plan)
* Base Salary Range: $77,400 \- $110,300 (The actual compensation will depend on a variety of job\-related factors which may include geographic location, work experience, education, and skill level)
* Hybrid Work Policy (3 days in Office, up to 2 days Work From Home)
* Flexible Time Off (Paid Company Holidays, Paid Vacation, Vacation Buy Program, Volunteer Time, Summer Fridays \&amp; More!)
* Access to Company Perks (VIP Access to L’Oréal’s Internal Shop for Discounted Products, Monthly Mobile Allowance)
* Learning and Development Opportunities (Unlimited Access to E\-learnings, Lunch \&amp; Learn Sessions, Mentorship Programs, \&amp; More!)
* Employee Resource Groups (Think Tanks and Innovation Squads)
* Access to Mental Health \&amp; Wellness Programs
 Don’t meet every single requirement? At L'Oréal, we are dedicated to building a diverse, inclusive, and innovative workplace. If you’re excited about this role but your past experience doesn’t align perfectly with the qualifications listed in the job description, we encourage you to apply anyways! You may just be the right candidate for this or other roles!
 We are an Equal Opportunity Employer and take pride in a diverse environment. We’re committed to guaranteeing inclusive recruitment processes and advocating for hiring and promoting each candidate in an ethical and equitable way. The Group strictly prohibits discrimination against any applicant for employment because of the individual’s gender identity or expression, sexual orientation, visible and/or invisible disabilities, socio\-economic and/or multicultural origins, health conditions, age, religion, or any other characteristics protected by law.</t>
        </is>
      </c>
    </row>
    <row r="59">
      <c r="A59" t="inlineStr">
        <is>
          <t>li-4306620918</t>
        </is>
      </c>
      <c r="B59" t="inlineStr">
        <is>
          <t>Senior Data Scientist - Medical Software Company</t>
        </is>
      </c>
      <c r="C59" t="inlineStr">
        <is>
          <t>Andiamo</t>
        </is>
      </c>
      <c r="D59" t="inlineStr">
        <is>
          <t>linkedin</t>
        </is>
      </c>
      <c r="E59">
        <f>HYPERLINK("https://www.linkedin.com/jobs/view/4306620918", "https://www.linkedin.com/jobs/view/4306620918")</f>
        <v/>
      </c>
      <c r="F59" t="inlineStr"/>
      <c r="G59" t="inlineStr">
        <is>
          <t>New York, NY</t>
        </is>
      </c>
      <c r="H59" t="inlineStr"/>
      <c r="I59" t="inlineStr">
        <is>
          <t>Senior Data Scientist
**About The Role**
 Partner with product and engineering to turn data into decisions. You’ll design experiments, build predictive models, and deliver insights that move key metrics.
 What You’ll Do
* Frame problems, define success metrics, and design A/B tests or quasi\-experiments.
* Build models for prediction, ranking, segmentation, or forecasting.
* Develop data pipelines and features with engineering partners.
* Communicate results clearly to technical and non\-technical audiences.
* Establish best practices for measurement, causal inference, and model monitoring.
 What We’re Looking For
* 6\+ years in applied data science or analytics.
* Proficiency in Python, SQL, and ML libraries (pandas, scikit\-learn, PyTorch/TensorFlow).
* Experience with experimentation, causal methods, or time\-series.
* Strong stakeholder management and storytelling with data.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0">
      <c r="A60" t="inlineStr">
        <is>
          <t>li-4378974442</t>
        </is>
      </c>
      <c r="B60" t="inlineStr">
        <is>
          <t>Data Scientist, Global E-commerce</t>
        </is>
      </c>
      <c r="C60" t="inlineStr">
        <is>
          <t>TikTok</t>
        </is>
      </c>
      <c r="D60" t="inlineStr">
        <is>
          <t>linkedin</t>
        </is>
      </c>
      <c r="E60">
        <f>HYPERLINK("https://www.linkedin.com/jobs/view/4378974442", "https://www.linkedin.com/jobs/view/4378974442")</f>
        <v/>
      </c>
      <c r="F60" t="inlineStr"/>
      <c r="G60" t="inlineStr">
        <is>
          <t>San Jose, CA</t>
        </is>
      </c>
      <c r="H60" t="inlineStr"/>
      <c r="I60" t="inlineStr">
        <is>
          <t>**Responsibilities**
 About the team:
 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consistent and reliable platform services in different scenarios such as live e\-commerce, short video content e\-commerce, so as to make more affordable and high\-quality products sell easily and a better life within reach.
 Responsibilities:
 \- Build out reporting to track product performance using data visualization tools.
 \- Bring strong desire to learn in a fast paced environment while collaborating with business stakeholders and technical leads.
 \- Exercise a high level of empathy in order to help the business identify and prioritize data needs and define proper metrics to measure initiative success.
 \- Use data to bring actionable insights that will help teams execute on their long\-term strategy and inform them how well they're performing at their goals.
**Qualifications**
 Minimum Qualifications:
 \- Bachelor's degree or above in computer science, statistics, math, internet security or other relevant majors.
 \- 5 years of work experience in data analytics/science or other relevant fields.
 \- Solid analytical skills. Proficiency in statistical analytical tools, such as SQL and Python.
 Preferred Qualifications:
 \- Familiarity with social/content online platform analytics, especially metrics design, product feature analytics and A/B testing methodologies. Bonus given to proficiency in data mining skills e.g. modern machine applications.
 \- Ability to think critically, objectively, rationally. Reason and communicate in a result\-oriented, data\-driven manner.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$136800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1">
      <c r="A61" t="inlineStr">
        <is>
          <t>li-4378966772</t>
        </is>
      </c>
      <c r="B61" t="inlineStr">
        <is>
          <t>Data Scientist, Global E-commerce</t>
        </is>
      </c>
      <c r="C61" t="inlineStr">
        <is>
          <t>TikTok</t>
        </is>
      </c>
      <c r="D61" t="inlineStr">
        <is>
          <t>linkedin</t>
        </is>
      </c>
      <c r="E61">
        <f>HYPERLINK("https://www.linkedin.com/jobs/view/4378966772", "https://www.linkedin.com/jobs/view/4378966772")</f>
        <v/>
      </c>
      <c r="F61" t="inlineStr"/>
      <c r="G61" t="inlineStr">
        <is>
          <t>Seattle, WA</t>
        </is>
      </c>
      <c r="H61" t="inlineStr"/>
      <c r="I61" t="inlineStr">
        <is>
          <t>**Responsibilities**
 About the team:
 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consistent and reliable platform services in different scenarios such as live e\-commerce, short video content e\-commerce, so as to make more affordable and high\-quality products sell easily and a better life within reach.
 Responsibilities:
 \- Build out reporting to track product performance using data visualization tools.
 \- Bring strong desire to learn in a fast paced environment while collaborating with business stakeholders and technical leads.
 \- Exercise a high level of empathy in order to help the business identify and prioritize data needs and define proper metrics to measure initiative success.
 \- Use data to bring actionable insights that will help teams execute on their long\-term strategy and inform them how well they're performing at their goals.
**Qualifications**
 Minimum Qualifications:
 \- Bachelor's degree or above in computer science, statistics, math, internet security or other relevant majors.
 \- 5 years of work experience in data analytics/science or other relevant fields.
 \- Solid analytical skills. Proficiency in statistical analytical tools, such as SQL and Python.
 Preferred Qualifications:
 \- Familiarity with social/content online platform analytics, especially metrics design, product feature analytics and A/B testing methodologies. Bonus given to proficiency in data mining skills e.g. modern machine applications.
 \- Ability to think critically, objectively, rationally. Reason and communicate in a result\-oriented, data\-driven manner.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2">
      <c r="A62" t="inlineStr">
        <is>
          <t>li-4378955690</t>
        </is>
      </c>
      <c r="B62" t="inlineStr">
        <is>
          <t>Data Scientist - $105.77 - $125.00 per hour</t>
        </is>
      </c>
      <c r="C62" t="inlineStr">
        <is>
          <t>7Seventy Recruiting</t>
        </is>
      </c>
      <c r="D62" t="inlineStr">
        <is>
          <t>linkedin</t>
        </is>
      </c>
      <c r="E62">
        <f>HYPERLINK("https://www.linkedin.com/jobs/view/4378955690", "https://www.linkedin.com/jobs/view/4378955690")</f>
        <v/>
      </c>
      <c r="F62" t="inlineStr"/>
      <c r="G62" t="inlineStr"/>
      <c r="H62" t="inlineStr"/>
      <c r="I62" t="inlineStr">
        <is>
          <t>**About the Role** 
 This opportunity is for a Senior Data Scientist embedded within a product\-focused team responsible for driving activation and growth.
 The role centers on experimentation, analytics, and product insights that help teams understand user behavior and guide product decisions.
 The successful candidate will own the data strategy for their product squad, identify key questions, design experiments, and surface opportunities through rigorous analysis. The work involves close collaboration with product managers, engineers, and analytics specialists to ensure data informs strategic decisions.
**What You’ll Do** 
* Design and run experiments, including A/B tests, ensuring proper targeting, logging, and analysis of results.
* Analyze experiment outcomes and deliver clear recommendations that guide product decisions.
* Estimate the potential impact of proposed product features using historical data, cohort analysis, and statistical modeling.
* Monitor and investigate key product metrics, identifying unexpected changes and determining underlying causes.
* Develop and maintain data dashboards and visualizations that help teams make informed decisions.
* Audit data logging systems and identify gaps in tracking before new features are released.
* Collaborate with engineers to define or implement data instrumentation and logging improvements.
* Support the development of predictive analyses related to retention, user behavior, and product performance.
* Translate complex analyses into clear insights and recommendations for product and leadership teams.
**Qualifications** 
* 4\+ years of experience working as a data scientist.
* Strong proficiency in SQL for querying and analyzing large datasets.
* Advanced Python skills for data analysis and modeling.
* Experience designing and analyzing experiments, including A/B testing.
* Experience working with product teams to guide product decisions using data.
* Familiarity with predictive modeling or machine learning techniques.
* Ability to work independently and manage analytical projects from problem definition to insight delivery.
* Strong written and verbal communication skills for explaining technical findings.
* Comfort working in fast\-moving environments with evolving product goals.
**Base Salary Range:** 
 $220,000 \- $260,000 per year
**Benefits** 
* Competitive compensation and equity opportunities
* Health, dental, and vision insurance
* Professional growth and development opportunities
* Remote\-first work environment</t>
        </is>
      </c>
    </row>
    <row r="63">
      <c r="A63" t="inlineStr">
        <is>
          <t>li-4380980928</t>
        </is>
      </c>
      <c r="B63" t="inlineStr">
        <is>
          <t>Data Scientist I – Applied AI</t>
        </is>
      </c>
      <c r="C63" t="inlineStr">
        <is>
          <t>RemoteHunter</t>
        </is>
      </c>
      <c r="D63" t="inlineStr">
        <is>
          <t>linkedin</t>
        </is>
      </c>
      <c r="E63">
        <f>HYPERLINK("https://www.linkedin.com/jobs/view/4380980928", "https://www.linkedin.com/jobs/view/4380980928")</f>
        <v/>
      </c>
      <c r="F63" t="inlineStr"/>
      <c r="G63" t="inlineStr"/>
      <c r="H63" t="inlineStr"/>
      <c r="I63" t="inlineStr">
        <is>
          <t>About the Opportunity:
 The organization provides services and software for standards\-based health\-information exchange, focusing on improving public health and quality of care. The role supports data\-informed decision\-making by designing and building AI\-powered applications and tools using existing AI models and Cloud infrastructure to enhance public health and health data interoperability.
 Responsibilities:
 • Use analytic and visualization techniques to provide actionable insights
 • Design, prototype, build, and maintain AI\-powered tools using Python and existing models such as LLMs and embeddings
 • Iterate on prompts and workflows based on testing and feedback; support deployment and operation
 • Stay updated with emerging data\-science and AI/machine learning tools and best practices
 • Access, combine, and analyze large, complex datasets; clean and wrangle data with guidance
 • Ensure quality, integrity, and security of data
 • Create visualizations and perform analyses using statistical and machine learning techniques
 • Present findings to technical and non\-technical audiences with support as needed
 • Work independently on most tasks; seek guidance for complex responsibilities
 • Communicate results effectively to clients, management, and staff
 • Translate client and business needs into formal requirements
 Requirements:
 • Associate''s degree and at least three years of relevant experience, or bachelor’s degree and at least one year of relevant experience in data science, computer science, statistics, applied mathematics, or related field
 • Proficiency in Python
 • Familiarity with analytic software (e.g., R, Databricks), Cloud platforms (Azure, AWS), and big\-data technologies (e.g., Spark)
 • Basic Cloud literacy including understanding containers and serverless; proficiency with APIs and SDKs (e.g., OpenAI, Azure, AWS)
 • Familiarity with AI concepts related to data applications (e.g., RAG, LangChain/LangGraph, Vector DBs)
 • Ability to work independently on general tasks
 • Competence in applying various data\-analytics approaches
 • Ability to complete a Level 5 Position of Public Trust background investigation if required
 Preferred qualifications:
 • Bachelor’s degree with at least five years of relevant experience, or master’s degree with three years of relevant experience
 • Experience with large\-dataset analysis for public health entities such as CDC or CMS
 Benefits \&amp; Perks:
 • Flexible remote work with in\-person collaboration during key events such as annual meetings
 • Equal opportunity employer, providing fair consideration regardless of protected status
 • Must reside in the United States
 Compensation:
 • $75,000 to $95,000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li-4380961849</t>
        </is>
      </c>
      <c r="B64" t="inlineStr">
        <is>
          <t>Data Scientist</t>
        </is>
      </c>
      <c r="C64" t="inlineStr">
        <is>
          <t>TalentAlly</t>
        </is>
      </c>
      <c r="D64" t="inlineStr">
        <is>
          <t>linkedin</t>
        </is>
      </c>
      <c r="E64">
        <f>HYPERLINK("https://www.linkedin.com/jobs/view/4380961849", "https://www.linkedin.com/jobs/view/4380961849")</f>
        <v/>
      </c>
      <c r="F64" t="inlineStr"/>
      <c r="G64" t="inlineStr"/>
      <c r="H64" t="inlineStr"/>
      <c r="I64" t="inlineStr">
        <is>
          <t>**Job Category:** 
 Business Analytics
**Requisition Number:** 
 PRINC001844
 Job Details
 Description
**Applicants must be authorized to work for ANY employer in the U.S. We are unable to sponsor or take over sponsorship of an employment Visa at this time.** 
 Principal Data Scientist \- why this role matters to you:
 Work for Delta Defense, the private company that provides Marketing, Operations and Customer Service for the U.S. Concealed Carry Association. The USCCA safeguards life, freedom, and finances for responsible American protectors. Learn more about the USCCA at https://www.usconcealedcarry.com/
 As Principal Data Scientist, you'll lead the design and deployment of advanced analytics, machine learning, and AI solutions that directly enhance member services, strengthen operational decision\-making, and drive responsible gun ownership awareness. This role combines high\-level strategy with deep technical execution\-few opportunities offer this level of meaningful, socially relevant impact.
 With modern platforms like Snowflake, Sigma, and Python plus hands\-on use of generative AI, LLMs, and agentic AI frameworks, you'll be at the forefront of applied AI innovation. You'll have the freedom to experiment, prototype, and deploy solutions that push the boundaries of what's possible in our industry.
**Principal Data Scientist \- Essential Duties \&amp; Responsibilities:** 
**Leadership and Strategy:** 
* Collaborate with the Director of Advanced Analytics to define and advance the data science vision and roadmap, ensuring alignment with enterprise goals.
* Lead, mentor, and develop the data science team and external consultants to build a high\-performing and collaborative practice.
* Champion the adoption of best practices in machine learning, MLOps, model governance, and AI safety.
* Provide expert guidance and technical oversight on all data science projects and initiatives.
* Fosters a culture of accountability, professional development, high performance, and integrity.
**Project Delivery and Business Partnership:** 
* Partner with senior leaders across business units to identify strategic opportunities for AI and data science innovation.
* Translate business problems into clear, measurable, and scalable data science solutions.
* Oversee end\-to\-end project execution, including scoping, design, development, deployment, and post\-implementation support.
* Communicate technical concepts and insights effectively to executive \&amp; non\-technical audiences.
**Technical Excellence and Innovation:** 
* Design, build, and deploy robust machine learning and optimization models using Python, SQL and Snowflake.
* Implement and maintain automated MLOps pipelines for model training, testing, deployment, and monitoring.
* Lead the development of generative AI applications (e.g., LLM\-based tools, summarization, recommendation engines) and agentic AI systems (e.g., multi\-agent planning, tool use frameworks).
* Promote experimentation and continuous learning to stay ahead of emerging technologies and methodologies.
**Governance and Enablement:** 
* Ensure all models and AI systems meet standards for security, compliance, ethics, and responsible AI.
* Develop reusable tools, templates, and frameworks to accelerate delivery and reduce technical debt.
* Collaborate with engineering, analytics, and IT teams to ensure cohesive platform architecture and infrastructure readiness.
**Principal Data Scientist \- Required Education, Experience and Skills:** 
* **Master's degree or PhD** 
 in Data Science, Machine Learning, Computer Science, Operations Research, or a related field is
 **required** 
 .
* At least 7 years of experience developing and deploying data science solutions in business settings.
* Proven leadership experience with a demonstrated ability to mentor and manage high\-performing teams.
* Expert proficiency in Python (NumPy, Pandas, scikit\-learn, PyTorch, transformers) and advanced SQL.
* Experience with modern data and compute platforms including Snowflake, Databricks, Spark, and cloud services (AWS, Azure, GCP).
* Strong track record of delivering business value through predictive modeling, prescriptive analytics, and AI system design.
* Exceptional written and verbal communication skills, with the ability to influence and align cross\-functional stakeholders, explain complex technical concepts to non\-technical audiences, and present effectively to executive leadership.
* Demonstrates the Core Values of Delta Defense, LLC.
**This position is based at our corporate headquarters in West Bend, Wisconsin. A hybrid arrangement with some remote work will be considered.** 
 Target base salary range $145,000 \- $180,000 based on experience. Eligible for company bonus plan.
**Review benefits information and submit your application at:** 
 Delta Defense Careers
**Why YOU should Work at Delta Defense!** 
* We are a fun, fast\-paced, and rewarding place to work and grow!
* Nationally recognized in 2023 and 2024 as a Newsweek Top 100 America's Most Loved Workplace
* Top Workplaces USA award in 2022!
* Named on Inc. 5000 "Fastest Growing Private Companies" list 14 years in a row!
* Milwaukee Journal Sentinel "Top Workplace" award 7 years in a row!
* Milwaukee Business Journal "Best Place to Work" award 6 years in a row!
 PM19
 September 9, 2025
 PIe059f5434e33\-29448\-38314950
 PDN\-a133d6eb\-f929\-4dbd\-8cfa\-b8ef485a635e</t>
        </is>
      </c>
    </row>
    <row r="65">
      <c r="A65" t="inlineStr">
        <is>
          <t>li-4306624783</t>
        </is>
      </c>
      <c r="B65" t="inlineStr">
        <is>
          <t>Staff Data Scientist - Global Tech Leader</t>
        </is>
      </c>
      <c r="C65" t="inlineStr">
        <is>
          <t>Andiamo</t>
        </is>
      </c>
      <c r="D65" t="inlineStr">
        <is>
          <t>linkedin</t>
        </is>
      </c>
      <c r="E65">
        <f>HYPERLINK("https://www.linkedin.com/jobs/view/4306624783", "https://www.linkedin.com/jobs/view/4306624783")</f>
        <v/>
      </c>
      <c r="F65" t="inlineStr"/>
      <c r="G65" t="inlineStr">
        <is>
          <t>New York, NY</t>
        </is>
      </c>
      <c r="H65" t="inlineStr"/>
      <c r="I65" t="inlineStr">
        <is>
          <t>**About The Role**
 We are seeking an accomplished
 **Principal Data Scientist** 
 to tackle some of the most complex and high\-impact problems in modern product development. This role sits at the intersection of data science, engineering, and strategy—shaping how our organization uses data to drive decisions, design products, and create transformative user experiences.
 You’ll work with
 **massive, high\-dimensional data sets** 
 , applying advanced statistical methods, machine learning, and causal inference to answer questions that directly influence product vision and business outcomes. You’ll architect large\-scale experiments, build predictive models, and partner with executives to design strategies that are grounded in rigorous quantitative analysis.
 This is an opportunity to go beyond dashboards—here, you’ll uncover hidden patterns in data, tell compelling data\-driven stories, and guide teams through ambiguity toward impact. You’ll join a world\-class analytics community committed to solving intellectually demanding problems, sharing knowledge, and advancing the craft of data science at scale.
 What You’ll Do
* Solve Complex Analytical Problems: Apply advanced statistical methods, ML models, and experimental design to extract insights from massive data sets and inform key decisions.
* Drive Product Strategy: Partner with product, engineering, and design teams to shape the direction of features and platforms using predictive modeling, causal inference, and goal\-setting frameworks.
* Experiment at Scale: Design, implement, and interpret large\-scale experiments to test hypotheses, quantify impact, and refine long\-term strategy.
* Build Predictive Systems: Develop models that forecast user behavior, product performance, and system dynamics to guide investment and innovation.
* Influence Executives: Communicate insights and recommendations to leadership with clarity and precision, framing technical findings in business terms that inspire action.
* Architect Data Platforms: Collaborate with engineering leaders to define instrumentation, data pipelines, and scalable infrastructure that enable analytics across the organization.
* Guide Teams with Data: Define success metrics, forecast key outcomes, and ensure cross\-functional alignment through measurable goals.
* Mentor \&amp; Lead: Support the growth of other data scientists by sharing best practices in statistical methodology, experimentation, and data storytelling.
 What We’re Looking For
* Technical Mastery: 8\+ years of experience applying statistical modeling, causal inference, machine learning, or optimization to real\-world product or business problems.
* Programming Proficiency: Deep expertise with SQL, Python, R, or other statistical/mathematical programming tools; strong software engineering fundamentals a plus.
* Analytical Breadth: Experience with experimentation platforms, Bayesian methods, time\-series forecasting, and predictive modeling at scale.
* Leadership Experience: Demonstrated success leading analytics initiatives, shaping product roadmaps, and influencing senior stakeholders.
* Communication Excellence: Ability to translate complex technical results into actionable insights for executives and cross\-functional teams.
* Educational Foundation: Bachelor’s degree in Computer Science, Engineering, Mathematics, Statistics, or Operations Research; advanced degree (Master’s or PhD) highly preferred.
**Preferred Qualifications**
* 10\+ years of experience in product analytics or applied data science with proven impact at scale.
* Track record of influencing C\-suite or executive strategy through data\-driven insights.
* Deep knowledge of experimentation, machine learning systems, and advanced statistical methods.
 ✨
 **Why Join** 
 : This isn’t just an analytics role—it’s a chance to push the boundaries of applied data science. You’ll be solving some of the most
 **challenging data problems in AI and product development** 
 , working with world\-class colleagues, and shaping decisions that affect millions of users and billions of data points.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6">
      <c r="A66" t="inlineStr">
        <is>
          <t>li-4380555790</t>
        </is>
      </c>
      <c r="B66" t="inlineStr">
        <is>
          <t>Data Scientist (Hybrid)</t>
        </is>
      </c>
      <c r="C66" t="inlineStr">
        <is>
          <t>Stanford University</t>
        </is>
      </c>
      <c r="D66" t="inlineStr">
        <is>
          <t>linkedin</t>
        </is>
      </c>
      <c r="E66">
        <f>HYPERLINK("https://www.linkedin.com/jobs/view/4380555790", "https://www.linkedin.com/jobs/view/4380555790")</f>
        <v/>
      </c>
      <c r="F66">
        <f>HYPERLINK("https://stanford.taleo.net/careersection/2/jobdetail.ftl?job=108355&amp;lang=en&amp;utm_source=linkedin&amp;utm_medium=campaign&amp;urlHash=r6cd", "https://stanford.taleo.net/careersection/2/jobdetail.ftl?job=108355&amp;lang=en&amp;utm_source=linkedin&amp;utm_medium=campaign&amp;urlHash=r6cd")</f>
        <v/>
      </c>
      <c r="G66" t="inlineStr">
        <is>
          <t>Stanford, CA</t>
        </is>
      </c>
      <c r="H66" t="inlineStr"/>
      <c r="I66" t="inlineStr">
        <is>
          <t>Stanford University (Department of Otolaryngology\-\-Head and Neck Surgery) is seeking a Biostatistician 1 to work closely with senior statistician(s) to manage relevant databases as necessary, design studies, devise analysis plan, create analytic files, implement analysis plan and report and publish findings.
**Duties include\*:**
* Design study.
* Implement protocol for quality control.
* Create analytic files with detailed documentation.
* Implement data analysis through statistical programming.
* Present results for investigators using graphs and tables.
* Summarize findings orally and in written form.
* Participate in the preparation of papers for publication.
* \- Other duties may also be assigned.
**Education \&amp; Experience (required)**
 Master's degree in biostatistics, statistics or related field.
**Knowledge, Skills And Abilities (required)**
* Proficient in at least two of R, SAS, SPSS, or STATA.
* Skills in descriptive analysis, modeling of data, and graphic interfaces.
* Outstanding ability to communicate technical information to both technical and non\-technical audiences.
**PHYSICAL REQUIREMENTS\*:**
* Frequently perform desk based computer tasks, seated work and use light/ fine grasping.
* Occasionally stand, walk, and write by hand, lift, carry, push pull objects that weigh up to 10 pounds.
* \- Consistent with its obligations under the law, the University will provide reasonable accommodation to any employee with a disability who requires accommodation to perform the essential functions of his or her job.
**Working Conditions**
 May work extended or non\-standard hours based on project or business cycle needs.
**Work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*The expected pay range for this position is $99,974 to $113,446 per annum.*
*Stanford University provides pay ranges representing its good faith estimate of the salary or hourly wage the university reasonably expects to pay for a position upon hire.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 
*https://cardinalatwork.stanford.edu/benefits\-rewards* 
*)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t>
        </is>
      </c>
    </row>
    <row r="67">
      <c r="A67" t="inlineStr">
        <is>
          <t>li-4380990886</t>
        </is>
      </c>
      <c r="B67" t="inlineStr">
        <is>
          <t>Data Scientist, Generative &amp; Agentic AI Solutions</t>
        </is>
      </c>
      <c r="C67" t="inlineStr">
        <is>
          <t>Alvarez &amp; Marsal</t>
        </is>
      </c>
      <c r="D67" t="inlineStr">
        <is>
          <t>linkedin</t>
        </is>
      </c>
      <c r="E67">
        <f>HYPERLINK("https://www.linkedin.com/jobs/view/4380990886", "https://www.linkedin.com/jobs/view/4380990886")</f>
        <v/>
      </c>
      <c r="F67">
        <f>HYPERLINK("https://careers.alvarezandmarsal.com/jobs/16875169-data-scientist-generative-and-agentic-ai-solutions?bid=370&amp;__jvst=Job+Board&amp;__jvsd=LinkedIn&amp;urlHash=1G6p", "https://careers.alvarezandmarsal.com/jobs/16875169-data-scientist-generative-and-agentic-ai-solutions?bid=370&amp;__jvst=Job+Board&amp;__jvsd=LinkedIn&amp;urlHash=1G6p")</f>
        <v/>
      </c>
      <c r="G67" t="inlineStr">
        <is>
          <t>New York, NY</t>
        </is>
      </c>
      <c r="H67" t="inlineStr"/>
      <c r="I67"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leader, actively contributing to the development and implementation of AI solutions as needed to achieve project objectives
* Apply structured problem\-solving frameworks and methodologies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8\+ years of experience with Python, SQL, and AI/ML models, in analytics libraries like Pandas, NumPy, SciKit\-Learn, and PyTorch
* Proven experience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to C\-suite and executive audiences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$135,000 \- $190,000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68">
      <c r="A68" t="inlineStr">
        <is>
          <t>li-4370725235</t>
        </is>
      </c>
      <c r="B68" t="inlineStr">
        <is>
          <t>Sr. Data Scientist</t>
        </is>
      </c>
      <c r="C68" t="inlineStr">
        <is>
          <t>CAQH</t>
        </is>
      </c>
      <c r="D68" t="inlineStr">
        <is>
          <t>linkedin</t>
        </is>
      </c>
      <c r="E68">
        <f>HYPERLINK("https://www.linkedin.com/jobs/view/4370725235", "https://www.linkedin.com/jobs/view/4370725235")</f>
        <v/>
      </c>
      <c r="F68" t="inlineStr"/>
      <c r="G68" t="inlineStr">
        <is>
          <t>District of Columbia, United States</t>
        </is>
      </c>
      <c r="H68" t="inlineStr"/>
      <c r="I68" t="inlineStr">
        <is>
          <t>**Position Summary**
 The Senior Data Scientist is a highly skilled individual contributor responsible for leading complex analytical and modeling efforts using CAQH’s healthcare datasets. This role builds on the core Data Scientist position by taking greater ownership of analytical design, modeling decisions, and delivery of insights for high\-impact initiatives.
 The Senior Data Scientist independently leads projects of moderate\-to\-high complexity, develops and validates advanced models, and works closely with engineering and business partners to translate analytical approaches into production\-ready solutions. This role operates with limited oversight and is expected to apply strong technical judgment when working in ambiguous problem spaces.
 The Senior Data Scientist is a full\-time, remote, exempt position and reports to the Sr. Director, Data Science \&amp; Analytics.
**Base Salary Range:** 
 $120,000 \- $140,000 annually.
**Specific Responsibilities**
* Lead the development, validation, and refinement of advanced statistical and machine learning models for complex business problems.
* Serve as the primary analytical owner for assigned initiatives, with accountability for model quality, analytical rigor, and timely delivery of results.
* Design analytical approaches and modeling strategies, translating business questions into well\-defined technical solutions.
* Perform advanced feature engineering, exploratory data analysis, and model evaluation using large, complex healthcare datasets.
* Partner with Data Engineering and Information Systems teams to translate modeling approaches into production\-ready solutions, while engineering teams own deployment and operations.
* Support production models through performance analysis, monitoring, and retraining activities.
* Design and execute experiments to test hypotheses and measure the impact of analytical solutions.
* Evaluate new data sources and assess their suitability, quality, and limitations for modeling and analysis.
* Communicate analytical findings, model behavior, and key assumptions to stakeholders with varying levels of technical expertise.
* Document analytical methods, decisions, and results to support reproducibility and knowledge sharing.
* Provide peer\-level technical guidance and code review to Data Scientists and Analysts, supporting their development without formal leadership responsibility.
* Contribute reusable code, features, and analytical assets to shared repositories and team standards.
**Supervisory Responsibilities**
 None.
**Skills**
* Advanced proficiency in Python, R, and SQL for statistical analysis, modeling, and feature engineering.
* Strong hands\-on experience with statistical and machine learning techniques, including regression/GLM, tree\-based methods, boosting, clustering, and basic text analytics.
* Proven experience developing, validating, and tuning models for real\-world use cases.
* Experience supporting models in production environments, including collaboration with engineers on deployment and monitoring.
* Solid understanding of model evaluation, experimental design, and performance metrics.
* Strong data wrangling skills and experience working with large, complex datasets.
* Ability to create clear, compelling data visualizations and analytical narratives using tools such as Power BI, Tableau, or R/Shiny.
* Ability to translate business problems into analytical approaches with limited guidance.
* Strong written and verbal communication skills for working effectively with cross\-functional stakeholders.
* Experience following best practices for reproducible research, version control, and documentation.
* Ability to provide constructive peer feedback and informal mentorship.
* Demonstrated curiosity and willingness to learn new tools, methods, and domains.
**Experience**
 4–7 years of experience building statistical or machine learning models using large datasets
**Education**
 Advanced degree in Computer Science, Engineering or relevant field; PhD in Data Science or another quantitative field is preferred
**Who We Are**
 CAQH is the trusted data connector at the core of healthcare. For more than 25 years, we have powered the industry with the largest and most complete healthcare data foundation in the U.S., including more than 4\.8 million provider data records sourced directly from providers and member data representing 75% of covered lives supplied by health plans. By improving how essential information flows across the system, CAQH helps healthcare operate more efficiently, accurately, and with greater confidence.
**What You Get**
 At CAQH, you will do meaningful work at the intersection of healthcare, data, and technology, alongside experienced professionals who care about getting things right. We are a fully remote organization with employees across the U.S.
 CAQH provides competitive compensation and a comprehensive benefits package for full\-time employees, including medical, dental, and vision coverage, a 401(k) with employer contribution, paid parental leave, tuition assistance, and paid time off. We are committed to investing in our people and supporting professional growth and development over time.
**EQUAL OPPORTUNITY EMPLOYER**
 CAQH is proud to be an equal opportunity employer and is committed to fostering a workplace where all individuals are valued, respected, and empowered. Employment decisions at CAQH are made without regard to race, color, religion, sex, national origin or ancestry, age, marital status, disability, protected veteran status, sexual orientation, gender identity or expression, familial status, family responsibilities, genetic information, or any other characteristic protected by law.
 Applicants have rights under the Family Medical Leave Act (FMLA), Equal Employment Opportunity (EEO), and the Employee Polygraph Protection Act (EPPA). If you need a reasonable accommodation to apply for a position, please contact CAQH Human Resources at hr@caqh.org.</t>
        </is>
      </c>
    </row>
    <row r="69">
      <c r="A69" t="inlineStr">
        <is>
          <t>li-4378959546</t>
        </is>
      </c>
      <c r="B69" t="inlineStr">
        <is>
          <t>Senior Data Scientist - Insurance/Actuary Experience</t>
        </is>
      </c>
      <c r="C69" t="inlineStr">
        <is>
          <t>Onsera Health</t>
        </is>
      </c>
      <c r="D69" t="inlineStr">
        <is>
          <t>linkedin</t>
        </is>
      </c>
      <c r="E69">
        <f>HYPERLINK("https://www.linkedin.com/jobs/view/4378959546", "https://www.linkedin.com/jobs/view/4378959546")</f>
        <v/>
      </c>
      <c r="F69" t="inlineStr"/>
      <c r="G69" t="inlineStr">
        <is>
          <t>New York, NY</t>
        </is>
      </c>
      <c r="H69" t="inlineStr"/>
      <c r="I69" t="inlineStr">
        <is>
          <t>This is a ground\-floor opportunity to shape the future of AI\-driven population health management at Onsera Health. Backed by Population Health Partners (PHP)—the proven venture platform behind Metsera (Acquired by Pfizer), Areteia Therapeutics, and Corsera Health—we're building the future of population health.
 As a Senior Data Scientist, you'll be core to driving the design and execution of advanced analytics, statistical modeling, and machine learning across Onsera's platform. You'll build production\-grade models, design experiments, and rigorously evaluate model performance to ensure clinical, economic, and operational impact. You'll build data\-driven benefit design decision support tools, scenario modeling engines, and simulation frameworks that help payers, employers, and at\-risk providers evaluate the clinical and financial impact of formulary changes, care program design, and coverage policy decisions.
 Responsibilities
 • Design and develop cutting\-edge ML, AI, and statistical models for population health, building
 production\-grade systems that deliver clinical, economic, and operational impact
 • Build mission\-critical, data\-driven, population health management and benefit design tools that allow stakeholders to simulate the clinical and financial impact of formulary changes, care program design, and coverage policy decisions
 • Design experiments and rigorously evaluate model performance to ensure accuracy, validity and
 reliability
 • Uphold and champion the scientific rigor of Onsera's analytical outputs, including study design, bias mitigation, and reproducibility of research
 • Partner closely with Product, Engineering, Health Economics and Clinical teams to translate data
 science outputs into real\-world healthcare solutions
 • Analyze and model large\-scale claims, EHR, pharmacy, lab, and other datasets to deliver clinically
 meaningful and commercially actionable insights
 • Build and refine feature engineering pipelines, model evaluation frameworks, and experiment
 tracking infrastructure in close partnership with ML Engineering
 • Communicate findings to technical and non\-technical stakeholders through clear visualizations,
 written reports, and presentations that support clinical and commercial decision\-making
 What we offer
 • Mission\-driven work addressing critical public health and healthcare economics challenges
 • Ground\-floor opportunity to shape a breakthrough healthcare AI solution
 • Partnership with a world\-class team of venture capitalists, innovators, technologists, bioscientists, and clinicians from PHP and beyond
 • A fast\-paced, dynamic, and highly collaborative work environment
 • Competitive salary and benefits package, including participation in our equity program
 Minimum qualifications
 • 5\+ years of experience in data science, applied statistics or a related field
 • Advanced degree (MS or PhD) in Mathematics/Statistics, Computer Science, Economics, or other
 quantitative disciplines
 • Experience working with health insurers, managed care organizations or health\-tech companies
 operating in the context of risk management
 • Familiarity with the US healthcare system
 • Deep expertise in statistical modeling, classical ML approaches, and experimental design
 • Strong Python proficiency with experience using scientific and ML libraries (e.g., pandas, scikit\-learn, statsmodels, PyTorch/TensorFlow)
 • Hands\-on experience with large\-scale analytical data warehouses (BigQuery or equivalent) and SQL
 • Experience working with cross\-functional teams including Engineering, Product, Health Economics and Clinical stakeholders
 • Excellent written and verbal communication skills, including the ability to present complex analyses to non\-technical audiences
 Preferred qualifications
 • Experience with techniques such as survival analysis, causal inference, longitudinal modeling, or time series methods in clinical or population health contexts
 • Experience with LLMs or unstructured data extraction in healthcare settings
 • Familiarity with public health, pharmacy benefits, health economics and outcomes research
 About the Venture
 We are an early\-stage health AI company revolutionizing cardiometabolic care and economics.
 Our unique position within the PHP ecosystem provides:
 • Venture Track Record: A proven track record of success in incubating innovative biotech and
 healthcare companies
 • Deep Capital: Funding runway and resourcing to support deep technological/scientific R\&amp;D and to drive growth
 • Strategic Guidance: Direct access to industry pioneers (including founders of The Medicines
 Company and Metsera), strategists (McKinsey/QuantumBlack alumni), and world\-class scientific talent (e.g., scientific leaders at Oxford University Ellison Institute of Technology)
 • Expert Network: Established connections across pharma, payers, and providers
 • Startup Agility: Ownership in the venture, founder mentality, and ground\-floor impact
 About PHP
 Population Health Partners (PHP) is a premier investment firm established in 2020, aimed at transforming health outcomes for large populations. With offices in New York and London, PHP combines financial resources with industry\-leading capabilities and technology. The firm's incubation portfolio includes Metsera (NASDAQ: MTSR), Areteia Therapeutics, and Corsera Health.
 Leadership: Led by industry veterans including Clive Meanwell (The Medicines Company), Chris Cox (The Medicines Company), and Whit Bernard (Metsera), bringing decades of founder experience and operational excellence in biopharma and healthcare.</t>
        </is>
      </c>
    </row>
    <row r="70">
      <c r="A70" t="inlineStr">
        <is>
          <t>li-4381104339</t>
        </is>
      </c>
      <c r="B70" t="inlineStr">
        <is>
          <t>Data Scientist, Generative &amp; Agentic AI Solutions</t>
        </is>
      </c>
      <c r="C70" t="inlineStr">
        <is>
          <t>Alvarez &amp; Marsal</t>
        </is>
      </c>
      <c r="D70" t="inlineStr">
        <is>
          <t>linkedin</t>
        </is>
      </c>
      <c r="E70">
        <f>HYPERLINK("https://www.linkedin.com/jobs/view/4381104339", "https://www.linkedin.com/jobs/view/4381104339")</f>
        <v/>
      </c>
      <c r="F70">
        <f>HYPERLINK("https://careers.alvarezandmarsal.com/jobs/16875165-data-scientist-generative-and-agentic-ai-solutions?bid=370&amp;__jvst=Job+Board&amp;__jvsd=LinkedIn&amp;urlHash=b_qV", "https://careers.alvarezandmarsal.com/jobs/16875165-data-scientist-generative-and-agentic-ai-solutions?bid=370&amp;__jvst=Job+Board&amp;__jvsd=LinkedIn&amp;urlHash=b_qV")</f>
        <v/>
      </c>
      <c r="G70" t="inlineStr">
        <is>
          <t>Washington, DC</t>
        </is>
      </c>
      <c r="H70" t="inlineStr"/>
      <c r="I70"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leader, actively contributing to the development and implementation of AI solutions as needed to achieve project objectives
* Apply structured problem\-solving frameworks and methodologies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8\+ years of experience with Python, SQL, and AI/ML models, in analytics libraries like Pandas, NumPy, SciKit\-Learn, and PyTorch
* Proven experience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to C\-suite and executive audiences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$135,000 \- $190,000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71">
      <c r="A71" t="inlineStr">
        <is>
          <t>li-4380963774</t>
        </is>
      </c>
      <c r="B71" t="inlineStr">
        <is>
          <t>DATA SCIENTIST</t>
        </is>
      </c>
      <c r="C71" t="inlineStr">
        <is>
          <t>TalentAlly</t>
        </is>
      </c>
      <c r="D71" t="inlineStr">
        <is>
          <t>linkedin</t>
        </is>
      </c>
      <c r="E71">
        <f>HYPERLINK("https://www.linkedin.com/jobs/view/4380963774", "https://www.linkedin.com/jobs/view/4380963774")</f>
        <v/>
      </c>
      <c r="F71">
        <f>HYPERLINK("https://talentally.com/job/sr-data-scientist-it-sme-specialist/redirect&amp;urlHash=pNOU", "https://talentally.com/job/sr-data-scientist-it-sme-specialist/redirect&amp;urlHash=pNOU")</f>
        <v/>
      </c>
      <c r="G71" t="inlineStr">
        <is>
          <t>Fairfax, VA</t>
        </is>
      </c>
      <c r="H71" t="inlineStr"/>
      <c r="I71" t="inlineStr">
        <is>
          <t>**\*\*\*Position is 100% on\-site\*\*\*** 
**\*\*\*Secret Clearance Is Required\*\*\*** 
 VSolvitis looking for a broadly talented Data Scientist with quantitative research skills to take an active role on our data analytics team. You will work on vast amounts of DEA data to discover hidden information by applying modern statistical and ML/AI techniques. The main scripting languages used on this program are Python and some 'R'. The databases are MS SQL Server and Elastic Search and are used against the enterprise data warehouses with Kibana, Tableau or other BI and Visualization tools. This is a mature team that is high profile and charged with delivering solutions in Data Sciences enabling maximum leverage of DEA master data. At a higher Level, this position is part of a team of developers and IT SME's who support the DEA data warehouse project and the ability to recognize opportunities for the correlation of data is vital for this position. The need for strategic thinking, with the ability to easily spot gaps, ensure accuracy, and find differences in what should be the same values in data, and lags in data that will ultimately affect velocity and overall quality of the products, is highly desired.
 Your primary focus will be applying data mining techniques, doing statistical analysis, and building high\-quality prediction systems integrated with DEA programs and DEA data (e.g. structured, unstructured, and mixed datasets). You will also design and develop automatic scoring using machine learning techniques, build recommendation systems, design, and develop classifiers for feature extraction. This program is one in which pushing boundaries and innovation within the scope of the program is valued. There is a fully supported effort to develop and further Power BI/ML/AI in the quest for 'making the data dance'. The Data Sciences group provides innovative algorithm development using various techniques to achieve desired insight or open eyes to new revealing results and possibilities. In addition to technical knowledge the team values the ability to collaborate and communicate with one another to ensure a highly productive, respectful, and harmonious work setting, be it virtual or mixed of onsite and remote.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 Work with large DEA data using descriptive statistics and data visualization tools
* Create insights from existing DEA data, and drive the collection of new data and ways to address new data
* Collaborate with clients and team members to understand and communicate results, and to put insights into operation
* Enhancing data collection procedures to include information that is relevant for building analytical systems
* Doing ad\-hoc analysis and presenting results in a clear manner
* Work with other team members such as those focused on Data warehousing, Tools development, software development, DevOps, systems analysts etc.
* Design accurate and scalable prediction algorithms
* Collaborate with engineering team to bring analytical prototypes to production
* Generate actionable insights for business improvements
**Basic Qualifications** 
* U.S. Citizenship Required
* Secret Clearance Required
* Must be able to pass a DEA Security Approval
* Team experience (i.e., managing tasks with other Data Scientists; communicator to client and other DEA Team Leads; good communication skills orally and in writing)
* At least 2 years of data science and custom Machine Learning and AI model training experience solved 'real world' problem (to include supervised and unsupervised) and Natural Language Processing (NLP) expertise focusing on unstructured data with Anaconda, VScode with Git Version control
* Bachelor's or Master's degree in Computer Science, Data Science, or a related field.
* 5\+ years' of professional experience in data science and analysis
* 5\+ years' Python, "R" or other scripting languages
* 2\+ years' database experience
* ML practice \- using scikit learn, tensorflow, or pytorch and perform DEA (Data exploration Analysis), clean data, model selection, feature selection/tuning, and deployment
* 2\+ years' experience with data visualization tools
* Utilize a strong understanding of Machine Learning basics to design and implement effective models for \[specific industry/sector] applications.
* Professional experience in implementing and deploying Deep Learning models to solve complex problems
* Collaborate with cross\-functional teams as a team player to integrate data science solutions into our products and services.
* Demonstrate excellent communication skills to convey complex technical concepts to non\-technical stakeholders and team members.
* Utilize Git for version control, ensuring effective collaboration and code management within the team.
* Embrace Agile methodologies to adapt to fast\-paced development cycles and deliver high\-quality results.
* Solid understanding of statistical analysis and data visualization techniques.
* Ability to work independently and collaboratively in a team\-oriented environment.
* Dedication to continued learning, be team\-oriented, self\-driven, quality minded, and customer\-friendly
* If applicable: If you are or have been recently employed by the U.S. government, a post\-employment ethics letter will be required if employment with VSolvit is offered
**Preferred Qualifications (but not required)** 
* Graduate degree in a quantitative social science or a STEM field highly desired
* 10\+ years' of professional experience in data science and analysis
* 10\+ years' Python, "R" or other scripting languages
* 5\+ years' of relational database experience
* 5\+ years of non\-relational/big data experience
* Experience or knowledge of ELK may be helpful
* Experience with common data science toolkits, such as R, Weka, NumPy, MatLab, etc.
* Proficiency in using data query languages such as SQL, Hive, Pig, Pandas, MongoDB
* Proficiency in big data modeling work: Hadoop, Pig, Scala, Spark
* Good, applied statistics skills, such as distributions, statistical testing, regression, etc.
* Substantial experience with statistics and the scientific method, and the ability to perform self\-directed hypothesis\-driven research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 
 PDN\-a1008b14\-e84b\-48b4\-a3e9\-fdacdeb57f4f</t>
        </is>
      </c>
    </row>
    <row r="72">
      <c r="A72" t="inlineStr">
        <is>
          <t>li-4381100448</t>
        </is>
      </c>
      <c r="B72" t="inlineStr">
        <is>
          <t>Data Scientist, Generative &amp; Agentic AI Solutions</t>
        </is>
      </c>
      <c r="C72" t="inlineStr">
        <is>
          <t>Alvarez &amp; Marsal</t>
        </is>
      </c>
      <c r="D72" t="inlineStr">
        <is>
          <t>linkedin</t>
        </is>
      </c>
      <c r="E72">
        <f>HYPERLINK("https://www.linkedin.com/jobs/view/4381100448", "https://www.linkedin.com/jobs/view/4381100448")</f>
        <v/>
      </c>
      <c r="F72" t="inlineStr"/>
      <c r="G72" t="inlineStr">
        <is>
          <t>Houston, TX</t>
        </is>
      </c>
      <c r="H72" t="inlineStr"/>
      <c r="I7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leader, actively contributing to the development and implementation of AI solutions as needed to achieve project objectives
* Apply structured problem\-solving frameworks and methodologies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8\+ years of experience with Python, SQL, and AI/ML models, in analytics libraries like Pandas, NumPy, SciKit\-Learn, and PyTorch
* Proven experience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to C\-suite and executive audiences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$135,000 \- $190,000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73">
      <c r="A73" t="inlineStr">
        <is>
          <t>li-4380946856</t>
        </is>
      </c>
      <c r="B73" t="inlineStr">
        <is>
          <t>Applied Scientist, Amazon Music AI Personalization</t>
        </is>
      </c>
      <c r="C73" t="inlineStr">
        <is>
          <t>Amazon Music</t>
        </is>
      </c>
      <c r="D73" t="inlineStr">
        <is>
          <t>linkedin</t>
        </is>
      </c>
      <c r="E73">
        <f>HYPERLINK("https://www.linkedin.com/jobs/view/4380946856", "https://www.linkedin.com/jobs/view/4380946856")</f>
        <v/>
      </c>
      <c r="F73" t="inlineStr"/>
      <c r="G73" t="inlineStr">
        <is>
          <t>San Francisco, CA</t>
        </is>
      </c>
      <c r="H73" t="inlineStr"/>
      <c r="I73" t="inlineStr">
        <is>
          <t>**Description**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Come join a team at the nexus of AI, machine learning, visual and audio technologies within Amazon Music's Artificial Intelligence \&amp; Personalization organization. We're transforming how customers experience music by creating context\-rich, intelligently assembled content that powers every surface—from AI\-generated playlists and insights to interactive experiences and visual storytelling.
 Key job responsibilities
* Work backwards from customer needs to research and develop novel machine learning approaches for music and spoken word multimodal content generation
* Design, develop, evaluate, and deploy scalable AI and ML solutions for customer problems including training LLMs, reasoning models, and diffusion models, agentic and RAG systems, diffusion models
* Ship production quality code for models and collaborate with software engineering teams to drive implementation and experimentation in complex Amazon production systems
* Improve upon existing methods by developing new data sources, testing model enhancements, and fine\-tuning model parameters
* Analyze and extract relevant information from large amounts of structured and unstructured, complex and interrelated datasets describing customer behavior and content
* Advocate technical solutions to business stakeholders, engineering teams, as well as executive level decision makers
* Communicate results, insights and recommendations to audiences of varying levels of technical sophistication
* Conduct literature reviews and stay current with advancements in the field, adapting latest in literature to build efficient and scalable models
* Promote the culture of experimentation and scientific rigor at Amazon
* Contribute to progress of the Amazon and broader research communities by publishing papers
 A day in the life
 Lead innovation in AI/ML to shape Amazon Music experiences for millions. Develop state of the art models leveraging and advancing the latest developments in machine learning and genAI including post\-training of LLMs, diffusion models. Collaborate with talented engineers and scientists to guide research and build scalable models across our audio portfolio \- music, podcasts, live streaming, and more. Drive experiments and rapid prototyping, leveraging Amazon's data at scale. Innovate daily alongside world\-class teams to delight customers worldwide through personalization.
**About The Team**
 We are a team of deeply technical Applied Scientists and Machine Learning Engineers passionate about improving CX through state of the art AI methods. We work on multimodal generation to enhance the audio listening experience on several surfaces Alexa, mobile, fireTV \- from AI\-generated playlists and insights to interactive experiences and visual storytelling.
**Basic Qualifications**
* Experience programming in Java, C\+\+, Python or related language
* Master's degree in computer science, mathematics, statistics, machine learning or equivalent quantitative field
**Preferred Qualifications**
* Experience implementing algorithms using both toolkits and self\-developed code
* Have publications at top\-tier peer\-reviewed conferences or journals
* PhD in Engineering, Computer Science, Machine Learning, Operations Research, Statistics, or related fields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\- 157,300\.00 \- 212,800\.00 USD annually
**Company** 
 \- Amazon.com Services LLC
 Job ID: A3195394</t>
        </is>
      </c>
    </row>
    <row r="74">
      <c r="A74" t="inlineStr">
        <is>
          <t>li-4378967343</t>
        </is>
      </c>
      <c r="B74" t="inlineStr">
        <is>
          <t>Data Scientist</t>
        </is>
      </c>
      <c r="C74" t="inlineStr">
        <is>
          <t>myGwork - LGBTQ+ Business Community</t>
        </is>
      </c>
      <c r="D74" t="inlineStr">
        <is>
          <t>linkedin</t>
        </is>
      </c>
      <c r="E74">
        <f>HYPERLINK("https://www.linkedin.com/jobs/view/4378967343", "https://www.linkedin.com/jobs/view/4378967343")</f>
        <v/>
      </c>
      <c r="F74">
        <f>HYPERLINK("https://mygwork.com/jobs/fiserv-data-scientist-1?src=linkedin&amp;utm_source=linkedin&amp;utm_medium=referral&amp;utm_campaign=jobs&amp;urlHash=JIgJ", "https://mygwork.com/jobs/fiserv-data-scientist-1?src=linkedin&amp;utm_source=linkedin&amp;utm_medium=referral&amp;utm_campaign=jobs&amp;urlHash=JIgJ")</f>
        <v/>
      </c>
      <c r="G74" t="inlineStr">
        <is>
          <t>Berkeley Heights, NJ</t>
        </is>
      </c>
      <c r="H74" t="inlineStr"/>
      <c r="I74" t="inlineStr">
        <is>
          <t>**This job is with Fiserv, an inclusive employer and a member of myGwork – the largest global platform for the LGBTQ\+ business community. Please do not contact the recruiter directly.**
**Calling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Data Scientist
**About The Role**
 We're seeking an experienced Data and Decision Scientist to deliver insightful analytics and predictive models that support the global risk management strategy for Global Business Solutions at Fiserv.
 This position will be responsible building and supporting the deployment of ML models and Decisioning frameworks as well as traditional techniques to support the risk management strategy. The incumbent will play a critical role in supporting key company priorities, by reducing risk of loss as well as enabling top line growth. The incumbent will conduct complex and sophisticated analytics, develop ML and predictive models for credit and fraud risk management as well as identify new areas of opportunity. This position will be a critical interface with stakeholders within and outside Fiserv in building best\-in\-class analytical solutions.
**Key Responsibilities**
* Responsible for conducting complex analysis using statistical and other industry leading quantitative techniques.
* Developing predictive models using large datasets. Leverage machine learning as well as traditional techniques in developing best\-in\-class models as appropriate. Conducting analysis to support the development of policies.
* Building analytical products using external and internal data assets in close collaboration with technology teams.
* Identify and evaluate external data sources and attributes necessary to enhance predictive models
* Implement robust data validation, monitoring, and tracking solutions.
* Maintain documentation to support internal and external stakeholder requirements and partner effectively within Agile workflows using JIRA and Confluence.
* Establish the scope of the project, lead internal communication with stakeholders, and ensure delivery of projects per commitment.
**Basic Qualifications For Consideration**
* Bachelor's / Master's degree in a quantitative field (Mathematics, Statistics, Computer Science, Engineering, or related).
* 4\+ years of relevant experience in leveraging analytics in a financial or technology firm as well as at least 3\-5 years of experience in leading people and teams.
* Deeply proficient in Python\-for data engineering, statistical modeling, machine learning and production model deployment
* Experience deploying solutions to AWS using CI/CD automation.
* Hands\-on experience with Snowflake (SQL, data pipelines, optimization).
* Strong experience with Git workflows in GitHub
* Excellent verbal and written communication skills
* Demonstrated project management skills and the ability to work on multiple projects on a concurrent basis and be able to meet deadlines
* Ability to work in a team environment and to collaborate with other internal staff and external consulting firms
* Ability to perform duties under minimum supervision
* Hands\-on experience in using large data sets and in building predictive models using traditional techniques as well as new techniques such as machine learning.
**Good to Have**
* Agile methodology experience (JIRA, Confluence).
* Exposure to OCR, NLP, or AI\-driven automation.
* Fintech/payments/lending domain experience.
* Background in real\-time and unstructured data pipelines.
* Familiarity with ML model pipelines or feature stores.
* Experience with visualization tools like Power BI / Tableau.
* Knowledge of credit bureaus and other external data sources.
 Experience developing analytics, reporting or data processing using SAS.
**Salary Range**
 $100,000\.00 \- $165,600\.00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
 ]]\&gt;</t>
        </is>
      </c>
    </row>
    <row r="75">
      <c r="A75" t="inlineStr">
        <is>
          <t>li-4380963470</t>
        </is>
      </c>
      <c r="B75" t="inlineStr">
        <is>
          <t>Senior Data Scientist - Remote</t>
        </is>
      </c>
      <c r="C75" t="inlineStr">
        <is>
          <t>Optum</t>
        </is>
      </c>
      <c r="D75" t="inlineStr">
        <is>
          <t>linkedin</t>
        </is>
      </c>
      <c r="E75">
        <f>HYPERLINK("https://www.linkedin.com/jobs/view/4380963470", "https://www.linkedin.com/jobs/view/4380963470")</f>
        <v/>
      </c>
      <c r="F75">
        <f>HYPERLINK("https://careers.unitedhealthgroup.com/job/23093076/senior-data-scientist-remote-eden-prairie-mn/?src=JB-22455&amp;utm_source=linkedin.com&amp;utm_medium=job_posting&amp;urlHash=5sWM", "https://careers.unitedhealthgroup.com/job/23093076/senior-data-scientist-remote-eden-prairie-mn/?src=JB-22455&amp;utm_source=linkedin.com&amp;utm_medium=job_posting&amp;urlHash=5sWM")</f>
        <v/>
      </c>
      <c r="G75" t="inlineStr">
        <is>
          <t>Eden Prairie, MN</t>
        </is>
      </c>
      <c r="H75" t="inlineStr"/>
      <c r="I75"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Positions in this function produce innovative solutions driven by exploratory data analysis from unstructured, diverse datasets typically measured in gigabytes or larger. Applies knowledge of statistics, machine learning, programming, data modeling, simulation, and advanced mathematics to recognize patterns, identify opportunities, pose business questions, and make valuable discoveries leading to prototype development and product improvement. Uses a flexible, analytical approach to design, develop, and evaluate predictive and prescriptive models and advanced algorithms that lead to optimal value extraction from the data. Works with analytics and statistical software such as SQL, R, Python, Hadoop and others to perform analysis and interpret data. This function is not intended for employees performing the following work: less complex analysis on small data sets; rules\-based algorithmic or descriptive analytics; development of big data infrastructure.
 Positions in this function produce innovative solutions driven by exploratory data analysis from unstructured, diverse datasets typically measured in gigabytes or larger. Applies knowledge of statistics, machine learning, programming, data modeling, simulation, and advanced mathematics to recognize patterns, identify opportunities, pose business questions, and make valuable discoveries leading to prototype development and product improvement. Uses a flexible, analytical approach to design, develop, and evaluate predictive and prescriptive models and advanced algorithms that lead to optimal value extraction from the data. Works with analytics and statistical software such as SQL, R, Python, Hadoop and others to perform analysis and interpret data. This function is not intended for employees performing the following work: less complex analysis on small data sets; rules\-based algorithmic or descriptive analytics; development of big data infrastructure.
 You'll enjoy the flexibility to work remotely \* from anywhere within the U.S. as you take on some tough challenges. For all hires in the Minneapolis or Washington, D.C. area, you will be required to work in the office a minimum of four days per week.
**Primary Responsibilities**
* Clearly communicate with diverse teams including legal, compliance, and AI development over a wide variety of AI methods including Generative AI and traditional ML
* Document findings, create reports, and present results to stakeholders
* Design, and develop job aids and guidance documentation for best practices of responsible AI
* Develop Python scripts to automate testing processes and analyze results
* Help identify vulnerabilities related to PII/PHI exposure in AI interactions
* Maintain test data sets and contribute to improving testing methodologies
* Stay abreast of the latest developments in AI/ML research and incorporate relevant findings into work
* Provide mentorship and guidance to colleagues, fostering a culture of continuous learning and improvement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with the full ML system development, deployment, and maintenance lifecycle
* 3\+ years of experience working with advanced NLP models and methodologies
* 3\+ years of experience with python and ML frameworks (e.g., scikit\-learn, Pandas, Numpy)
**Preferred Qualifications**
* Deep understanding of ethical considerations and fairness in AI model development
* Proven solid analytical thinking and problem\-solving abilities
* Proven excellent written and verbal communication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76">
      <c r="A76" t="inlineStr">
        <is>
          <t>li-4381108208</t>
        </is>
      </c>
      <c r="B76" t="inlineStr">
        <is>
          <t>Data Scientist, Generative &amp; Agentic AI Solutions</t>
        </is>
      </c>
      <c r="C76" t="inlineStr">
        <is>
          <t>Alvarez &amp; Marsal</t>
        </is>
      </c>
      <c r="D76" t="inlineStr">
        <is>
          <t>linkedin</t>
        </is>
      </c>
      <c r="E76">
        <f>HYPERLINK("https://www.linkedin.com/jobs/view/4381108208", "https://www.linkedin.com/jobs/view/4381108208")</f>
        <v/>
      </c>
      <c r="F76" t="inlineStr"/>
      <c r="G76" t="inlineStr">
        <is>
          <t>Chicago, IL</t>
        </is>
      </c>
      <c r="H76" t="inlineStr"/>
      <c r="I76"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Join our growing AI \&amp; Analytics (AI\&amp;A) team within the Corporate Performance Improvement practice, where you'll drive innovation in AI by leveraging Generative and Agentic technologies to transform business strategies. As a Data Scientist at the Manager level, you will combine strategic consulting with hands\-on expertise to design and implement advanced AI solutions. Collaborating across practice areas, you will develop impactful applications that address complex business challenges and deliver measurable results for clients across industries.
 This role offers the unique opportunity to serve as both a trusted advisor to clients and a hands\-on practitioner, developing and deploying advanced AI applications. You will collaborate closely with client executives, applying your technical skills to deliver tangible results. With access to exceptional career development opportunities, training, and exposure to diverse industries, you’ll play a key role in driving innovation and meaningful change.
**How You Will Contribute**
* Lead project workstreams effectively, balancing technical and functional while ensuring quality deliverables
* Serve as a hands\-on leader, actively contributing to the development and implementation of AI solutions as needed to achieve project objectives
* Apply structured problem\-solving frameworks and methodologies to design and execute project plans, ensuring alignment with client goals
* Build strong relationships with clients, demonstrating executive presence and professionalism
* Support business development efforts, including proposal creation and sales initiatives
* Identify client needs and opportunities for A\&amp;M, leveraging your network to maintain and grow business relationships
* Foster an inclusive and engaging team environment that values collaboration and diverse perspectives
**Qualifications**
* 8\+ years of experience with Python, SQL, and AI/ML models, in analytics libraries like Pandas, NumPy, SciKit\-Learn, and PyTorch
* Proven experience developing Generative AI Solutions, including large language model (LLM) based applications, Retrieval\-Augmented Generation (RAG) systems
* Experience implementing Agentic AI frameworks, such as CrewAI and LangChain, to build autonomous systems in production settings
* Proficiency in building APIs and backend applications with frameworks like FastAPI and Flask
* Experience deploying solutions in cloud platforms such as AWS, GCP, or Azure (e.g. provisioning EC2 instances, creating Azure Bloc containers, etc.)
* Ability to translate and present complex technical concepts to C\-suite and executive audiences effectively
* Prior experience in consulting or a comparable client\-facing role
* Willingness to travel as required for client engagements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salary range is $135,000 \- $190,000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77">
      <c r="A77" t="inlineStr">
        <is>
          <t>li-4379690885</t>
        </is>
      </c>
      <c r="B77" t="inlineStr">
        <is>
          <t>Data Scientist</t>
        </is>
      </c>
      <c r="C77" t="inlineStr">
        <is>
          <t>Jobs via Dice</t>
        </is>
      </c>
      <c r="D77" t="inlineStr">
        <is>
          <t>linkedin</t>
        </is>
      </c>
      <c r="E77">
        <f>HYPERLINK("https://www.linkedin.com/jobs/view/4379690885", "https://www.linkedin.com/jobs/view/4379690885")</f>
        <v/>
      </c>
      <c r="F77">
        <f>HYPERLINK("https://click.appcast.io/t/3nEE4RnIKRT45_WN3shze1YuIjTHmjnR1Yk19uaHvlQ=&amp;urlHash=pHTy", "https://click.appcast.io/t/3nEE4RnIKRT45_WN3shze1YuIjTHmjnR1Yk19uaHvlQ=&amp;urlHash=pHTy")</f>
        <v/>
      </c>
      <c r="G77" t="inlineStr">
        <is>
          <t>Denver, CO</t>
        </is>
      </c>
      <c r="H77" t="inlineStr"/>
      <c r="I77" t="inlineStr">
        <is>
          <t>Dice is the leading career destination for tech experts at every stage of their careers. Our client, INNOVIT USA INC, is seeking the following. Apply via Dice today!
**Hiring:** 
 W2 Candidates Only
**Visa:** 
 Open to any visa type with valid work authorization in the USA
**Key Responsibilities**
* Collect, clean, and preprocess structured and unstructured data.
* Perform exploratory data analysis (EDA) to identify trends and patterns.
* Develop machine learning models (regression, classification, clustering).
* Build and validate predictive and forecasting models.
* Deploy models into production using APIs or batch pipelines.
* Create dashboards and visualizations to present insights to stakeholders.
* Collaborate with data engineers to optimize data pipelines.
* Monitor model performance and retrain models as necessary.
* Document methodologies, experiments, and findings.
* Ensure data governance, privacy, and compliance standards are followed.
**Required Skills** 
* Strong proficiency in Python (Pandas, NumPy, Scikit\-learn).
* Experience with machine learning frameworks such as:
+ TensorFlow
+ PyTorch
* Strong understanding of statistics and probability.
* Experience with SQL and relational databases.
* Knowledge of data visualization tools (Matplotlib, Seaborn, Power BI, Tableau).
* Experience with data preprocessing and feature engineering.
* Understanding of model evaluation metrics (Accuracy, Precision, Recall, F1\-score, ROC\-AUC).
**Preferred Qualifications**
* Experience with big data tools (Spark, Hadoop).
* Knowledge of NLP (Natural Language Processing).
* Experience with cloud platforms (AWS, Azure, Google Cloud Platform).
* Familiarity with MLOps tools (MLflow, Kubeflow).
* Experience with deep learning and neural networks.
* Understanding of data security and governance frameworks.</t>
        </is>
      </c>
    </row>
    <row r="78">
      <c r="A78" t="inlineStr">
        <is>
          <t>li-4380003481</t>
        </is>
      </c>
      <c r="B78" t="inlineStr">
        <is>
          <t>Data Scientist</t>
        </is>
      </c>
      <c r="C78" t="inlineStr">
        <is>
          <t>Jobs via Dice</t>
        </is>
      </c>
      <c r="D78" t="inlineStr">
        <is>
          <t>linkedin</t>
        </is>
      </c>
      <c r="E78">
        <f>HYPERLINK("https://www.linkedin.com/jobs/view/4380003481", "https://www.linkedin.com/jobs/view/4380003481")</f>
        <v/>
      </c>
      <c r="F78">
        <f>HYPERLINK("https://click.appcast.io/t/r_BdCpXBKfdv7cvgLKgKims6fd2q9Po0lohg4JYU3pk=&amp;urlHash=s9Fl", "https://click.appcast.io/t/r_BdCpXBKfdv7cvgLKgKims6fd2q9Po0lohg4JYU3pk=&amp;urlHash=s9Fl")</f>
        <v/>
      </c>
      <c r="G78" t="inlineStr">
        <is>
          <t>Dallas, TX</t>
        </is>
      </c>
      <c r="H78" t="inlineStr"/>
      <c r="I78" t="inlineStr">
        <is>
          <t>Dice is the leading career destination for tech experts at every stage of their careers. Our client, Learn Beyond Consulting LLC, is seeking the following. Apply via Dice today!
**Job Title: Data Scientist (3 7 Years Experience)**
**Location: Dallas TX**
**Duration: Contract**
**About the Role:**
 We are looking for a dynamic and business\-oriented Data Scientist with 3 7 years of experience to join our growing Data Science practice. This role involves working directly with business stakeholders to understand requirements, rapidly develop Proof of Concepts (POCs), present insights to business owners, and productionize successful solutions.
 The ideal candidate is self\-driven, statistical background, ability to talk to Data, adaptable, and capable of operating independently across the full data science lifecycle from business problem definition to deployment.
**Key Responsibilities:**
* Partner with business teams to understand and translate requirements into technical solutions
* Develop rapid POCs to validate business use cases
* Present technical findings and recommendations to business stakeholders
* Productionize validated ML solutions into scalable, enterprise\-ready deployments
**Work across the end\-to\-end ML lifecycle:**
* Data exploration and preprocessing
* Feature engineering
* Model development and training
* Hyperparameter tuning
* Model optimization
* MLOps implementation
* Contribute to and operate within established ML pipeline frameworks
**Required Skills \&amp; Experience:**
* 3 7 years of hands\-on Data Science experience
* Strong problem\-solving and analytical skills
* Experience working directly with business stakeholders
* Proven ability to take ML solutions from POC to production
* Strong communication and presentation skills
* Ability to work independently with minimal supervision
**Technical Expertise:**
* Azure Data Lake
* Azure Databricks
* Azure Data Science stack
* Azure DevOps
* MLflow
* PySpark
* SQL
* Experience with end\-to\-end ML pipelines and MLOps practices
**Rapid Prototyping Capability:**
* Ability to independently build and test POCs locally on a laptop
* Comfortable setting up development environments without dependency on enterprise cloud access
**Nice to Have:**
* Experience with Large Language Models (LLMs)
* Model fine\-tuning and GenAI adoption
* Experience in enterprise AI solution deployment
* Exposure to RAG or advanced AI architectures
**Ideal Candidate Profile:**
* Business\-facing Data Scientist
* Self\-motivated and adaptable
* Strong communicator with executive\-level presentation capability
* Comfortable working in fast\-paced environments
* Ownership mindset from ideation to production</t>
        </is>
      </c>
    </row>
    <row r="79">
      <c r="A79" t="inlineStr">
        <is>
          <t>li-4380011207</t>
        </is>
      </c>
      <c r="B79" t="inlineStr">
        <is>
          <t>Machine Learning Engineer / Data Scientist (Data bricks &amp; Snowflake)</t>
        </is>
      </c>
      <c r="C79" t="inlineStr">
        <is>
          <t>Jobs via Dice</t>
        </is>
      </c>
      <c r="D79" t="inlineStr">
        <is>
          <t>linkedin</t>
        </is>
      </c>
      <c r="E79">
        <f>HYPERLINK("https://www.linkedin.com/jobs/view/4380011207", "https://www.linkedin.com/jobs/view/4380011207")</f>
        <v/>
      </c>
      <c r="F79">
        <f>HYPERLINK("https://click.appcast.io/t/PXtqJtjOKy43y_Gg4rr0oPDoX4jxn3wFk6SApgMLq-M=&amp;urlHash=pOcz", "https://click.appcast.io/t/PXtqJtjOKy43y_Gg4rr0oPDoX4jxn3wFk6SApgMLq-M=&amp;urlHash=pOcz")</f>
        <v/>
      </c>
      <c r="G79" t="inlineStr">
        <is>
          <t>New York, NY</t>
        </is>
      </c>
      <c r="H79" t="inlineStr"/>
      <c r="I79" t="inlineStr">
        <is>
          <t>Dice is the leading career destination for tech experts at every stage of their careers. Our client, ISite Technologies Inc, is seeking the following. Apply via Dice today!
 Job Role:
 **Machine Learning Engineer / Data Scientist (Databricks \&amp; Snowflake)**
 Experience: 10\+ Years
 Location: NewYork
 Work Mode: Onsite
 Skills:
 🔹
 **ML Engineering \&amp; MLOps**
* Productionize ML models using MLflow for experiment tracking, model registry, and lifecycle management
* Implement CI/CD pipelines for ML workflows
* Monitor model performance and manage version control
* Ensure reproducibility and governance of ML assets
* Manage feature pipelines and model retraining strategies
 \_\_\_\_\_\_\_\_\_\_\_\_\_\_\_\_\_\_\_\_\_\_\_\_\_\_\_\_\_\_\_\_\_\_\_\_\_\_\_\_
 🔹
 **Databricks \&amp; Distributed Processing**
* Build scalable data pipelines using Databricks (Spark)
* Optimize distributed workloads for performance and cost efficiency
* Implement notebook\-based and production\-grade job workflows
* Leverage Unity Catalog for governance, lineage, and secure data/model access control
 \_\_\_\_\_\_\_\_\_\_\_\_\_\_\_\_\_\_\_\_\_\_\_\_\_\_\_\_\_\_\_\_\_\_\_\_\_\_\_\_
 🔹
 **Data Warehousing \&amp; Snowflake**
* Design and optimize data models in Snowflake
* Write advanced SQL queries for transformation and analytics
* Integrate Snowflake with Databricks for seamless data workflows
* Support ELT/ETL design and performance tuning</t>
        </is>
      </c>
    </row>
    <row r="80">
      <c r="A80" t="inlineStr">
        <is>
          <t>li-4381121383</t>
        </is>
      </c>
      <c r="B80" t="inlineStr">
        <is>
          <t>Principal Applied Scientist</t>
        </is>
      </c>
      <c r="C80" t="inlineStr">
        <is>
          <t>Oracle</t>
        </is>
      </c>
      <c r="D80" t="inlineStr">
        <is>
          <t>linkedin</t>
        </is>
      </c>
      <c r="E80">
        <f>HYPERLINK("https://www.linkedin.com/jobs/view/4381121383", "https://www.linkedin.com/jobs/view/4381121383")</f>
        <v/>
      </c>
      <c r="F80">
        <f>HYPERLINK("https://eeho.fa.us2.oraclecloud.com/hcmUI/CandidateExperience/en/job/329446/?utm_medium=jobboard&amp;utm_source=LinkedIn&amp;urlHash=1yFy", "https://eeho.fa.us2.oraclecloud.com/hcmUI/CandidateExperience/en/job/329446/?utm_medium=jobboard&amp;utm_source=LinkedIn&amp;urlHash=1yFy")</f>
        <v/>
      </c>
      <c r="G80" t="inlineStr">
        <is>
          <t>Nashville, TN</t>
        </is>
      </c>
      <c r="H80" t="inlineStr"/>
      <c r="I80" t="inlineStr">
        <is>
          <t>**Job Description**
 We are searching for a
 **Principal Applied Scientist to join OCI Planning Strategic Initiative (PSI)** 
 team in Nashville, TN this is a critical role in improving operational efficiency, driving cross\-functional visibility, and enabling leadership to make data\-backed investments and risk\-aware decisions. The ideal candidate will be a highly motivated, analytical individual with strong communication skills to help the organization meet its strategic and financial objectives. Responsibilities will include translating disparate and complex data sets into actionable insights across OCI’s strategic initiatives. The ideal candidate is a subject matter expert in business operations and analytics, with a passion for data and a strong ability to translate complex information into actionable insights. Deep technical leadership to forecasting, scenario modeling, optimization needed to improve planning accuracy, quantify risk, and guide high\-stakes capacity and investment decision at OCI scale. This leader will set scientific direction, establish rigorous evaluation and governance, and partner across planning, engineering, and finance to operationalize decision models into repeatable planning processes and measurable outcomes.
**Responsibilities:**
**Demand, growth, and workload forecasting (multi\-level)**
* Develop and improve forecasting models for OCI demand/consumption and key drivers (by region, service, customer segment, shape/SKU)
* Build hierarchical approaches (global\&gt;region\&gt;AD/cluster/service) and reconcile forecasts across levels.
* Quantify and communication uncertainty (prediction intervals, scenario ranges) to support planning decisions.
**Capacity planning and supply risk modeling** 
* Translate demand forecasts into capacity requirements (compute/storage/network) considering constraints (lead times, redundancy, placement rules)
* Model Supply risks and constraints (procurement delays, buildout timelines, utilization targets, failure domains)
* Create risk indicators (headroom depletion probability, hotspot detection, time\-to\-exhaustion
**Optimization \&amp; Decision Analytics for Planning**
* Formulate optimization problems to recommend actions (where to add capacity, how to allocate limited supply, prioritization across regions/services
* Perform tradeoff analysis across cost, performance, availability, strategic priorities.
* Develop scenario tools for “what if” planning (demand shocks, product launches, regional events)
* Measurement, back testing, and model governance
**Data partnership \&amp; Feature/driver engineering**
* Identify and validate leading indicators (pipeline signals, launches, pricing changes, customer ramp patterns, seasonality, macro factors where allowed)
* Improve data quality through anomaly detection, reconciliation, and automated checks.
* Explore and research data and answer strategic business questions, with data transformation, statistical analyses, or machine learning methods
* Fine\-tune and optimize algorithms and models to ensure scalability, reliability, and performance at a high level
* Collaborate with data scientists and other stakeholders to understand data needs and develop solutions that meet those needs
**Cross\-functional influence and communication**
* Partner with planners, finance/FinOps, capacity engineering and product teams to align on assumptions and actions
* Communicate results to exec and operational stakeholders with clear narratives: drivers, uncertainty, risks and recommended mitigations.
* Drive adoption\-ensure models change planning decisions and improve outcomes.
**Metrics and KPI design expertise** 
 , including defining the north star and guardrail metrics and ensuring metric definitions are unambiguous, consistent, and actionable.
**Basic applied ML understanding** 
 , familiarity with model types (classification/regression), evaluation metrics (AUC, precision/recall), and core concepts such as feature engineering, model training, offline/online evaluation, deployment/monitoring and iterative improvement. ML algorithms, feature engineering, model training, offline/online evaluation, deployment/monitoring and iterative model improvement
**Basic Data Engineering** 
 , including building data pipelines, reliability/SLAs for data, governance/definitions, reporting layers, and operational analytics
**Experimentation (A/B testing) experience** 
 , including designing experiments, analyzing results, avoiding common pitfalls
**Responsibilities**
**Qualifications:**
**Proficient in SQL and/or Python development for data analysis** 
 including writing complex queries, joining multiple sources, validating data quality, and building analysis\-ready datasets; python for analysis using pandas, notebooks, visualizations, and basic modeling.
**Experience with ETL/ELT and data modeling concepts** 
 such as dimensional modeling, event\-event\-log design, and semantic layers
**Experience building dashboards and BI reporting** 
 (e.g., Tableau/Power BI/Looker) to operationalize insights and support decision\-making.
**Metrics and KPI design expertise** 
 , including defining the north star and guardrail metrics and ensuring metric definitions are unambiguous, consistent, and actionable.
**Basic applied ML understanding** 
 , familiarity with model types (classification/regression), evaluation metrics (AUC, precision/recall), and core concepts such as feature engineering, model training, offline/online evaluation, deployment/monitoring and iterative improvement. ML algorithms, feature engineering, model training, offline/online evaluation, deployment/monitoring and iterative model improvement
**Basic Data Engineering** 
 , including building data pipelines, reliability/SLAs for data, governance/definitions, reporting layers, and operational analytics.
**Experimentation (A/B testing) experience** 
 , including designing experiments, analyzing results, avoiding common pitfalls (selection bias, peeking, multiple comparisons)
**Business/product problem framing** 
 with demonstrated ability to translate ambiguous questions into measurable hypotheses and requirements, and communication tradeoffs clearly
**Strong stakeholder management and executive communication skills** 
 , including synthesizing complex analyses into clear recommendations for executive audiences.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1">
      <c r="A81" t="inlineStr">
        <is>
          <t>li-4380975255</t>
        </is>
      </c>
      <c r="B81" t="inlineStr">
        <is>
          <t>Principal Applied Scientist</t>
        </is>
      </c>
      <c r="C81" t="inlineStr">
        <is>
          <t>Microsoft</t>
        </is>
      </c>
      <c r="D81" t="inlineStr">
        <is>
          <t>linkedin</t>
        </is>
      </c>
      <c r="E81">
        <f>HYPERLINK("https://www.linkedin.com/jobs/view/4380975255", "https://www.linkedin.com/jobs/view/4380975255")</f>
        <v/>
      </c>
      <c r="F81">
        <f>HYPERLINK("https://apply.careers.microsoft.com/careers/job/1970393556751851?utm_source=linkedin&amp;domain=microsoft.com&amp;src=LinkedIn&amp;urlHash=X1UZ", "https://apply.careers.microsoft.com/careers/job/1970393556751851?utm_source=linkedin&amp;domain=microsoft.com&amp;src=LinkedIn&amp;urlHash=X1UZ")</f>
        <v/>
      </c>
      <c r="G81" t="inlineStr">
        <is>
          <t>Redmond, WA</t>
        </is>
      </c>
      <c r="H81" t="inlineStr"/>
      <c r="I81" t="inlineStr">
        <is>
          <t>**Overview**
 Our Signals Modeling team builds the intelligence that powers how the advertising marketplace understands user behavior, measures impact and optimizes outcomes from initial impressions through downstream conversions and long\-term advertiser value.
 We develop large\-scale learning systems that infer intent and causal effects from incomplete and noisy feedback, enabling principled decision\-making across ranking, bidding, pricing, and budget allocation. Our work sits at the foundation of marketplace optimization, where accurate attribution and measurement directly influence billions in advertising spend.
 The team designs and operates state\-of\-the\-art modeling platforms spanning representation learning, weak\-supervision, multi\-objective training, calibration, and rigorous experimentation. We transform sparse engagement signals into reliable learning targets and build models that remain robust under delayed conversions, selection bias, and rapidly shifting marketplace dynamics.
 As a Principal Applied Scientist, you will help define the future of data\-driven attribution and causal measurement, shaping the methodologies that determine how value is estimated and optimized across the ecosystem. You will partner across research, engineering, and product leadership to introduce advanced inference techniques into production systems operating at massive scale.
 This is a high\-ownership role focused on solving structurally hard problems where ground truth is limited, experimentation is non\-trivial, and scientific rigor is essential to unlocking durable marketplace advantage.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Define and drive the scientific and technical strategy for data\-driven attribution (DDA) and causal measurement across advertising systems.
* Establish methodologies for incrementality estimation, counterfactual learning, delayed\-feedback modeling, and bias correction in environments with partial observability.
* Lead the design and production adoption of attribution and causal inference frameworks that improve bidding, ranking, optimization, and advertiser ROI at web scale.
* Set evaluation standards that distinguish correlation from causation and elevate experimental rigor across teams.
* Identify capability gaps and introduce advanced research, tools, or modeling approaches to strengthen measurement foundations.
* Operate across organizational boundaries to align research, engineering, product, and business leaders on measurement strategy.
* Serve as a subject\-matter expert and technical advisor on attribution and causal inference.
* Mentor scientists and influence technical direction to raise the organization’s scientific bar.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2\+ years experience presenting at conferences or other events in the outside research/industry community as an invited speaker.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5\+ years experience conducting research as part of a research program (in academic or industry settings).
 3\+ years experience developing and deploying live production systems, as part of a product team.
 3\+ years experience developing and deploying products or systems at multiple points in the product cycle from ideation to shipping.
* Recognized expertise in attribution, incrementality, marketplace experimentation, or causal ML.
* Track record of driving multi\-year research or modeling agendas that materially improved product outcomes.
* Experience defining measurement strategy for advertising platforms, marketplaces, or large\-scale recommendation systems.
* Publications, patents, or widely adopted internal methodologies in causal inference, experimentation, econometrics, or applied machine learning.
* History of mentoring senior scientists and elevating organizational scientific capability.
* Experience influencing director\- or VP\-level technical strategy.
* Demonstrated track record of setting technical direction for large\-scale machine learning or statistical systems that delivered measurable business impact.
* Deep expertise in causal inference, data\-driven attribution, treatment effect estimation, counterfactual learning, or experimental design — applied in production environments.
* Experience leading ambiguous, high\-impact initiatives where ground truth is limited and methodological rigor is critical.
* Proven ability to influence strategy and drive adoption of new measurement or modeling approaches beyond an immediate team.
* Significant experience developing and deploying production ML systems across multiple stages of the product lifecycle.
* Solid scientific judgment with a history of selecting appropriate methodologies under real\-world constraints.
* Exceptional communication skills with the ability to translate complex technical concepts into guidance for senior technical and business leaders.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2">
      <c r="A82" t="inlineStr">
        <is>
          <t>li-4378978019</t>
        </is>
      </c>
      <c r="B82" t="inlineStr">
        <is>
          <t>Senior Applied Scientist, Delivery Foundation Model</t>
        </is>
      </c>
      <c r="C82" t="inlineStr">
        <is>
          <t>myGwork - LGBTQ+ Business Community</t>
        </is>
      </c>
      <c r="D82" t="inlineStr">
        <is>
          <t>linkedin</t>
        </is>
      </c>
      <c r="E82">
        <f>HYPERLINK("https://www.linkedin.com/jobs/view/4378978019", "https://www.linkedin.com/jobs/view/4378978019")</f>
        <v/>
      </c>
      <c r="F82">
        <f>HYPERLINK("https://mygwork.com/jobs/amazon-senior-applied-scientist-delivery-foundation-model\u002d\u002d3?src=linkedin&amp;utm_source=linkedin&amp;utm_medium=referral&amp;utm_campaign=jobs&amp;urlHash=od87", "https://mygwork.com/jobs/amazon-senior-applied-scientist-delivery-foundation-model\u002d\u002d3?src=linkedin&amp;utm_source=linkedin&amp;utm_medium=referral&amp;utm_campaign=jobs&amp;urlHash=od87")</f>
        <v/>
      </c>
      <c r="G82" t="inlineStr">
        <is>
          <t>Santa Clara, CA</t>
        </is>
      </c>
      <c r="H82" t="inlineStr"/>
      <c r="I82" t="inlineStr">
        <is>
          <t>**This job is with Amazon, an inclusive employer and a member of myGwork – the largest global platform for the LGBTQ\+ business community. Please do not contact the recruiter directly.**
**Description**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Experience in Hive/Spark/Hbase/Yarn, or experience in SQL Server/MySQL and experience that includes strong analytical skills, attention to detail, and effective communication abilities
* Experience with programming languages such as Python, Java, C\+\+
* PhD in mechanical engineering, electrical engineering, material science, physics or equivalent, or PhD and 10\+ years of building machine learning models for business application experience
**Preferred Qualifications**
* PhD, or PhD and 5\+ years of building models for business application experience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Santa Clara \- 192,200\.00 \- 260,000\.00 USD annually
 USA, WA, Bellevue \- 167,100\.00 \- 226,100\.00 USD annually]]\&gt;</t>
        </is>
      </c>
    </row>
    <row r="83">
      <c r="A83" t="inlineStr">
        <is>
          <t>li-4375231102</t>
        </is>
      </c>
      <c r="B83" t="inlineStr">
        <is>
          <t>Senior Data Scientist</t>
        </is>
      </c>
      <c r="C83" t="inlineStr">
        <is>
          <t>Jobs via eFinancialCareers</t>
        </is>
      </c>
      <c r="D83" t="inlineStr">
        <is>
          <t>linkedin</t>
        </is>
      </c>
      <c r="E83">
        <f>HYPERLINK("https://www.linkedin.com/jobs/view/4375231102", "https://www.linkedin.com/jobs/view/4375231102")</f>
        <v/>
      </c>
      <c r="F83" t="inlineStr"/>
      <c r="G83" t="inlineStr">
        <is>
          <t>New York, NY</t>
        </is>
      </c>
      <c r="H83" t="inlineStr"/>
      <c r="I83" t="inlineStr">
        <is>
          <t>**Job Summary**
 As a Senior Data Scientist, you will leverage cutting\-edge technologies and methodologies to deliver data\-driven insights and solutions for complex customer needs. You will work on end\-to\-end solutions, including building Proof of Concepts (POCs), professional services, and integrating third\-party technologies with client systems. This role is pivotal to ensuring the successful implementation of data science\-driven products and capabilities, with a key focus on AI, machine learning, and Natural Language Processing (NLP). You will collaborate closely with cross\-functional teams, delivering innovative solutions to customers in highly dynamic, data\-intensive environments.
**Role \&amp; Responsibilities**
* Lead and execute complex customer engagements, utilizing specialized expertise in AI, Machine Learning, and NLP, including building POCs, integrations, and deployments with customer workflows.
* Apply a combination of technical, product, and data science expertise to co\-create solutions that address specific customer needs, including ideation, clarification, technical design, and documentation.
* Lead detailed customer presentations for complex technical propositions, focusing on explaining advanced data science concepts and AI/ML solutions in an accessible way.
* Manage relationships with internal and external stakeholders, ensuring that project and customer\-specific technical requirements are captured, refined, and translated into actionable solutions.
* Oversee and contribute to the development of Proof of Concepts, ensuring integration with customer workflows and systems.
* Lead the technical design and implementation of AI and machine learning solutions that integrate with existing client infrastructure.
* Drive the adoption of advanced data science and AI technologies to deliver high\-value solutions.
* Develop and present strategies for scaling AI solutions, utilizing cloud platforms (Azure, AWS, GCP) for production\-ready deployments.
* Lead and mentor junior team members, fostering a collaborative environment for continuous learning and technical growth.
**Qualifications and Experience Required**
* 10\+ years of experiencein data science or a related field, with a focus on AI, machine learning, and NLP, preferably in a senior technical or leadership role.
* Bachelor's or Master's degreein Computer Science, Engineering, Data Science, or related field. A Ph.D. in a relevant field is a plus.
* Expertise in Natural Language Processing (NLP)with a deep understanding of the latest NLP stack, including transformer\-based architectures such as BERT, GPT, T5, and newer models like GPT\-4, PaLM, and other state\-of\-the\-art large language models (LLMs) that are driving the evolution of NLP applications.
* Extensive experiencewith advanced machine learning and deep learning frameworks such as TensorFlow 2\.x, PyTorch, Hugging Face, and JAX for NLP and other advanced AI tasks.
* Deep knowledge of cloud services (AWS, GCP, Azure)and their use in data science workflows, particularly for deploying machine learning models at scale.
* Expertise in Python, with advanced knowledge of modern data science and machine learning libraries such as Pandas, NumPy, SciPy, scikit\-learn, spaCy, as well as cutting\-edge NLP frameworks like Hugging Face Transformers, Datasets, and NLTKfor efficient model training, fine\-tuning, and data preprocessing.
* Strong programming skills in Python, R, and SQL, with advanced proficiency in handling large\-scale data using distributed data systemslike Apache Spark, cloud\-native NoSQL databasessuch as MongoDB, Cassandra, and DynamoDB, as well as search engines like Elasticsearchand vector databasesfor semantic search (e.g., Pinecone, Weaviate).
* Hands\-on experiencewith data ingestion, data wrangling, and data pipeline orchestration using tools like Apache Kafka, Apache Spark, Airflow, and distributed computing frameworks like Daskand Ray.
* Experience with advanced data science methodologies, including ensemble learning, deep reinforcement learning, transfer learning, and deploying large pre\-trained modelsfor real\-time inference and production.
* Ability to design, prototype, and deploy NLP modelsfor a range of applications, from information retrieval to sentiment analysis, chatbots, and question answering systems.
* Demonstrated success in delivering solutions in complex, fast\-paced environments with a focus on customer satisfaction and technical excellence.
* Strong communication skills, with the ability to explain complex technical concepts to both technical and non\-technical stakeholders.
* Proven experience in customer\-facing rolesis highly valued, particularly in the enterprise tech or financial sectors.
* Familiarity with AI\-powered product developmentin industries such as finance, healthcare, or e\-commerce.
* Experience with data visualization toolslike Tableau, Power BI, or Plotlyto present data science findings effectively.
* Knowledge of regulatory requirements in finance, including experience working with financial data feeds and APIs.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2026-03-04T23:14:42Z</dcterms:created>
  <dcterms:modified xsi:type="dcterms:W3CDTF">2026-03-04T23:14:42Z</dcterms:modified>
</cp:coreProperties>
</file>