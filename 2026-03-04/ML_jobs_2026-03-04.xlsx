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in-8e94845e3e07bb64</t>
        </is>
      </c>
      <c r="B2" t="inlineStr">
        <is>
          <t>Identity AI / ML Engineer</t>
        </is>
      </c>
      <c r="C2" t="inlineStr">
        <is>
          <t>Openkyber</t>
        </is>
      </c>
      <c r="D2" t="inlineStr">
        <is>
          <t>indeed</t>
        </is>
      </c>
      <c r="E2" t="inlineStr"/>
      <c r="F2" t="inlineStr"/>
      <c r="G2" t="inlineStr">
        <is>
          <t>Phoenix, AZ, US</t>
        </is>
      </c>
      <c r="H2" s="1" t="n">
        <v>46084</v>
      </c>
      <c r="I2" t="inlineStr">
        <is>
          <t>Senior Python Engineer / Senior AI ML Engineer Birmingham, AL Long term Contract Position Purpose We are seeking a highly skilled Senior AI Engineer to join our ML/AI team, focusing on the exploration and implementation of Machine Learning, Generative AI, and other innovative technologies. This role will be instrumental in building interfaces that expose the use of AI technologies. The ideal candidate for this role is a seasoned full\-stack software engineer with a passion for innovation and a track record of integrating AI into real\-world applications. This candidate brings extensive experience in building scalable, event\-driven systems over the web, leveraging classical AI mechanisms such as using transformers, invoking them for inferences, and returning data formatted back to clients.
Proficiency in cloud platforms, particularly Google Cloud Platform (Google Cloud Platform), is essential. Additionally, they should be familiar with dynamic real\-time APIs, using cloud functions, Kubernetes, Cloud Run, or similar technologies. With a collaborative mindset, this individual thrives in a team environment, working closely with a lead engineer, product owner, and data scientist to deliver high\-quality solutions. Proficiency in Python for back\-end development is essential, ensuring seamless integration across the stack.
Excellent communication skills and a knack for problem\-solving effectively contribute to the team's success by translating complex technical concepts into actionable strategies. Responsibilities : Independent Execution: Demonstrate the ability to execute tasks and projects independently, driving them from inception to completion with minimal supervision. Exhibit self\-reliance and resourcefulness in problem\-solving, leveraging technical expertise to overcome challenges effectively. Take ownership of assigned responsibilities and deliverables, ensuring they are completed accurately and on schedule.
Design and whiteboard solutions, collaborating with the team to develop and implement innovative approaches. Cloud Solutions Development: Take an active role in the design and implementation of Cloud solutions, particularly on Google Cloud Platform (Google Cloud Platform) and Vertex AI, for assigned projects or components within the team. Guide the full lifecycle of development, from initial design to production deployment, ensuring quality and efficiency. Design and whiteboard solutions, collaborating with the team to develop and implement innovative approaches.
Experience with dynamic event driven APIs, utilizing technologies such as Cloud Functions, Kubernetes, Cloud Run, or similar platforms. Continuous Learning and Improvement: Stay abreast of emerging technologies and industry trends to evolve the team's capabilities continually. Foster a culture of curiosity and learning, encouraging experimentation and growth. Requirements : Bachelor's degree in Computer Science, Engineering, or related field.
Minimum of 5 years of experience in back\-end software development, with a strong focus on Python, Cloud solutions and development\-to\-production lifecycle. Proficient in a Cloud Platform (Google Cloud Platform is a plus). Hands\-on experience in building/deploying resilient event driven solutions. Passion for learning and applying new technologies, with the ability to inspire and drive innovation within the team.
Excellent communication, collaboration, and problem\-solving skills. Experience with AI is a plus. Experience with deploying and supporting Machine Learning/Large Language Models a plus. For applications and inquiries, contact: hirings@openkyber.com</t>
        </is>
      </c>
    </row>
    <row r="3">
      <c r="A3" t="inlineStr">
        <is>
          <t>in-0b88c21c68ead62a</t>
        </is>
      </c>
      <c r="B3" t="inlineStr">
        <is>
          <t>Lead AI or ML Engineer, Optum Technology - Remote</t>
        </is>
      </c>
      <c r="C3" t="inlineStr">
        <is>
          <t>Optum</t>
        </is>
      </c>
      <c r="D3" t="inlineStr">
        <is>
          <t>indeed</t>
        </is>
      </c>
      <c r="E3" t="inlineStr"/>
      <c r="F3" t="inlineStr"/>
      <c r="G3" t="inlineStr">
        <is>
          <t>Minnetonka, MN, US</t>
        </is>
      </c>
      <c r="H3" s="1" t="n">
        <v>46084</v>
      </c>
      <c r="I3"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Technical Leadership: Provide technical guidance and leadership to development teams, ensuring alignment with architectural standards and best practices
* Solution Design: Design and document scalable, secure, and efficient software architectures that meet business requirements
* Stakeholder Collaboration: Work closely with stakeholders, including product managers, business analysts, and developers, to understand requirements and translate them into technical solutions
* Technology Evaluation: Evaluate and recommend tools, frameworks, and technologies to improve system performance, scalability, and maintainability
* Code Reviews/Collaboration: Conduct code reviews to ensure adherence to architectural principles, coding standards, and quality guidelines. Collaboration with dev team to ensure timely deliverables and resolve any technical blockers
* Performance Optimization: Identify and address performance bottlenecks, ensuring systems are optimized for speed and reliability
* Documentation: Create and maintain architectural documentation, including diagrams, technical specifications, and guidelines
* Risk Management: Identify potential risks in the architecture and propose mitigation strategies
* Compliance: Ensure that solutions comply with industry standards, security protocols, and regulatory requirements
* Continuous Improvement: Stay updated on industry trends and incorporate AI/innovative practices into the architecture
 **Soft Skills:**
* Solid leadership and team management abilities
* Excellent communication and collaboration skills
* Ability to translate business requirements into technical solutions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Software Engineering, or a related field
* 8\+ years of experience in software development, with 3\+ years in an architectural or leadership role
* Experience with databases (SQL and NoSQL) and data modeling
* Proven experience designing and implementing scalable, distributed systems
* Knowledge of industry trends and emerging technologies
* Solid knowledge of cloud platforms (e.g., AWS, Azure, Google Cloud)
* Familiarity with DevOps practices, CI/CD pipelines, and containerization (e.g., Docker, Kubernetes)
* Expertise in microservices architecture, APIs, and integration patterns
* Proficiency in multiple programming languages (e.g., Python, Java)
* Proven solid problem\-solving and analytical skills
* Proven ability to mentor and guide development teams
 **Preferred Qualifications:**
* Cloud certifications (e.g., AWS Certified Solutions Architect, Azure Solutions Architect Expert)
* Claims processing/EDI related knowledge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4">
      <c r="A4" t="inlineStr">
        <is>
          <t>in-7db2f277a078910d</t>
        </is>
      </c>
      <c r="B4" t="inlineStr">
        <is>
          <t>Identity AI / ML Engineer</t>
        </is>
      </c>
      <c r="C4" t="inlineStr">
        <is>
          <t>Openkyber</t>
        </is>
      </c>
      <c r="D4" t="inlineStr">
        <is>
          <t>indeed</t>
        </is>
      </c>
      <c r="E4" t="inlineStr"/>
      <c r="F4" t="inlineStr"/>
      <c r="G4" t="inlineStr">
        <is>
          <t>AK, US</t>
        </is>
      </c>
      <c r="H4" s="1" t="n">
        <v>46084</v>
      </c>
      <c r="I4" t="inlineStr">
        <is>
          <t>**Sr Data Engineer (Core Data Engg with ML/AI ) :**
Data engineer plus data analysis.
Data science and ML engineers is a highly preferred skillset.
Highest proficiency in python and SQL Data engineering, data pipeline creation and data manipulation
Apache airflow is preferred but any ETL skill and tooling is ok.
Skill is more important than tool
Data warehousing concepts are a must\- no preference on the tool
Structured and unstructured data mashing and analysis
Experience between 5\-10 years
**For applications and inquiries, contact:** hirings@openkyber.com</t>
        </is>
      </c>
    </row>
    <row r="5">
      <c r="A5" t="inlineStr">
        <is>
          <t>in-e124e38991469030</t>
        </is>
      </c>
      <c r="B5" t="inlineStr">
        <is>
          <t>AI / Machine Learning Engineer</t>
        </is>
      </c>
      <c r="C5" t="inlineStr">
        <is>
          <t>JobSPOT</t>
        </is>
      </c>
      <c r="D5" t="inlineStr">
        <is>
          <t>indeed</t>
        </is>
      </c>
      <c r="E5" t="inlineStr"/>
      <c r="F5" t="inlineStr"/>
      <c r="G5" t="inlineStr">
        <is>
          <t>San Jose, CA, US</t>
        </is>
      </c>
      <c r="H5" s="1" t="n">
        <v>46085</v>
      </c>
      <c r="I5" t="inlineStr">
        <is>
          <t>Job Description
We are seeking a skilled **AI / Machine Learning Engineer** to design, develop, and deploy machine learning models that power intelligent applications and data\-driven products. The ideal candidate will have experience building scalable ML solutions and working with large datasets to solve real\-world problems.
This role involves collaboration with data scientists, software engineers, and product teams to deliver production\-ready AI systems.
Candidates with **OPT, OPT\-EAD, or H1B work authorization** are welcome to apply.
Key Responsibilities
* Design and develop machine learning models and AI\-driven solutions.
* Build, train, test, and deploy ML models into production environments.
* Work with large datasets to develop predictive models and algorithms.
* Implement data preprocessing, feature engineering, and model optimization.
* Develop scalable AI pipelines using modern frameworks and tools.
* Collaborate with cross\-functional teams to integrate AI solutions into applications.
* Monitor model performance and continuously improve model accuracy.
* Stay updated with the latest advancements in AI and machine learning technologies.
Required Skills
* Strong experience with **Python** and machine learning libraries.
* Experience with **TensorFlow, PyTorch, or Scikit\-learn**.
* Solid understanding of **machine learning algorithms and deep learning techniques**.
* Experience working with **data processing and model training pipelines**.
* Knowledge of **cloud platforms such as AWS, Azure, or Google Cloud**.
* Familiarity with **data analysis tools and large datasets**.
Preferred Qualifications
* Master’s degree in **Computer Science, Artificial Intelligence, Data Science, or related field**.
* Experience with **NLP, computer vision, or generative AI models**.
* Knowledge of **MLOps, Docker, Kubernetes, or CI/CD pipelines**.
* Experience deploying machine learning models in production environments.
Job Type: Full\-time
Pay: Up to $125,661\.76 per year
Benefits:
* 401(k)
* Dental insurance
* Flexible schedule
* Flexible spending account
* Health insurance
* Health savings account
* Life insurance
* Paid time off
* Parental leave
* Retirement plan
* Vision insurance
Work Location: In person</t>
        </is>
      </c>
    </row>
    <row r="6">
      <c r="A6" t="inlineStr">
        <is>
          <t>in-a55a0e4d35c68e05</t>
        </is>
      </c>
      <c r="B6" t="inlineStr">
        <is>
          <t>Senior Director, AI Engineering</t>
        </is>
      </c>
      <c r="C6" t="inlineStr">
        <is>
          <t>Ashley Furniture Industries</t>
        </is>
      </c>
      <c r="D6" t="inlineStr">
        <is>
          <t>indeed</t>
        </is>
      </c>
      <c r="E6" t="inlineStr"/>
      <c r="F6" t="inlineStr"/>
      <c r="G6" t="inlineStr">
        <is>
          <t>Tampa, FL, US</t>
        </is>
      </c>
      <c r="H6" s="1" t="n">
        <v>46085</v>
      </c>
      <c r="I6" t="inlineStr">
        <is>
          <t>**Senior Director, AI Engineering \| Ashley Furniture \| Remote (US) \| Full\-Time**
**About Ashley**  
Ashley is the largest furniture manufacturer and retailer in North America, and we're redefining how customers shop for furniture. We're building intelligent, conversational agents that go beyond answering questions—they initiate value\-driven conversations, design rooms, and orchestrate complex purchase flows across a two\-sided marketplace connecting customers with merchants and retailers.
**About the Role**  
We're looking for a Senior Director, AI Engineering to lead the development of agentic AI systems that power our next\-generation commerce platform. This is a hands\-on technical leadership role—you'll architect systems, write code, and ship products while building a team of world\-class AI engineers and applied scientists. You'll own the ML models, agent orchestration, and AI systems that power conversational shopping experiences across mobile, web, and third\-party AI platforms. Your work will directly impact how millions of customers discover, visualize, and purchase furniture—and how thousands of merchants and retailers grow their businesses through our platform.
**What You'll Do**
* Lead the design, development, and deployment of production agentic AI systems that power conversational commerce experiences
* Build decision systems combining traditional ML with large language models (LLMs)—modeling short\-term context from active conversations and maintaining long\-term customer memory
* Develop multi\-agent architectures with specialized orchestration for shopping, sales enablement, and customer support use cases
* Design and implement RAG systems, tool use patterns, and memory architectures that enable personalized, context\-aware interactions
* Drive post\-training and fine\-tuning strategies to adapt foundation models for commerce\-specific tasks
* Build integrations with third\-party AI platforms—shipping features that put our products in front of customers wherever they're already using AI
* Establish evaluation frameworks, quality metrics, and measurement methodologies for agent performance at scale
* Partner with product, design, and experience teams to ship features that improve customer engagement, conversion, and satisfaction
* Build and grow a team of AI engineers and applied scientists—hire exceptional talent, set technical direction, and develop people
**What We're Looking For**
* Deep experience building customer\-facing AI products—you've shipped conversational AI, shopping assistants, or recommendation systems that real users interact with at scale
* Strong technical expertise with LLMs and agentic systems: RAG architectures, tool use, memory systems, multi\-agent coordination, prompt engineering, fine\-tuning, and evaluation frameworks
* Production ML experience—you understand the tradeoffs between model quality, latency, cost, and reliability. You've optimized inference, managed model serving infrastructure, and built observability into AI systems
* Hands\-on technical leader—you're still close to the code, can debug production issues, and lead by example. You balance technical depth with people leadership
* Experience building and managing high\-performing teams—hiring, mentoring, and developing engineers. You've created environments where talented people do their best work
* Strong communication skills—you drive clarity across engineering, product, and business teams. You can translate technical complexity into business impact
**Nice to Have**
* Experience in e\-commerce, retail, or marketplace environments
* Background in computer vision, multi\-modal AI, or 3D/spatial understanding
* Experience building integrations with AI platform providers (OpenAI, Anthropic, Google)
* Familiarity with MCP (Model Context Protocol) or similar standards for AI discoverability
* Experience with two\-sided marketplace dynamics—building for both consumer and merchant/retailer experiences
**Why Ashley**
* *Greenfield opportunity*: Build agentic commerce from scratch at scale. This isn't incremental improvement—it's inventing a new category
* *Build your team:* Hire AI engineers and applied scientists, shape the technical bar, create the culture
* *Unique domain*: Furniture is ideal for agentic commerce—high\-consideration purchases, visual/spatial complexity, room design, styling. Problems that push the boundaries of what AI can do
* *Two\-sided platform*: Build AI that serves both consumers and the merchants/retailers who sell through us—compounding network effects Details
* *Location*: Remote (US\-based)
* *Reports to:* VP of AI, Customer, Retail \&amp; Sales
* *Compensation*: Competitive base \+ bonus \+ 3 weeks PTO</t>
        </is>
      </c>
    </row>
    <row r="7">
      <c r="A7" t="inlineStr">
        <is>
          <t>in-fcaeabb40cc4141c</t>
        </is>
      </c>
      <c r="B7" t="inlineStr">
        <is>
          <t>Data Scientist- AI Engineer</t>
        </is>
      </c>
      <c r="C7" t="inlineStr">
        <is>
          <t>Redwood Software Inc.</t>
        </is>
      </c>
      <c r="D7" t="inlineStr">
        <is>
          <t>indeed</t>
        </is>
      </c>
      <c r="E7" t="inlineStr"/>
      <c r="F7" t="inlineStr"/>
      <c r="G7" t="inlineStr">
        <is>
          <t>Remote, US</t>
        </is>
      </c>
      <c r="H7" s="1" t="n">
        <v>46084</v>
      </c>
      <c r="I7" t="inlineStr">
        <is>
          <t>***OUR MISSION***
**At Redwood, we empower our customers with lights\-out automation for their mission\-critical business processes.**
***ABOUT US***
Redwood Software is the leader in full stack automation fabric solutions for mission\-critical business processes. With the first SaaS\-based composable automation platform specifically built for ERP, we believe in the transformative power of automation. Our unparalleled solutions empower you to orchestrate, manage and monitor your workflows across any application, service or server — in the cloud or on premises — with confidence and control.
Redwood’s global team of automation experts and customer success engineers provide solutions and world\-class support designed to give you the freedom and time to imagine and define your future. Get out of the weeds and see the forest, with Redwood Software.
***CORE VALUES***
One Team. One Redwood
Make Your Own Weather
Obsess over Customer Success
Work the Problem
Be Curious
Own the Outcome
Respect Each Other
 ***YOUR IMPACT***
As the Data Scientist – AI Engineer, you will transform revenue data into AI\-powered intelligence that drives smarter, faster, and more predictive decision\-making across the business. You will lead the application of advanced analytics, machine learning, and generative AI to uncover patterns in sales performance, customer behavior, and revenue dynamics—turning complex data into clear strategic direction. By building scalable predictive models and embedding AI into revenue workflows, you will help forecast growth, reduce churn, optimize sales strategies, and identify high\-value opportunities. Your work will directly influence executive decision\-making, accelerate insight generation, and position AI as a core driver of measurable business impact across the revenue organization.
**Data Analysis, AI\-Driven Insights \&amp; Reporting:**
* Conduct in\-depth analysis of sales cycles, conversion rates, customer churn, and other revenue\-driving activities using advanced AI\-powered analytics tools and large\-scale data processing techniques to identify trends, opportunities, and areas for improvement.
* Leverage generative AI, machine learning platforms, and automated analytics solutions to accelerate insight generation and improve analytical depth and speed.
* Translate complex, AI\-derived data findings into clear, concise, and compelling narratives for various stakeholders, including executive leadership.
* Perform ad\-hoc, AI\-assisted data analysis to support strategic initiatives and answer critical business questions, utilizing automation to increase responsiveness and analytical scalability.
**Data Science \&amp; Predictive Modeling:**
* Apply advanced statistical methods, machine learning, and AI techniques (including supervised, unsupervised, and deep learning approaches where appropriate) to forecast revenue, predict customer behavior (e.g., churn risk, upsell potential), and optimize sales strategies.
* Design, develop, and deploy AI\-driven predictive models to segment customers, identify ideal customer profiles (ICPs), enhance lead scoring, and automate decision\-making processes.
* Utilize AI development frameworks and MLOps best practices to build scalable, production\-ready models and continuously improve model performance.
* Collaborate with stakeholders to define business problems and translate them into AI\-powered data science solutions, proactively identifying opportunities where AI can create measurable business impact.
* Continuously evaluate, monitor, and refine models for accuracy, fairness, and impact, leveraging automated retraining, experimentation platforms, and model performance tracking.
* Champion the responsible and effective use of AI across revenue analytics, ensuring transparency, governance, and alignment with business objectives.
 ***YOUR EXPERIENCE***
* Bachelor's degree in Business Analytics, Data Science, Statistics, Computer Science, Economics, or a related quantitative field. Master's degree preferred.
* 3\+ years of experience in a data science role, preferably within a Revenue Operations or Sales Operations function at a B2B software company.
* Proven experience with CRM systems (e.g., Salesforce) and marketing automation platforms.
* Strong experience with SQL for data extraction, manipulation, and analysis.
* Experience with statistical analysis and predictive modeling using Python (pandas, numpy, scikit\-learn)
* Experience using AI\-assisted analytics tools (LLM copilots, automated feature engineering, AutoML, etc.)
* Ability to design AI workflows that accelerate decision\-making with tools like Claude Code, ChatGPT and Gemini
**Additional Skills:**
* Exceptional analytical and problem\-solving skills with a keen eye for detail.
* Ability to work independently and collaboratively in a fast\-paced environment.
* Strong communication and presentation skills, with the ability to explain complex data concepts to non\-technical audiences.
* Proactive, self\-starter with a strong sense of ownership and accountability.
* Understanding of sales processes, SaaS business models, and key revenue metrics.
* Comfort integrating generative AI (LLMs) into workflows for insight generation, summarization, or automation
*If you like growth and working with happy, enthusiastic over\-achievers, you'll enjoy your career with us!*
**THE LEGAL BIT**  
Redwood is an equal opportunity employer. Redwood prohibits unlawful discrimination based on race, colour, religion, sex, gender identity, marital or veteran status, age, national origin, ancestry, citizenship, physical or mental disability, medical condition, genetic information or characteristics (or those of a family member), sexual orientation, pregnancy or any other consideration made unlawful by regional or local laws. We also prohibit discrimination based on a perception that anyone has any of those characteristics or is associated with a person who has or is perceived as having any of those characteristics. All such discrimination is unlawful and will have a zero tolerance policy applied to it.
Redwood will comply with all local data protection laws, including GDPR when it comes to the handling and processing of personal data. Should you wish for us to remove your personal data from our recruitment database, please email us directly at Recruitment@Redwood.com</t>
        </is>
      </c>
    </row>
    <row r="8">
      <c r="A8" t="inlineStr">
        <is>
          <t>in-36968fa6d573b4df</t>
        </is>
      </c>
      <c r="B8" t="inlineStr">
        <is>
          <t>Senior Data &amp; Applied Scientist</t>
        </is>
      </c>
      <c r="C8" t="inlineStr">
        <is>
          <t>Microsoft</t>
        </is>
      </c>
      <c r="D8" t="inlineStr">
        <is>
          <t>indeed</t>
        </is>
      </c>
      <c r="E8" t="inlineStr"/>
      <c r="F8" t="inlineStr"/>
      <c r="G8" t="inlineStr">
        <is>
          <t>Redmond, WA, US</t>
        </is>
      </c>
      <c r="H8" s="1" t="n">
        <v>46079</v>
      </c>
      <c r="I8" t="inlineStr">
        <is>
          <t>**Overview**  
The Windows and Devices mission is to build innovative, trusted, and open products and platforms that are centered on people, showcase the best of Microsoft, and empower every person and organization on the planet to achieve more. To achieve this mission, Microsoft Devices designs and manufactures 1st party premium hardware products including Surface, Xbox Gaming, HoloLens and Accessories. From product creation through product delivery, we innovate technology and processes across our supply and manufacturing base. Within the Windows and Devices (W\+D) organization, we are the Microsoft Devices Operations (MDO) organization.
Our mission to enrich work, life, and play by bringing iconic Microsoft products to life, and we accomplish this by managing a highly leveraged, fully digitized supply base that meets our product and business goals. As part of our scope, we manage New Product Introduction, Product Engineering, Strategic Sourcing, Global Manufacturing Operations, Manufacturing Test \&amp; Infrastructure (MTI), Supply Chain, and Device Services.
The AI Engineering team within MDO develops and deploys leading AI experiences that directly impact how Microsoft designs, plans, sources, manufactures, and delivers devices at global scale. Our multidisciplinary team \- spanning data science, software engineering, and data engineering \- delivers production solutions using Generative AI, ML/Deep Learning, mathematical optimization, and simulation, applied to real operational decisions with measurable impact.
You will be a Senior Data \&amp; Applied Scientist and are a senior AI/ML practitioner who has shipped production systems in complex operational environments \- ideally in supply chain, manufacturing, or sourcing. You combine deep technical expertise with business judgment to know which problems are worth solving and the engineering discipline to deliver solutions that last.
You navigate ambiguity comfortably, influence technical direction across teams, and hold yourself and others to high standards of rigor and impact.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**Senior Data \&amp; Applied Scientist** within the AI Engineering team, you will:
**Strategic Problem Framing \&amp; Partnership**
Partner with business stakeholders, Solution Managers, TPMs, and engineering teams to deeply understand business context, identify high\-value AI opportunities, and design intelligent solutions that deliver measurable business outcomes.
Frame complex operational problems into well\-defined analytical and technical approaches, bridging business needs with production\-ready AI capabilities.
**Technical Execution \&amp; Architecture**
* Architect and build production\-grade AI systems (ML/DL, GenAI, optimization) using Azure AI, open\-source, and custom models with full ownership from prototype to deployment.
* Drive engineering excellence: establish standards for code quality, MLOps, observability, testing, and secure deployment across the team.
**Influence \&amp; Thought Leadership**
* Evaluate emerging AI tools/frameworks; advise on adoption decisions.
* Represent MDO as a technical SME in cross\-Microsoft AI initiatives.
 Mentor and coach team members, raising the technical bar and fostering rigorous, inclusive innovation.
* Embody our Culture and Values
 **Qualifications** **Required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**Preferred qualification:**
* 6\+ years of professional experience delivering production AI/ML systems, including end\-to\-end model development, deployment, and monitoring.
* Hands\-on experience with Azure\-native platforms: Fabric, Kusto, Databricks, Synapse, Azure ML Studio.
* Background in supply chain, manufacturing, or hardware operations \- understanding of demand planning, yield optimization, or logistics is a strong plus.
* Experience building and maintaining MLOps infrastructure: CI/CD for models, automated retraining, drift detection, and rollout strategies.
* Strong systems thinking — able to make pragmatic trade\-offs between model performance, engineering cost, and operational simplicity.
* Experience with optimization methods (linear/mixed\-integer programming, simulation) applied to operational problems.
* Strong proficiency in Python and SQL; hands\-on experience with cloud ML platforms (Azure ML, Databricks, or equivalent).
* Experience with GenAI/LLM systems in production: RAG pipelines, prompt engineering, fine\-tuning, or LLMOps (model versioning, evaluation, monitoring).
* Demonstrated ability to work across engineering, product, and business teams to deliver outcomes not just models.
* Track record of communicating complex technical work to non\-technical stakeholders in a clear, decision\-ready manner.
\#W\+DJOBS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in-355a2e4fe150da9e</t>
        </is>
      </c>
      <c r="B9" t="inlineStr">
        <is>
          <t>Senior Applied Scientist</t>
        </is>
      </c>
      <c r="C9" t="inlineStr">
        <is>
          <t>Microsoft</t>
        </is>
      </c>
      <c r="D9" t="inlineStr">
        <is>
          <t>indeed</t>
        </is>
      </c>
      <c r="E9" t="inlineStr"/>
      <c r="F9" t="inlineStr"/>
      <c r="G9" t="inlineStr">
        <is>
          <t>Redmond, WA, US</t>
        </is>
      </c>
      <c r="H9" s="1" t="n">
        <v>46077</v>
      </c>
      <c r="I9"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It is an incredible time for AI initiatives at Microsoft. We're pushing the boundaries of AI and Machine Learning across multiple domains to advance Microsoft’s ambitious AI goals. Microsoft Copilot Studio is our comprehensive agent building platform that lets its customers create conversational and autonomous agents using natural language or a graphical interface. Copilot Studio makes it simple to design, test, and deploy solutions tailored to its customers’ industry, company, department, or role, whether they need agents for internal or external use cases.
 We are looking for a seasoned **Senior Applied Scientist** to contribute to the development and integration of cutting\-edge AI technologies into Microsoft Copilot Studio, ensuring they are inclusive, ethical, and impactful.
You will collaborate across product, design, research and engineering teams to bring innovative solutions to life, applying your expertise in machine learning, data science, and software engineering to solve complex problems. Your work will directly influence product quality and customer experiences. This role will combine machine learning and AI knowledge with software engineering expertise, while demonstrating a growth mindset and customer empathy.
You will play a crucial role in developing the Copilot Studio Applied Science and Research team’s direction in machine learning, Generative AI model fine\-tuning, Agent creation and deployment, AI evaluation and scaling. Join us in shaping the future of AI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experiment with AI architectures for improving LLM inference systems. This includes design patterns pertaining, but not limited to, RAG, Context Engineering, Multi\-Agent architectures, tooldesignetc.
* Develop robust evaluation frameworks to assess model performance,monitormodel behavior, conduct systematic benchmarking, and addressidentifiedweaknesses while ensuring compliance with customer standards.
* Build andmaintaininternal tools to streamline model fine\-tuning and evaluation workflows and automate repetitive tasks within secure development environments.
* Implement machine learning algorithms, large\-scale model fine\-tuning, especially with closed and open source LLMs, SLMs, multimodal or task\-specific models tohelp evaluate multi\-agent LLM systemsand deliver measurable product and customer impact.
* Provide deep subject matterexpertisein AI subfields (e.g., deep learning, Generative AI, NLP, muti\-modal models, reinforcement learning) to help translatecutting\-edgeresearch into practical, real\-world solutions that drive product innovation and business impact.
* Demonstrate deep understanding of small and large language models (SLMs and LLMs) architecture and optimization techniques to adapt out\-of\-the\-box solutions toparticular businessproblems.
* Prepare and analyze data for machine learning, identifying optimal features and addressing data gaps.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
* Bachelor’s degree in Computer Science, Statistics, Electrical/Computer Engineering, Physics, Mathematics or related field AND 6\+ years of experience in AI/ML, predictive analytics, software engineering or research
	+ OR Master’s degree AND 4\+ years of relevant experience
	+ OR PhD AND 3\+ year of relevant experience
	+ OR equivalent experience.
* Experience with MLOps Workflows, including CI/CD, monitoring, and retraining pipelines.
* Familiarity with modern LLMOps frameworks (e.g., LangChain, PromptFlow).
* Familiar with AI coding assistant, AI IDE, Agentic coding assistant such as GitHub Copilot, and Cursor.
* 3\+ years of experience conducting applied AI research in academic or industry settings.
* 3\+ year of experience developing and deploying live production systems or AI services.
* 2\+ years of experience developing evaluation systems for Generative AI or large\-scale deep learning models and ML stacks.
* Experience across the product lifecycle from ideation to shipping.
\#BICJobs
\#MCSJobs
\#CopilotStudio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in-6e66dd120c7f6b65</t>
        </is>
      </c>
      <c r="B10" t="inlineStr">
        <is>
          <t>Applied Scientist, Amazon Music AI Personalization</t>
        </is>
      </c>
      <c r="C10" t="inlineStr">
        <is>
          <t>Amazon.com</t>
        </is>
      </c>
      <c r="D10" t="inlineStr">
        <is>
          <t>indeed</t>
        </is>
      </c>
      <c r="E10" t="inlineStr"/>
      <c r="F10" t="inlineStr"/>
      <c r="G10" t="inlineStr">
        <is>
          <t>San Francisco, CA, US</t>
        </is>
      </c>
      <c r="H10" s="1" t="n">
        <v>46077</v>
      </c>
      <c r="I10" t="inlineStr">
        <is>
          <t>**DESCRIPTION**
---------------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Come join a team at the nexus of AI, machine learning, visual and audio technologies within Amazon Music's Artificial Intelligence \&amp; Personalization organization. We're transforming how customers experience music by creating context\-rich, intelligently assembled content that powers every surface—from AI\-generated playlists and insights to interactive experiences and visual storytelling.
Key job responsibilities  
* Work backwards from customer needs to research and develop novel machine learning approaches for music and spoken word multimodal content generation
* Design, develop, evaluate, and deploy scalable AI and ML solutions for customer problems including training LLMs, reasoning models, and diffusion models, agentic and RAG systems, diffusion models
* Ship production quality code for models and collaborate with software engineering teams to drive implementation and experimentation in complex Amazon production systems
* Improve upon existing methods by developing new data sources, testing model enhancements, and fine\-tuning model parameters
* Analyze and extract relevant information from large amounts of structured and unstructured, complex and interrelated datasets describing customer behavior and content
* Advocate technical solutions to business stakeholders, engineering teams, as well as executive level decision makers
* Communicate results, insights and recommendations to audiences of varying levels of technical sophistication
* Conduct literature reviews and stay current with advancements in the field, adapting latest in literature to build efficient and scalable models
* Promote the culture of experimentation and scientific rigor at Amazon
* Contribute to progress of the Amazon and broader research communities by publishing papers
A day in the life  
Lead innovation in AI/ML to shape Amazon Music experiences for millions. Develop state of the art models leveraging and advancing the latest developments in machine learning and genAI including post\-training of LLMs, diffusion models. Collaborate with talented engineers and scientists to guide research and build scalable models across our audio portfolio \- music, podcasts, live streaming, and more. Drive experiments and rapid prototyping, leveraging Amazon's data at scale. Innovate daily alongside world\-class teams to delight customers worldwide through personalization.  
About the team  
We are a team of deeply technical Applied Scientists and Machine Learning Engineers passionate about improving CX through state of the art AI methods. We work on multimodal generation to enhance the audio listening experience on several surfaces Alexa, mobile, fireTV \- from AI\-generated playlists and insights to interactive experiences and visual storytelling.
**BASIC QUALIFICATIONS**
------------------------
* Experience programming in Java, C\+\+, Python or related language
* Master's degree in computer science, mathematics, statistics, machine learning or equivalent quantitative field
**PREFERRED QUALIFICATIONS**
----------------------------
* Experience implementing algorithms using both toolkits and self\-developed code
* Have publications at top\-tier peer\-reviewed conferences or journals
* PhD in Engineering, Computer Science, Machine Learning, Operations Research, Statistics, or related fields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\- 157,300\.00 \- 212,800\.00 USD annually</t>
        </is>
      </c>
    </row>
    <row r="11">
      <c r="A11" t="inlineStr">
        <is>
          <t>in-4f1cd64a7387f476</t>
        </is>
      </c>
      <c r="B11" t="inlineStr">
        <is>
          <t>Principal Applied Scientist, Amazon Publisher Monetization - Prime Video Ads</t>
        </is>
      </c>
      <c r="C11" t="inlineStr">
        <is>
          <t>Amazon.com</t>
        </is>
      </c>
      <c r="D11" t="inlineStr">
        <is>
          <t>indeed</t>
        </is>
      </c>
      <c r="E11" t="inlineStr"/>
      <c r="F11" t="inlineStr"/>
      <c r="G11" t="inlineStr">
        <is>
          <t>Seattle, WA, US</t>
        </is>
      </c>
      <c r="H11" s="1" t="n">
        <v>46076</v>
      </c>
      <c r="I11" t="inlineStr">
        <is>
          <t>**DESCRIPTION**
---------------
The Amazon Publisher Monetization (APM) Prime Video Ads team sits at the intersection of premium video content and advertising innovation, developing differentiated advertising experiences that delight both advertisers and viewers. Prime Video has a unique combination of assets in our premium video content, wide customer reach, Amazon audience insights, and more, positioning us to become the lead publisher for Streaming TV ads globally. We are seeking a Principal Applied Scientist to evolves our advertising solutions, invent new advertiser and viewer experiences, and accelerate the pace of innovation across our rapidly growing business.  
This team develops systems that power Prime Video's advertising delivery and performance optimization. Our customers are global brand advertisers and agencies who leverage Prime Video's premium content to reach audiences in impactful ways. Given Prime Video's low ad load, we require extremely efficient ad delivery to maintain our premium positioning for advertisers while keeping viewers engaged.  
To be successful in this role you should be recognized as an industry expert who has experience defining a long\-term science vision within the AdTech and video advertising domain, driven fundamentally from the needs of customers, translating that direction into specific plans for research scientists, applied scientists, engineering and product teams. This is a role that combines science leadership, organizational ability, technical expertise, product focus, and business understanding. You will thrive in a fast\-paced startup\-like environment, think big, move fast, and find ways to improve both advertiser and viewer experiences through ML innovation. If you are interested in making huge impact and shaping the future of Prime Video Advertising worldwide, come join us as we work hard, have fun, and make history.  
Key job responsibilities  
As a Principal Applied Scientist, you will:  
Own and drive the most complex and strategic solutions across Prime Video Advertising; responsible for innovations that impact billions in revenue across our global streaming TV business.  
Act as a thought leader and forward thinker in the streaming TV advertising space, anticipating obstacles to success, identifying new opportunities in video advertising ML, and helping avoid common failure modes as the industry rapidly evolves.  
Research, build, and deploy innovative machine learning solutions for video advertising challenges including forecasting, yield optimization, ad serving optimization, supply\-demand management, and viewer experience optimization; working across all technical disciplines.  
Partner with science and engineering leaders across APM and Amazon Ads to identify and deliver innovative solutions that drive advertiser diversity, premium product innovation, and differentiated streaming TV experiences; define the vision and execute solutions that continually delight both advertisers and viewers.  
Hire, mentor, and guide senior scientists; partner with engineering leaders to build efficient and scalable solutions that operate 24x7x365 serving hundreds of millions of customers worldwide.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\- 198,900\.00 \- 269,000\.00 USD annually</t>
        </is>
      </c>
    </row>
    <row r="12">
      <c r="A12" t="inlineStr">
        <is>
          <t>in-b31bb6eea5ef4873</t>
        </is>
      </c>
      <c r="B12" t="inlineStr">
        <is>
          <t>Senior Generative AI Engineer</t>
        </is>
      </c>
      <c r="C12" t="inlineStr"/>
      <c r="D12" t="inlineStr">
        <is>
          <t>indeed</t>
        </is>
      </c>
      <c r="E12" t="inlineStr"/>
      <c r="F12" t="inlineStr"/>
      <c r="G12" t="inlineStr">
        <is>
          <t>Washington, DC, US</t>
        </is>
      </c>
      <c r="H12" s="1" t="n">
        <v>46085</v>
      </c>
      <c r="I12" t="inlineStr">
        <is>
          <t>Our client is seeking a Senior Generative AI Engineer to drive internal initiatives and provide AI engineering support for a major federal agency. The role centers on developing cloud\-native generative AI solutions and intelligent data pipelines on AWS, spanning intelligent document processing, computer vision, and related AI / ML domains.
The ideal candidate is energized and motivated with an extreme commitment to delivery and transformational change through the use of AI. They will think about generative AI in two dimensions: as a tool that makes them and their team dramatically faster, and as a core component of the intelligent systems they build. They understand that deploying an LLM inside a production workflow is a fundamentally different engineering challenge than using one to write a function, and they have done both. They take initiative without being asked and want ownership of the firm's trajectory, not just their deliverables.
Our client is a Benefit corporation \- legally committed to creating measurable social value alongside business performance. They offer mission\-driven, technically challenging work on complex federal initiatives, paired with direct client access, real ownership of your work product, and a culture that rewards initiative.
**Responsibilities**
*Client Delivery:*
* Design and deploy production\-grade Agentic AI systems where LLMs serve as operational components to reason, explain, and make decisions within live workflows
* Architect intelligent pipelines combining classical tools (OCR, fuzzy matching, structured query) with LLM\-based validation, confidence scoring, fallback logic, and automated logging for auditability and continuous improvement
* Translate ambiguous mission requirements into well\-scoped AI system designs; apply prompt and context engineering, RAG, semantic search, and fine\-tuning as appropriate; leverage AWS services including Bedrock, Textract, Lambda, and Step Functions
* Use generative AI tooling to accelerate the full development lifecycle: requirements analysis, code generation, test coverage, documentation, and deployment scaffolding
* Document and quality\-assure all project work prior to client delivery; attend meetings with agency staff, vendors, and external stakeholders as needed
*Firm Development:*
* Lead or contribute to business development, internal tool\-building, mentorship, or publication to strengthen Peregrine's AI capabilities and market position
**Requirements** *Core Technologies:*
* AWS Certification required: Certified AI Practitioner, or relevant AWS Associate, Specialist, or Professional\-level certification
* Hands\-on proficiency with AWS tools such as Amazon Bedrock, Textract, Step Functions, Lambda, Glue, CloudFormation, CDK, Cognito and related AWS services
* Python fluency including LangChain and AWS Strands; experience with vector databases and embedding workflows
* Experience with Model Context Protocol (MCP) to connect LLMs to external tools, APIs, and data sources; ability to design and implement MCP servers and clients in production architectures
* Advanced SQL, cloud\-native data pipeline management, and ETL workflows
*Domain Expertise \&amp; Professional Skills:*
* Expert knowledge of LLM behavior, confidence calibration, evaluation, and responsible AI principles. Knowledge includes explainability, auditability, and governance in regulated environments
* Experience with DevSecOps and MLOps: GitHub, CloudFormation, and related tools for version control, CI/CD, pipeline deployments, system and model monitoring, and drift detection
* Domain knowledge of federal data environments, government IT modernization, or public sector AI adoption
* Excellent written and oral communication skills; proven collaborator in professional or academic settings
*Professional Experience:*
* Bachelor’s required, advanced degree preferred; Computer Science, Data Science, AI, Applied Mathematics, Statistics, or related quantitative field strongly preferred
* 8\+ years in software development, ML engineering, or data science; background in computer science or related technical and/or quantitative fields
* Multi\-modal AI experience (vision, document understanding, structured extraction)
* Prior consulting, or client\-services experience strongly preferred
* Open\-source contributions or published GenAI research preferred
* Familiarity with OMB AI guidance and the NIST AI Risk Management Framework preferred
* U.S. citizenship; ability to obtain a Public Trust suitability determination required
**Benefits**  
Our client offers a comprehensive and competitive benefits package, including:
* Full health coverage (medical, dental, and vision) with 100% of employee premiums covered
* Life and disability insurance, fully covered by the company
* 401(k) retirement plan with 100% match on contributions up to 4% of salary with immediate vesting
* Unlimited Paid Time Off (PTO) to encourage work\-life balance
* Remote location but greater Washington, DC area preferred for hybrid engagement
* Sponsored AWS certification training
*Our client is an equal opportunity employer.*</t>
        </is>
      </c>
    </row>
    <row r="13">
      <c r="A13" t="inlineStr">
        <is>
          <t>in-f11eb902ecc7035f</t>
        </is>
      </c>
      <c r="B13" t="inlineStr">
        <is>
          <t>Senior Data &amp; AI Engineer</t>
        </is>
      </c>
      <c r="C13" t="inlineStr">
        <is>
          <t>Winnebago Industries, Inc.</t>
        </is>
      </c>
      <c r="D13" t="inlineStr">
        <is>
          <t>indeed</t>
        </is>
      </c>
      <c r="E13" t="inlineStr"/>
      <c r="F13" t="inlineStr"/>
      <c r="G13" t="inlineStr">
        <is>
          <t>Eden Prairie, MN, US</t>
        </is>
      </c>
      <c r="H13" s="1" t="n">
        <v>46084</v>
      </c>
      <c r="I13" t="inlineStr">
        <is>
          <t>*Are you looking to join a growing team and drive strategic AI solutions?* ***Winnebago Industries is seeking an experienced Senior Engineer of Data \&amp; AI based in our Eden Prairie, MN location.*** *This role is hybrid. The Sr. Engineer of Data and AI will be responsible for supporting strategic Artificial Intelligence (AI), Data Integration (DI), Business Intelligence (BI), and Master Data Management (MDM) initiatives across the Winnebago Industries enterprise. This role involves analyzing and integrating data, creating models, running simulations, and ensuring data platforms are efficient, cost\-effective, and aligned with enterprise strategies. The role will partner with business and technical subject matter experts to ensure the standardization and execution of enterprise\-wide data governance policies and procedures, the development of Master Data, and the creation of AI models for large language models (LLMs) to drive business decisions with data. Beyond individual contribution, the role will mentor and guide the work of a managed service operations team, ensuring alignment to organizational objectives, consistent execution, and the successful delivery of scalable, high**‑impact data and AI solutions.*  
Day to Day of the Role:
* Design, build, and optimize scalable data pipelines and AI solutions using Azure and Databricks to help influence and drive platform strategy/roadmaps.
* Develop and operationalize LLM/ML/AI capabilities into pipelines/workflows that continuously improve output quality and performance as use cases evolve.
* Establish and enforce master data management, enterprise data standards/definitions, and data quality practices; drive data cleansing/integrity initiatives and support MDM tool enablement.
* Leverage Dev/Sec/Ops best practices—including CI/CD, automated testing, and automation—to increase delivery speed and operational stability.
* Provide technical leadership, mentorship, and guidance to development teams and data professionals across the organization, fostering a culture of best practices, innovation, and continuous improvement
* Support and operate existing / legacy data platforms and integrations.
* Collaborate with business and analytics teams to translate requirements into technical designs that deliver measurable business value.
* Other duties as assigned based on business need
 Education \&amp; Experience:
* A minimum of 7 years of experience is necessary for this role, specifically in the areas of designing, implementing, and maintaining data and analytics capabilities using Microsoft Azure, Databricks, Python or comparable technologies.
* This position may require travel to other Winnebago locations.
 ***By fostering innovation, igniting growth, promoting well\-being and connecting with purpose, we cultivate the passion and pride that make both work and play extraordinary. Greatness is in your NATURE.***
This posting includes a range of the salary across a geographical market. The base pay for this position ranges from $140,000/year in our lowest geographic market up to $165,000/year in our highest geographic market. Pay is based on a number of factors including market location, internal equity, job\-related knowledge, skills, and experience. Dependent on the position other forms of compensation may be provided as part of a total compensation package, in addition to a full range of medical, financial, and/or other benefits. For more information, please visit https://www.winnebagoind.com/careers/total\-rewards.</t>
        </is>
      </c>
    </row>
    <row r="14">
      <c r="A14" t="inlineStr">
        <is>
          <t>in-60ad6e14503d13ec</t>
        </is>
      </c>
      <c r="B14" t="inlineStr">
        <is>
          <t>Sr. AI Engineer</t>
        </is>
      </c>
      <c r="C14" t="inlineStr">
        <is>
          <t>RealPage Inc</t>
        </is>
      </c>
      <c r="D14" t="inlineStr">
        <is>
          <t>indeed</t>
        </is>
      </c>
      <c r="E14" t="inlineStr"/>
      <c r="F14" t="inlineStr"/>
      <c r="G14" t="inlineStr">
        <is>
          <t>Richardson, TX, US</t>
        </is>
      </c>
      <c r="H14" s="1" t="n">
        <v>46084</v>
      </c>
      <c r="I14" t="inlineStr">
        <is>
          <t>Overview:
This role is responsible for supporting the entire scope of an application, including assisting with design, monitoring performance, understand interactions between components, as well as define limitations and requirements for source code. This role requires extensive experience in architecting and deploying web\-based and web\-enabled business applications, and must possess hands\-on experience in coding, deploying distributed architectures and platforms, creating benchmark tests, designing for scalability and performance, and implementing large\-scale systems
Responsibilities:
* Will work with Development Team to assist with design process of application software
* Will have responsibility for one or more technical aspects of development
* Help create documentation with regards to application architecture, design steps,
* integration processes, and testing processes
* Contribute to the development and implementation of RealPage Product
* Participate in routine product builds.
* Participate in design and code reviews.
* Participate in internal testing to identify problems early, perform error and stress scenarios.
* Identify and recommend where new technologies may be incorporated
* Will work with Business Analysts to aid in the design of the system
* Mentor junior developers
Qualifications:
* 7\+ years’ experience with mastery of OO analysis design principles, design patterns, SOA and distributed architecture patterns
* 10\+ years’ experience with the following technologies: C\#, .NET 3\.5\+, MVC 3\.0, JQuery, T\-SQL
* System performance tuning, supportability and logging experience with tools such as OpNet, SCOM, or FogLight.
* 5\+ years of system level, application level and database level performance management.
* 4\-year college degree in Computer Science or equivalent experience
* 10\+ years in the IT industry and a good understanding of the full life cycle of development
* Must be highly creative and have extremely strong problem\-solving skills
* Must have good written and verbal communication skills and be comfortable presenting to development groups.
* Must have a thorough understanding of: how web applications are architected, how web servers and clients interact, the influence of software and hardware architecture on each other, Database design
* Must be accustomed to working with Microsoft Development environment
* Conducts research on emerging application development software products and packages, languages, and standards in support of development efforts
* Creates new open source packages and improves existing packages
* Go to resource for other developers on the team
 ***SALARY AND BENEFITS***
* *RealPage provides a competitive salary package along with a comprehensive benefit plan that includes:*
* *Health, dental, and vision insurance.*
* *Retirement savings plan with company match.*
* *Paid time off and holidays.*
* *Professional development opportunities.*
* *Performance\-based bonus based on position.*
 *Compensation may vary depending on your location, qualifications including job\-related education, training, experience, licensure, and certification, that could result at a level outside of these ranges. Certain roles are eligible for additional rewards, including annual bonus, and sales incentives depending on the terms of the applicable plan and role as well as individual performance.*
*Equal Opportunity Employer: RealPage Company is an equal opportunity employer and committed to creating an inclusive environment for all employees.*
Pay Range: USD $125,700\.00 \- USD $213,900\.00 /Yr.</t>
        </is>
      </c>
    </row>
    <row r="15">
      <c r="A15" t="inlineStr">
        <is>
          <t>in-df69083a5f5407d8</t>
        </is>
      </c>
      <c r="B15" t="inlineStr">
        <is>
          <t>Identity AI / ML Engineer</t>
        </is>
      </c>
      <c r="C15" t="inlineStr">
        <is>
          <t>Openkyber</t>
        </is>
      </c>
      <c r="D15" t="inlineStr">
        <is>
          <t>indeed</t>
        </is>
      </c>
      <c r="E15" t="inlineStr"/>
      <c r="F15" t="inlineStr"/>
      <c r="G15" t="inlineStr">
        <is>
          <t>AK, US</t>
        </is>
      </c>
      <c r="H15" s="1" t="n">
        <v>46084</v>
      </c>
      <c r="I15" t="inlineStr">
        <is>
          <t>We are seeking a ML Engineer LLM Platforms \&amp; Assistants will design, build, and operate production\-grade large language model (LLM) pipelines primarily within AWS\-based environments. This role focuses on integrating OpenAI models into modular Python services, implementing Retrieval\-Augmented Generation (RAG) and semantic search, and deploying scalable, secure, and observable AI assistants.
**Key Responsibilities**
* Design and maintain LLM integrations using OpenAI APIs within AWS environments.
* Build Python\-based LLM services deployed on AWS compute platforms (ECS, EKS, Lambda, or EC2\).
* Implement RAG workflows and semantic search using AWS data and storage services.
* Develop LangChain or agentic workflows supporting reasoning and tool use.
* Integrate LLM pipelines with ETL/ELT workflows and enterprise data systems.
* Deploy and integrate MCP servers and emerging orchestration tools.
* Apply AWS security best practices using IAM, KMS, and Secrets Manager.
* Implement monitoring and observability using CloudWatch and related tools.
* Migrate custom GPT solutions into production\-grade AWS\-hosted assistants.
**Ideal Candidate Profile**
* 12\+ years of overall IT development experience, with a strong background in backend and distributed systems.
* 7\+ years of experience in Machine Learning, Data Engineering, or Applied AI engineering.
* Strong proficiency in Python, with experience building modular, production\-grade services.
* Proven experience implementing Retrieval\-Augmented Generation (RAG) and semantic search architectures.
* Hands\-on experience integrating and operationalizing OpenAI LLM APIs in production environments.
* Solid experience deploying and managing systems within AWS environments, including services such as S3, Lambda, ECS/EKS, and IAM.
* Experience building scalable, secure, and observable AI/ML systems in production.
**Qualifications**
* Desired Experience working with Amazon SageMaker and/or Amazon Bedrock for model development, deployment, or managed LLM services.
* Strong familiarity with AWS data services, including AWS Glue, Amazon Athena, Amazon OpenSearch Service, and Amazon Aurora.
* Hands\-on experience designing and implementing ETL/ELT data pipelines in cloud environments.
* Experience building LLM orchestration pipelines, including reasoning workflows, tool usage, and multi\-step agent architectures.
* Knowledge of LLM benchmarking, evaluation frameworks, and performance optimization (latency, cost, quality metrics).
* Experience integrating enterprise systems using SnapLogic.
* Exposure to Craxel Black Forest Time\-Series Database (or similar time\-series platforms); willingness to learn/train if not previously experienced.
* Experience implementing Infrastructure as Code (IaC) using AWS CDK, CloudFormation, or Terraform.
Education: Bachelor s degree in computer science or a related field.
**For applications and inquiries, contact:** hirings@openkyber.com</t>
        </is>
      </c>
    </row>
    <row r="16">
      <c r="A16" t="inlineStr">
        <is>
          <t>in-46c829930be5234a</t>
        </is>
      </c>
      <c r="B16" t="inlineStr">
        <is>
          <t>Sr. Applied Scientist, Amazon Ads</t>
        </is>
      </c>
      <c r="C16" t="inlineStr">
        <is>
          <t>Amazon.com</t>
        </is>
      </c>
      <c r="D16" t="inlineStr">
        <is>
          <t>indeed</t>
        </is>
      </c>
      <c r="E16">
        <f>HYPERLINK("https://www.indeed.com/viewjob?jk=46c829930be5234a", "https://www.indeed.com/viewjob?jk=46c829930be5234a")</f>
        <v/>
      </c>
      <c r="F16">
        <f>HYPERLINK("https://www.amazon.jobs/jobs/3139328/sr-applied-scientist-amazon-ads?cmpid=DA_INAD200785B", "https://www.amazon.jobs/jobs/3139328/sr-applied-scientist-amazon-ads?cmpid=DA_INAD200785B")</f>
        <v/>
      </c>
      <c r="G16" t="inlineStr">
        <is>
          <t>Brooklyn, NY,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in-8e9f6c6bcf990ea4</t>
        </is>
      </c>
      <c r="B17" t="inlineStr">
        <is>
          <t>Sr. Applied Scientist, Amazon Ads</t>
        </is>
      </c>
      <c r="C17" t="inlineStr">
        <is>
          <t>Amazon.com</t>
        </is>
      </c>
      <c r="D17" t="inlineStr">
        <is>
          <t>indeed</t>
        </is>
      </c>
      <c r="E17">
        <f>HYPERLINK("https://www.indeed.com/viewjob?jk=8e9f6c6bcf990ea4", "https://www.indeed.com/viewjob?jk=8e9f6c6bcf990ea4")</f>
        <v/>
      </c>
      <c r="F17">
        <f>HYPERLINK("https://www.amazon.jobs/jobs/3139328/sr-applied-scientist-amazon-ads?cmpid=DA_INAD200785B", "https://www.amazon.jobs/jobs/3139328/sr-applied-scientist-amazon-ads?cmpid=DA_INAD200785B")</f>
        <v/>
      </c>
      <c r="G17" t="inlineStr">
        <is>
          <t>Santa Monica, CA,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in-71ec394bdd1b4065</t>
        </is>
      </c>
      <c r="B18" t="inlineStr">
        <is>
          <t>Sr. Applied Scientist, Amazon Ads</t>
        </is>
      </c>
      <c r="C18" t="inlineStr">
        <is>
          <t>Amazon.com</t>
        </is>
      </c>
      <c r="D18" t="inlineStr">
        <is>
          <t>indeed</t>
        </is>
      </c>
      <c r="E18">
        <f>HYPERLINK("https://www.indeed.com/viewjob?jk=71ec394bdd1b4065", "https://www.indeed.com/viewjob?jk=71ec394bdd1b4065")</f>
        <v/>
      </c>
      <c r="F18">
        <f>HYPERLINK("https://www.amazon.jobs/jobs/3139328/sr-applied-scientist-amazon-ads?cmpid=DA_INAD200785B", "https://www.amazon.jobs/jobs/3139328/sr-applied-scientist-amazon-ads?cmpid=DA_INAD200785B")</f>
        <v/>
      </c>
      <c r="G18" t="inlineStr">
        <is>
          <t>Sunnyvale, CA,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in-c9e1f9227ba504cc</t>
        </is>
      </c>
      <c r="B19" t="inlineStr">
        <is>
          <t>Sr. Applied Scientist, Amazon Ads</t>
        </is>
      </c>
      <c r="C19" t="inlineStr">
        <is>
          <t>Amazon.com</t>
        </is>
      </c>
      <c r="D19" t="inlineStr">
        <is>
          <t>indeed</t>
        </is>
      </c>
      <c r="E19">
        <f>HYPERLINK("https://www.indeed.com/viewjob?jk=c9e1f9227ba504cc", "https://www.indeed.com/viewjob?jk=c9e1f9227ba504cc")</f>
        <v/>
      </c>
      <c r="F19">
        <f>HYPERLINK("https://www.amazon.jobs/jobs/3139328/sr-applied-scientist-amazon-ads?cmpid=DA_INAD200785B", "https://www.amazon.jobs/jobs/3139328/sr-applied-scientist-amazon-ads?cmpid=DA_INAD200785B")</f>
        <v/>
      </c>
      <c r="G19" t="inlineStr">
        <is>
          <t>New York, NY,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in-2c0fff2657fd8dba</t>
        </is>
      </c>
      <c r="B20" t="inlineStr">
        <is>
          <t>Sr. Applied Scientist, Amazon Ads</t>
        </is>
      </c>
      <c r="C20" t="inlineStr">
        <is>
          <t>Amazon.com</t>
        </is>
      </c>
      <c r="D20" t="inlineStr">
        <is>
          <t>indeed</t>
        </is>
      </c>
      <c r="E20">
        <f>HYPERLINK("https://www.indeed.com/viewjob?jk=2c0fff2657fd8dba", "https://www.indeed.com/viewjob?jk=2c0fff2657fd8dba")</f>
        <v/>
      </c>
      <c r="F20">
        <f>HYPERLINK("https://www.amazon.jobs/jobs/3139328/sr-applied-scientist-amazon-ads?cmpid=DA_INAD200785B", "https://www.amazon.jobs/jobs/3139328/sr-applied-scientist-amazon-ads?cmpid=DA_INAD200785B")</f>
        <v/>
      </c>
      <c r="G20" t="inlineStr">
        <is>
          <t>Boston, MA,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in-0f2302d66b30c014</t>
        </is>
      </c>
      <c r="B21" t="inlineStr">
        <is>
          <t>Sr. Applied Scientist, Amazon Ads</t>
        </is>
      </c>
      <c r="C21" t="inlineStr">
        <is>
          <t>Amazon.com</t>
        </is>
      </c>
      <c r="D21" t="inlineStr">
        <is>
          <t>indeed</t>
        </is>
      </c>
      <c r="E21">
        <f>HYPERLINK("https://www.indeed.com/viewjob?jk=0f2302d66b30c014", "https://www.indeed.com/viewjob?jk=0f2302d66b30c014")</f>
        <v/>
      </c>
      <c r="F21">
        <f>HYPERLINK("https://www.amazon.jobs/jobs/3139328/sr-applied-scientist-amazon-ads?cmpid=DA_INAD200785B", "https://www.amazon.jobs/jobs/3139328/sr-applied-scientist-amazon-ads?cmpid=DA_INAD200785B")</f>
        <v/>
      </c>
      <c r="G21" t="inlineStr">
        <is>
          <t>Boulder, CO,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in-d691482333ffab28</t>
        </is>
      </c>
      <c r="B22" t="inlineStr">
        <is>
          <t>Sr. Applied Scientist, Amazon Ads</t>
        </is>
      </c>
      <c r="C22" t="inlineStr">
        <is>
          <t>Amazon.com</t>
        </is>
      </c>
      <c r="D22" t="inlineStr">
        <is>
          <t>indeed</t>
        </is>
      </c>
      <c r="E22">
        <f>HYPERLINK("https://www.indeed.com/viewjob?jk=d691482333ffab28", "https://www.indeed.com/viewjob?jk=d691482333ffab28")</f>
        <v/>
      </c>
      <c r="F22">
        <f>HYPERLINK("https://www.amazon.jobs/jobs/3139328/sr-applied-scientist-amazon-ads?cmpid=DA_INAD200785B", "https://www.amazon.jobs/jobs/3139328/sr-applied-scientist-amazon-ads?cmpid=DA_INAD200785B")</f>
        <v/>
      </c>
      <c r="G22" t="inlineStr">
        <is>
          <t>Palo Alto, CA,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in-ea712b4e95b63f82</t>
        </is>
      </c>
      <c r="B23" t="inlineStr">
        <is>
          <t>Sr. Applied Scientist, Amazon Ads</t>
        </is>
      </c>
      <c r="C23" t="inlineStr">
        <is>
          <t>Amazon.com</t>
        </is>
      </c>
      <c r="D23" t="inlineStr">
        <is>
          <t>indeed</t>
        </is>
      </c>
      <c r="E23">
        <f>HYPERLINK("https://www.indeed.com/viewjob?jk=ea712b4e95b63f82", "https://www.indeed.com/viewjob?jk=ea712b4e95b63f82")</f>
        <v/>
      </c>
      <c r="F23">
        <f>HYPERLINK("https://www.amazon.jobs/jobs/3139328/sr-applied-scientist-amazon-ads?cmpid=DA_INAD200785B", "https://www.amazon.jobs/jobs/3139328/sr-applied-scientist-amazon-ads?cmpid=DA_INAD200785B")</f>
        <v/>
      </c>
      <c r="G23" t="inlineStr">
        <is>
          <t>Corvallis, OR,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in-06872cd959ea5997</t>
        </is>
      </c>
      <c r="B24" t="inlineStr">
        <is>
          <t>Sr. Applied Scientist, Amazon Ads</t>
        </is>
      </c>
      <c r="C24" t="inlineStr">
        <is>
          <t>Amazon.com</t>
        </is>
      </c>
      <c r="D24" t="inlineStr">
        <is>
          <t>indeed</t>
        </is>
      </c>
      <c r="E24">
        <f>HYPERLINK("https://www.indeed.com/viewjob?jk=06872cd959ea5997", "https://www.indeed.com/viewjob?jk=06872cd959ea5997")</f>
        <v/>
      </c>
      <c r="F24">
        <f>HYPERLINK("https://www.amazon.jobs/jobs/3139328/sr-applied-scientist-amazon-ads?cmpid=DA_INAD200785B", "https://www.amazon.jobs/jobs/3139328/sr-applied-scientist-amazon-ads?cmpid=DA_INAD200785B")</f>
        <v/>
      </c>
      <c r="G24" t="inlineStr">
        <is>
          <t>Tukwila, WA,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in-ecce956ce53f1d78</t>
        </is>
      </c>
      <c r="B25" t="inlineStr">
        <is>
          <t>Sr. Applied Scientist, Amazon Ads</t>
        </is>
      </c>
      <c r="C25" t="inlineStr">
        <is>
          <t>Amazon.com</t>
        </is>
      </c>
      <c r="D25" t="inlineStr">
        <is>
          <t>indeed</t>
        </is>
      </c>
      <c r="E25">
        <f>HYPERLINK("https://www.indeed.com/viewjob?jk=ecce956ce53f1d78", "https://www.indeed.com/viewjob?jk=ecce956ce53f1d78")</f>
        <v/>
      </c>
      <c r="F25">
        <f>HYPERLINK("https://www.amazon.jobs/jobs/3139328/sr-applied-scientist-amazon-ads?cmpid=DA_INAD200785B", "https://www.amazon.jobs/jobs/3139328/sr-applied-scientist-amazon-ads?cmpid=DA_INAD200785B")</f>
        <v/>
      </c>
      <c r="G25" t="inlineStr">
        <is>
          <t>Seattle, WA, US</t>
        </is>
      </c>
      <c r="H25" s="2" t="n">
        <v>45998</v>
      </c>
      <c r="I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
      <c r="A26" t="inlineStr">
        <is>
          <t>in-73cda26ce54843b8</t>
        </is>
      </c>
      <c r="B26" t="inlineStr">
        <is>
          <t>Applied Scientist II, Prime Video - Personalization and Discovery Science, Personalization and Discovery Science</t>
        </is>
      </c>
      <c r="C26" t="inlineStr">
        <is>
          <t>Amazon.com</t>
        </is>
      </c>
      <c r="D26" t="inlineStr">
        <is>
          <t>indeed</t>
        </is>
      </c>
      <c r="E26">
        <f>HYPERLINK("https://www.indeed.com/viewjob?jk=73cda26ce54843b8", "https://www.indeed.com/viewjob?jk=73cda26ce54843b8")</f>
        <v/>
      </c>
      <c r="F2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6" t="inlineStr">
        <is>
          <t>New York, NY, US</t>
        </is>
      </c>
      <c r="H26" s="2" t="n">
        <v>45930</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in-46cd72b35213862a</t>
        </is>
      </c>
      <c r="B27" t="inlineStr">
        <is>
          <t>Applied Scientist II, Prime Video - Personalization and Discovery Science, Personalization and Discovery Science</t>
        </is>
      </c>
      <c r="C27" t="inlineStr">
        <is>
          <t>Amazon.com</t>
        </is>
      </c>
      <c r="D27" t="inlineStr">
        <is>
          <t>indeed</t>
        </is>
      </c>
      <c r="E27">
        <f>HYPERLINK("https://www.indeed.com/viewjob?jk=46cd72b35213862a", "https://www.indeed.com/viewjob?jk=46cd72b35213862a")</f>
        <v/>
      </c>
      <c r="F2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7" t="inlineStr">
        <is>
          <t>Seattle, WA, US</t>
        </is>
      </c>
      <c r="H27" s="2"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in-4e1abd253a668925</t>
        </is>
      </c>
      <c r="B28" t="inlineStr">
        <is>
          <t>Applied Scientist II, Prime Video - Personalization and Discovery Science, Personalization and Discovery Science</t>
        </is>
      </c>
      <c r="C28" t="inlineStr">
        <is>
          <t>Amazon.com</t>
        </is>
      </c>
      <c r="D28" t="inlineStr">
        <is>
          <t>indeed</t>
        </is>
      </c>
      <c r="E28">
        <f>HYPERLINK("https://www.indeed.com/viewjob?jk=4e1abd253a668925", "https://www.indeed.com/viewjob?jk=4e1abd253a668925")</f>
        <v/>
      </c>
      <c r="F28">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8" t="inlineStr">
        <is>
          <t>Sunnyvale, CA, US</t>
        </is>
      </c>
      <c r="H28" s="2" t="n">
        <v>45930</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in-7be9c4d21665cd35</t>
        </is>
      </c>
      <c r="B29" t="inlineStr">
        <is>
          <t>Sr. Applied Scientist, Prime Video - Personalization and Discovery Science</t>
        </is>
      </c>
      <c r="C29" t="inlineStr">
        <is>
          <t>Amazon.com</t>
        </is>
      </c>
      <c r="D29" t="inlineStr">
        <is>
          <t>indeed</t>
        </is>
      </c>
      <c r="E29">
        <f>HYPERLINK("https://www.indeed.com/viewjob?jk=7be9c4d21665cd35", "https://www.indeed.com/viewjob?jk=7be9c4d21665cd35")</f>
        <v/>
      </c>
      <c r="F29">
        <f>HYPERLINK("https://www.amazon.jobs/jobs/3059256/sr-applied-scientist-prime-video--personalization-and-discovery-science?cmpid=DA_INAD200785B", "https://www.amazon.jobs/jobs/3059256/sr-applied-scientist-prime-video--personalization-and-discovery-science?cmpid=DA_INAD200785B")</f>
        <v/>
      </c>
      <c r="G29" t="inlineStr">
        <is>
          <t>Seattle, WA,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in-2791fb47a3034b39</t>
        </is>
      </c>
      <c r="B30" t="inlineStr">
        <is>
          <t>Sr. Applied Scientist, Prime Video - Personalization and Discovery Science</t>
        </is>
      </c>
      <c r="C30" t="inlineStr">
        <is>
          <t>Amazon.com</t>
        </is>
      </c>
      <c r="D30" t="inlineStr">
        <is>
          <t>indeed</t>
        </is>
      </c>
      <c r="E30">
        <f>HYPERLINK("https://www.indeed.com/viewjob?jk=2791fb47a3034b39", "https://www.indeed.com/viewjob?jk=2791fb47a3034b39")</f>
        <v/>
      </c>
      <c r="F30">
        <f>HYPERLINK("https://www.amazon.jobs/jobs/3059256/sr-applied-scientist-prime-video--personalization-and-discovery-science?cmpid=DA_INAD200785B", "https://www.amazon.jobs/jobs/3059256/sr-applied-scientist-prime-video--personalization-and-discovery-science?cmpid=DA_INAD200785B")</f>
        <v/>
      </c>
      <c r="G30" t="inlineStr">
        <is>
          <t>New York, NY, US</t>
        </is>
      </c>
      <c r="H30" s="2" t="n">
        <v>45881</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in-980cea7ff8989beb</t>
        </is>
      </c>
      <c r="B31" t="inlineStr">
        <is>
          <t>Applied Scientist II, Prime Video - Personalization and Discovery Science</t>
        </is>
      </c>
      <c r="C31" t="inlineStr">
        <is>
          <t>Amazon.com</t>
        </is>
      </c>
      <c r="D31" t="inlineStr">
        <is>
          <t>indeed</t>
        </is>
      </c>
      <c r="E31">
        <f>HYPERLINK("https://www.indeed.com/viewjob?jk=980cea7ff8989beb", "https://www.indeed.com/viewjob?jk=980cea7ff8989beb")</f>
        <v/>
      </c>
      <c r="F31">
        <f>HYPERLINK("https://www.amazon.jobs/jobs/3059253/applied-scientist-ii-prime-video--personalization-and-discovery-science?cmpid=DA_INAD200785B", "https://www.amazon.jobs/jobs/3059253/applied-scientist-ii-prime-video--personalization-and-discovery-science?cmpid=DA_INAD200785B")</f>
        <v/>
      </c>
      <c r="G31" t="inlineStr">
        <is>
          <t>New York, NY,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in-525f44836bbf8fc3</t>
        </is>
      </c>
      <c r="B32" t="inlineStr">
        <is>
          <t>Sr. Applied Scientist, Prime Video - Personalization and Discovery Science</t>
        </is>
      </c>
      <c r="C32" t="inlineStr">
        <is>
          <t>Amazon.com</t>
        </is>
      </c>
      <c r="D32" t="inlineStr">
        <is>
          <t>indeed</t>
        </is>
      </c>
      <c r="E32">
        <f>HYPERLINK("https://www.indeed.com/viewjob?jk=525f44836bbf8fc3", "https://www.indeed.com/viewjob?jk=525f44836bbf8fc3")</f>
        <v/>
      </c>
      <c r="F32">
        <f>HYPERLINK("https://www.amazon.jobs/jobs/3059256/sr-applied-scientist-prime-video--personalization-and-discovery-science?cmpid=DA_INAD200785B", "https://www.amazon.jobs/jobs/3059256/sr-applied-scientist-prime-video--personalization-and-discovery-science?cmpid=DA_INAD200785B")</f>
        <v/>
      </c>
      <c r="G32" t="inlineStr">
        <is>
          <t>Sunnyvale, CA,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in-312aa994cdd3b58a</t>
        </is>
      </c>
      <c r="B33" t="inlineStr">
        <is>
          <t>Applied Scientist II, Prime Video - Personalization and Discovery Science</t>
        </is>
      </c>
      <c r="C33" t="inlineStr">
        <is>
          <t>Amazon.com</t>
        </is>
      </c>
      <c r="D33" t="inlineStr">
        <is>
          <t>indeed</t>
        </is>
      </c>
      <c r="E33">
        <f>HYPERLINK("https://www.indeed.com/viewjob?jk=312aa994cdd3b58a", "https://www.indeed.com/viewjob?jk=312aa994cdd3b58a")</f>
        <v/>
      </c>
      <c r="F33">
        <f>HYPERLINK("https://www.amazon.jobs/jobs/3059253/applied-scientist-ii-prime-video--personalization-and-discovery-science?cmpid=DA_INAD200785B", "https://www.amazon.jobs/jobs/3059253/applied-scientist-ii-prime-video--personalization-and-discovery-science?cmpid=DA_INAD200785B")</f>
        <v/>
      </c>
      <c r="G33" t="inlineStr">
        <is>
          <t>Sunnyvale, CA,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in-82695edfef5061e4</t>
        </is>
      </c>
      <c r="B34" t="inlineStr">
        <is>
          <t>Applied Scientist II, Prime Video - Personalization and Discovery Science</t>
        </is>
      </c>
      <c r="C34" t="inlineStr">
        <is>
          <t>Amazon.com</t>
        </is>
      </c>
      <c r="D34" t="inlineStr">
        <is>
          <t>indeed</t>
        </is>
      </c>
      <c r="E34">
        <f>HYPERLINK("https://www.indeed.com/viewjob?jk=82695edfef5061e4", "https://www.indeed.com/viewjob?jk=82695edfef5061e4")</f>
        <v/>
      </c>
      <c r="F34">
        <f>HYPERLINK("https://www.amazon.jobs/jobs/3059253/applied-scientist-ii-prime-video--personalization-and-discovery-science?cmpid=DA_INAD200785B", "https://www.amazon.jobs/jobs/3059253/applied-scientist-ii-prime-video--personalization-and-discovery-science?cmpid=DA_INAD200785B")</f>
        <v/>
      </c>
      <c r="G34" t="inlineStr">
        <is>
          <t>Seattle, WA,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in-f2493850d5039c6f</t>
        </is>
      </c>
      <c r="B35" t="inlineStr">
        <is>
          <t>Senior Machine Learning Engineer (Op AI)</t>
        </is>
      </c>
      <c r="C35" t="inlineStr">
        <is>
          <t>PMAT Inc.</t>
        </is>
      </c>
      <c r="D35" t="inlineStr">
        <is>
          <t>indeed</t>
        </is>
      </c>
      <c r="E35">
        <f>HYPERLINK("https://www.indeed.com/viewjob?jk=f2493850d5039c6f", "https://www.indeed.com/viewjob?jk=f2493850d5039c6f")</f>
        <v/>
      </c>
      <c r="F35">
        <f>HYPERLINK("https://pmat.bamboohr.com/careers/237?source=indeed&amp;src=indeed&amp;postedDate=2026-03-04", "https://pmat.bamboohr.com/careers/237?source=indeed&amp;src=indeed&amp;postedDate=2026-03-04")</f>
        <v/>
      </c>
      <c r="G35" t="inlineStr">
        <is>
          <t>San Diego, CA, US</t>
        </is>
      </c>
      <c r="H35" s="2" t="n">
        <v>46084</v>
      </c>
      <c r="I35" t="inlineStr">
        <is>
          <t>**About Us:** PMAT is an innovative small business founded with a passion for developing forward\-leaning solutions from exceptional people that increase the mission's capability. We focus on designing and building impactful digital solutions that utilize modern cloud, data, and software concepts. Our passion is working on complex and progressive challenges such as edge platform computing, containerizing legacy platforms, distributed data platforms, or heterogeneous data analysis. We recruit, retain, and foster a team motivated to pursue passions, investigate new ways of doing things, and embody an innovative and entrepreneurial spirit.
We believe in being curious about every element of a problem and experiment relentlessly. We foster continuous learning in an environment that encourages positive collaboration and expands our capabilities. We tap into collective intelligence, acknowledging that the most brilliant people may not be in the room. Above all else, we believe that delivering and demonstrating is more potent than a sheet of paper. We are passionate about mission\-centric design and delivering effective capabilities to and for the warfighter.
Whether you’re an experienced engineer or just beginning your career, you’ll work alongside experts who are committed to solving mission\-critical problems. If you’re passionate about using your skills to make a real difference, apply today and become part of a team that’s shaping the future of defense technology!
 **About the Role:** PMAT is seeking a Senior Machine Learning Engineer to design, develop, and implement advanced machine learning models and algorithms in support of naval applications. This role requires deep technical expertise in modern machine learning methods, distributed systems, cloud\-native development, and software engineering best practices. The Senior ML Engineer will collaborate with multidisciplinary teams to deliver mission\-focused AI solutions that integrate into operational Navy environments.
 **Responsibilities:**
* Design, develop, and implement machine learning models and algorithms for naval applications.
* Develop and deploy algorithms, mathematical models, and machine learning models into real\-world operational environments.
* Perform data preprocessing, feature engineering, model evaluation, and validation.
* Collaborate with engineers, data scientists, and mission stakeholders to align ML solutions with operational requirements.
* Develop cloud\-native ML pipelines using AWS, Azure, Docker, Kubernetes, or equivalent platforms.
* Implement ML solutions using frameworks such as TensorFlow, PyTorch, and scikit\-learn.
* Contribute to distributed computing and parallel processing approaches to optimize ML model performance.
* Participate in CI/CD pipeline development, automation, and DevSecOps workflows.
* Apply cybersecurity principles in the design and deployment of machine learning systems.
* Provide documentation, technical reports, and engineering artifacts consistent with PMAT and government standards.
* Stay current with advancements in machine learning, data science, and emerging technologies relevant to naval and DoD applications.
**Required Skills and Experience:**
* Experience as a data scientist, data engineer, geospatial engineer, machine learning engineer, or software engineer.
* Proven experience developing and deploying algorithms, mathematical models, or machine learning models in real\-world applications.
* Strong programming skills in Python.
* Familiarity with cloud platforms (e.g., AWS, Azure) or containerization technologies (e.g., Docker, Kubernetes).
* Familiarity with software engineering best practices, including Git.
* Strong programming skills in Java, C\+\+, Go, or Rust.
* Strong analytical, problem\-solving, and communication skills.
* Ability to work effectively in a collaborative team environment.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recurring basis during shipboard operations or testing evolutions.
* Ability to comply with Navy safety requirements and wear required personal protective equipment (PPE).
**Preferred Skills and Experience:**
* Experience with distributed computing and parallel processing.
* Experience with CI/CD pipelines and automation tools (GitHub Actions, GitLab CI, Jenkins).
* Experience with ML frameworks such as TensorFlow, PyTorch, or scikit\-learn.
* Experience with cloud\-native architecture and software API design.
* Experience integrating machine learning into operational DoD systems or edge computing environments.
* Familiarity with DoD AI strategies, MLOps, or data engineering in secure environments.
* Previous experience supporting government agencies or military organizations. (NAVWAR, NIWC Pacific, or other Navy C2/ISR programs strongly preferred).
**Education and Certification Requirements:**
* Bachelor of Science in Computer Science, Data Science, Geography, Math, Machine Learning, or Statistics, OR Equivalent years of relevant experience in lieu of a degree
* Additional certifications in cloud, data engineering, GIS, or cybersecurity are a plus
**Citizenship and Clearance Requirements:**
* US Citizenship
* No dual citizenship
* Active DoD TS clearance required
* Active DOD TS SCI preferred
**Location:**
* On site, NAVWAR, San Diego, CA (primary)
**Travel:**
* Travel required up to 15%
**Work Environment:** PMAT offices as needed. In some cases, work in a government facility may be required. Travel may be required for customer engagement, team coordination, and mission execution.
PMAT is an equal\-opportunity employer. We believe in hiring a diverse workforce and sustaining an inclusive, people\-first culture. We are committed to non\-discrimination on any protected basis, such as disability and veteran status, or any other basis covered under applicable law.
\#CJ</t>
        </is>
      </c>
    </row>
    <row r="36">
      <c r="A36" t="inlineStr">
        <is>
          <t>in-6675f096c9aa25b5</t>
        </is>
      </c>
      <c r="B36" t="inlineStr">
        <is>
          <t>AI/ML Engineer</t>
        </is>
      </c>
      <c r="C36" t="inlineStr">
        <is>
          <t>Spektrum</t>
        </is>
      </c>
      <c r="D36" t="inlineStr">
        <is>
          <t>indeed</t>
        </is>
      </c>
      <c r="E36">
        <f>HYPERLINK("https://www.indeed.com/viewjob?jk=6675f096c9aa25b5", "https://www.indeed.com/viewjob?jk=6675f096c9aa25b5")</f>
        <v/>
      </c>
      <c r="F36">
        <f>HYPERLINK("https://grnh.se/729j4uy2teu", "https://grnh.se/729j4uy2teu")</f>
        <v/>
      </c>
      <c r="G36" t="inlineStr">
        <is>
          <t>Norfolk, VA, US</t>
        </is>
      </c>
      <c r="H36" s="2" t="n">
        <v>46084</v>
      </c>
      <c r="I36" t="inlineStr">
        <is>
          <t>Spektrum have a wide range of exciting opportunities in several global locations.
We are always looking to add great new talent to our team and look forward to hearing from you.
Spektrum supports apex purchasers (NATO, UN, EU and National Government and Defence) and their Tier 1 supplier ecosystem with a wide range of specialist services. We provide our clients with professional services, specialised aerospace and defence sales, delivery, and operational subject matter expertise. We are looking for personnel to join our team and support key client projects.
**Who we are supporting**
**Allied Command Transformation (ACT)** is NATO's leading agent for change: driving, facilitating, and advocating the continuous improvement of Alliance capabilities to maintain and enhance the military relevance and effectiveness of the Alliance. The main objectives of ACT are: providing appropriate support to NATO missions and operations; leading NATO military transformation; and improving relationships, interaction and practical cooperation with partners, nations and international organisations. ACT therefore leads Alliance concept development, capability development, training and lessons\-learned initiatives and provides unfettered military support to policy development within NATO.
**The program**
**Capability Development \&amp; Management Support (CDMS)** 
**DCOS Capability Development (CAPDEV)** acts as the Supreme Allied Commander Transformation's Director for guidance, direction and coordination of the activities and resources of the Capability Development Directorate.
**The Requirements Division** will execute all tasks and activities needed to support requirements management for NATO capabilities
**The Capability Requirements (CR)** Branch will develop the Capability Requirements Brief and recommended courses of action to resolve issues through the life cycle management of requirements using matrixed, cross\-functional project\-specific Requirements Management teams.
**The Requirements Forward Branch (Mons)** is responsible for conducting requirements development and management representation and engagement\-related functions in Europe.
**The Capability Division** coordinates the development of capabilities from capability planning through acceptance and then disposal with management entities, NATO Headquarters staff and the NATO Governance Structure
**The Capability Forward Branch (Mons)** coordinates with ACO, NCIA, NSPA, NATO HQ, territorial Host Nations, and NATO Centres of Excellence (COEs) to support the development of capabilities.
**Strategic Plans and Policy (SPP)** supports Allied Command Transformation in formalizing military advice to shape future military strategy, political guidance, and other policy documents supporting NATO's strategic objectives.
**Role ID: ACT\-CDMS\-26\-02\-B\-42**
**Role Duties and Responsibilities**
* Deputy Chief of Staff Capability Development (DCOS CAPDEV) acts as the Supreme Allied Commander Transformation's Director for guidance, direction and co\-ordination of the activities and resources of the Capability Development Directorate. CAPDEV is responsible to:
	+ Identify and prioritize Alliance capability development from short to long term, ensuring coherence between all capabilities within the CAPDEV portfolio.
	+ Lead the determination of required capabilities and prioritization of shortfalls to inform the delivery of materiel and non\-materiel solutions across the Doctrine, Organisation, Training, Material, and Leadership, Personnel, Facilities and Interoperability (DOTMLPFI) lines of effort to enable a holistic approach to capability development, ensuring improved interoperability, deployability and sustainability of Alliance Forces.
* The future Capability Development Directorate will include enduring functionality to effectively plan and manage coherent through life capability development, aligned to NATO's strategic intent and priorities. The CAPDEV Data and Analytics Office (DAO) is responsible to DCOS for managing the data and platform operations for Capability Lifecycle, Requirements, and P3M data as well as providing analytics as service and enabling self\-service analytics for CAPDEV decision makers.
* As part of ongoing organisational functional reviews, CAPDEV is in the process of implementing measures for improved capability development planning and management, including the way it collects, manages, analyses and reports on capability development and delivery information, both legacy and current.
* Taskings — Capability Lifecycle AI/ML Engineer
* AI/ML Model Development: Design, develop, train, and deploy machine learning models to support forecasting, risk identification, readiness assessment, and decision support across the capability lifecycle.
* Advanced Analytics Integration: Integrate AI/ML models into enterprise analytics workflows, dashboards, and reporting solutions to enable operational use by analysts and decision\-makers.
* Data Preparation and Feature Engineering: Develop and maintain data preparation pipelines, feature engineering processes, and training datasets in coordination with data engineering teams to ensure model accuracy, robustness, and traceability.
* Cloud\-Based AI/ML Engineering: Implement and operate AI/ML solutions within approved cloud environments, including model training, deployment, and orchestration using secure, scalable architectures.
* Model Lifecycle Management: Establish and execute model validation, performance monitoring, retraining, and version control processes to ensure sustained accuracy and operational relevance of deployed models.
* Responsible AI Practices: Apply responsible and explainable AI principles, including transparency, bias awareness, and interpretability, appropriate to defence and decision\-support contexts.
* Automation and Optimization: Identify and implement opportunities to automate analytic workflows, model execution, and data processing to improve efficiency and reduce manual intervention.
* Prototyping and Experimentation: Design and deliver proof\-of\-concept and prototype AI/ML solutions, including exploration of emerging techniques (e.g., large language models or incremental learning), aligned with DAO priorities.
* Performance and Scalability Optimization: Optimize AI/ML pipelines and supporting infrastructure to ensure reliable performance under operational workloads and evolving data volumes.
* Technical Documentation: Produce and maintain comprehensive technical documentation describing AI/ML models, data dependencies, assumptions, limitations, and operational integration points.
* Stakeholder Engagement: Collaborate with analysts, engineers, and stakeholders to translate operational requirements into AI/ML solutions and explain analytic outputs to technical and non\-technical audiences.
* Knowledge Transfer: Deliver knowledge transfer, mentoring, and technical guidance to DAO personnel to support long\-term sustainment of AI/ML capabilities.
* Security and Compliance: Ensure AI/ML development and deployment comply with NATO and organizational security, data protection, and classification handling requirements.
* Capability Lifecycle Support: Apply AI/ML expertise to support requirements\-based planning, capability development, delivery monitoring, and performance assessment activities.
* Continuous Improvement: Identify opportunities to enhance AI/ML methods, tooling, and practices in alignment with DAO's Decision Advantage objectives.
* Technical Support: Provide ongoing technical support and troubleshooting for AI/ML models, pipelines, and integrated analytic solutions.
* Additional Tasks: Perform additional tasks as required by Line Manager. in scope of this labor category.
* Demonstrated expertise in machine learning and statistical modeling, including development, training, validation, and deployment of models supporting forecasting, risk analysis, performance assessment, or decision support across business or capability lifecycles.
* Demonstrated experience designing and operating automated data pipelines, including ETL/ELT workflows, feature engineering, and data transformation processes to support analytics and AI/ML workloads.
* Demonstrated professional experience with cloud\-based analytics and AI/ML platforms, including deployment and operation of models and data pipelines in secure, scalable cloud environments.
* Demonstrated experience with model lifecycle management, including performance monitoring, retraining strategies, version control, documentation, and optimization for production environments.
* Demonstrated experience working within governed or regulated environments, including adherence to data governance, security, and compliance requirements relevant to defence, security, or other highly regulated domains.
* Demonstrated ability to collaborate across multidisciplinary teams, including analysts, data engineers, platform engineers, and system administrators, to deliver interoperable, production\-ready analytics solutions.
* Demonstrated ability to communicate complex analytical and AI/ML concepts clearly to both technical and non\-technical stakeholders, supporting effective adoption and operational use of delivered solutions.
* Demonstrable proficiency in effective oral and written communication, including briefing and coordinating with business stakeholders.
**Essential Skills and Experience**
* 8\+ years of progressive professional experience in data science, advanced analytics, and/or machine learning engineering, including experience delivering operational analytics or decision\-support solutions in complex enterprise environments.
**Education**
* Bachelor's degree in Data Science, Computer Science, Mathematics, Engineering, Statistics, or a related quantitative discipline.
* Demonstrated experience integrating AI/ML solutions into enterprise analytics tools, dashboards, or reporting platforms to support operational use by analysts and decision\-makers.
**Language Proficiency**
* Advanced Proficiency in English
**Working Location**
* Norfolk, VA, USA
**Working Policy**
* On\-Site
**Contract Duration**
* July 2026 – December 2030
**Security Clearance**
* Valid National or NATO Secret personal security clearance
We never know what new opportunities might be just over the horizon. If this opportunity isn't for you please feel free to send us your resume anyway and be the first to know if something suitable for your skills and experience comes up.</t>
        </is>
      </c>
    </row>
    <row r="37">
      <c r="A37" t="inlineStr">
        <is>
          <t>in-8f61bd560974ac70</t>
        </is>
      </c>
      <c r="B37" t="inlineStr">
        <is>
          <t>Lifecycle AI/ML Engineer</t>
        </is>
      </c>
      <c r="C37" t="inlineStr">
        <is>
          <t>Systems Planning and Analysis, Inc. (SPA)</t>
        </is>
      </c>
      <c r="D37" t="inlineStr">
        <is>
          <t>indeed</t>
        </is>
      </c>
      <c r="E37">
        <f>HYPERLINK("https://www.indeed.com/viewjob?jk=8f61bd560974ac70", "https://www.indeed.com/viewjob?jk=8f61bd560974ac70")</f>
        <v/>
      </c>
      <c r="F37">
        <f>HYPERLINK("https://careers-spa.icims.com/jobs/22200/job", "https://careers-spa.icims.com/jobs/22200/job")</f>
        <v/>
      </c>
      <c r="G37" t="inlineStr">
        <is>
          <t>Norfolk, VA, US</t>
        </is>
      </c>
      <c r="H37" s="2" t="n">
        <v>46075</v>
      </c>
      <c r="I37" t="inlineStr">
        <is>
          <t>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Defense, Interagency Division provides expert support services to a range of customers spanning across the Department of Defense, Federal Civilian, and international markets. JOID provides a diverse portfolio of analytical and programmatic capabilities to help our customers make informed decisions on their most challenging issues.
SPAs NATO Allied Command Transformation Group within JOID provides capability development, portfolio management, program management, quality management, cost estimation analysis, standardization, reporting, software solutions and information management, and capability management support. We also provide an improved capability requirements capture process, including the generation, documentation and tracing of user requirements, with appropriate technical scrutiny, over the entire lifecycle of the requirements from capability definition through capability realization and capability usage.  
We have a near\-term need for an AI/ML Engineer to provide onsite support out of Allied Command Transformation (NATO) in Norfolk, VA.
The candidate will support the Capability Development Directorate in the process of implementing measures for improved capability development planning and management, including the way it collects, manages, analyses and reports on capability development and delivery information. Support both legacy and current through\-work on AI/ML model development, advanced analytics integration, data preparation, and feature engineering. Apply knowledge of cloud\-based AI/ML engineering and apply model lifecycle management, responsible AI practices, use of automation and optimization, and other techniques. Support stakeholder engagement and knowledge transfer, and ensure work is secure and meets all complaince requirements.
 **Required:*** Bachelor’s degree in Data Science, Computer Science, Mathematics, Engineering, Statistics, or a related quantitative discipline.
* 8\+ years of progressive professional experience in data science, advanced analytics, and/or machine learning engineering, including experience delivering operational analytics or decision\-support solutions in complex enterprise environments.
* Active NATO or National SECRET clearance.
* Demonstrated expertise in machine learning and statistical modeling, including development, training, validation, and deployment of models supporting forecasting, risk analysis, performance assessment, or decision support across business or capability lifecycles.
* Demonstrated experience designing and operating automated data pipelines, including ETL/ELT workflows, feature engineering, and data transformation processes to support analytics and AI/ML workloads.
* Demonstrated professional experience with cloud\-based analytics and AI/ML platforms, including deployment and operation of models and data pipelines in secure, scalable cloud environments.
* Demonstrated experience integrating AI/ML solutions into enterprise analytics tools, dashboards, or reporting platforms to support operational use by analysts and decision\-makers.
* Demonstrated experience with model lifecycle management, including performance monitoring, retraining strategies, version control, documentation, and optimization for production environments.
* Demonstrated experience working within governed or regulated environments, including adherence to data governance, security, and compliance requirements relevant to defence, security, or other highly regulated domains.
* Demonstrated ability to collaborate across multidisciplinary teams, including analysts, data engineers, platform engineers, and system administrators, to deliver interoperable, production\-ready analytics solutions.
* Demonstrated ability to communicate complex analytical and AI/ML concepts clearly to both technical and non\-technical stakeholders, supporting effective adoption and operational use of delivered solutions.
* Demonstrated proficiency in English as defined in STANAG 6001\.
* Demonstrable proficiency in effective oral and written communication, including briefing and coordinating with business stakeholders.
* Able to work fully onsite based on client needs.</t>
        </is>
      </c>
    </row>
    <row r="38">
      <c r="A38" t="inlineStr">
        <is>
          <t>in-7b536bef062e220e</t>
        </is>
      </c>
      <c r="B38" t="inlineStr">
        <is>
          <t>Principal Applied Scientist, AWS Marketplace &amp; Partner Services</t>
        </is>
      </c>
      <c r="C38" t="inlineStr">
        <is>
          <t>Amazon Web Services</t>
        </is>
      </c>
      <c r="D38" t="inlineStr">
        <is>
          <t>indeed</t>
        </is>
      </c>
      <c r="E38">
        <f>HYPERLINK("https://www.indeed.com/viewjob?jk=7b536bef062e220e", "https://www.indeed.com/viewjob?jk=7b536bef062e220e")</f>
        <v/>
      </c>
      <c r="F38">
        <f>HYPERLINK("https://www.amazon.jobs/jobs/3177084/principal-applied-scientist-aws-marketplace--partner-services?cmpid=DA_INAD200785B", "https://www.amazon.jobs/jobs/3177084/principal-applied-scientist-aws-marketplace--partner-services?cmpid=DA_INAD200785B")</f>
        <v/>
      </c>
      <c r="G38" t="inlineStr">
        <is>
          <t>San Diego, CA, US</t>
        </is>
      </c>
      <c r="H38" s="2" t="n">
        <v>46056</v>
      </c>
      <c r="I38"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9">
      <c r="A39" t="inlineStr">
        <is>
          <t>in-3ba3c177c127d1c5</t>
        </is>
      </c>
      <c r="B39" t="inlineStr">
        <is>
          <t>Principal Applied Scientist, AWS Marketplace &amp; Partner Services</t>
        </is>
      </c>
      <c r="C39" t="inlineStr">
        <is>
          <t>Amazon Web Services</t>
        </is>
      </c>
      <c r="D39" t="inlineStr">
        <is>
          <t>indeed</t>
        </is>
      </c>
      <c r="E39">
        <f>HYPERLINK("https://www.indeed.com/viewjob?jk=3ba3c177c127d1c5", "https://www.indeed.com/viewjob?jk=3ba3c177c127d1c5")</f>
        <v/>
      </c>
      <c r="F39">
        <f>HYPERLINK("https://www.amazon.jobs/jobs/3177084/principal-applied-scientist-aws-marketplace--partner-services?cmpid=DA_INAD200785B", "https://www.amazon.jobs/jobs/3177084/principal-applied-scientist-aws-marketplace--partner-services?cmpid=DA_INAD200785B")</f>
        <v/>
      </c>
      <c r="G39" t="inlineStr">
        <is>
          <t>Austin, TX, US</t>
        </is>
      </c>
      <c r="H39" s="2" t="n">
        <v>46056</v>
      </c>
      <c r="I39"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0">
      <c r="A40" t="inlineStr">
        <is>
          <t>in-182c3e52d91fc186</t>
        </is>
      </c>
      <c r="B40" t="inlineStr">
        <is>
          <t>Principal Applied Scientist, AWS Marketplace &amp; Partner Services</t>
        </is>
      </c>
      <c r="C40" t="inlineStr">
        <is>
          <t>Amazon Web Services</t>
        </is>
      </c>
      <c r="D40" t="inlineStr">
        <is>
          <t>indeed</t>
        </is>
      </c>
      <c r="E40">
        <f>HYPERLINK("https://www.indeed.com/viewjob?jk=182c3e52d91fc186", "https://www.indeed.com/viewjob?jk=182c3e52d91fc186")</f>
        <v/>
      </c>
      <c r="F40">
        <f>HYPERLINK("https://www.amazon.jobs/jobs/3177084/principal-applied-scientist-aws-marketplace--partner-services?cmpid=DA_INAD200785B", "https://www.amazon.jobs/jobs/3177084/principal-applied-scientist-aws-marketplace--partner-services?cmpid=DA_INAD200785B")</f>
        <v/>
      </c>
      <c r="G40" t="inlineStr">
        <is>
          <t>Seattle, WA, US</t>
        </is>
      </c>
      <c r="H40" s="2" t="n">
        <v>46056</v>
      </c>
      <c r="I4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1">
      <c r="A41" t="inlineStr">
        <is>
          <t>in-4ccdcd913275eadf</t>
        </is>
      </c>
      <c r="B41" t="inlineStr">
        <is>
          <t>Principal Applied Scientist, AWS Marketplace &amp; Partner Services</t>
        </is>
      </c>
      <c r="C41" t="inlineStr">
        <is>
          <t>Amazon Web Services</t>
        </is>
      </c>
      <c r="D41" t="inlineStr">
        <is>
          <t>indeed</t>
        </is>
      </c>
      <c r="E41">
        <f>HYPERLINK("https://www.indeed.com/viewjob?jk=4ccdcd913275eadf", "https://www.indeed.com/viewjob?jk=4ccdcd913275eadf")</f>
        <v/>
      </c>
      <c r="F41">
        <f>HYPERLINK("https://www.amazon.jobs/jobs/3177084/principal-applied-scientist-aws-marketplace--partner-services?cmpid=DA_INAD200785B", "https://www.amazon.jobs/jobs/3177084/principal-applied-scientist-aws-marketplace--partner-services?cmpid=DA_INAD200785B")</f>
        <v/>
      </c>
      <c r="G41" t="inlineStr">
        <is>
          <t>New York, NY, US</t>
        </is>
      </c>
      <c r="H41" s="2" t="n">
        <v>46056</v>
      </c>
      <c r="I4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42">
      <c r="A42" t="inlineStr">
        <is>
          <t>in-0d4d15afe96ef2db</t>
        </is>
      </c>
      <c r="B42" t="inlineStr">
        <is>
          <t>Sr. Applied Scientist, AWS Healthcare-AI</t>
        </is>
      </c>
      <c r="C42" t="inlineStr">
        <is>
          <t>Amazon.com</t>
        </is>
      </c>
      <c r="D42" t="inlineStr">
        <is>
          <t>indeed</t>
        </is>
      </c>
      <c r="E42">
        <f>HYPERLINK("https://www.indeed.com/viewjob?jk=0d4d15afe96ef2db", "https://www.indeed.com/viewjob?jk=0d4d15afe96ef2db")</f>
        <v/>
      </c>
      <c r="F42">
        <f>HYPERLINK("https://www.amazon.jobs/jobs/3179064/sr-applied-scientist-aws-healthcareai?cmpid=DA_INAD200785B", "https://www.amazon.jobs/jobs/3179064/sr-applied-scientist-aws-healthcareai?cmpid=DA_INAD200785B")</f>
        <v/>
      </c>
      <c r="G42" t="inlineStr">
        <is>
          <t>Mountain View, CA, US</t>
        </is>
      </c>
      <c r="H42" s="2" t="n">
        <v>46055</v>
      </c>
      <c r="I42"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43">
      <c r="A43" t="inlineStr">
        <is>
          <t>in-7ebff395dfd50e4c</t>
        </is>
      </c>
      <c r="B43" t="inlineStr">
        <is>
          <t>Sr. Applied Scientist, AWS Healthcare-AI</t>
        </is>
      </c>
      <c r="C43" t="inlineStr">
        <is>
          <t>Amazon.com</t>
        </is>
      </c>
      <c r="D43" t="inlineStr">
        <is>
          <t>indeed</t>
        </is>
      </c>
      <c r="E43">
        <f>HYPERLINK("https://www.indeed.com/viewjob?jk=7ebff395dfd50e4c", "https://www.indeed.com/viewjob?jk=7ebff395dfd50e4c")</f>
        <v/>
      </c>
      <c r="F43">
        <f>HYPERLINK("https://www.amazon.jobs/jobs/3179064/sr-applied-scientist-aws-healthcareai?cmpid=DA_INAD200785B", "https://www.amazon.jobs/jobs/3179064/sr-applied-scientist-aws-healthcareai?cmpid=DA_INAD200785B")</f>
        <v/>
      </c>
      <c r="G43" t="inlineStr">
        <is>
          <t>Seattle, WA, US</t>
        </is>
      </c>
      <c r="H43" s="2" t="n">
        <v>46055</v>
      </c>
      <c r="I43"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44">
      <c r="A44" t="inlineStr">
        <is>
          <t>in-e7144c40d5fd2c06</t>
        </is>
      </c>
      <c r="B44" t="inlineStr">
        <is>
          <t>Applied Scientist (Contract), Artificial General Intelligence</t>
        </is>
      </c>
      <c r="C44" t="inlineStr">
        <is>
          <t>Amazon.com</t>
        </is>
      </c>
      <c r="D44" t="inlineStr">
        <is>
          <t>indeed</t>
        </is>
      </c>
      <c r="E44">
        <f>HYPERLINK("https://www.indeed.com/viewjob?jk=e7144c40d5fd2c06", "https://www.indeed.com/viewjob?jk=e7144c40d5fd2c06")</f>
        <v/>
      </c>
      <c r="F44">
        <f>HYPERLINK("https://www.amazon.jobs/jobs/3179168/applied-scientist-contract-artificial-general-intelligence?cmpid=DA_INAD200785B", "https://www.amazon.jobs/jobs/3179168/applied-scientist-contract-artificial-general-intelligence?cmpid=DA_INAD200785B")</f>
        <v/>
      </c>
      <c r="G44" t="inlineStr">
        <is>
          <t>Bellevue, WA, US</t>
        </is>
      </c>
      <c r="H44" s="2" t="n">
        <v>46055</v>
      </c>
      <c r="I4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5">
      <c r="A45" t="inlineStr">
        <is>
          <t>in-022210b0bc2a1564</t>
        </is>
      </c>
      <c r="B45" t="inlineStr">
        <is>
          <t>Applied Scientist (Contract), Artificial General Intelligence</t>
        </is>
      </c>
      <c r="C45" t="inlineStr">
        <is>
          <t>Amazon.com</t>
        </is>
      </c>
      <c r="D45" t="inlineStr">
        <is>
          <t>indeed</t>
        </is>
      </c>
      <c r="E45">
        <f>HYPERLINK("https://www.indeed.com/viewjob?jk=022210b0bc2a1564", "https://www.indeed.com/viewjob?jk=022210b0bc2a1564")</f>
        <v/>
      </c>
      <c r="F45">
        <f>HYPERLINK("https://www.amazon.jobs/jobs/3179169/applied-scientist-contract-artificial-general-intelligence?cmpid=DA_INAD200785B", "https://www.amazon.jobs/jobs/3179169/applied-scientist-contract-artificial-general-intelligence?cmpid=DA_INAD200785B")</f>
        <v/>
      </c>
      <c r="G45" t="inlineStr">
        <is>
          <t>Boston, MA, US</t>
        </is>
      </c>
      <c r="H45" s="2" t="n">
        <v>46055</v>
      </c>
      <c r="I4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6">
      <c r="A46" t="inlineStr">
        <is>
          <t>in-219faf18adba1665</t>
        </is>
      </c>
      <c r="B46" t="inlineStr">
        <is>
          <t>Applied Scientist (Contract), Artificial General Intelligence</t>
        </is>
      </c>
      <c r="C46" t="inlineStr">
        <is>
          <t>Amazon.com</t>
        </is>
      </c>
      <c r="D46" t="inlineStr">
        <is>
          <t>indeed</t>
        </is>
      </c>
      <c r="E46">
        <f>HYPERLINK("https://www.indeed.com/viewjob?jk=219faf18adba1665", "https://www.indeed.com/viewjob?jk=219faf18adba1665")</f>
        <v/>
      </c>
      <c r="F46">
        <f>HYPERLINK("https://www.amazon.jobs/jobs/3179188/applied-scientist-contract-artificial-general-intelligence?cmpid=DA_INAD200785B", "https://www.amazon.jobs/jobs/3179188/applied-scientist-contract-artificial-general-intelligence?cmpid=DA_INAD200785B")</f>
        <v/>
      </c>
      <c r="G46" t="inlineStr">
        <is>
          <t>Bellevue, WA, US</t>
        </is>
      </c>
      <c r="H46" s="2" t="n">
        <v>46055</v>
      </c>
      <c r="I4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7">
      <c r="A47" t="inlineStr">
        <is>
          <t>in-be390dab597c66d8</t>
        </is>
      </c>
      <c r="B47" t="inlineStr">
        <is>
          <t>Applied Scientist (Contract), Artificial General Intelligence</t>
        </is>
      </c>
      <c r="C47" t="inlineStr">
        <is>
          <t>Amazon.com</t>
        </is>
      </c>
      <c r="D47" t="inlineStr">
        <is>
          <t>indeed</t>
        </is>
      </c>
      <c r="E47">
        <f>HYPERLINK("https://www.indeed.com/viewjob?jk=be390dab597c66d8", "https://www.indeed.com/viewjob?jk=be390dab597c66d8")</f>
        <v/>
      </c>
      <c r="F47">
        <f>HYPERLINK("https://www.amazon.jobs/jobs/3179169/applied-scientist-contract-artificial-general-intelligence?cmpid=DA_INAD200785B", "https://www.amazon.jobs/jobs/3179169/applied-scientist-contract-artificial-general-intelligence?cmpid=DA_INAD200785B")</f>
        <v/>
      </c>
      <c r="G47" t="inlineStr">
        <is>
          <t>Bellevue, WA, US</t>
        </is>
      </c>
      <c r="H47" s="2" t="n">
        <v>46055</v>
      </c>
      <c r="I4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8">
      <c r="A48" t="inlineStr">
        <is>
          <t>in-2f554fbde72b897f</t>
        </is>
      </c>
      <c r="B48" t="inlineStr">
        <is>
          <t>Applied Scientist (Contract), Artificial General Intelligence</t>
        </is>
      </c>
      <c r="C48" t="inlineStr">
        <is>
          <t>Amazon.com</t>
        </is>
      </c>
      <c r="D48" t="inlineStr">
        <is>
          <t>indeed</t>
        </is>
      </c>
      <c r="E48">
        <f>HYPERLINK("https://www.indeed.com/viewjob?jk=2f554fbde72b897f", "https://www.indeed.com/viewjob?jk=2f554fbde72b897f")</f>
        <v/>
      </c>
      <c r="F48">
        <f>HYPERLINK("https://www.amazon.jobs/jobs/3179168/applied-scientist-contract-artificial-general-intelligence?cmpid=DA_INAD200785B", "https://www.amazon.jobs/jobs/3179168/applied-scientist-contract-artificial-general-intelligence?cmpid=DA_INAD200785B")</f>
        <v/>
      </c>
      <c r="G48" t="inlineStr">
        <is>
          <t>Boston, MA, US</t>
        </is>
      </c>
      <c r="H48" s="2" t="n">
        <v>46055</v>
      </c>
      <c r="I4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9">
      <c r="A49" t="inlineStr">
        <is>
          <t>in-0c750afc937ab5d0</t>
        </is>
      </c>
      <c r="B49" t="inlineStr">
        <is>
          <t>Applied Scientist (Contract), Artificial General Intelligence</t>
        </is>
      </c>
      <c r="C49" t="inlineStr">
        <is>
          <t>Amazon.com</t>
        </is>
      </c>
      <c r="D49" t="inlineStr">
        <is>
          <t>indeed</t>
        </is>
      </c>
      <c r="E49">
        <f>HYPERLINK("https://www.indeed.com/viewjob?jk=0c750afc937ab5d0", "https://www.indeed.com/viewjob?jk=0c750afc937ab5d0")</f>
        <v/>
      </c>
      <c r="F49">
        <f>HYPERLINK("https://www.amazon.jobs/jobs/3179188/applied-scientist-contract-artificial-general-intelligence?cmpid=DA_INAD200785B", "https://www.amazon.jobs/jobs/3179188/applied-scientist-contract-artificial-general-intelligence?cmpid=DA_INAD200785B")</f>
        <v/>
      </c>
      <c r="G49" t="inlineStr">
        <is>
          <t>Boston, MA, US</t>
        </is>
      </c>
      <c r="H49" s="2" t="n">
        <v>46055</v>
      </c>
      <c r="I4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0">
      <c r="A50" t="inlineStr">
        <is>
          <t>in-a262151654efcb5d</t>
        </is>
      </c>
      <c r="B50" t="inlineStr">
        <is>
          <t>Applied Scientist (Contract), Artificial General Intelligence</t>
        </is>
      </c>
      <c r="C50" t="inlineStr">
        <is>
          <t>Amazon.com</t>
        </is>
      </c>
      <c r="D50" t="inlineStr">
        <is>
          <t>indeed</t>
        </is>
      </c>
      <c r="E50">
        <f>HYPERLINK("https://www.indeed.com/viewjob?jk=a262151654efcb5d", "https://www.indeed.com/viewjob?jk=a262151654efcb5d")</f>
        <v/>
      </c>
      <c r="F50">
        <f>HYPERLINK("https://www.amazon.jobs/jobs/3179187/applied-scientist-contract-artificial-general-intelligence?cmpid=DA_INAD200785B", "https://www.amazon.jobs/jobs/3179187/applied-scientist-contract-artificial-general-intelligence?cmpid=DA_INAD200785B")</f>
        <v/>
      </c>
      <c r="G50" t="inlineStr">
        <is>
          <t>Bellevue, WA, US</t>
        </is>
      </c>
      <c r="H50" s="2" t="n">
        <v>46051</v>
      </c>
      <c r="I5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1">
      <c r="A51" t="inlineStr">
        <is>
          <t>in-570b14b3ce3ac28a</t>
        </is>
      </c>
      <c r="B51" t="inlineStr">
        <is>
          <t>Applied Scientist (Contract), Artificial General Intelligence</t>
        </is>
      </c>
      <c r="C51" t="inlineStr">
        <is>
          <t>Amazon.com</t>
        </is>
      </c>
      <c r="D51" t="inlineStr">
        <is>
          <t>indeed</t>
        </is>
      </c>
      <c r="E51">
        <f>HYPERLINK("https://www.indeed.com/viewjob?jk=570b14b3ce3ac28a", "https://www.indeed.com/viewjob?jk=570b14b3ce3ac28a")</f>
        <v/>
      </c>
      <c r="F51">
        <f>HYPERLINK("https://www.amazon.jobs/jobs/3179187/applied-scientist-contract-artificial-general-intelligence?cmpid=DA_INAD200785B", "https://www.amazon.jobs/jobs/3179187/applied-scientist-contract-artificial-general-intelligence?cmpid=DA_INAD200785B")</f>
        <v/>
      </c>
      <c r="G51" t="inlineStr">
        <is>
          <t>Boston, MA, US</t>
        </is>
      </c>
      <c r="H51" s="2" t="n">
        <v>46051</v>
      </c>
      <c r="I5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52">
      <c r="A52" t="inlineStr">
        <is>
          <t>in-47bab7ca13ecf6cd</t>
        </is>
      </c>
      <c r="B52" t="inlineStr">
        <is>
          <t>Sr. Applied Scientist - SLAM, Amazon Industrial Robotics</t>
        </is>
      </c>
      <c r="C52" t="inlineStr">
        <is>
          <t>Amazon.com</t>
        </is>
      </c>
      <c r="D52" t="inlineStr">
        <is>
          <t>indeed</t>
        </is>
      </c>
      <c r="E52">
        <f>HYPERLINK("https://www.indeed.com/viewjob?jk=47bab7ca13ecf6cd", "https://www.indeed.com/viewjob?jk=47bab7ca13ecf6cd")</f>
        <v/>
      </c>
      <c r="F52">
        <f>HYPERLINK("https://www.amazon.jobs/jobs/3172078/sr-applied-scientist--slam-amazon-industrial-robotics?cmpid=DA_INAD200785B", "https://www.amazon.jobs/jobs/3172078/sr-applied-scientist--slam-amazon-industrial-robotics?cmpid=DA_INAD200785B")</f>
        <v/>
      </c>
      <c r="G52" t="inlineStr">
        <is>
          <t>Reading, MA, US</t>
        </is>
      </c>
      <c r="H52" s="2" t="n">
        <v>46050</v>
      </c>
      <c r="I52"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3">
      <c r="A53" t="inlineStr">
        <is>
          <t>in-d1a4167837f21f2c</t>
        </is>
      </c>
      <c r="B53" t="inlineStr">
        <is>
          <t>Sr. Applied Scientist - SLAM, Amazon Industrial Robotics</t>
        </is>
      </c>
      <c r="C53" t="inlineStr">
        <is>
          <t>Amazon.com</t>
        </is>
      </c>
      <c r="D53" t="inlineStr">
        <is>
          <t>indeed</t>
        </is>
      </c>
      <c r="E53">
        <f>HYPERLINK("https://www.indeed.com/viewjob?jk=d1a4167837f21f2c", "https://www.indeed.com/viewjob?jk=d1a4167837f21f2c")</f>
        <v/>
      </c>
      <c r="F53">
        <f>HYPERLINK("https://www.amazon.jobs/jobs/3172078/sr-applied-scientist--slam-amazon-industrial-robotics?cmpid=DA_INAD200785B", "https://www.amazon.jobs/jobs/3172078/sr-applied-scientist--slam-amazon-industrial-robotics?cmpid=DA_INAD200785B")</f>
        <v/>
      </c>
      <c r="G53" t="inlineStr">
        <is>
          <t>Reading, MA, US</t>
        </is>
      </c>
      <c r="H53" s="2" t="n">
        <v>46050</v>
      </c>
      <c r="I5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4">
      <c r="A54" t="inlineStr">
        <is>
          <t>in-e8a0a224c4ae8a27</t>
        </is>
      </c>
      <c r="B54" t="inlineStr">
        <is>
          <t>Principal Applied Scientist, Sensing, Industrial Robotics Group</t>
        </is>
      </c>
      <c r="C54" t="inlineStr">
        <is>
          <t>Amazon.com</t>
        </is>
      </c>
      <c r="D54" t="inlineStr">
        <is>
          <t>indeed</t>
        </is>
      </c>
      <c r="E54">
        <f>HYPERLINK("https://www.indeed.com/viewjob?jk=e8a0a224c4ae8a27", "https://www.indeed.com/viewjob?jk=e8a0a224c4ae8a27")</f>
        <v/>
      </c>
      <c r="F54">
        <f>HYPERLINK("https://www.amazon.jobs/jobs/3170953/principal-applied-scientist-sensing-industrial-robotics-group-?cmpid=DA_INAD200785B", "https://www.amazon.jobs/jobs/3170953/principal-applied-scientist-sensing-industrial-robotics-group-?cmpid=DA_INAD200785B")</f>
        <v/>
      </c>
      <c r="G54" t="inlineStr">
        <is>
          <t>Reading, MA, US</t>
        </is>
      </c>
      <c r="H54" s="2" t="n">
        <v>46050</v>
      </c>
      <c r="I54"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5">
      <c r="A55" t="inlineStr">
        <is>
          <t>in-7714dc3f509dbd01</t>
        </is>
      </c>
      <c r="B55" t="inlineStr">
        <is>
          <t>Principal Applied Scientist, Sensing, Industrial Robotics Group</t>
        </is>
      </c>
      <c r="C55" t="inlineStr">
        <is>
          <t>Amazon.com</t>
        </is>
      </c>
      <c r="D55" t="inlineStr">
        <is>
          <t>indeed</t>
        </is>
      </c>
      <c r="E55">
        <f>HYPERLINK("https://www.indeed.com/viewjob?jk=7714dc3f509dbd01", "https://www.indeed.com/viewjob?jk=7714dc3f509dbd01")</f>
        <v/>
      </c>
      <c r="F55">
        <f>HYPERLINK("https://www.amazon.jobs/jobs/3170953/principal-applied-scientist-sensing-industrial-robotics-group-?cmpid=DA_INAD200785B", "https://www.amazon.jobs/jobs/3170953/principal-applied-scientist-sensing-industrial-robotics-group-?cmpid=DA_INAD200785B")</f>
        <v/>
      </c>
      <c r="G55" t="inlineStr">
        <is>
          <t>Reading, MA, US</t>
        </is>
      </c>
      <c r="H55" s="2" t="n">
        <v>46050</v>
      </c>
      <c r="I5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6">
      <c r="A56" t="inlineStr">
        <is>
          <t>in-256ebb6323fd0dfc</t>
        </is>
      </c>
      <c r="B56" t="inlineStr">
        <is>
          <t>Applied Scientist II, Prime Video Personalization and Discovery Science</t>
        </is>
      </c>
      <c r="C56" t="inlineStr">
        <is>
          <t>Amazon.com</t>
        </is>
      </c>
      <c r="D56" t="inlineStr">
        <is>
          <t>indeed</t>
        </is>
      </c>
      <c r="E56">
        <f>HYPERLINK("https://www.indeed.com/viewjob?jk=256ebb6323fd0dfc", "https://www.indeed.com/viewjob?jk=256ebb6323fd0dfc")</f>
        <v/>
      </c>
      <c r="F56">
        <f>HYPERLINK("https://www.amazon.jobs/jobs/3168905/applied-scientist-ii-prime-video-personalization-and-discovery-science?cmpid=DA_INAD200785B", "https://www.amazon.jobs/jobs/3168905/applied-scientist-ii-prime-video-personalization-and-discovery-science?cmpid=DA_INAD200785B")</f>
        <v/>
      </c>
      <c r="G56" t="inlineStr">
        <is>
          <t>Sunnyvale, CA, US</t>
        </is>
      </c>
      <c r="H56" s="2" t="n">
        <v>46047</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7">
      <c r="A57" t="inlineStr">
        <is>
          <t>in-bbf1a0d2b923bae1</t>
        </is>
      </c>
      <c r="B57" t="inlineStr">
        <is>
          <t>Applied Scientist II, Prime Video Personalization and Discovery Science</t>
        </is>
      </c>
      <c r="C57" t="inlineStr">
        <is>
          <t>Amazon.com</t>
        </is>
      </c>
      <c r="D57" t="inlineStr">
        <is>
          <t>indeed</t>
        </is>
      </c>
      <c r="E57">
        <f>HYPERLINK("https://www.indeed.com/viewjob?jk=bbf1a0d2b923bae1", "https://www.indeed.com/viewjob?jk=bbf1a0d2b923bae1")</f>
        <v/>
      </c>
      <c r="F57">
        <f>HYPERLINK("https://www.amazon.jobs/jobs/3168905/applied-scientist-ii-prime-video-personalization-and-discovery-science?cmpid=DA_INAD200785B", "https://www.amazon.jobs/jobs/3168905/applied-scientist-ii-prime-video-personalization-and-discovery-science?cmpid=DA_INAD200785B")</f>
        <v/>
      </c>
      <c r="G57" t="inlineStr">
        <is>
          <t>New York, NY, US</t>
        </is>
      </c>
      <c r="H57" s="2" t="n">
        <v>46047</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8">
      <c r="A58" t="inlineStr">
        <is>
          <t>in-3978dcd011c69910</t>
        </is>
      </c>
      <c r="B58" t="inlineStr">
        <is>
          <t>Applied Scientist II, Prime Video Personalization and Discovery Science</t>
        </is>
      </c>
      <c r="C58" t="inlineStr">
        <is>
          <t>Amazon.com</t>
        </is>
      </c>
      <c r="D58" t="inlineStr">
        <is>
          <t>indeed</t>
        </is>
      </c>
      <c r="E58">
        <f>HYPERLINK("https://www.indeed.com/viewjob?jk=3978dcd011c69910", "https://www.indeed.com/viewjob?jk=3978dcd011c69910")</f>
        <v/>
      </c>
      <c r="F58">
        <f>HYPERLINK("https://www.amazon.jobs/jobs/3168905/applied-scientist-ii-prime-video-personalization-and-discovery-science?cmpid=DA_INAD200785B", "https://www.amazon.jobs/jobs/3168905/applied-scientist-ii-prime-video-personalization-and-discovery-science?cmpid=DA_INAD200785B")</f>
        <v/>
      </c>
      <c r="G58" t="inlineStr">
        <is>
          <t>Seattle, WA, US</t>
        </is>
      </c>
      <c r="H58" s="2" t="n">
        <v>46047</v>
      </c>
      <c r="I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9">
      <c r="A59" t="inlineStr">
        <is>
          <t>in-612ccbca6810f12c</t>
        </is>
      </c>
      <c r="B59" t="inlineStr">
        <is>
          <t>Applied Scientist, Amazon Connect</t>
        </is>
      </c>
      <c r="C59" t="inlineStr">
        <is>
          <t>Amazon Web Services</t>
        </is>
      </c>
      <c r="D59" t="inlineStr">
        <is>
          <t>indeed</t>
        </is>
      </c>
      <c r="E59">
        <f>HYPERLINK("https://www.indeed.com/viewjob?jk=612ccbca6810f12c", "https://www.indeed.com/viewjob?jk=612ccbca6810f12c")</f>
        <v/>
      </c>
      <c r="F59">
        <f>HYPERLINK("https://www.amazon.jobs/jobs/3168981/applied-scientist-amazon-connect?cmpid=DA_INAD200785B", "https://www.amazon.jobs/jobs/3168981/applied-scientist-amazon-connect?cmpid=DA_INAD200785B")</f>
        <v/>
      </c>
      <c r="G59" t="inlineStr">
        <is>
          <t>New York, NY, US</t>
        </is>
      </c>
      <c r="H59" s="2" t="n">
        <v>46047</v>
      </c>
      <c r="I5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0">
      <c r="A60" t="inlineStr">
        <is>
          <t>in-6faf220a35b9522a</t>
        </is>
      </c>
      <c r="B60" t="inlineStr">
        <is>
          <t>Applied Scientist, Amazon Connect</t>
        </is>
      </c>
      <c r="C60" t="inlineStr">
        <is>
          <t>Amazon Web Services</t>
        </is>
      </c>
      <c r="D60" t="inlineStr">
        <is>
          <t>indeed</t>
        </is>
      </c>
      <c r="E60">
        <f>HYPERLINK("https://www.indeed.com/viewjob?jk=6faf220a35b9522a", "https://www.indeed.com/viewjob?jk=6faf220a35b9522a")</f>
        <v/>
      </c>
      <c r="F60">
        <f>HYPERLINK("https://www.amazon.jobs/jobs/3168981/applied-scientist-amazon-connect?cmpid=DA_INAD200785B", "https://www.amazon.jobs/jobs/3168981/applied-scientist-amazon-connect?cmpid=DA_INAD200785B")</f>
        <v/>
      </c>
      <c r="G60" t="inlineStr">
        <is>
          <t>Seattle, WA, US</t>
        </is>
      </c>
      <c r="H60" s="2" t="n">
        <v>46047</v>
      </c>
      <c r="I60"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1">
      <c r="A61" t="inlineStr">
        <is>
          <t>in-d0fae0bde79979d0</t>
        </is>
      </c>
      <c r="B61" t="inlineStr">
        <is>
          <t>Applied Scientist, Safety ML</t>
        </is>
      </c>
      <c r="C61" t="inlineStr">
        <is>
          <t>Amazon.com</t>
        </is>
      </c>
      <c r="D61" t="inlineStr">
        <is>
          <t>indeed</t>
        </is>
      </c>
      <c r="E61">
        <f>HYPERLINK("https://www.indeed.com/viewjob?jk=d0fae0bde79979d0", "https://www.indeed.com/viewjob?jk=d0fae0bde79979d0")</f>
        <v/>
      </c>
      <c r="F61">
        <f>HYPERLINK("https://www.amazon.jobs/jobs/3161224/applied-scientist-safety-ml?cmpid=DA_INAD200785B", "https://www.amazon.jobs/jobs/3161224/applied-scientist-safety-ml?cmpid=DA_INAD200785B")</f>
        <v/>
      </c>
      <c r="G61" t="inlineStr">
        <is>
          <t>Seattle, WA, US</t>
        </is>
      </c>
      <c r="H61" s="2" t="n">
        <v>46037</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2">
      <c r="A62" t="inlineStr">
        <is>
          <t>in-69ae7901b26c3862</t>
        </is>
      </c>
      <c r="B62" t="inlineStr">
        <is>
          <t>Applied Scientist, Safety ML</t>
        </is>
      </c>
      <c r="C62" t="inlineStr">
        <is>
          <t>Amazon.com</t>
        </is>
      </c>
      <c r="D62" t="inlineStr">
        <is>
          <t>indeed</t>
        </is>
      </c>
      <c r="E62">
        <f>HYPERLINK("https://www.indeed.com/viewjob?jk=69ae7901b26c3862", "https://www.indeed.com/viewjob?jk=69ae7901b26c3862")</f>
        <v/>
      </c>
      <c r="F62">
        <f>HYPERLINK("https://www.amazon.jobs/jobs/3161224/applied-scientist-safety-ml?cmpid=DA_INAD200785B", "https://www.amazon.jobs/jobs/3161224/applied-scientist-safety-ml?cmpid=DA_INAD200785B")</f>
        <v/>
      </c>
      <c r="G62" t="inlineStr">
        <is>
          <t>San Francisco, CA, US</t>
        </is>
      </c>
      <c r="H62" s="2" t="n">
        <v>46037</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3">
      <c r="A63" t="inlineStr">
        <is>
          <t>in-e0c4c5c8bf83e5fb</t>
        </is>
      </c>
      <c r="B63" t="inlineStr">
        <is>
          <t>Principal Applied Scientist, Measurement, AdTech and Data Science, Ads Performance Measurement</t>
        </is>
      </c>
      <c r="C63" t="inlineStr">
        <is>
          <t>Amazon.com</t>
        </is>
      </c>
      <c r="D63" t="inlineStr">
        <is>
          <t>indeed</t>
        </is>
      </c>
      <c r="E63">
        <f>HYPERLINK("https://www.indeed.com/viewjob?jk=e0c4c5c8bf83e5fb", "https://www.indeed.com/viewjob?jk=e0c4c5c8bf83e5fb")</f>
        <v/>
      </c>
      <c r="F63">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3" t="inlineStr">
        <is>
          <t>Seattle, WA, US</t>
        </is>
      </c>
      <c r="H63" s="2" t="n">
        <v>46037</v>
      </c>
      <c r="I63"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4">
      <c r="A64" t="inlineStr">
        <is>
          <t>in-213855e18d67ad4e</t>
        </is>
      </c>
      <c r="B64" t="inlineStr">
        <is>
          <t>Principal Applied Scientist, Measurement, AdTech and Data Science, Ads Performance Measurement</t>
        </is>
      </c>
      <c r="C64" t="inlineStr">
        <is>
          <t>Amazon.com</t>
        </is>
      </c>
      <c r="D64" t="inlineStr">
        <is>
          <t>indeed</t>
        </is>
      </c>
      <c r="E64">
        <f>HYPERLINK("https://www.indeed.com/viewjob?jk=213855e18d67ad4e", "https://www.indeed.com/viewjob?jk=213855e18d67ad4e")</f>
        <v/>
      </c>
      <c r="F64">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4" t="inlineStr">
        <is>
          <t>New York, NY, US</t>
        </is>
      </c>
      <c r="H64" s="2" t="n">
        <v>46037</v>
      </c>
      <c r="I64"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5">
      <c r="A65" t="inlineStr">
        <is>
          <t>in-cb12b420cd4b4141</t>
        </is>
      </c>
      <c r="B65" t="inlineStr">
        <is>
          <t>Principal Applied Scientist, Measurement, AdTech and Data Science, Ads Performance Measurement</t>
        </is>
      </c>
      <c r="C65" t="inlineStr">
        <is>
          <t>Amazon.com</t>
        </is>
      </c>
      <c r="D65" t="inlineStr">
        <is>
          <t>indeed</t>
        </is>
      </c>
      <c r="E65">
        <f>HYPERLINK("https://www.indeed.com/viewjob?jk=cb12b420cd4b4141", "https://www.indeed.com/viewjob?jk=cb12b420cd4b4141")</f>
        <v/>
      </c>
      <c r="F65">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65" t="inlineStr">
        <is>
          <t>Palo Alto, CA, US</t>
        </is>
      </c>
      <c r="H65" s="2" t="n">
        <v>46037</v>
      </c>
      <c r="I65"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6">
      <c r="A66" t="inlineStr">
        <is>
          <t>in-523a3391cd1ea5fb</t>
        </is>
      </c>
      <c r="B66" t="inlineStr">
        <is>
          <t>Applied Scientist, LLM Code Agents, Kiro Science</t>
        </is>
      </c>
      <c r="C66" t="inlineStr">
        <is>
          <t>Amazon.com</t>
        </is>
      </c>
      <c r="D66" t="inlineStr">
        <is>
          <t>indeed</t>
        </is>
      </c>
      <c r="E66">
        <f>HYPERLINK("https://www.indeed.com/viewjob?jk=523a3391cd1ea5fb", "https://www.indeed.com/viewjob?jk=523a3391cd1ea5fb")</f>
        <v/>
      </c>
      <c r="F66">
        <f>HYPERLINK("https://www.amazon.jobs/jobs/3161363/applied-scientist-llm-code-agents-kiro-science?cmpid=DA_INAD200785B", "https://www.amazon.jobs/jobs/3161363/applied-scientist-llm-code-agents-kiro-science?cmpid=DA_INAD200785B")</f>
        <v/>
      </c>
      <c r="G66" t="inlineStr">
        <is>
          <t>Seattle, WA, US</t>
        </is>
      </c>
      <c r="H66" s="2" t="n">
        <v>46035</v>
      </c>
      <c r="I6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7">
      <c r="A67" t="inlineStr">
        <is>
          <t>in-7b011724ce34813b</t>
        </is>
      </c>
      <c r="B67" t="inlineStr">
        <is>
          <t>Applied Scientist, LLM Code Agents, Kiro Science</t>
        </is>
      </c>
      <c r="C67" t="inlineStr">
        <is>
          <t>Amazon.com</t>
        </is>
      </c>
      <c r="D67" t="inlineStr">
        <is>
          <t>indeed</t>
        </is>
      </c>
      <c r="E67">
        <f>HYPERLINK("https://www.indeed.com/viewjob?jk=7b011724ce34813b", "https://www.indeed.com/viewjob?jk=7b011724ce34813b")</f>
        <v/>
      </c>
      <c r="F67">
        <f>HYPERLINK("https://www.amazon.jobs/jobs/3161363/applied-scientist-llm-code-agents-kiro-science?cmpid=DA_INAD200785B", "https://www.amazon.jobs/jobs/3161363/applied-scientist-llm-code-agents-kiro-science?cmpid=DA_INAD200785B")</f>
        <v/>
      </c>
      <c r="G67" t="inlineStr">
        <is>
          <t>Santa Clara, CA, US</t>
        </is>
      </c>
      <c r="H67" s="2" t="n">
        <v>46035</v>
      </c>
      <c r="I67"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8">
      <c r="A68" t="inlineStr">
        <is>
          <t>in-87643908a7ab0169</t>
        </is>
      </c>
      <c r="B68" t="inlineStr">
        <is>
          <t>Applied Scientist II, Prime Video Personalization and Discovery Science</t>
        </is>
      </c>
      <c r="C68" t="inlineStr">
        <is>
          <t>Amazon.com</t>
        </is>
      </c>
      <c r="D68" t="inlineStr">
        <is>
          <t>indeed</t>
        </is>
      </c>
      <c r="E68">
        <f>HYPERLINK("https://www.indeed.com/viewjob?jk=87643908a7ab0169", "https://www.indeed.com/viewjob?jk=87643908a7ab0169")</f>
        <v/>
      </c>
      <c r="F68">
        <f>HYPERLINK("https://www.amazon.jobs/jobs/3165157/applied-scientist-ii-prime-video-personalization-and-discovery-science?cmpid=DA_INAD200785B", "https://www.amazon.jobs/jobs/3165157/applied-scientist-ii-prime-video-personalization-and-discovery-science?cmpid=DA_INAD200785B")</f>
        <v/>
      </c>
      <c r="G68" t="inlineStr">
        <is>
          <t>Seattle, WA, US</t>
        </is>
      </c>
      <c r="H68" s="2" t="n">
        <v>46034</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in-7ab0200d09035177</t>
        </is>
      </c>
      <c r="B69" t="inlineStr">
        <is>
          <t>Applied Scientist II, Prime Video Personalization and Discovery Science</t>
        </is>
      </c>
      <c r="C69" t="inlineStr">
        <is>
          <t>Amazon.com</t>
        </is>
      </c>
      <c r="D69" t="inlineStr">
        <is>
          <t>indeed</t>
        </is>
      </c>
      <c r="E69">
        <f>HYPERLINK("https://www.indeed.com/viewjob?jk=7ab0200d09035177", "https://www.indeed.com/viewjob?jk=7ab0200d09035177")</f>
        <v/>
      </c>
      <c r="F69">
        <f>HYPERLINK("https://www.amazon.jobs/jobs/3165157/applied-scientist-ii-prime-video-personalization-and-discovery-science?cmpid=DA_INAD200785B", "https://www.amazon.jobs/jobs/3165157/applied-scientist-ii-prime-video-personalization-and-discovery-science?cmpid=DA_INAD200785B")</f>
        <v/>
      </c>
      <c r="G69" t="inlineStr">
        <is>
          <t>Sunnyvale, CA, US</t>
        </is>
      </c>
      <c r="H69" s="2" t="n">
        <v>46034</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0">
      <c r="A70" t="inlineStr">
        <is>
          <t>in-a837a249ace5be7b</t>
        </is>
      </c>
      <c r="B70" t="inlineStr">
        <is>
          <t>Applied Scientist, Alexa Smart Home</t>
        </is>
      </c>
      <c r="C70" t="inlineStr">
        <is>
          <t>Amazon.com</t>
        </is>
      </c>
      <c r="D70" t="inlineStr">
        <is>
          <t>indeed</t>
        </is>
      </c>
      <c r="E70">
        <f>HYPERLINK("https://www.indeed.com/viewjob?jk=a837a249ace5be7b", "https://www.indeed.com/viewjob?jk=a837a249ace5be7b")</f>
        <v/>
      </c>
      <c r="F70">
        <f>HYPERLINK("https://www.amazon.jobs/jobs/3169205/applied-scientist-alexa-smart-home?cmpid=DA_INAD200785B", "https://www.amazon.jobs/jobs/3169205/applied-scientist-alexa-smart-home?cmpid=DA_INAD200785B")</f>
        <v/>
      </c>
      <c r="G70" t="inlineStr">
        <is>
          <t>Sunnyvale, CA, US</t>
        </is>
      </c>
      <c r="H70" s="2" t="n">
        <v>46033</v>
      </c>
      <c r="I7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1">
      <c r="A71" t="inlineStr">
        <is>
          <t>in-2b48a6f8165eceaa</t>
        </is>
      </c>
      <c r="B71" t="inlineStr">
        <is>
          <t>Applied Scientist, Alexa Smart Home</t>
        </is>
      </c>
      <c r="C71" t="inlineStr">
        <is>
          <t>Amazon.com</t>
        </is>
      </c>
      <c r="D71" t="inlineStr">
        <is>
          <t>indeed</t>
        </is>
      </c>
      <c r="E71">
        <f>HYPERLINK("https://www.indeed.com/viewjob?jk=2b48a6f8165eceaa", "https://www.indeed.com/viewjob?jk=2b48a6f8165eceaa")</f>
        <v/>
      </c>
      <c r="F71">
        <f>HYPERLINK("https://www.amazon.jobs/jobs/3169205/applied-scientist-alexa-smart-home?cmpid=DA_INAD200785B", "https://www.amazon.jobs/jobs/3169205/applied-scientist-alexa-smart-home?cmpid=DA_INAD200785B")</f>
        <v/>
      </c>
      <c r="G71" t="inlineStr">
        <is>
          <t>Seattle, WA, US</t>
        </is>
      </c>
      <c r="H71" s="2" t="n">
        <v>46033</v>
      </c>
      <c r="I7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72">
      <c r="A72" t="inlineStr">
        <is>
          <t>in-fb218802fdee30a6</t>
        </is>
      </c>
      <c r="B72" t="inlineStr">
        <is>
          <t>Applied Scientist, AWS Applied AI Solutions</t>
        </is>
      </c>
      <c r="C72" t="inlineStr">
        <is>
          <t>Amazon Web Services</t>
        </is>
      </c>
      <c r="D72" t="inlineStr">
        <is>
          <t>indeed</t>
        </is>
      </c>
      <c r="E72">
        <f>HYPERLINK("https://www.indeed.com/viewjob?jk=fb218802fdee30a6", "https://www.indeed.com/viewjob?jk=fb218802fdee30a6")</f>
        <v/>
      </c>
      <c r="F72">
        <f>HYPERLINK("https://www.amazon.jobs/jobs/3166907/applied-scientist-aws-applied-ai-solutions?cmpid=DA_INAD200785B", "https://www.amazon.jobs/jobs/3166907/applied-scientist-aws-applied-ai-solutions?cmpid=DA_INAD200785B")</f>
        <v/>
      </c>
      <c r="G72" t="inlineStr">
        <is>
          <t>New York, NY, US</t>
        </is>
      </c>
      <c r="H72" s="2" t="n">
        <v>46030</v>
      </c>
      <c r="I7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3">
      <c r="A73" t="inlineStr">
        <is>
          <t>in-610eab43ef67e63c</t>
        </is>
      </c>
      <c r="B73" t="inlineStr">
        <is>
          <t>Applied Scientist, AWS Applied AI Solutions</t>
        </is>
      </c>
      <c r="C73" t="inlineStr">
        <is>
          <t>Amazon Web Services</t>
        </is>
      </c>
      <c r="D73" t="inlineStr">
        <is>
          <t>indeed</t>
        </is>
      </c>
      <c r="E73">
        <f>HYPERLINK("https://www.indeed.com/viewjob?jk=610eab43ef67e63c", "https://www.indeed.com/viewjob?jk=610eab43ef67e63c")</f>
        <v/>
      </c>
      <c r="F73">
        <f>HYPERLINK("https://www.amazon.jobs/jobs/3166907/applied-scientist-aws-applied-ai-solutions?cmpid=DA_INAD200785B", "https://www.amazon.jobs/jobs/3166907/applied-scientist-aws-applied-ai-solutions?cmpid=DA_INAD200785B")</f>
        <v/>
      </c>
      <c r="G73" t="inlineStr">
        <is>
          <t>Seattle, WA, US</t>
        </is>
      </c>
      <c r="H73" s="2" t="n">
        <v>46030</v>
      </c>
      <c r="I7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4">
      <c r="A74" t="inlineStr">
        <is>
          <t>in-43667226b9b76ff1</t>
        </is>
      </c>
      <c r="B74" t="inlineStr">
        <is>
          <t>Applied Scientist II, Prime Video Personalization and Discovery Science</t>
        </is>
      </c>
      <c r="C74" t="inlineStr">
        <is>
          <t>Amazon.com</t>
        </is>
      </c>
      <c r="D74" t="inlineStr">
        <is>
          <t>indeed</t>
        </is>
      </c>
      <c r="E74">
        <f>HYPERLINK("https://www.indeed.com/viewjob?jk=43667226b9b76ff1", "https://www.indeed.com/viewjob?jk=43667226b9b76ff1")</f>
        <v/>
      </c>
      <c r="F74">
        <f>HYPERLINK("https://www.amazon.jobs/jobs/3155448/applied-scientist-ii-prime-video-personalization-and-discovery-science?cmpid=DA_INAD200785B", "https://www.amazon.jobs/jobs/3155448/applied-scientist-ii-prime-video-personalization-and-discovery-science?cmpid=DA_INAD200785B")</f>
        <v/>
      </c>
      <c r="G74" t="inlineStr">
        <is>
          <t>Seattle, WA, US</t>
        </is>
      </c>
      <c r="H74" s="2" t="n">
        <v>46028</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5">
      <c r="A75" t="inlineStr">
        <is>
          <t>in-57984a5d5f5cbb33</t>
        </is>
      </c>
      <c r="B75" t="inlineStr">
        <is>
          <t>Applied Scientist II, Prime Video Personalization and Discovery Science</t>
        </is>
      </c>
      <c r="C75" t="inlineStr">
        <is>
          <t>Amazon.com</t>
        </is>
      </c>
      <c r="D75" t="inlineStr">
        <is>
          <t>indeed</t>
        </is>
      </c>
      <c r="E75">
        <f>HYPERLINK("https://www.indeed.com/viewjob?jk=57984a5d5f5cbb33", "https://www.indeed.com/viewjob?jk=57984a5d5f5cbb33")</f>
        <v/>
      </c>
      <c r="F75">
        <f>HYPERLINK("https://www.amazon.jobs/jobs/3155448/applied-scientist-ii-prime-video-personalization-and-discovery-science?cmpid=DA_INAD200785B", "https://www.amazon.jobs/jobs/3155448/applied-scientist-ii-prime-video-personalization-and-discovery-science?cmpid=DA_INAD200785B")</f>
        <v/>
      </c>
      <c r="G75" t="inlineStr">
        <is>
          <t>Sunnyvale, CA, US</t>
        </is>
      </c>
      <c r="H75" s="2" t="n">
        <v>46028</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6">
      <c r="A76" t="inlineStr">
        <is>
          <t>in-5a2b972a9bce983a</t>
        </is>
      </c>
      <c r="B76" t="inlineStr">
        <is>
          <t>Applied Scientist II, Prime Video Personalization and Discovery Science</t>
        </is>
      </c>
      <c r="C76" t="inlineStr">
        <is>
          <t>Amazon.com</t>
        </is>
      </c>
      <c r="D76" t="inlineStr">
        <is>
          <t>indeed</t>
        </is>
      </c>
      <c r="E76">
        <f>HYPERLINK("https://www.indeed.com/viewjob?jk=5a2b972a9bce983a", "https://www.indeed.com/viewjob?jk=5a2b972a9bce983a")</f>
        <v/>
      </c>
      <c r="F76">
        <f>HYPERLINK("https://www.amazon.jobs/jobs/3155448/applied-scientist-ii-prime-video-personalization-and-discovery-science?cmpid=DA_INAD200785B", "https://www.amazon.jobs/jobs/3155448/applied-scientist-ii-prime-video-personalization-and-discovery-science?cmpid=DA_INAD200785B")</f>
        <v/>
      </c>
      <c r="G76" t="inlineStr">
        <is>
          <t>New York, NY, US</t>
        </is>
      </c>
      <c r="H76" s="2" t="n">
        <v>46028</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7">
      <c r="A77" t="inlineStr">
        <is>
          <t>in-cdc1788be23eebd1</t>
        </is>
      </c>
      <c r="B77" t="inlineStr">
        <is>
          <t>Senior Applied Scientist, Distributed SQL</t>
        </is>
      </c>
      <c r="C77" t="inlineStr">
        <is>
          <t>Amazon Web Services</t>
        </is>
      </c>
      <c r="D77" t="inlineStr">
        <is>
          <t>indeed</t>
        </is>
      </c>
      <c r="E77">
        <f>HYPERLINK("https://www.indeed.com/viewjob?jk=cdc1788be23eebd1", "https://www.indeed.com/viewjob?jk=cdc1788be23eebd1")</f>
        <v/>
      </c>
      <c r="F77">
        <f>HYPERLINK("https://www.amazon.jobs/jobs/3148444/senior-applied-scientist-distributed-sql?cmpid=DA_INAD200785B", "https://www.amazon.jobs/jobs/3148444/senior-applied-scientist-distributed-sql?cmpid=DA_INAD200785B")</f>
        <v/>
      </c>
      <c r="G77" t="inlineStr">
        <is>
          <t>East Palo Alto, CA, US</t>
        </is>
      </c>
      <c r="H77" s="2" t="n">
        <v>46012</v>
      </c>
      <c r="I7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8">
      <c r="A78" t="inlineStr">
        <is>
          <t>in-87d9c0fd2088a16d</t>
        </is>
      </c>
      <c r="B78" t="inlineStr">
        <is>
          <t>Senior Applied Scientist, Distributed SQL</t>
        </is>
      </c>
      <c r="C78" t="inlineStr">
        <is>
          <t>Amazon Web Services</t>
        </is>
      </c>
      <c r="D78" t="inlineStr">
        <is>
          <t>indeed</t>
        </is>
      </c>
      <c r="E78">
        <f>HYPERLINK("https://www.indeed.com/viewjob?jk=87d9c0fd2088a16d", "https://www.indeed.com/viewjob?jk=87d9c0fd2088a16d")</f>
        <v/>
      </c>
      <c r="F78">
        <f>HYPERLINK("https://www.amazon.jobs/jobs/3148444/senior-applied-scientist-distributed-sql?cmpid=DA_INAD200785B", "https://www.amazon.jobs/jobs/3148444/senior-applied-scientist-distributed-sql?cmpid=DA_INAD200785B")</f>
        <v/>
      </c>
      <c r="G78" t="inlineStr">
        <is>
          <t>Seattle, WA, US</t>
        </is>
      </c>
      <c r="H78" s="2" t="n">
        <v>46012</v>
      </c>
      <c r="I7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9">
      <c r="A79" t="inlineStr">
        <is>
          <t>in-596d7b97b2884a34</t>
        </is>
      </c>
      <c r="B79" t="inlineStr">
        <is>
          <t>Applied Scientist, Delivery Foundation Model</t>
        </is>
      </c>
      <c r="C79" t="inlineStr">
        <is>
          <t>Amazon.com</t>
        </is>
      </c>
      <c r="D79" t="inlineStr">
        <is>
          <t>indeed</t>
        </is>
      </c>
      <c r="E79">
        <f>HYPERLINK("https://www.indeed.com/viewjob?jk=596d7b97b2884a34", "https://www.indeed.com/viewjob?jk=596d7b97b2884a34")</f>
        <v/>
      </c>
      <c r="F79">
        <f>HYPERLINK("https://www.amazon.jobs/jobs/3169077/applied-scientist-delivery-foundation-model-?cmpid=DA_INAD200785B", "https://www.amazon.jobs/jobs/3169077/applied-scientist-delivery-foundation-model-?cmpid=DA_INAD200785B")</f>
        <v/>
      </c>
      <c r="G79" t="inlineStr">
        <is>
          <t>Bellevue, WA, US</t>
        </is>
      </c>
      <c r="H79" s="2" t="n">
        <v>46009</v>
      </c>
      <c r="I7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80">
      <c r="A80" t="inlineStr">
        <is>
          <t>in-b9b7b631a1092d53</t>
        </is>
      </c>
      <c r="B80" t="inlineStr">
        <is>
          <t>Applied Scientist, Delivery Foundation Model</t>
        </is>
      </c>
      <c r="C80" t="inlineStr">
        <is>
          <t>Amazon.com</t>
        </is>
      </c>
      <c r="D80" t="inlineStr">
        <is>
          <t>indeed</t>
        </is>
      </c>
      <c r="E80">
        <f>HYPERLINK("https://www.indeed.com/viewjob?jk=b9b7b631a1092d53", "https://www.indeed.com/viewjob?jk=b9b7b631a1092d53")</f>
        <v/>
      </c>
      <c r="F80">
        <f>HYPERLINK("https://www.amazon.jobs/jobs/3169077/applied-scientist-delivery-foundation-model-?cmpid=DA_INAD200785B", "https://www.amazon.jobs/jobs/3169077/applied-scientist-delivery-foundation-model-?cmpid=DA_INAD200785B")</f>
        <v/>
      </c>
      <c r="G80" t="inlineStr">
        <is>
          <t>Santa Clara, CA, US</t>
        </is>
      </c>
      <c r="H80" s="2" t="n">
        <v>46009</v>
      </c>
      <c r="I8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81">
      <c r="A81" t="inlineStr">
        <is>
          <t>in-028a530c08aa2b70</t>
        </is>
      </c>
      <c r="B81" t="inlineStr">
        <is>
          <t>Principal Applied Scientist, Kiro Science</t>
        </is>
      </c>
      <c r="C81" t="inlineStr">
        <is>
          <t>Amazon Web Services</t>
        </is>
      </c>
      <c r="D81" t="inlineStr">
        <is>
          <t>indeed</t>
        </is>
      </c>
      <c r="E81">
        <f>HYPERLINK("https://www.indeed.com/viewjob?jk=028a530c08aa2b70", "https://www.indeed.com/viewjob?jk=028a530c08aa2b70")</f>
        <v/>
      </c>
      <c r="F81">
        <f>HYPERLINK("https://www.amazon.jobs/jobs/3161064/principal-applied-scientist-kiro-science?cmpid=DA_INAD200785B", "https://www.amazon.jobs/jobs/3161064/principal-applied-scientist-kiro-science?cmpid=DA_INAD200785B")</f>
        <v/>
      </c>
      <c r="G81" t="inlineStr">
        <is>
          <t>New York, NY, US</t>
        </is>
      </c>
      <c r="H81" s="2" t="n">
        <v>45999</v>
      </c>
      <c r="I8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2">
      <c r="A82" t="inlineStr">
        <is>
          <t>in-6909ed07115241bc</t>
        </is>
      </c>
      <c r="B82" t="inlineStr">
        <is>
          <t>Principal Applied Scientist, Kiro Science</t>
        </is>
      </c>
      <c r="C82" t="inlineStr">
        <is>
          <t>Amazon Web Services</t>
        </is>
      </c>
      <c r="D82" t="inlineStr">
        <is>
          <t>indeed</t>
        </is>
      </c>
      <c r="E82">
        <f>HYPERLINK("https://www.indeed.com/viewjob?jk=6909ed07115241bc", "https://www.indeed.com/viewjob?jk=6909ed07115241bc")</f>
        <v/>
      </c>
      <c r="F82">
        <f>HYPERLINK("https://www.amazon.jobs/jobs/3161064/principal-applied-scientist-kiro-science?cmpid=DA_INAD200785B", "https://www.amazon.jobs/jobs/3161064/principal-applied-scientist-kiro-science?cmpid=DA_INAD200785B")</f>
        <v/>
      </c>
      <c r="G82" t="inlineStr">
        <is>
          <t>Santa Clara, CA, US</t>
        </is>
      </c>
      <c r="H82" s="2" t="n">
        <v>45999</v>
      </c>
      <c r="I82"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3">
      <c r="A83" t="inlineStr">
        <is>
          <t>in-de76f1bcf4852bbc</t>
        </is>
      </c>
      <c r="B83" t="inlineStr">
        <is>
          <t>Principal Applied Scientist, Sponsored Products and Brands</t>
        </is>
      </c>
      <c r="C83" t="inlineStr">
        <is>
          <t>Amazon.com</t>
        </is>
      </c>
      <c r="D83" t="inlineStr">
        <is>
          <t>indeed</t>
        </is>
      </c>
      <c r="E83">
        <f>HYPERLINK("https://www.indeed.com/viewjob?jk=de76f1bcf4852bbc", "https://www.indeed.com/viewjob?jk=de76f1bcf4852bbc")</f>
        <v/>
      </c>
      <c r="F83">
        <f>HYPERLINK("https://www.amazon.jobs/jobs/3130855/principal-applied-scientist-sponsored-products-and-brands?cmpid=DA_INAD200785B", "https://www.amazon.jobs/jobs/3130855/principal-applied-scientist-sponsored-products-and-brands?cmpid=DA_INAD200785B")</f>
        <v/>
      </c>
      <c r="G83" t="inlineStr">
        <is>
          <t>New York, NY, US</t>
        </is>
      </c>
      <c r="H83" s="2" t="n">
        <v>45979</v>
      </c>
      <c r="I8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in-441fd7f79c1ba735</t>
        </is>
      </c>
      <c r="B84" t="inlineStr">
        <is>
          <t>Principal Applied Scientist, Sponsored Products and Brands</t>
        </is>
      </c>
      <c r="C84" t="inlineStr">
        <is>
          <t>Amazon.com</t>
        </is>
      </c>
      <c r="D84" t="inlineStr">
        <is>
          <t>indeed</t>
        </is>
      </c>
      <c r="E84">
        <f>HYPERLINK("https://www.indeed.com/viewjob?jk=441fd7f79c1ba735", "https://www.indeed.com/viewjob?jk=441fd7f79c1ba735")</f>
        <v/>
      </c>
      <c r="F84">
        <f>HYPERLINK("https://www.amazon.jobs/jobs/3130855/principal-applied-scientist-sponsored-products-and-brands?cmpid=DA_INAD200785B", "https://www.amazon.jobs/jobs/3130855/principal-applied-scientist-sponsored-products-and-brands?cmpid=DA_INAD200785B")</f>
        <v/>
      </c>
      <c r="G84" t="inlineStr">
        <is>
          <t>Seattle, WA, US</t>
        </is>
      </c>
      <c r="H84" s="2" t="n">
        <v>45979</v>
      </c>
      <c r="I8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in-9b5342b2abf092ab</t>
        </is>
      </c>
      <c r="B85" t="inlineStr">
        <is>
          <t>Senior Applied Scientist, Sponsored Products and Brands</t>
        </is>
      </c>
      <c r="C85" t="inlineStr">
        <is>
          <t>Amazon.com</t>
        </is>
      </c>
      <c r="D85" t="inlineStr">
        <is>
          <t>indeed</t>
        </is>
      </c>
      <c r="E85">
        <f>HYPERLINK("https://www.indeed.com/viewjob?jk=9b5342b2abf092ab", "https://www.indeed.com/viewjob?jk=9b5342b2abf092ab")</f>
        <v/>
      </c>
      <c r="F85">
        <f>HYPERLINK("https://www.amazon.jobs/jobs/3130062/senior-applied-scientist-sponsored-products-and-brands?cmpid=DA_INAD200785B", "https://www.amazon.jobs/jobs/3130062/senior-applied-scientist-sponsored-products-and-brands?cmpid=DA_INAD200785B")</f>
        <v/>
      </c>
      <c r="G85" t="inlineStr">
        <is>
          <t>Seattle, WA, US</t>
        </is>
      </c>
      <c r="H85" s="2" t="n">
        <v>45979</v>
      </c>
      <c r="I8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6">
      <c r="A86" t="inlineStr">
        <is>
          <t>in-ff173715f0eacf63</t>
        </is>
      </c>
      <c r="B86" t="inlineStr">
        <is>
          <t>Senior Applied Scientist, Sponsored Products and Brands</t>
        </is>
      </c>
      <c r="C86" t="inlineStr">
        <is>
          <t>Amazon.com</t>
        </is>
      </c>
      <c r="D86" t="inlineStr">
        <is>
          <t>indeed</t>
        </is>
      </c>
      <c r="E86">
        <f>HYPERLINK("https://www.indeed.com/viewjob?jk=ff173715f0eacf63", "https://www.indeed.com/viewjob?jk=ff173715f0eacf63")</f>
        <v/>
      </c>
      <c r="F86">
        <f>HYPERLINK("https://www.amazon.jobs/jobs/3130062/senior-applied-scientist-sponsored-products-and-brands?cmpid=DA_INAD200785B", "https://www.amazon.jobs/jobs/3130062/senior-applied-scientist-sponsored-products-and-brands?cmpid=DA_INAD200785B")</f>
        <v/>
      </c>
      <c r="G86" t="inlineStr">
        <is>
          <t>New York, NY, US</t>
        </is>
      </c>
      <c r="H86" s="2" t="n">
        <v>45979</v>
      </c>
      <c r="I8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7">
      <c r="A87" t="inlineStr">
        <is>
          <t>in-e6be73320b905ba2</t>
        </is>
      </c>
      <c r="B87" t="inlineStr">
        <is>
          <t>Sr. Applied Scientist, Sponsored Products</t>
        </is>
      </c>
      <c r="C87" t="inlineStr">
        <is>
          <t>Amazon.com</t>
        </is>
      </c>
      <c r="D87" t="inlineStr">
        <is>
          <t>indeed</t>
        </is>
      </c>
      <c r="E87">
        <f>HYPERLINK("https://www.indeed.com/viewjob?jk=e6be73320b905ba2", "https://www.indeed.com/viewjob?jk=e6be73320b905ba2")</f>
        <v/>
      </c>
      <c r="F87">
        <f>HYPERLINK("https://www.amazon.jobs/jobs/3136156/sr-applied-scientist-sponsored-products?cmpid=DA_INAD200785B", "https://www.amazon.jobs/jobs/3136156/sr-applied-scientist-sponsored-products?cmpid=DA_INAD200785B")</f>
        <v/>
      </c>
      <c r="G87" t="inlineStr">
        <is>
          <t>Arlington, VA, US</t>
        </is>
      </c>
      <c r="H87" s="2" t="n">
        <v>45976</v>
      </c>
      <c r="I8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8">
      <c r="A88" t="inlineStr">
        <is>
          <t>in-a3fd4d88a9caf774</t>
        </is>
      </c>
      <c r="B88" t="inlineStr">
        <is>
          <t>Sr. Applied Scientist, Sponsored Products</t>
        </is>
      </c>
      <c r="C88" t="inlineStr">
        <is>
          <t>Amazon.com</t>
        </is>
      </c>
      <c r="D88" t="inlineStr">
        <is>
          <t>indeed</t>
        </is>
      </c>
      <c r="E88">
        <f>HYPERLINK("https://www.indeed.com/viewjob?jk=a3fd4d88a9caf774", "https://www.indeed.com/viewjob?jk=a3fd4d88a9caf774")</f>
        <v/>
      </c>
      <c r="F88">
        <f>HYPERLINK("https://www.amazon.jobs/jobs/3136156/sr-applied-scientist-sponsored-products?cmpid=DA_INAD200785B", "https://www.amazon.jobs/jobs/3136156/sr-applied-scientist-sponsored-products?cmpid=DA_INAD200785B")</f>
        <v/>
      </c>
      <c r="G88" t="inlineStr">
        <is>
          <t>New York, NY, US</t>
        </is>
      </c>
      <c r="H88" s="2" t="n">
        <v>45976</v>
      </c>
      <c r="I8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9">
      <c r="A89" t="inlineStr">
        <is>
          <t>in-9628cd4ccbfa8acf</t>
        </is>
      </c>
      <c r="B89" t="inlineStr">
        <is>
          <t>Sr. Applied Scientist, Sponsored Products</t>
        </is>
      </c>
      <c r="C89" t="inlineStr">
        <is>
          <t>Amazon.com</t>
        </is>
      </c>
      <c r="D89" t="inlineStr">
        <is>
          <t>indeed</t>
        </is>
      </c>
      <c r="E89">
        <f>HYPERLINK("https://www.indeed.com/viewjob?jk=9628cd4ccbfa8acf", "https://www.indeed.com/viewjob?jk=9628cd4ccbfa8acf")</f>
        <v/>
      </c>
      <c r="F89">
        <f>HYPERLINK("https://www.amazon.jobs/jobs/3136156/sr-applied-scientist-sponsored-products?cmpid=DA_INAD200785B", "https://www.amazon.jobs/jobs/3136156/sr-applied-scientist-sponsored-products?cmpid=DA_INAD200785B")</f>
        <v/>
      </c>
      <c r="G89" t="inlineStr">
        <is>
          <t>Seattle, WA, US</t>
        </is>
      </c>
      <c r="H89" s="2" t="n">
        <v>45976</v>
      </c>
      <c r="I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90">
      <c r="A90" t="inlineStr">
        <is>
          <t>in-9e27fa6062b5a907</t>
        </is>
      </c>
      <c r="B90" t="inlineStr">
        <is>
          <t>Applied Scientist, AWS Agentic AI</t>
        </is>
      </c>
      <c r="C90" t="inlineStr">
        <is>
          <t>Amazon Web Services</t>
        </is>
      </c>
      <c r="D90" t="inlineStr">
        <is>
          <t>indeed</t>
        </is>
      </c>
      <c r="E90">
        <f>HYPERLINK("https://www.indeed.com/viewjob?jk=9e27fa6062b5a907", "https://www.indeed.com/viewjob?jk=9e27fa6062b5a907")</f>
        <v/>
      </c>
      <c r="F90">
        <f>HYPERLINK("https://www.amazon.jobs/jobs/3141517/applied-scientist-aws-agentic-ai-?cmpid=DA_INAD200785B", "https://www.amazon.jobs/jobs/3141517/applied-scientist-aws-agentic-ai-?cmpid=DA_INAD200785B")</f>
        <v/>
      </c>
      <c r="G90" t="inlineStr">
        <is>
          <t>Santa Clara, CA, US</t>
        </is>
      </c>
      <c r="H90" s="2" t="n">
        <v>45962</v>
      </c>
      <c r="I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in-fdd3df5e31e56ddb</t>
        </is>
      </c>
      <c r="B91" t="inlineStr">
        <is>
          <t>Applied Scientist, AWS Agentic AI</t>
        </is>
      </c>
      <c r="C91" t="inlineStr">
        <is>
          <t>Amazon Web Services</t>
        </is>
      </c>
      <c r="D91" t="inlineStr">
        <is>
          <t>indeed</t>
        </is>
      </c>
      <c r="E91">
        <f>HYPERLINK("https://www.indeed.com/viewjob?jk=fdd3df5e31e56ddb", "https://www.indeed.com/viewjob?jk=fdd3df5e31e56ddb")</f>
        <v/>
      </c>
      <c r="F91">
        <f>HYPERLINK("https://www.amazon.jobs/jobs/3141517/applied-scientist-aws-agentic-ai-?cmpid=DA_INAD200785B", "https://www.amazon.jobs/jobs/3141517/applied-scientist-aws-agentic-ai-?cmpid=DA_INAD200785B")</f>
        <v/>
      </c>
      <c r="G91" t="inlineStr">
        <is>
          <t>New York, NY, US</t>
        </is>
      </c>
      <c r="H91" s="2" t="n">
        <v>45962</v>
      </c>
      <c r="I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in-5b35e028f1e09211</t>
        </is>
      </c>
      <c r="B92" t="inlineStr">
        <is>
          <t>Applied Scientist, AWS Agentic AI</t>
        </is>
      </c>
      <c r="C92" t="inlineStr">
        <is>
          <t>Amazon Web Services</t>
        </is>
      </c>
      <c r="D92" t="inlineStr">
        <is>
          <t>indeed</t>
        </is>
      </c>
      <c r="E92">
        <f>HYPERLINK("https://www.indeed.com/viewjob?jk=5b35e028f1e09211", "https://www.indeed.com/viewjob?jk=5b35e028f1e09211")</f>
        <v/>
      </c>
      <c r="F92">
        <f>HYPERLINK("https://www.amazon.jobs/jobs/3141517/applied-scientist-aws-agentic-ai-?cmpid=DA_INAD200785B", "https://www.amazon.jobs/jobs/3141517/applied-scientist-aws-agentic-ai-?cmpid=DA_INAD200785B")</f>
        <v/>
      </c>
      <c r="G92" t="inlineStr">
        <is>
          <t>Seattle, WA, US</t>
        </is>
      </c>
      <c r="H92" s="2" t="n">
        <v>45962</v>
      </c>
      <c r="I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in-156cfc8def53599d</t>
        </is>
      </c>
      <c r="B93" t="inlineStr">
        <is>
          <t>Applied Scientist, Prime Video - Content Understanding, Localization &amp; Enrichment Team</t>
        </is>
      </c>
      <c r="C93" t="inlineStr">
        <is>
          <t>Amazon.com</t>
        </is>
      </c>
      <c r="D93" t="inlineStr">
        <is>
          <t>indeed</t>
        </is>
      </c>
      <c r="E93">
        <f>HYPERLINK("https://www.indeed.com/viewjob?jk=156cfc8def53599d", "https://www.indeed.com/viewjob?jk=156cfc8def53599d")</f>
        <v/>
      </c>
      <c r="F93">
        <f>HYPERLINK("https://www.amazon.jobs/jobs/3111928/applied-scientist-prime-video--content-understanding-localization--enrichment-team?cmpid=DA_INAD200785B", "https://www.amazon.jobs/jobs/3111928/applied-scientist-prime-video--content-understanding-localization--enrichment-team?cmpid=DA_INAD200785B")</f>
        <v/>
      </c>
      <c r="G93" t="inlineStr">
        <is>
          <t>Seattle, WA, US</t>
        </is>
      </c>
      <c r="H93" s="2" t="n">
        <v>45943</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4">
      <c r="A94" t="inlineStr">
        <is>
          <t>in-7447d94588307200</t>
        </is>
      </c>
      <c r="B94" t="inlineStr">
        <is>
          <t>Applied Scientist, Prime Video - Content Understanding, Localization &amp; Enrichment Team</t>
        </is>
      </c>
      <c r="C94" t="inlineStr">
        <is>
          <t>Amazon.com</t>
        </is>
      </c>
      <c r="D94" t="inlineStr">
        <is>
          <t>indeed</t>
        </is>
      </c>
      <c r="E94">
        <f>HYPERLINK("https://www.indeed.com/viewjob?jk=7447d94588307200", "https://www.indeed.com/viewjob?jk=7447d94588307200")</f>
        <v/>
      </c>
      <c r="F94">
        <f>HYPERLINK("https://www.amazon.jobs/jobs/3111928/applied-scientist-prime-video--content-understanding-localization--enrichment-team?cmpid=DA_INAD200785B", "https://www.amazon.jobs/jobs/3111928/applied-scientist-prime-video--content-understanding-localization--enrichment-team?cmpid=DA_INAD200785B")</f>
        <v/>
      </c>
      <c r="G94" t="inlineStr">
        <is>
          <t>San Francisco, CA, US</t>
        </is>
      </c>
      <c r="H94" s="2" t="n">
        <v>45943</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5">
      <c r="A95" t="inlineStr">
        <is>
          <t>in-3e2c4bfbdbf73866</t>
        </is>
      </c>
      <c r="B95" t="inlineStr">
        <is>
          <t>Principal Applied Scientist, Advertiser Growth, Amazon Sponsored Products &amp; Brands</t>
        </is>
      </c>
      <c r="C95" t="inlineStr">
        <is>
          <t>Amazon.com</t>
        </is>
      </c>
      <c r="D95" t="inlineStr">
        <is>
          <t>indeed</t>
        </is>
      </c>
      <c r="E95">
        <f>HYPERLINK("https://www.indeed.com/viewjob?jk=3e2c4bfbdbf73866", "https://www.indeed.com/viewjob?jk=3e2c4bfbdbf73866")</f>
        <v/>
      </c>
      <c r="F95">
        <f>HYPERLINK("https://www.amazon.jobs/jobs/3115279/principal-applied-scientist-advertiser-growth-amazon-sponsored-products--brands?cmpid=DA_INAD200785B", "https://www.amazon.jobs/jobs/3115279/principal-applied-scientist-advertiser-growth-amazon-sponsored-products--brands?cmpid=DA_INAD200785B")</f>
        <v/>
      </c>
      <c r="G95" t="inlineStr">
        <is>
          <t>New York, NY, US</t>
        </is>
      </c>
      <c r="H95" s="2" t="n">
        <v>45942</v>
      </c>
      <c r="I9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in-db438b225f948b2e</t>
        </is>
      </c>
      <c r="B96" t="inlineStr">
        <is>
          <t>Principal Applied Scientist, Advertiser Growth, Amazon Sponsored Products &amp; Brands</t>
        </is>
      </c>
      <c r="C96" t="inlineStr">
        <is>
          <t>Amazon.com</t>
        </is>
      </c>
      <c r="D96" t="inlineStr">
        <is>
          <t>indeed</t>
        </is>
      </c>
      <c r="E96">
        <f>HYPERLINK("https://www.indeed.com/viewjob?jk=db438b225f948b2e", "https://www.indeed.com/viewjob?jk=db438b225f948b2e")</f>
        <v/>
      </c>
      <c r="F96">
        <f>HYPERLINK("https://www.amazon.jobs/jobs/3115279/principal-applied-scientist-advertiser-growth-amazon-sponsored-products--brands?cmpid=DA_INAD200785B", "https://www.amazon.jobs/jobs/3115279/principal-applied-scientist-advertiser-growth-amazon-sponsored-products--brands?cmpid=DA_INAD200785B")</f>
        <v/>
      </c>
      <c r="G96" t="inlineStr">
        <is>
          <t>Palo Alto, CA, US</t>
        </is>
      </c>
      <c r="H96" s="2" t="n">
        <v>45942</v>
      </c>
      <c r="I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in-c4f7941f9e0ede31</t>
        </is>
      </c>
      <c r="B97" t="inlineStr">
        <is>
          <t>Principal Applied Scientist, Advertiser Growth, Amazon Sponsored Products &amp; Brands</t>
        </is>
      </c>
      <c r="C97" t="inlineStr">
        <is>
          <t>Amazon.com</t>
        </is>
      </c>
      <c r="D97" t="inlineStr">
        <is>
          <t>indeed</t>
        </is>
      </c>
      <c r="E97">
        <f>HYPERLINK("https://www.indeed.com/viewjob?jk=c4f7941f9e0ede31", "https://www.indeed.com/viewjob?jk=c4f7941f9e0ede31")</f>
        <v/>
      </c>
      <c r="F97">
        <f>HYPERLINK("https://www.amazon.jobs/jobs/3115279/principal-applied-scientist-advertiser-growth-amazon-sponsored-products--brands?cmpid=DA_INAD200785B", "https://www.amazon.jobs/jobs/3115279/principal-applied-scientist-advertiser-growth-amazon-sponsored-products--brands?cmpid=DA_INAD200785B")</f>
        <v/>
      </c>
      <c r="G97" t="inlineStr">
        <is>
          <t>Seattle, WA, US</t>
        </is>
      </c>
      <c r="H97" s="2" t="n">
        <v>45942</v>
      </c>
      <c r="I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in-534b0eb990dc2512</t>
        </is>
      </c>
      <c r="B98" t="inlineStr">
        <is>
          <t>Applied Scientist, Workplace Health &amp; Safety</t>
        </is>
      </c>
      <c r="C98" t="inlineStr">
        <is>
          <t>Amazon.com</t>
        </is>
      </c>
      <c r="D98" t="inlineStr">
        <is>
          <t>indeed</t>
        </is>
      </c>
      <c r="E98">
        <f>HYPERLINK("https://www.indeed.com/viewjob?jk=534b0eb990dc2512", "https://www.indeed.com/viewjob?jk=534b0eb990dc2512")</f>
        <v/>
      </c>
      <c r="F98">
        <f>HYPERLINK("https://www.amazon.jobs/jobs/3144886/applied-scientist-workplace-health--safety-?cmpid=DA_INAD200785B", "https://www.amazon.jobs/jobs/3144886/applied-scientist-workplace-health--safety-?cmpid=DA_INAD200785B")</f>
        <v/>
      </c>
      <c r="G98" t="inlineStr">
        <is>
          <t>Nashville, TN, US</t>
        </is>
      </c>
      <c r="H98" s="2" t="n">
        <v>45917</v>
      </c>
      <c r="I9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in-b3ba003636553445</t>
        </is>
      </c>
      <c r="B99" t="inlineStr">
        <is>
          <t>Applied Scientist, Workplace Health &amp; Safety</t>
        </is>
      </c>
      <c r="C99" t="inlineStr">
        <is>
          <t>Amazon.com</t>
        </is>
      </c>
      <c r="D99" t="inlineStr">
        <is>
          <t>indeed</t>
        </is>
      </c>
      <c r="E99">
        <f>HYPERLINK("https://www.indeed.com/viewjob?jk=b3ba003636553445", "https://www.indeed.com/viewjob?jk=b3ba003636553445")</f>
        <v/>
      </c>
      <c r="F99">
        <f>HYPERLINK("https://www.amazon.jobs/jobs/3144886/applied-scientist-workplace-health--safety-?cmpid=DA_INAD200785B", "https://www.amazon.jobs/jobs/3144886/applied-scientist-workplace-health--safety-?cmpid=DA_INAD200785B")</f>
        <v/>
      </c>
      <c r="G99" t="inlineStr">
        <is>
          <t>Bellevue, WA, US</t>
        </is>
      </c>
      <c r="H99" s="2" t="n">
        <v>45917</v>
      </c>
      <c r="I99"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in-4aa73bc14a6b029b</t>
        </is>
      </c>
      <c r="B100" t="inlineStr">
        <is>
          <t>Sr. Applied Scientist, Prime Video - Personalization and Discovery Science</t>
        </is>
      </c>
      <c r="C100" t="inlineStr">
        <is>
          <t>Amazon.com</t>
        </is>
      </c>
      <c r="D100" t="inlineStr">
        <is>
          <t>indeed</t>
        </is>
      </c>
      <c r="E100">
        <f>HYPERLINK("https://www.indeed.com/viewjob?jk=4aa73bc14a6b029b", "https://www.indeed.com/viewjob?jk=4aa73bc14a6b029b")</f>
        <v/>
      </c>
      <c r="F100">
        <f>HYPERLINK("https://www.amazon.jobs/jobs/3084479/sr-applied-scientist-prime-video--personalization-and-discovery-science?cmpid=DA_INAD200785B", "https://www.amazon.jobs/jobs/3084479/sr-applied-scientist-prime-video--personalization-and-discovery-science?cmpid=DA_INAD200785B")</f>
        <v/>
      </c>
      <c r="G100" t="inlineStr">
        <is>
          <t>Seattle, WA, US</t>
        </is>
      </c>
      <c r="H100" s="2"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1">
      <c r="A101" t="inlineStr">
        <is>
          <t>in-b5aa5e97c31dea23</t>
        </is>
      </c>
      <c r="B101" t="inlineStr">
        <is>
          <t>Sr. Applied Scientist, Prime Video - Personalization and Discovery Science</t>
        </is>
      </c>
      <c r="C101" t="inlineStr">
        <is>
          <t>Amazon.com</t>
        </is>
      </c>
      <c r="D101" t="inlineStr">
        <is>
          <t>indeed</t>
        </is>
      </c>
      <c r="E101">
        <f>HYPERLINK("https://www.indeed.com/viewjob?jk=b5aa5e97c31dea23", "https://www.indeed.com/viewjob?jk=b5aa5e97c31dea23")</f>
        <v/>
      </c>
      <c r="F101">
        <f>HYPERLINK("https://www.amazon.jobs/jobs/3084479/sr-applied-scientist-prime-video--personalization-and-discovery-science?cmpid=DA_INAD200785B", "https://www.amazon.jobs/jobs/3084479/sr-applied-scientist-prime-video--personalization-and-discovery-science?cmpid=DA_INAD200785B")</f>
        <v/>
      </c>
      <c r="G101" t="inlineStr">
        <is>
          <t>New York, NY, US</t>
        </is>
      </c>
      <c r="H101" s="2" t="n">
        <v>45896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2">
      <c r="A102" t="inlineStr">
        <is>
          <t>in-136a56c23db93247</t>
        </is>
      </c>
      <c r="B102" t="inlineStr">
        <is>
          <t>Sr. Applied Scientist, Prime Video - Personalization and Discovery Science</t>
        </is>
      </c>
      <c r="C102" t="inlineStr">
        <is>
          <t>Amazon.com</t>
        </is>
      </c>
      <c r="D102" t="inlineStr">
        <is>
          <t>indeed</t>
        </is>
      </c>
      <c r="E102">
        <f>HYPERLINK("https://www.indeed.com/viewjob?jk=136a56c23db93247", "https://www.indeed.com/viewjob?jk=136a56c23db93247")</f>
        <v/>
      </c>
      <c r="F102">
        <f>HYPERLINK("https://www.amazon.jobs/jobs/3084479/sr-applied-scientist-prime-video--personalization-and-discovery-science?cmpid=DA_INAD200785B", "https://www.amazon.jobs/jobs/3084479/sr-applied-scientist-prime-video--personalization-and-discovery-science?cmpid=DA_INAD200785B")</f>
        <v/>
      </c>
      <c r="G102" t="inlineStr">
        <is>
          <t>Sunnyvale, CA, US</t>
        </is>
      </c>
      <c r="H102" s="2" t="n">
        <v>45896</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3">
      <c r="A103" t="inlineStr">
        <is>
          <t>in-91797fa2c49649db</t>
        </is>
      </c>
      <c r="B103" t="inlineStr">
        <is>
          <t>Sr. Applied Scientist, Amazon Advertising</t>
        </is>
      </c>
      <c r="C103" t="inlineStr">
        <is>
          <t>Amazon.com</t>
        </is>
      </c>
      <c r="D103" t="inlineStr">
        <is>
          <t>indeed</t>
        </is>
      </c>
      <c r="E103">
        <f>HYPERLINK("https://www.indeed.com/viewjob?jk=91797fa2c49649db", "https://www.indeed.com/viewjob?jk=91797fa2c49649db")</f>
        <v/>
      </c>
      <c r="F103">
        <f>HYPERLINK("https://www.amazon.jobs/jobs/3035686/sr-applied-scientist-amazon-advertising?cmpid=DA_INAD200785B", "https://www.amazon.jobs/jobs/3035686/sr-applied-scientist-amazon-advertising?cmpid=DA_INAD200785B")</f>
        <v/>
      </c>
      <c r="G103" t="inlineStr">
        <is>
          <t>Palo Alto, CA, US</t>
        </is>
      </c>
      <c r="H103" s="2"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in-52d5b4794cff77e1</t>
        </is>
      </c>
      <c r="B104" t="inlineStr">
        <is>
          <t>Sr. Applied Scientist, Amazon Advertising</t>
        </is>
      </c>
      <c r="C104" t="inlineStr">
        <is>
          <t>Amazon.com</t>
        </is>
      </c>
      <c r="D104" t="inlineStr">
        <is>
          <t>indeed</t>
        </is>
      </c>
      <c r="E104">
        <f>HYPERLINK("https://www.indeed.com/viewjob?jk=52d5b4794cff77e1", "https://www.indeed.com/viewjob?jk=52d5b4794cff77e1")</f>
        <v/>
      </c>
      <c r="F104">
        <f>HYPERLINK("https://www.amazon.jobs/jobs/3035686/sr-applied-scientist-amazon-advertising?cmpid=DA_INAD200785B", "https://www.amazon.jobs/jobs/3035686/sr-applied-scientist-amazon-advertising?cmpid=DA_INAD200785B")</f>
        <v/>
      </c>
      <c r="G104" t="inlineStr">
        <is>
          <t>Simi Valley, CA, US</t>
        </is>
      </c>
      <c r="H104" s="2"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in-b03e61752a8dd54f</t>
        </is>
      </c>
      <c r="B105" t="inlineStr">
        <is>
          <t>Sr. Applied Scientist, Amazon Advertising</t>
        </is>
      </c>
      <c r="C105" t="inlineStr">
        <is>
          <t>Amazon.com</t>
        </is>
      </c>
      <c r="D105" t="inlineStr">
        <is>
          <t>indeed</t>
        </is>
      </c>
      <c r="E105">
        <f>HYPERLINK("https://www.indeed.com/viewjob?jk=b03e61752a8dd54f", "https://www.indeed.com/viewjob?jk=b03e61752a8dd54f")</f>
        <v/>
      </c>
      <c r="F105">
        <f>HYPERLINK("https://www.amazon.jobs/jobs/3035686/sr-applied-scientist-amazon-advertising?cmpid=DA_INAD200785B", "https://www.amazon.jobs/jobs/3035686/sr-applied-scientist-amazon-advertising?cmpid=DA_INAD200785B")</f>
        <v/>
      </c>
      <c r="G105" t="inlineStr">
        <is>
          <t>Seattle, WA, US</t>
        </is>
      </c>
      <c r="H105" s="2"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in-682f36535ac0fc58</t>
        </is>
      </c>
      <c r="B106" t="inlineStr">
        <is>
          <t>Sr. Applied Scientist, Amazon Advertising</t>
        </is>
      </c>
      <c r="C106" t="inlineStr">
        <is>
          <t>Amazon.com</t>
        </is>
      </c>
      <c r="D106" t="inlineStr">
        <is>
          <t>indeed</t>
        </is>
      </c>
      <c r="E106">
        <f>HYPERLINK("https://www.indeed.com/viewjob?jk=682f36535ac0fc58", "https://www.indeed.com/viewjob?jk=682f36535ac0fc58")</f>
        <v/>
      </c>
      <c r="F106">
        <f>HYPERLINK("https://www.amazon.jobs/jobs/3035686/sr-applied-scientist-amazon-advertising?cmpid=DA_INAD200785B", "https://www.amazon.jobs/jobs/3035686/sr-applied-scientist-amazon-advertising?cmpid=DA_INAD200785B")</f>
        <v/>
      </c>
      <c r="G106" t="inlineStr">
        <is>
          <t>Arlington, VA, US</t>
        </is>
      </c>
      <c r="H106" s="2"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in-57dfb852275d4739</t>
        </is>
      </c>
      <c r="B107" t="inlineStr">
        <is>
          <t>Sr. Applied Scientist, Amazon Advertising</t>
        </is>
      </c>
      <c r="C107" t="inlineStr">
        <is>
          <t>Amazon.com</t>
        </is>
      </c>
      <c r="D107" t="inlineStr">
        <is>
          <t>indeed</t>
        </is>
      </c>
      <c r="E107">
        <f>HYPERLINK("https://www.indeed.com/viewjob?jk=57dfb852275d4739", "https://www.indeed.com/viewjob?jk=57dfb852275d4739")</f>
        <v/>
      </c>
      <c r="F107">
        <f>HYPERLINK("https://www.amazon.jobs/jobs/3035686/sr-applied-scientist-amazon-advertising?cmpid=DA_INAD200785B", "https://www.amazon.jobs/jobs/3035686/sr-applied-scientist-amazon-advertising?cmpid=DA_INAD200785B")</f>
        <v/>
      </c>
      <c r="G107" t="inlineStr">
        <is>
          <t>New York, NY, US</t>
        </is>
      </c>
      <c r="H107" s="2"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in-020d44c8a07eed63</t>
        </is>
      </c>
      <c r="B108" t="inlineStr">
        <is>
          <t>Sr. Applied Scientist, Amazon Advertising</t>
        </is>
      </c>
      <c r="C108" t="inlineStr">
        <is>
          <t>Amazon.com</t>
        </is>
      </c>
      <c r="D108" t="inlineStr">
        <is>
          <t>indeed</t>
        </is>
      </c>
      <c r="E108">
        <f>HYPERLINK("https://www.indeed.com/viewjob?jk=020d44c8a07eed63", "https://www.indeed.com/viewjob?jk=020d44c8a07eed63")</f>
        <v/>
      </c>
      <c r="F108">
        <f>HYPERLINK("https://www.amazon.jobs/jobs/3035686/sr-applied-scientist-amazon-advertising?cmpid=DA_INAD200785B", "https://www.amazon.jobs/jobs/3035686/sr-applied-scientist-amazon-advertising?cmpid=DA_INAD200785B")</f>
        <v/>
      </c>
      <c r="G108" t="inlineStr">
        <is>
          <t>West Hollywood, CA, US</t>
        </is>
      </c>
      <c r="H108" s="2"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in-254bf7ee9a320233</t>
        </is>
      </c>
      <c r="B109" t="inlineStr">
        <is>
          <t>Sr. Applied Scientist, Amazon Advertising</t>
        </is>
      </c>
      <c r="C109" t="inlineStr">
        <is>
          <t>Amazon.com</t>
        </is>
      </c>
      <c r="D109" t="inlineStr">
        <is>
          <t>indeed</t>
        </is>
      </c>
      <c r="E109">
        <f>HYPERLINK("https://www.indeed.com/viewjob?jk=254bf7ee9a320233", "https://www.indeed.com/viewjob?jk=254bf7ee9a320233")</f>
        <v/>
      </c>
      <c r="F109">
        <f>HYPERLINK("https://www.amazon.jobs/jobs/3035686/sr-applied-scientist-amazon-advertising?cmpid=DA_INAD200785B", "https://www.amazon.jobs/jobs/3035686/sr-applied-scientist-amazon-advertising?cmpid=DA_INAD200785B")</f>
        <v/>
      </c>
      <c r="G109" t="inlineStr">
        <is>
          <t>Los Angeles, CA, US</t>
        </is>
      </c>
      <c r="H109" s="2"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in-2d69d6b1c571aece</t>
        </is>
      </c>
      <c r="B110" t="inlineStr">
        <is>
          <t>Sr. Applied Scientist, Amazon Advertising</t>
        </is>
      </c>
      <c r="C110" t="inlineStr">
        <is>
          <t>Amazon.com</t>
        </is>
      </c>
      <c r="D110" t="inlineStr">
        <is>
          <t>indeed</t>
        </is>
      </c>
      <c r="E110">
        <f>HYPERLINK("https://www.indeed.com/viewjob?jk=2d69d6b1c571aece", "https://www.indeed.com/viewjob?jk=2d69d6b1c571aece")</f>
        <v/>
      </c>
      <c r="F110">
        <f>HYPERLINK("https://www.amazon.jobs/jobs/3035686/sr-applied-scientist-amazon-advertising?cmpid=DA_INAD200785B", "https://www.amazon.jobs/jobs/3035686/sr-applied-scientist-amazon-advertising?cmpid=DA_INAD200785B")</f>
        <v/>
      </c>
      <c r="G110" t="inlineStr">
        <is>
          <t>Austin, TX,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in-5c64d4a69d7c74e8</t>
        </is>
      </c>
      <c r="B111" t="inlineStr">
        <is>
          <t>Applied Scientist, Prime Video - Personalization and Discovery Science</t>
        </is>
      </c>
      <c r="C111" t="inlineStr">
        <is>
          <t>Amazon.com</t>
        </is>
      </c>
      <c r="D111" t="inlineStr">
        <is>
          <t>indeed</t>
        </is>
      </c>
      <c r="E111">
        <f>HYPERLINK("https://www.indeed.com/viewjob?jk=5c64d4a69d7c74e8", "https://www.indeed.com/viewjob?jk=5c64d4a69d7c74e8")</f>
        <v/>
      </c>
      <c r="F111">
        <f>HYPERLINK("https://www.amazon.jobs/jobs/3033050/applied-scientist-prime-video--personalization-and-discovery-science?cmpid=DA_INAD200785B", "https://www.amazon.jobs/jobs/3033050/applied-scientist-prime-video--personalization-and-discovery-science?cmpid=DA_INAD200785B")</f>
        <v/>
      </c>
      <c r="G111" t="inlineStr">
        <is>
          <t>Seattle, WA, US</t>
        </is>
      </c>
      <c r="H111" s="2" t="n">
        <v>45845</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2">
      <c r="A112" t="inlineStr">
        <is>
          <t>in-cde00a9cb6e65b17</t>
        </is>
      </c>
      <c r="B112" t="inlineStr">
        <is>
          <t>Applied Scientist, Prime Video - Personalization and Discovery Science</t>
        </is>
      </c>
      <c r="C112" t="inlineStr">
        <is>
          <t>Amazon.com</t>
        </is>
      </c>
      <c r="D112" t="inlineStr">
        <is>
          <t>indeed</t>
        </is>
      </c>
      <c r="E112">
        <f>HYPERLINK("https://www.indeed.com/viewjob?jk=cde00a9cb6e65b17", "https://www.indeed.com/viewjob?jk=cde00a9cb6e65b17")</f>
        <v/>
      </c>
      <c r="F112">
        <f>HYPERLINK("https://www.amazon.jobs/jobs/3033050/applied-scientist-prime-video--personalization-and-discovery-science?cmpid=DA_INAD200785B", "https://www.amazon.jobs/jobs/3033050/applied-scientist-prime-video--personalization-and-discovery-science?cmpid=DA_INAD200785B")</f>
        <v/>
      </c>
      <c r="G112" t="inlineStr">
        <is>
          <t>New York, NY, US</t>
        </is>
      </c>
      <c r="H112" s="2" t="n">
        <v>45845</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3">
      <c r="A113" t="inlineStr">
        <is>
          <t>in-8b64e09e5f34218f</t>
        </is>
      </c>
      <c r="B113" t="inlineStr">
        <is>
          <t>Applied Scientist, Prime Video - Personalization and Discovery Science</t>
        </is>
      </c>
      <c r="C113" t="inlineStr">
        <is>
          <t>Amazon.com</t>
        </is>
      </c>
      <c r="D113" t="inlineStr">
        <is>
          <t>indeed</t>
        </is>
      </c>
      <c r="E113">
        <f>HYPERLINK("https://www.indeed.com/viewjob?jk=8b64e09e5f34218f", "https://www.indeed.com/viewjob?jk=8b64e09e5f34218f")</f>
        <v/>
      </c>
      <c r="F113">
        <f>HYPERLINK("https://www.amazon.jobs/jobs/3033050/applied-scientist-prime-video--personalization-and-discovery-science?cmpid=DA_INAD200785B", "https://www.amazon.jobs/jobs/3033050/applied-scientist-prime-video--personalization-and-discovery-science?cmpid=DA_INAD200785B")</f>
        <v/>
      </c>
      <c r="G113" t="inlineStr">
        <is>
          <t>Sunnyvale, CA, US</t>
        </is>
      </c>
      <c r="H113" s="2" t="n">
        <v>45845</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4">
      <c r="A114" t="inlineStr">
        <is>
          <t>in-10649b5e7a581145</t>
        </is>
      </c>
      <c r="B114" t="inlineStr">
        <is>
          <t>Principal Applied Scientist, Delivery Foundation Model</t>
        </is>
      </c>
      <c r="C114" t="inlineStr">
        <is>
          <t>Amazon.com</t>
        </is>
      </c>
      <c r="D114" t="inlineStr">
        <is>
          <t>indeed</t>
        </is>
      </c>
      <c r="E114">
        <f>HYPERLINK("https://www.indeed.com/viewjob?jk=10649b5e7a581145", "https://www.indeed.com/viewjob?jk=10649b5e7a581145")</f>
        <v/>
      </c>
      <c r="F114">
        <f>HYPERLINK("https://www.amazon.jobs/jobs/3006938/principal-applied-scientist-delivery-foundation-model-?cmpid=DA_INAD200785B", "https://www.amazon.jobs/jobs/3006938/principal-applied-scientist-delivery-foundation-model-?cmpid=DA_INAD200785B")</f>
        <v/>
      </c>
      <c r="G114" t="inlineStr">
        <is>
          <t>Santa Clara, CA, US</t>
        </is>
      </c>
      <c r="H114" s="2" t="n">
        <v>45810</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5">
      <c r="A115" t="inlineStr">
        <is>
          <t>in-270c901c66b03770</t>
        </is>
      </c>
      <c r="B115" t="inlineStr">
        <is>
          <t>Principal Applied Scientist, Delivery Foundation Model</t>
        </is>
      </c>
      <c r="C115" t="inlineStr">
        <is>
          <t>Amazon.com</t>
        </is>
      </c>
      <c r="D115" t="inlineStr">
        <is>
          <t>indeed</t>
        </is>
      </c>
      <c r="E115">
        <f>HYPERLINK("https://www.indeed.com/viewjob?jk=270c901c66b03770", "https://www.indeed.com/viewjob?jk=270c901c66b03770")</f>
        <v/>
      </c>
      <c r="F115">
        <f>HYPERLINK("https://www.amazon.jobs/jobs/3006938/principal-applied-scientist-delivery-foundation-model-?cmpid=DA_INAD200785B", "https://www.amazon.jobs/jobs/3006938/principal-applied-scientist-delivery-foundation-model-?cmpid=DA_INAD200785B")</f>
        <v/>
      </c>
      <c r="G115" t="inlineStr">
        <is>
          <t>Bellevue, WA, US</t>
        </is>
      </c>
      <c r="H115" s="2" t="n">
        <v>45810</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6">
      <c r="A116" t="inlineStr">
        <is>
          <t>in-cf4ab49bb8e522b0</t>
        </is>
      </c>
      <c r="B116" t="inlineStr">
        <is>
          <t>Principal Applied Scientist, Delivery Foundation Model</t>
        </is>
      </c>
      <c r="C116" t="inlineStr">
        <is>
          <t>Amazon.com</t>
        </is>
      </c>
      <c r="D116" t="inlineStr">
        <is>
          <t>indeed</t>
        </is>
      </c>
      <c r="E116">
        <f>HYPERLINK("https://www.indeed.com/viewjob?jk=cf4ab49bb8e522b0", "https://www.indeed.com/viewjob?jk=cf4ab49bb8e522b0")</f>
        <v/>
      </c>
      <c r="F116">
        <f>HYPERLINK("https://www.amazon.jobs/jobs/3006938/principal-applied-scientist-delivery-foundation-model-?cmpid=DA_INAD200785B", "https://www.amazon.jobs/jobs/3006938/principal-applied-scientist-delivery-foundation-model-?cmpid=DA_INAD200785B")</f>
        <v/>
      </c>
      <c r="G116" t="inlineStr">
        <is>
          <t>Austin, TX, US</t>
        </is>
      </c>
      <c r="H116" s="2" t="n">
        <v>45810</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7">
      <c r="A117" t="inlineStr">
        <is>
          <t>in-7fc47855f1c72512</t>
        </is>
      </c>
      <c r="B117" t="inlineStr">
        <is>
          <t>Principal Applied Scientist, Delivery Foundation Model</t>
        </is>
      </c>
      <c r="C117" t="inlineStr">
        <is>
          <t>Amazon.com</t>
        </is>
      </c>
      <c r="D117" t="inlineStr">
        <is>
          <t>indeed</t>
        </is>
      </c>
      <c r="E117">
        <f>HYPERLINK("https://www.indeed.com/viewjob?jk=7fc47855f1c72512", "https://www.indeed.com/viewjob?jk=7fc47855f1c72512")</f>
        <v/>
      </c>
      <c r="F117">
        <f>HYPERLINK("https://www.amazon.jobs/jobs/3006938/principal-applied-scientist-delivery-foundation-model-?cmpid=DA_INAD200785B", "https://www.amazon.jobs/jobs/3006938/principal-applied-scientist-delivery-foundation-model-?cmpid=DA_INAD200785B")</f>
        <v/>
      </c>
      <c r="G117" t="inlineStr">
        <is>
          <t>New York, NY, US</t>
        </is>
      </c>
      <c r="H117" s="2"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8">
      <c r="A118" t="inlineStr">
        <is>
          <t>in-b3e968de061a0889</t>
        </is>
      </c>
      <c r="B118" t="inlineStr">
        <is>
          <t>Senior Applied Scientist, Delivery Foundation Model</t>
        </is>
      </c>
      <c r="C118" t="inlineStr">
        <is>
          <t>Amazon.com</t>
        </is>
      </c>
      <c r="D118" t="inlineStr">
        <is>
          <t>indeed</t>
        </is>
      </c>
      <c r="E118">
        <f>HYPERLINK("https://www.indeed.com/viewjob?jk=b3e968de061a0889", "https://www.indeed.com/viewjob?jk=b3e968de061a0889")</f>
        <v/>
      </c>
      <c r="F118">
        <f>HYPERLINK("https://www.amazon.jobs/jobs/2998435/senior-applied-scientist-delivery-foundation-model-?cmpid=DA_INAD200785B", "https://www.amazon.jobs/jobs/2998435/senior-applied-scientist-delivery-foundation-model-?cmpid=DA_INAD200785B")</f>
        <v/>
      </c>
      <c r="G118" t="inlineStr">
        <is>
          <t>Santa Clara, CA, US</t>
        </is>
      </c>
      <c r="H118" s="2" t="n">
        <v>45806</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in-8fd58fb66a30e8b4</t>
        </is>
      </c>
      <c r="B119" t="inlineStr">
        <is>
          <t>Senior Applied Scientist, Delivery Foundation Model</t>
        </is>
      </c>
      <c r="C119" t="inlineStr">
        <is>
          <t>Amazon.com</t>
        </is>
      </c>
      <c r="D119" t="inlineStr">
        <is>
          <t>indeed</t>
        </is>
      </c>
      <c r="E119">
        <f>HYPERLINK("https://www.indeed.com/viewjob?jk=8fd58fb66a30e8b4", "https://www.indeed.com/viewjob?jk=8fd58fb66a30e8b4")</f>
        <v/>
      </c>
      <c r="F119">
        <f>HYPERLINK("https://www.amazon.jobs/jobs/2998435/senior-applied-scientist-delivery-foundation-model-?cmpid=DA_INAD200785B", "https://www.amazon.jobs/jobs/2998435/senior-applied-scientist-delivery-foundation-model-?cmpid=DA_INAD200785B")</f>
        <v/>
      </c>
      <c r="G119" t="inlineStr">
        <is>
          <t>Bellevue, WA, US</t>
        </is>
      </c>
      <c r="H119" s="2" t="n">
        <v>45806</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in-f20ee497fc7e71fc</t>
        </is>
      </c>
      <c r="B120" t="inlineStr">
        <is>
          <t>Senior Applied Scientist, Delivery Foundation Model</t>
        </is>
      </c>
      <c r="C120" t="inlineStr">
        <is>
          <t>Amazon.com</t>
        </is>
      </c>
      <c r="D120" t="inlineStr">
        <is>
          <t>indeed</t>
        </is>
      </c>
      <c r="E120">
        <f>HYPERLINK("https://www.indeed.com/viewjob?jk=f20ee497fc7e71fc", "https://www.indeed.com/viewjob?jk=f20ee497fc7e71fc")</f>
        <v/>
      </c>
      <c r="F120">
        <f>HYPERLINK("https://www.amazon.jobs/jobs/2998435/senior-applied-scientist-delivery-foundation-model-?cmpid=DA_INAD200785B", "https://www.amazon.jobs/jobs/2998435/senior-applied-scientist-delivery-foundation-model-?cmpid=DA_INAD200785B")</f>
        <v/>
      </c>
      <c r="G120" t="inlineStr">
        <is>
          <t>New York, NY, US</t>
        </is>
      </c>
      <c r="H120" s="2" t="n">
        <v>45806</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in-9b04ac2f3f65db26</t>
        </is>
      </c>
      <c r="B121" t="inlineStr">
        <is>
          <t>Sr. Applied Scientist - Privacy, Privacy Engineering</t>
        </is>
      </c>
      <c r="C121" t="inlineStr">
        <is>
          <t>Amazon.com</t>
        </is>
      </c>
      <c r="D121" t="inlineStr">
        <is>
          <t>indeed</t>
        </is>
      </c>
      <c r="E121">
        <f>HYPERLINK("https://www.indeed.com/viewjob?jk=9b04ac2f3f65db26", "https://www.indeed.com/viewjob?jk=9b04ac2f3f65db26")</f>
        <v/>
      </c>
      <c r="F121">
        <f>HYPERLINK("https://www.amazon.jobs/jobs/2997657/sr-applied-scientist--privacy-privacy-engineering?cmpid=DA_INAD200785B", "https://www.amazon.jobs/jobs/2997657/sr-applied-scientist--privacy-privacy-engineering?cmpid=DA_INAD200785B")</f>
        <v/>
      </c>
      <c r="G121" t="inlineStr">
        <is>
          <t>San Francisco, CA, US</t>
        </is>
      </c>
      <c r="H121" s="2" t="n">
        <v>45787</v>
      </c>
      <c r="I12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in-c1482a66e0337e87</t>
        </is>
      </c>
      <c r="B122" t="inlineStr">
        <is>
          <t>Sr. Applied Scientist - Privacy, Privacy Engineering</t>
        </is>
      </c>
      <c r="C122" t="inlineStr">
        <is>
          <t>Amazon.com</t>
        </is>
      </c>
      <c r="D122" t="inlineStr">
        <is>
          <t>indeed</t>
        </is>
      </c>
      <c r="E122">
        <f>HYPERLINK("https://www.indeed.com/viewjob?jk=c1482a66e0337e87", "https://www.indeed.com/viewjob?jk=c1482a66e0337e87")</f>
        <v/>
      </c>
      <c r="F122">
        <f>HYPERLINK("https://www.amazon.jobs/jobs/2997657/sr-applied-scientist--privacy-privacy-engineering?cmpid=DA_INAD200785B", "https://www.amazon.jobs/jobs/2997657/sr-applied-scientist--privacy-privacy-engineering?cmpid=DA_INAD200785B")</f>
        <v/>
      </c>
      <c r="G122" t="inlineStr">
        <is>
          <t>Santa Clara, CA, US</t>
        </is>
      </c>
      <c r="H122" s="2" t="n">
        <v>45787</v>
      </c>
      <c r="I12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in-711ef60382c28bfd</t>
        </is>
      </c>
      <c r="B123" t="inlineStr">
        <is>
          <t>Sr. Applied Scientist - Privacy, Privacy Engineering</t>
        </is>
      </c>
      <c r="C123" t="inlineStr">
        <is>
          <t>Amazon.com</t>
        </is>
      </c>
      <c r="D123" t="inlineStr">
        <is>
          <t>indeed</t>
        </is>
      </c>
      <c r="E123">
        <f>HYPERLINK("https://www.indeed.com/viewjob?jk=711ef60382c28bfd", "https://www.indeed.com/viewjob?jk=711ef60382c28bfd")</f>
        <v/>
      </c>
      <c r="F123">
        <f>HYPERLINK("https://www.amazon.jobs/jobs/2997657/sr-applied-scientist--privacy-privacy-engineering?cmpid=DA_INAD200785B", "https://www.amazon.jobs/jobs/2997657/sr-applied-scientist--privacy-privacy-engineering?cmpid=DA_INAD200785B")</f>
        <v/>
      </c>
      <c r="G123" t="inlineStr">
        <is>
          <t>Seattle, WA, US</t>
        </is>
      </c>
      <c r="H123" s="2" t="n">
        <v>45787</v>
      </c>
      <c r="I12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in-5a0229ade7021c78</t>
        </is>
      </c>
      <c r="B124" t="inlineStr">
        <is>
          <t>Sr. Applied Scientist - Privacy, Privacy Engineering</t>
        </is>
      </c>
      <c r="C124" t="inlineStr">
        <is>
          <t>Amazon.com</t>
        </is>
      </c>
      <c r="D124" t="inlineStr">
        <is>
          <t>indeed</t>
        </is>
      </c>
      <c r="E124">
        <f>HYPERLINK("https://www.indeed.com/viewjob?jk=5a0229ade7021c78", "https://www.indeed.com/viewjob?jk=5a0229ade7021c78")</f>
        <v/>
      </c>
      <c r="F124">
        <f>HYPERLINK("https://www.amazon.jobs/jobs/2997657/sr-applied-scientist--privacy-privacy-engineering?cmpid=DA_INAD200785B", "https://www.amazon.jobs/jobs/2997657/sr-applied-scientist--privacy-privacy-engineering?cmpid=DA_INAD200785B")</f>
        <v/>
      </c>
      <c r="G124" t="inlineStr">
        <is>
          <t>Sunnyvale, CA, US</t>
        </is>
      </c>
      <c r="H124" s="2"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in-e17072215af6a528</t>
        </is>
      </c>
      <c r="B125" t="inlineStr">
        <is>
          <t>Principal Applied Scientist, Delivery Foundation Model</t>
        </is>
      </c>
      <c r="C125" t="inlineStr">
        <is>
          <t>Amazon.com</t>
        </is>
      </c>
      <c r="D125" t="inlineStr">
        <is>
          <t>indeed</t>
        </is>
      </c>
      <c r="E125">
        <f>HYPERLINK("https://www.indeed.com/viewjob?jk=e17072215af6a528", "https://www.indeed.com/viewjob?jk=e17072215af6a528")</f>
        <v/>
      </c>
      <c r="F125">
        <f>HYPERLINK("https://www.amazon.jobs/jobs/2998635/principal-applied-scientist-delivery-foundation-model-?cmpid=DA_INAD200785B", "https://www.amazon.jobs/jobs/2998635/principal-applied-scientist-delivery-foundation-model-?cmpid=DA_INAD200785B")</f>
        <v/>
      </c>
      <c r="G125" t="inlineStr">
        <is>
          <t>New York, NY, US</t>
        </is>
      </c>
      <c r="H125" s="2" t="n">
        <v>45757</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6">
      <c r="A126" t="inlineStr">
        <is>
          <t>in-c39fdabb09be086b</t>
        </is>
      </c>
      <c r="B126" t="inlineStr">
        <is>
          <t>Principal Applied Scientist, Delivery Foundation Model</t>
        </is>
      </c>
      <c r="C126" t="inlineStr">
        <is>
          <t>Amazon.com</t>
        </is>
      </c>
      <c r="D126" t="inlineStr">
        <is>
          <t>indeed</t>
        </is>
      </c>
      <c r="E126">
        <f>HYPERLINK("https://www.indeed.com/viewjob?jk=c39fdabb09be086b", "https://www.indeed.com/viewjob?jk=c39fdabb09be086b")</f>
        <v/>
      </c>
      <c r="F126">
        <f>HYPERLINK("https://www.amazon.jobs/jobs/2998635/principal-applied-scientist-delivery-foundation-model-?cmpid=DA_INAD200785B", "https://www.amazon.jobs/jobs/2998635/principal-applied-scientist-delivery-foundation-model-?cmpid=DA_INAD200785B")</f>
        <v/>
      </c>
      <c r="G126" t="inlineStr">
        <is>
          <t>Santa Clara, CA, US</t>
        </is>
      </c>
      <c r="H126" s="2" t="n">
        <v>45757</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7">
      <c r="A127" t="inlineStr">
        <is>
          <t>in-a523f764bfcc94d7</t>
        </is>
      </c>
      <c r="B127" t="inlineStr">
        <is>
          <t>Principal Applied Scientist, Delivery Foundation Model</t>
        </is>
      </c>
      <c r="C127" t="inlineStr">
        <is>
          <t>Amazon.com</t>
        </is>
      </c>
      <c r="D127" t="inlineStr">
        <is>
          <t>indeed</t>
        </is>
      </c>
      <c r="E127">
        <f>HYPERLINK("https://www.indeed.com/viewjob?jk=a523f764bfcc94d7", "https://www.indeed.com/viewjob?jk=a523f764bfcc94d7")</f>
        <v/>
      </c>
      <c r="F127">
        <f>HYPERLINK("https://www.amazon.jobs/jobs/2998635/principal-applied-scientist-delivery-foundation-model-?cmpid=DA_INAD200785B", "https://www.amazon.jobs/jobs/2998635/principal-applied-scientist-delivery-foundation-model-?cmpid=DA_INAD200785B")</f>
        <v/>
      </c>
      <c r="G127" t="inlineStr">
        <is>
          <t>Bellevue, WA, US</t>
        </is>
      </c>
      <c r="H127" s="2" t="n">
        <v>45757</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8">
      <c r="A128" t="inlineStr">
        <is>
          <t>in-90cfc6981108bda6</t>
        </is>
      </c>
      <c r="B128" t="inlineStr">
        <is>
          <t>Tech Lead-Machine Learning Engineer (Agent &amp; Multi-Agent Systems) – AIGC Risk Intelligence</t>
        </is>
      </c>
      <c r="C128" t="inlineStr">
        <is>
          <t>TikTok</t>
        </is>
      </c>
      <c r="D128" t="inlineStr">
        <is>
          <t>indeed</t>
        </is>
      </c>
      <c r="E128">
        <f>HYPERLINK("https://www.indeed.com/viewjob?jk=90cfc6981108bda6", "https://www.indeed.com/viewjob?jk=90cfc6981108bda6")</f>
        <v/>
      </c>
      <c r="F128">
        <f>HYPERLINK("https://lifeattiktok.com/search/7612812523487136005", "https://lifeattiktok.com/search/7612812523487136005")</f>
        <v/>
      </c>
      <c r="G128" t="inlineStr">
        <is>
          <t>Seattle, WA, US</t>
        </is>
      </c>
      <c r="H128" s="2" t="n">
        <v>46084</v>
      </c>
      <c r="I128" t="inlineStr">
        <is>
          <t>Technology
Tech Lead\-Machine Learning Engineer (Agent \&amp; Multi\-Agent Systems) – AIGC Risk Intelligence
Location
:
Seattle
Employment Type
:
Regular
Job Code
:
A244382A
Responsibilities
Our team is building the next generation of AI\-native risk intelligence systems to address emerging challenges driven by large\-scale AIGC content production.
As content creation becomes automated and adversaries adopt systematic experimentation (e.g., large\-scale template variation and rapid iteration), traditional rule\-based and single\-model approaches are no longer sufficient. We are transitioning from monolithic LLM applications to a structured multi\-agent architecture that emphasizes:
Tool\-augmented reasoning (ReAct\-style systems)
Modular skill composition
Execution traceability and observability
Feedback\-driven system evolution
Cross\-domain risk reasoning
We are seeking an experienced technical leader to define and implement this architecture.
Responsibilities
* Architect and Implement Agent Systems
Design structured agent workflows (e.g., Evaluate → Validate → Reflect → Summarize)
Implement ReAct\-style tool allocation and reasoning frameworks
Develop short\-term and long\-term memory architectures
Ensure robustness under adversarial and evolving conditions
* Lead Multi\-Agent Architecture Development
Design orchestration layers for coordinating vertical domain agents
Build modular Skill systems for extensibility and reuse
Define execution graph standards and planning abstractions
Establish traceability mechanisms for debugging and auditability
* Develop Open Risk Detection Capabilities
Architect systems capable of identifying previously unseen risk patterns
Implement execution trace–driven optimization loops
Translate feedback signals (FP/FN, reviewer overrides, drift signals) into system improvements
Enable proactive rather than purely reactive detection systems
* Establish Engineering Standards for Agent Systems
Define traceability, observability, and guardrail requirements
Evaluate and integrate multi\-agent frameworks where appropriate
Ensure production\-readiness, scalability, and reliability
* Provide Technical Leadership
Own the technical roadmap for Agent and multi\-agent systems
Partner cross\-functionally with Risk, Safety, Infra, and ML teams
Mentor engineers and drive architectural rigor
Qualifications
Minimum Qualifications
* 5\+ years of experience in software engineering or applied AI systems
* Deep understanding of LLM\-based agent architectures (ReAct\-style reasoning/Tool calling systems/Workflow orchestration/Memory design patterns)
* Experience designing distributed or modular AI systems
* Strong backend engineering skills (Python or equivalent)
* Experience operating systems in adversarial or high\-stakes environments
Preferred Qualifications
* Experience in trust \&amp; safety, risk detection, or adversarial ML
* Familiarity with multi\-agent orchestration frameworks
* Experience building systems with execution trace logging and observability
* Background in RL\-style policy optimization or iterative system refinement
* Demonstrated experience leading high\-impact technical initiatives
Job Information
【For Pay Transparency】Compensation Description (Annually)
The base salary range for this position in the selected city is $198360 \- $416100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9">
      <c r="A129" t="inlineStr">
        <is>
          <t>in-72efe2e9731f7867</t>
        </is>
      </c>
      <c r="B129" t="inlineStr">
        <is>
          <t>JUNIOR AI/ML ENGINEER</t>
        </is>
      </c>
      <c r="C129" t="inlineStr">
        <is>
          <t>Peraton</t>
        </is>
      </c>
      <c r="D129" t="inlineStr">
        <is>
          <t>indeed</t>
        </is>
      </c>
      <c r="E129">
        <f>HYPERLINK("https://www.indeed.com/viewjob?jk=72efe2e9731f7867", "https://www.indeed.com/viewjob?jk=72efe2e9731f7867")</f>
        <v/>
      </c>
      <c r="F129">
        <f>HYPERLINK("https://www.careers.peraton.com/jobs/junior-ai-ml-engineer-undefined-undefined-164156-jobs--cms-scientific-research-analysis--", "https://www.careers.peraton.com/jobs/junior-ai-ml-engineer-undefined-undefined-164156-jobs--cms-scientific-research-analysis--")</f>
        <v/>
      </c>
      <c r="G129" t="inlineStr">
        <is>
          <t>US</t>
        </is>
      </c>
      <c r="H129" s="2" t="n">
        <v>46084</v>
      </c>
      <c r="I129"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**PROGRAM OVERVIEW**
Forges tech modernization and provides support services like development, DevOps, and system integration. This program enables the agency to provide reliable and efficient services that are critical to U.S. businesses and the day\-to\-day lives of citizens.##### **ABOUT THE ROLE**
At Peraton, we deliver mission\-critical technology solutions that protect and advance our nation. We are seeking a motivated **Junior AI/ML Engineer** to support the design and deployment of generative AI and machine learning solutions that drive automation and operational efficiency for a federal customer.  
This is an opportunity to grow your expertise in large language models (LLMs), cloud AI platforms, and production\-grade machine learning systems while working alongside experienced AI engineers in a collaborative, mission\-focused environment. **What You’ll Do*** Support development and testing of generative AI prototypes and pilot solutions.
* Assist in implementing LLM\-based workflows and structured outputs.
* Perform data preparation, exploratory analysis, and model validation using Python/R/SQL.
* Contribute to dashboards and data visualization efforts.
* Support integration of AI solutions with enterprise systems and APIs.
* Apply secure coding practices and adhere to AI governance and compliance standards.
* Contribute to documentation, knowledge sharing, and continuous improvement efforts.
##### **QUALIFICATIONS**
**Basic Qualifications:**  
* Bachelor’s degree in Computer Science, Engineering, Mathematics, Physics, or related STEM field and two years’ experience or high school diploma/equivalent and six years’ experience.
* Working proficiency in Python; familiarity with APIs and modern IDEs (e.g., VS Code).
* Exposure to machine learning fundamentals and LLM usage.
* Familiarity with Git and modern development workflows.
* US Citizenship required; must have the ability to obtain/maintain a Public Trust clearance.
**Preferred Qualifications:**  
* Experience with TensorFlow or PyTorch.
* Exposure to generative AI, prompt engineering, or RAG architectures.
* Experience with Azure, AWS, or Google Cloud AI services.
* Entry\-level AI or cloud certifications.
#####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30">
      <c r="A130" t="inlineStr">
        <is>
          <t>in-a0ffbdc6ed1a837a</t>
        </is>
      </c>
      <c r="B130" t="inlineStr">
        <is>
          <t>MID-LEVEL AI/ML ENGINEER</t>
        </is>
      </c>
      <c r="C130" t="inlineStr">
        <is>
          <t>Peraton</t>
        </is>
      </c>
      <c r="D130" t="inlineStr">
        <is>
          <t>indeed</t>
        </is>
      </c>
      <c r="E130">
        <f>HYPERLINK("https://www.indeed.com/viewjob?jk=a0ffbdc6ed1a837a", "https://www.indeed.com/viewjob?jk=a0ffbdc6ed1a837a")</f>
        <v/>
      </c>
      <c r="F130">
        <f>HYPERLINK("https://www.careers.peraton.com/jobs/mid-level-ai-ml-engineer-undefined-undefined-164157-jobs--cms-scientific-research-analysis--", "https://www.careers.peraton.com/jobs/mid-level-ai-ml-engineer-undefined-undefined-164157-jobs--cms-scientific-research-analysis--")</f>
        <v/>
      </c>
      <c r="G130" t="inlineStr">
        <is>
          <t>US</t>
        </is>
      </c>
      <c r="H130" s="2" t="n">
        <v>46084</v>
      </c>
      <c r="I130" t="inlineStr">
        <is>
          <t>##### **ABOUT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 **PROGRAM OVERVIEW**
Forges tech modernization and provides support services like development, DevOps, and system integration. This program enables the agency to provide reliable and efficient services that are critical to U.S. businesses and the day\-to\-day lives of citizens.##### **ABOUT THE ROLE**
Peraton is seeking a mid\-level **AI/ML Engineer** to design, develop, and deploy scalable AI/ML and generative AI solutions in support of a federal customer mission. This role focuses on production\-ready AI systems, LLM\-based workflows, and automation solutions that enhance operational performance and decision\-making.  
You will collaborate with technical and non\-technical stakeholders to translate requirements into robust AI architectures while ensuring compliance with security, privacy, and ethical AI standards. **What You’ll Do*** Design and implement generative AI solutions from pilot through production deployment.
* Develop agent\-based LLM workflows with structured outputs and tool integrations.
* Perform advanced data modeling, predictive analytics, and statistical analysis.
* Deploy AI/ML models using modern DevOps practices (Git, CI/CD).
* Integrate AI capabilities with enterprise systems and cloud environments.
* Implement monitoring, guardrails, and governance controls for responsible AI.
* Provide technical guidance and collaborate across multidisciplinary teams.
##### **QUALIFICATIONS**
**Basic Qualifications:*** Bachelor’s degree with 8\+ years of experience or Master’s degree with 6\+ years experience in a STEM discipline or high school diploma/equivalent and 12 years of experience
* Demonstrated experience building and deploying AI/ML solutions in production environments.
* Strong proficiency in Python; experience with APIs and cloud AI platforms.
* Experience with LLM platforms (e.g., Azure OpenAI, GPT models, Claude, Gemini).
* Experience with RAG architectures and advanced prompt engineering.
* U.S Citizenship; must have the ability to obtain/maintain a Public Trust clearance.
**Preferred Qualifications:*** Experience with TensorFlow, PyTorch, or similar ML frameworks.
* Experience with agent frameworks or autonomous AI workflows.
* Familiarity with Anthropic MCP or similar orchestration protocols.
* Cloud AI certifications (AWS ML Specialty, Azure AI Engineer, Google Professional ML Engineer).
#####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31">
      <c r="A131" t="inlineStr">
        <is>
          <t>in-648c4b80368eecaf</t>
        </is>
      </c>
      <c r="B131" t="inlineStr">
        <is>
          <t>Principal Machine Learning Engineer</t>
        </is>
      </c>
      <c r="C131" t="inlineStr">
        <is>
          <t>Workday</t>
        </is>
      </c>
      <c r="D131" t="inlineStr">
        <is>
          <t>indeed</t>
        </is>
      </c>
      <c r="E131">
        <f>HYPERLINK("https://www.indeed.com/viewjob?jk=648c4b80368eecaf", "https://www.indeed.com/viewjob?jk=648c4b80368eecaf")</f>
        <v/>
      </c>
      <c r="F131">
        <f>HYPERLINK("https://workday.wd5.myworkdayjobs.com/en-US/Workday/job/USA-CA-Pleasanton/Principal-Machine-Learning-Engineer_JR-0104012", "https://workday.wd5.myworkdayjobs.com/en-US/Workday/job/USA-CA-Pleasanton/Principal-Machine-Learning-Engineer_JR-0104012")</f>
        <v/>
      </c>
      <c r="G131" t="inlineStr">
        <is>
          <t>Pleasanton, CA, US</t>
        </is>
      </c>
      <c r="H131" s="2" t="n">
        <v>46084</v>
      </c>
      <c r="I13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Basic Qualifications*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$228,000 USD \- $342,000 USD  
Additional US Location(s) Base Pay Range: $190,600 USD \- $342,000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32">
      <c r="A132" t="inlineStr">
        <is>
          <t>in-d0af00ca7240aecd</t>
        </is>
      </c>
      <c r="B132" t="inlineStr">
        <is>
          <t>Staff Machine Learning Engineer</t>
        </is>
      </c>
      <c r="C132" t="inlineStr">
        <is>
          <t>Zoom Communications</t>
        </is>
      </c>
      <c r="D132" t="inlineStr">
        <is>
          <t>indeed</t>
        </is>
      </c>
      <c r="E132">
        <f>HYPERLINK("https://www.indeed.com/viewjob?jk=d0af00ca7240aecd", "https://www.indeed.com/viewjob?jk=d0af00ca7240aecd")</f>
        <v/>
      </c>
      <c r="F132">
        <f>HYPERLINK("https://careers.zoom.us/jobs/staff-machine-learning-engineer-seattle-washington-united-states", "https://careers.zoom.us/jobs/staff-machine-learning-engineer-seattle-washington-united-states")</f>
        <v/>
      </c>
      <c r="G132" t="inlineStr">
        <is>
          <t>Seattle, WA, US</t>
        </is>
      </c>
      <c r="H132" s="2" t="n">
        <v>46084</v>
      </c>
      <c r="I132" t="inlineStr">
        <is>
          <t>What you can expect
Zoom is building the next generation of AI Companion, powered by Agentic Retrieval — a unified intelligence layer that enables AI agents to securely search, reason over, and act on enterprise knowledge at scale. In this role, you’ll design and develop the core retrieval and reasoning systems driving AI\-powered workflows across meetings, chat, docs, and enterprise apps. This is a high\-impact opportunity to shape Zoom’s AI foundation and advance how enterprises access and use knowledge.
About the Team
The Agentic Retrieval team within Zoom’s GenAI Engineering group builds a multi\-tenant, permission\-aware retrieval platform. It powers large\-scale document and data search. The team also focuses on enterprise knowledge graph reasoning and retrieval orchestration for AI agents. We operate at the intersection of distributed systems, machine learning, knowledge representation, and large language models. Our mission is to enable AI agents to access the right information, with the right permissions, at the right time — across enterprise data sources.
Responsibilities:
* Designing and building scalable retrieval systems using vector and semantic search for unstructured data, hybrid keyword\-embedding search, enterprise data analytics, and graph\-based reasoning.
* Designing and optimize Retrieval\-Augmented Generation (RAG) pipelines for multi\-step, tool\-using AI agents.
* Building indexing pipelines that transform heterogeneous enterprise data into unified retrieval\-ready representations.
* Developing ranking, relevance modeling, and evaluation frameworks to improve answer quality and grounding.
* Working on permission\-aware retrieval to ensure secure, multi\-tenant isolation and fine\-grained access control.
* Partnering closely with product, infrastructure, and applied research teams to ship production\-grade AI capabilities.
What we’re looking for:
* 5\+ years of experience in machine learning, search infrastructure, information retrieval, distributed systems, or related areas.
* Demonstrate hands\-on experience building and operating large\-scale search, recommendation, or data platforms in production environments.
* Possess understanding of:Information retrieval, Structured query systems, Knowledge graph or graph database concepts
* Have experience building or integrating RAG systems and LLM\-based applications in production.
* Possess proficiency in one or more of: Python, Go, Java, C\#, or C\+\+.
* Have experience with modern ML frameworks (e.g., PyTorch, TensorFlow) and vector databases or search engines.
* Have experience working with enterprise data systems or multi\-tenant SaaS environments is a plus.
Salary Range or On Target Earnings:
Minimum:
Maximum: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t>
        </is>
      </c>
    </row>
    <row r="133">
      <c r="A133" t="inlineStr">
        <is>
          <t>in-cafaf2dc016ed3e9</t>
        </is>
      </c>
      <c r="B133" t="inlineStr">
        <is>
          <t>AI Engineer - Agentic AI</t>
        </is>
      </c>
      <c r="C133" t="inlineStr">
        <is>
          <t>Dorman Products</t>
        </is>
      </c>
      <c r="D133" t="inlineStr">
        <is>
          <t>indeed</t>
        </is>
      </c>
      <c r="E133">
        <f>HYPERLINK("https://www.indeed.com/viewjob?jk=cafaf2dc016ed3e9", "https://www.indeed.com/viewjob?jk=cafaf2dc016ed3e9")</f>
        <v/>
      </c>
      <c r="F133">
        <f>HYPERLINK("https://jobs.dormanproducts.com/job/Colmar-AI-Engineer-Agentic-AI-PA-18915/1370177200/?feedId=111200&amp;utm_source=Indeed&amp;utm_campaign=Dorman_Indeed", "https://jobs.dormanproducts.com/job/Colmar-AI-Engineer-Agentic-AI-PA-18915/1370177200/?feedId=111200&amp;utm_source=Indeed&amp;utm_campaign=Dorman_Indeed")</f>
        <v/>
      </c>
      <c r="G133" t="inlineStr">
        <is>
          <t>Colmar, PA, US</t>
        </is>
      </c>
      <c r="H133" s="2" t="n">
        <v>46084</v>
      </c>
      <c r="I133" t="inlineStr">
        <is>
          <t>Dorman was founded on the belief that people should have greater freedom to fix motor vehicles. For over 100 years, we have been driving new solutions, releasing tens of thousands of aftermarket replacement products engineered to save time and money, and increase convenience and reliability. Founded and headquartered in the United States, we are a pioneering global organization offering an always\-evolving catalog of automotive, heavy\-duty and specialty vehicle products. Today, we have more than 3,500 employees across 29 different locations, with a family of brands that also includes SuperATV and Dayton Parts. Reaching a revenue of $2 billion in 2024, Dorman is pblicly traded under the stock ticker DORM.
Everyone who works at Dorman is called a Contributor. We need everyone, regardless of role and experience, to contribute to our success. That means everyone has a unique ability to make an impact on the business. We encourage all our Contributors to bring their authentic selves to work. The freedom to pursue new ideas, offer different perspectives, and grow in your career is fundamental to working at Dorman.
**Job Summary**
---------------
We are seeking a **Agentic AI Engineer** to design, build, and scale **enterprise‑grade, multi‑agent AI systems** that can reason, plan, and act across complex business and engineering workflows. This role focuses on engineering **stateful, orchestrated agent architectures**—including planner, executor, and supervisory patterns—using Python‑based agent frameworks. The engineer will build systems where multiple agents coordinate through shared state, tools, and memory to accomplish multi‑step objectives reliably and securely. The position extends beyond traditional automation by combining **agent orchestration, large language models, and Microsoft’s AI and automation ecosystem**. Solutions are expected to integrate with enterprise platforms, apply human‑in‑the‑loop controls, and operate within defined governance and reliability guardrails. The ideal candidate has advanced beyond foundational automation or scripting roles and is ready to own **end‑to‑end agentic workflows**, contributing to reusable AI platforms that move from experimentation into governed, production use.
This is a **hybrid** role in our corporate headquarters in suburban Philadelphia (Colmar, PA) with the expectation to be **onsite two to three days per week**. Preference will be given to local talent.
**Primary Duties**
------------------
**Agentic AI Engineering**
* Design, implement, and maintain **single‑ and multi‑agent AI systems** using Python and agent orchestration frameworks such as **LangGraph**.
* Engineer **planner, executor, and supervisory agent patterns** that coordinate through shared state, memory, and tool invocation to accomplish complex, multi‑step objectives.
* Build **stateful, goal‑driven agent workflows** that reason across steps, adapt to intermediate outcomes, and recover from errors.
* Implement appropriate **human‑in‑the‑loop controls, guardrails, and auditability** to ensure reliable, secure, and governed agent behavior.
**Microsoft AI \&amp; Automation Platform Integration**
* Develop AI‑driven workflows using **Power Automate** and **Copilot Studio**, embedding agentic capabilities into enterprise business processes.
* Leverage **Azure AI Foundry** and related Azure services to deploy, manage, and govern AI solutions in alignment with enterprise standards.
* Integrate AI agents with Microsoft 365, Dataverse, APIs, and other enterprise systems to enable end‑to‑end automation and decision support.
**Large Language Model (LLM) Enablement**
* Build and test agent workflows using **OpenAI Codex**, **Anthropic Claude (Claude Code)** and other large language models.
* Apply prompt engineering, tool‑calling, and structured output techniques appropriate for enterprise and production use cases.
**Architecture \&amp; Engineering Alignment**
* Contribute to internal AI platforms informed by ideation and engineering initiatives, including **multi‑agent orchestration**, agent‑assisted discovery, and complex coordination workflows.
* Collaborate with architecture, security, and data teams to ensure agentic solutions align with enterprise design, governance, and integration patterns.
* Document agent designs, orchestration patterns, and operational considerations to support reuse, scalability, and long‑term maintainability.
**Qualifications**
------------------
* 3\+ years of professional experience in software development, automation engineering, or AI\-adjacent roles.
* Strong proficiency in Python for production\-grade development.
* Hands\-on experience with LangGraph or similar agent orchestration frameworks.
* Working knowledge of Microsoft’s AI and automation ecosystem, including Azure AI Foundry, Power Automate, and Copilot Studio.
* Experience working with large language models, including Anthropic Claude / Claude Code.
* Solid understanding of APIs, JSON, and system integration.
**Preferred:**  
* Experience designing stateful or multi\-agent systems.
* Familiarity with enterprise AI governance, security, and compliance.
* Experience evolving automation solutions into intelligent, AI\-driven systems.
**Education / Experience**
--------------------------
* Bachelor’s degree or equivalent experience in Computer Science, Information Systems, Engineering, or a related discipline.  
Equivalent professional experience may be considered in lieu of formal education.
\#LI\-EK1
The US base salary range for this full\-time position is $102,900\.00 to $153,100\.00\. This role is also eligible for a bonus. The actual base pay offered to the successful candidate will depend on multiple factors, including but not limited to job\-related knowledge and skills, experience, business needs, geographical location, and internal pay equity. Compensation decisions are made based on the specific facts and circumstances of each role and candidate.
As a Dorman US contributor, you (and eligible dependents, as applicable) will have access to medical, dental, vision, basic life insurance, paid time off (sick/vacation), and Paid Parental Leave. U.S. employees are entitled to paid holidays, floating holidays, and paid time off starting in their first year of employment depending on hire date. You are also able to participate in our 401k retirement plan (with company match and profit\-sharing) and Discounted Employee Stock Purchase Plan.
Dorman Products is an equal opportunity employer; we value a combination of ideas, perspectives, and cultures at our company. We do not discriminate on the basis of race, religion, color, national origin, gender, sex, gender identity, sexual orientation, age, marital status, veteran status, or disability status. EEO/AA Employer M/F/D/V. www.DormanProducts.com</t>
        </is>
      </c>
    </row>
    <row r="134">
      <c r="A134" t="inlineStr">
        <is>
          <t>in-40973867e34492ea</t>
        </is>
      </c>
      <c r="B134" t="inlineStr">
        <is>
          <t>Advanced AI Engineer</t>
        </is>
      </c>
      <c r="C134" t="inlineStr">
        <is>
          <t>Honeywell</t>
        </is>
      </c>
      <c r="D134" t="inlineStr">
        <is>
          <t>indeed</t>
        </is>
      </c>
      <c r="E134">
        <f>HYPERLINK("https://www.indeed.com/viewjob?jk=40973867e34492ea", "https://www.indeed.com/viewjob?jk=40973867e34492ea")</f>
        <v/>
      </c>
      <c r="F134">
        <f>HYPERLINK("https://ibqbjb.fa.ocs.oraclecloud.com/hcmUI/CandidateExperience/en/sites/CX_1/requisitions/preview/137753", "https://ibqbjb.fa.ocs.oraclecloud.com/hcmUI/CandidateExperience/en/sites/CX_1/requisitions/preview/137753")</f>
        <v/>
      </c>
      <c r="G134" t="inlineStr">
        <is>
          <t>Phoenix, AZ, US</t>
        </is>
      </c>
      <c r="H134" s="2" t="n">
        <v>46084</v>
      </c>
      <c r="I134" t="inlineStr">
        <is>
          <t>As an Advanced AI Engineer here at Honeywell, you will provide expert\-level technical leadership in the design and development of AI algorithms, models, and systems. You will be responsible for acting as the subject matter expert for technical AI projects and provide direction on exploring and implementing methodologies and best practices.  
In this role, you will impact critical AI initiatives and drive technical excellence within the organization. This is a unique opportunity to play a key role in shaping the future of AI technology within a company known for its commitment to excellence. Let's shape the future together! At Honeywell, our people leaders play a critical role in developing and supporting our employees to help them perform at their best and drive change across the company. Help to build a strong, diverse team by recruiting talent, identifying, and developing successors, driving retention and engagement, and fostering an inclusive culture.
* Work with AI engineers, product managers, and aerospace experts to understand requirements and develop AI applications that meet business needs.
* Perform research activities to identify state\-of\-the\-art AI models and infrastructure tools for on\-premises deployment, staying up\-to\-date with industry trends and advancements.
* Ideate and develop Retrieval Augmented Generation (RAG) solutions for internal applications, leveraging the power of retrieval and generation techniques to drive innovation and improvement in AI capabilities.
**YOU MUST HAVE**
* Bachelor’s degree from an accredited institution in a technical discipline such as science, technology, engineering, mathematics
* 5 or more years of experience managing AI related technology projects
Mastery expertise in machine learning or related artificially intelligent technology  
* 
**WE VALUE**
* Experience with database operations, including data storage, retrieval, and management.
* Knowledge of embeddings and indexing techniques, including their applications in AI and machine learning.
* Familiarity with API calling and integration, including designing and implementing APIs for AI applications.
* Understanding of UI/UX principles and their application in designing intuitive and user\-friendly interfaces for AI\-powered systems.
Experience with KPI collection and dashboard creation, including designing and implementing metrics to measure AI system performance and creating visualizations to communicate insights.  
* 
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Honeywell Benefits information visit: https://benefits.honeywell.com/  
The application period for the job is estimated to be 40 days from the job posting date; however, this may be shortened or extended depending on business needs and the availability of qualified candidates. Job Posting Date: 3/4/2026  
Due to compliance with U.S. export control laws and regulations, candidate must be a U.S. Person, which is defined as, a U.S. citizen, a U.S. permanent resident, or have protected status in the U.S. under asylum or refugee status or have the ability to obtain an export authorization.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35">
      <c r="A135" t="inlineStr">
        <is>
          <t>in-09ec86825f918a87</t>
        </is>
      </c>
      <c r="B135" t="inlineStr">
        <is>
          <t>Applied AI Engineer - National Security (TS/SCI)</t>
        </is>
      </c>
      <c r="C135" t="inlineStr">
        <is>
          <t>TRM Labs</t>
        </is>
      </c>
      <c r="D135" t="inlineStr">
        <is>
          <t>indeed</t>
        </is>
      </c>
      <c r="E135">
        <f>HYPERLINK("https://www.indeed.com/viewjob?jk=09ec86825f918a87", "https://www.indeed.com/viewjob?jk=09ec86825f918a87")</f>
        <v/>
      </c>
      <c r="F135">
        <f>HYPERLINK("https://jobs.ashbyhq.com/trm-labs/84c4d374-f34a-4861-b847-0fa7a631a132?utm_source=KaWmZ89zGg", "https://jobs.ashbyhq.com/trm-labs/84c4d374-f34a-4861-b847-0fa7a631a132?utm_source=KaWmZ89zGg")</f>
        <v/>
      </c>
      <c r="G135" t="inlineStr">
        <is>
          <t>US</t>
        </is>
      </c>
      <c r="H135" s="2" t="n">
        <v>46084</v>
      </c>
      <c r="I135" t="inlineStr">
        <is>
          <t>**Build a Safer World.**
------------------------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TRM’s first Applied AI Engineer embedded with our Forward Deployed Engineering team, you’ll help bring generative AI into the heart of U.S. national security missions. This role is about impact at the edge: building and deploying AI systems in secure, high\-side environments where speed, accuracy, and trust are mission\-critical.
At TRM, we fuse blockchain intelligence with AI to illuminate hidden risks and strengthen global security. In this role, you won’t just be building models—you’ll be shaping how cutting\-edge technology accelerates outcomes that protect national interests and public safety.
**The impact you’ll have here:**
* **Deploy AI to the mission edge.** Act as the primary technical interface with national security customers, deploying TRM’s AI capabilities into classified, airgapped, and mission\-critical environments. Adapt solutions to real\-world constraints while ensuring secure, reliable integration.
* **Own AI application lifecycles.** Build, tune, deploy, and optimize AI systems tailored to mission needs. Apply techniques like retrieval\-augmented generation, prompt optimization, and fine\-tuning to ensure performance at scale.
* **Accelerate mission wins.** Drive pilots and long\-term programs by working directly with end users, closing the loop between operators and engineering. Capture field feedback, measure mission impact, and channel insights back into TRM’s product and research roadmaps.
**What we’re looking for:**
* Strong background in ML model evaluation/tuning, Python, API integration, SQL, and MCP servers.
* Proven ability to deliver results quickly within highly regulated or bureaucratic environments.
* A customer\-first mindset: you identify mission impact, work backward from it, and remove blockers to deliver.
* Excellent communicator, able to interface confidently with technical and non\-technical stakeholders and build trust in high\-stakes settings.
* **Bonus:** Experience with ML frameworks (PyTorch, TensorFlow), API design, Kubernetes (Helm), and Terraform/IaC deployments.
* ***Candidate must have an active TS/SCI clearance with Polygraph.***
**About the Team:**
* The AI Engineering and Forward Deployed teams at TRM are mission\-focused builders. We pair deep technical expertise with direct engagement in the field, delivering AI capabilities that matter when and where they are needed most.
* The AI Engineering team is globally distributed. The Forward Deployed team is U.S.\-based and aligned to the Eastern timezone, operating both onsite and remotely. We communicate across secure and unclassified channels, adapting seamlessly to whatever the mission requires.
* We prioritize speed, transparency, and impact. Weekly syncs and project check\-ins keep us aligned. Project tracking is always up to date. Issues are flagged immediately and resolved with urgency.
* We always put the customer first – The Forward Deployed team is on the front\-lines working directly with customers and will develop close relationships with them. We do whatever it takes to ensure their mission success.
**Learn about TRM Speed in this position:**
* **Rapid Issue Resolution.** TRM Engineers identify and resolve critical onsite issues in minutes to hours, not weeks. We create virtual war rooms, implement fixes, and share lessons with both customer stakeholders and internal teams within 48 hours.
* **Navigating Bureaucracy.** We anticipate and address procedural hurdles, build trust with key stakeholders, and find alternative pathways to approvals. This keeps projects moving even in complex environments.
* **Efficient Knowledge Transfer.** Engineers document and share updates in real time, ensuring the entire team—onsite and remote—has full visibility into plans, blockers, and resolutions. Knowledge sharing sessions and clear documentation reduce friction and accelerate delivery.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The estimated base salary range for this role is $200,000 \- $265,000\.
* Additionally, this role may be eligible to participate in TRM’s equity plan.
* Please note – we factor in the different costs for geographies outside the United States.
###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 **Interviewing at TRM: How We Hire and What Success Looks Like**
###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 **Recruitment agencies**
TRM Labs does not accept unsolicited agency resumes. Please do not forward resumes to TRM employees. TRM Labs is not responsible for any fees related to unsolicited resumes and will not pay fees to any third\-party agency or company without a signed agreement.
### **Learn More****:** **Company Values** **\|** **Interviewing** **\|** **FAQs**</t>
        </is>
      </c>
    </row>
    <row r="136">
      <c r="A136" t="inlineStr">
        <is>
          <t>in-1335eb84d51b645f</t>
        </is>
      </c>
      <c r="B136" t="inlineStr">
        <is>
          <t>Staff AI Engineer</t>
        </is>
      </c>
      <c r="C136" t="inlineStr">
        <is>
          <t>SpotOn</t>
        </is>
      </c>
      <c r="D136" t="inlineStr">
        <is>
          <t>indeed</t>
        </is>
      </c>
      <c r="E136">
        <f>HYPERLINK("https://www.indeed.com/viewjob?jk=1335eb84d51b645f", "https://www.indeed.com/viewjob?jk=1335eb84d51b645f")</f>
        <v/>
      </c>
      <c r="F136">
        <f>HYPERLINK("https://jobs.ashbyhq.com/spoton/6038e413-6bbf-45b6-b138-aa097d8a765d?utm_source=K0WjWq4Q46", "https://jobs.ashbyhq.com/spoton/6038e413-6bbf-45b6-b138-aa097d8a765d?utm_source=K0WjWq4Q46")</f>
        <v/>
      </c>
      <c r="G136" t="inlineStr">
        <is>
          <t>Raleigh, NC, US</t>
        </is>
      </c>
      <c r="H136" s="2" t="n">
        <v>46084</v>
      </c>
      <c r="I136"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Accelerate Team**
-----------------------------
The Accelerate team is a new 5\-person engineering team with a singular mission: prove that AI\-native engineering practices can fundamentally change how a fintech engineering org builds software \- then make that the new standard. The team has direct VP sponsorship, mission \&amp; charter, and three defined projects with hard deadlines.
We're hiring a Staff/Principal IC who has already demonstrated AI\-assisted engineering at scale. This is not an "AI\-curious" role. You write code with AI every day. You've built agents that do real work. You have strong, experience\-backed opinions on which models to use for what, where agents fail, and how to build guardrails that actually hold. You've seen what works in production and you're impatient to do it at scale.
You will be the most technically senior AI practitioner on this team \- the person everyone looks to for "how do we actually build this." You don't manage the team. You drive the architecture, build the hardest parts, and set the technical standard.
**The Role: Technical Lead, Not Manager**
-----------------------------------------
This isn't a "set up some CI/CD and plug in Copilot" role. You are the person who architects the systems that change how SpotOn engineers build software. You will:
**Be the AI engineering technical authority.** You set the technical standard for how AI is used in code generation, review, testing, and task automation. You don't just implement tools \- you design the systems, workflows, and guardrails that make AI\-assisted development safe, measurable, and scalable in a PCI\-regulated payments environment. The team lead sets priorities; you set the technical direction.
**Drive the architecture and implementation of three concurrent projects:**
* **Automated PR Review** \- A risk\-tiered AI review pipeline where AI handles first\-pass review on every PR, with an escalation framework you design that determines when human review is mandatory (payment logic, PCI\-scoped code, compliance paths) versus when AI approval is sufficient. You define the criteria. You tune the thresholds. You prove it works.
* **Android and API Test Automation** \- A fully automated test harness for our Android\-native POS and KDS products: virtual device provisioning, test execution, teardown, AI\-assisted failure analysis \- replacing multi\-day manual QA cycles with sub\-30\-minute automated runs.
* **AI Agent Swarms** \- A multi\-agent pipeline that takes a PRD and produces a tested, reviewed pull request for tier 1\-3 engineering work (nits, bugs, small features). You design the agent orchestration \- planner, coder, tester, reviewer \- and the blast\-radius controls that keep it safe in fintech.
**Evangelize by shipping, not by presenting.** Your most persuasive argument is a working system, not a slide deck. You demo to engineering leads every two weeks with real metrics. You turn skeptics into adopters by showing them their own time savings.
**Measure everything.** You define the metrics framework: developer hours recovered, cycle time compression, quality ratios, cost per deployment. You report to the CTO monthly with quantified value delivered. If something isn't working, the data tells you before anyone else.
**What We Require**
-------------------
This is a high bar intentionally. We need someone who has already done this, not someone who wants to learn.
**Required experience:**
* **5\+ years building developer tools, infrastructure, or platform engineering systems** \- you understand how engineering orgs actually work at scale, not just how AI demos work
* **2\+ years working deeply with LLMs and AI agents in production** \- not side projects, not hackathons. Production systems handling real code, real reviews, or real task automation. You can speak to failure modes, cost optimization, prompt engineering patterns, and model selection trade\-offs from experience.
* **Designed and operated AI\-assisted code generation or review systems** serving 50\+ engineers or 30\+ repositories. You know the difference between "cool demo" and "trusted by the team."
* **Built multi\-agent or agentic workflows** \- task decomposition, agent specialization, orchestration, error recovery. You've worked with Claude Code, OpenAI Assistants, LangGraph, CrewAI, AutoGen, or custom agent frameworks at a level where you can articulate why you chose one approach over another.
* **Hands\-on with AI coding tools daily** \- Claude Code, Cursor, GitHub Copilot, Windsurf, Codeium \- you don't just use them, you push their limits. You know where they excel and where they hallucinate. You have a personal workflow that makes you measurably faster and you can teach it.
**Required domain expertise (at least two of three):**
* **Fintech / payments / regulated industry** \- you understand what PCI\-DSS, SOX, or HIPAA compliance means for code review and deployment. You know why "just let the AI merge it" isn't an option for payment logic.
* **Mobile / Android testing automation** \- Espresso, UI Automator, or AI\-native tools (Drizz, mabl, testRigor). Experience with emulator farms, device provisioning, and CI\-integrated test pipelines.
* **Multi\-agent system architecture** \- you've built systems where multiple AI agents collaborate on decomposed tasks with coordination protocols, fallback strategies, and human\-in\-the\-loop checkpoints.
**Who You Are**
---------------
You are not "AI\-interested." You are AI\-obsessed in the productive sense:
* **You already write 50%\+ of your code with AI assistance** and you've measured the impact on your own velocity. You have opinions on which models are best for which tasks and you update those opinions monthly as the landscape shifts.
* **You've built things with agents that most engineers think aren't possible yet.** You're 6\-12 months ahead of the mainstream in your personal practice and you have the shipped systems to prove it.
* **You prototype in hours, not days.** You can go from "I have an idea for how to automate X" to a working POC before end of day. You refine ruthlessly after.
* **You context\-switch across backend, mobile tooling, and AI/ML systems** without losing depth. You don't need to be an Android expert, but you need to be dangerous enough to architect the test harness and evaluate the output.
* **You communicate technical progress in business terms.** You know that "we reduced median PR review time by 47%" lands better with a CTO than "we fine\-tuned our prompt chain." You build dashboards, not just systems.
* **You're an evangelist, not a gatekeeper.** You get energy from showing other engineers how to work with AI. You don't hoard knowledge \- you build systems that make the whole org better.
* **You have a healthy skepticism forged by real experience.** You've seen AI fail in production. You've dealt with hallucinated code, flaky agent workflows, and false\-positive reviews. That experience makes your guardrails better, not your enthusiasm less.
**What You Won't Be Doing**
---------------------------
* Building product features for restaurants (that's the rest of the org)
* Pure ML/AI research without production deployment
* Maintaining legacy systems or writing JIRA tickets all day
* People management \- you're a pure IC on a small, senior, fast\-moving squad. You write more code than anyone on the team.
**Tech Environment**
--------------------
* **Languages:** Kotlin (Android), Go, TypeScript, Python
* **Mobile:** Android\-native POS applications on dedicated hardware
* **Infrastructure:** AWS, GitHub, CI/CD (GitHub Actions)
* **AI Stack:** You'll have significant influence on tool selection \- bring your opinions
* **Team tooling:** Jira, Slack, Figma, standard SpotOn eng stack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
Compensation Range: $210K \- $280K</t>
        </is>
      </c>
    </row>
    <row r="137">
      <c r="A137" t="inlineStr">
        <is>
          <t>in-16dcb30040c44b17</t>
        </is>
      </c>
      <c r="B137" t="inlineStr">
        <is>
          <t>AI Engineer, Professional Services, Google Cloud</t>
        </is>
      </c>
      <c r="C137" t="inlineStr">
        <is>
          <t>Google</t>
        </is>
      </c>
      <c r="D137" t="inlineStr">
        <is>
          <t>indeed</t>
        </is>
      </c>
      <c r="E137">
        <f>HYPERLINK("https://www.indeed.com/viewjob?jk=16dcb30040c44b17", "https://www.indeed.com/viewjob?jk=16dcb30040c44b17")</f>
        <v/>
      </c>
      <c r="F137">
        <f>HYPERLINK("https://careers.google.com/jobs/results/112144142431068870-ai-engineer/", "https://careers.google.com/jobs/results/112144142431068870-ai-engineer/")</f>
        <v/>
      </c>
      <c r="G137" t="inlineStr">
        <is>
          <t>Chicago, IL, US</t>
        </is>
      </c>
      <c r="H137" s="2" t="n">
        <v>46084</v>
      </c>
      <c r="I137" t="inlineStr">
        <is>
          <t>The application window will be open until at least March 11,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**Minimum qualifications:**
* Bachelor's degree in Computer Science, or equivalent practical experience.
* 8 years of experience building machine learning solutions and working with technical customers.
* Experience designing cloud enterprise solutions and supporting customer projects to completion.
* Experience coding in one or more general purpose languages (e.g., Python, Java, Go, C or C\+\+) including data structures, algorithms, and software design.
### **Preferred qualifications:**
* Experience working with recommendation engines, data pipelines, or distributed machine learning.
* Experience with deep learning frameworks (e.g., TensorFlow, PyTorch, XGBoost).
* Understanding of the auxiliary practical concerns in production machine learning systems.
* Knowledge of data warehousing concepts, including data warehouse technical architectures, infrastructure components, ETL/ELT and reporting/analytic tools and environments (e.g., Apache Beam, Hadoop, Spark, Pig, Hive, MapReduce, Flume).
**About the job**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trusted technical advisor to customers and solve complex machine learning challenges.
* Coach customers on the practical challenges in machine learning systems such as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8">
      <c r="A138" t="inlineStr">
        <is>
          <t>in-ac9e08cf6c187e88</t>
        </is>
      </c>
      <c r="B138" t="inlineStr">
        <is>
          <t>AI Engineer, Professional Services, Google Cloud</t>
        </is>
      </c>
      <c r="C138" t="inlineStr">
        <is>
          <t>Google</t>
        </is>
      </c>
      <c r="D138" t="inlineStr">
        <is>
          <t>indeed</t>
        </is>
      </c>
      <c r="E138">
        <f>HYPERLINK("https://www.indeed.com/viewjob?jk=ac9e08cf6c187e88", "https://www.indeed.com/viewjob?jk=ac9e08cf6c187e88")</f>
        <v/>
      </c>
      <c r="F138">
        <f>HYPERLINK("https://careers.google.com/jobs/results/112144142431068870-ai-engineer/", "https://careers.google.com/jobs/results/112144142431068870-ai-engineer/")</f>
        <v/>
      </c>
      <c r="G138" t="inlineStr">
        <is>
          <t>Austin, TX, US</t>
        </is>
      </c>
      <c r="H138" s="2" t="n">
        <v>46084</v>
      </c>
      <c r="I138" t="inlineStr">
        <is>
          <t>The application window will be open until at least March 11,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**Minimum qualifications:**
* Bachelor's degree in Computer Science, or equivalent practical experience.
* 8 years of experience building machine learning solutions and working with technical customers.
* Experience designing cloud enterprise solutions and supporting customer projects to completion.
* Experience coding in one or more general purpose languages (e.g., Python, Java, Go, C or C\+\+) including data structures, algorithms, and software design.
### **Preferred qualifications:**
* Experience working with recommendation engines, data pipelines, or distributed machine learning.
* Experience with deep learning frameworks (e.g., TensorFlow, PyTorch, XGBoost).
* Understanding of the auxiliary practical concerns in production machine learning systems.
* Knowledge of data warehousing concepts, including data warehouse technical architectures, infrastructure components, ETL/ELT and reporting/analytic tools and environments (e.g., Apache Beam, Hadoop, Spark, Pig, Hive, MapReduce, Flume).
**About the job**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trusted technical advisor to customers and solve complex machine learning challenges.
* Coach customers on the practical challenges in machine learning systems such as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9">
      <c r="A139" t="inlineStr">
        <is>
          <t>in-baff18e03192e124</t>
        </is>
      </c>
      <c r="B139" t="inlineStr">
        <is>
          <t>AI Engineer, Professional Services, Google Cloud</t>
        </is>
      </c>
      <c r="C139" t="inlineStr">
        <is>
          <t>Google</t>
        </is>
      </c>
      <c r="D139" t="inlineStr">
        <is>
          <t>indeed</t>
        </is>
      </c>
      <c r="E139">
        <f>HYPERLINK("https://www.indeed.com/viewjob?jk=baff18e03192e124", "https://www.indeed.com/viewjob?jk=baff18e03192e124")</f>
        <v/>
      </c>
      <c r="F139">
        <f>HYPERLINK("https://careers.google.com/jobs/results/112144142431068870-ai-engineer/", "https://careers.google.com/jobs/results/112144142431068870-ai-engineer/")</f>
        <v/>
      </c>
      <c r="G139" t="inlineStr">
        <is>
          <t>Boulder, CO, US</t>
        </is>
      </c>
      <c r="H139" s="2" t="n">
        <v>46084</v>
      </c>
      <c r="I139" t="inlineStr">
        <is>
          <t>The application window will be open until at least March 11,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**Minimum qualifications:**
* Bachelor's degree in Computer Science, or equivalent practical experience.
* 8 years of experience building machine learning solutions and working with technical customers.
* Experience designing cloud enterprise solutions and supporting customer projects to completion.
* Experience coding in one or more general purpose languages (e.g., Python, Java, Go, C or C\+\+) including data structures, algorithms, and software design.
### **Preferred qualifications:**
* Experience working with recommendation engines, data pipelines, or distributed machine learning.
* Experience with deep learning frameworks (e.g., TensorFlow, PyTorch, XGBoost).
* Understanding of the auxiliary practical concerns in production machine learning systems.
* Knowledge of data warehousing concepts, including data warehouse technical architectures, infrastructure components, ETL/ELT and reporting/analytic tools and environments (e.g., Apache Beam, Hadoop, Spark, Pig, Hive, MapReduce, Flume).
**About the job**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trusted technical advisor to customers and solve complex machine learning challenges.
* Coach customers on the practical challenges in machine learning systems such as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0">
      <c r="A140" t="inlineStr">
        <is>
          <t>in-2cb5a021612cfa55</t>
        </is>
      </c>
      <c r="B140" t="inlineStr">
        <is>
          <t>AI Engineer, Professional Services, Google Cloud</t>
        </is>
      </c>
      <c r="C140" t="inlineStr">
        <is>
          <t>Google</t>
        </is>
      </c>
      <c r="D140" t="inlineStr">
        <is>
          <t>indeed</t>
        </is>
      </c>
      <c r="E140">
        <f>HYPERLINK("https://www.indeed.com/viewjob?jk=2cb5a021612cfa55", "https://www.indeed.com/viewjob?jk=2cb5a021612cfa55")</f>
        <v/>
      </c>
      <c r="F140">
        <f>HYPERLINK("https://careers.google.com/jobs/results/112144142431068870-ai-engineer/", "https://careers.google.com/jobs/results/112144142431068870-ai-engineer/")</f>
        <v/>
      </c>
      <c r="G140" t="inlineStr">
        <is>
          <t>Atlanta, GA, US</t>
        </is>
      </c>
      <c r="H140" s="2" t="n">
        <v>46084</v>
      </c>
      <c r="I140" t="inlineStr">
        <is>
          <t>The application window will be open until at least March 11,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**Minimum qualifications:**
* Bachelor's degree in Computer Science, or equivalent practical experience.
* 8 years of experience building machine learning solutions and working with technical customers.
* Experience designing cloud enterprise solutions and supporting customer projects to completion.
* Experience coding in one or more general purpose languages (e.g., Python, Java, Go, C or C\+\+) including data structures, algorithms, and software design.
### **Preferred qualifications:**
* Experience working with recommendation engines, data pipelines, or distributed machine learning.
* Experience with deep learning frameworks (e.g., TensorFlow, PyTorch, XGBoost).
* Understanding of the auxiliary practical concerns in production machine learning systems.
* Knowledge of data warehousing concepts, including data warehouse technical architectures, infrastructure components, ETL/ELT and reporting/analytic tools and environments (e.g., Apache Beam, Hadoop, Spark, Pig, Hive, MapReduce, Flume).
**About the job**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trusted technical advisor to customers and solve complex machine learning challenges.
* Coach customers on the practical challenges in machine learning systems such as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1">
      <c r="A141" t="inlineStr">
        <is>
          <t>in-0b20ddce1b470ce3</t>
        </is>
      </c>
      <c r="B141" t="inlineStr">
        <is>
          <t>AI Engineers (3 Levels)</t>
        </is>
      </c>
      <c r="C141" t="inlineStr">
        <is>
          <t>General Dynamics Information Technology</t>
        </is>
      </c>
      <c r="D141" t="inlineStr">
        <is>
          <t>indeed</t>
        </is>
      </c>
      <c r="E141">
        <f>HYPERLINK("https://www.indeed.com/viewjob?jk=0b20ddce1b470ce3", "https://www.indeed.com/viewjob?jk=0b20ddce1b470ce3")</f>
        <v/>
      </c>
      <c r="F141">
        <f>HYPERLINK("https://www.gdit.com/careers/job/151aa7923/ai-engineers-3-levels", "https://www.gdit.com/careers/job/151aa7923/ai-engineers-3-levels")</f>
        <v/>
      </c>
      <c r="G141" t="inlineStr">
        <is>
          <t>IN, US</t>
        </is>
      </c>
      <c r="H141" s="2" t="n">
        <v>46084</v>
      </c>
      <c r="I141" t="inlineStr">
        <is>
          <t>Your Impact
Own your opportunity to work alongside federal civilian agencies. Make an impact by providing services that help the government ensure the well being and support of U.S. citizens.
Job Description
Own your opportunity to turn data into measurable outcomes for our customers’ most complex challenges. As an AI Engineer. Here, you’ll see the bigger picture on mission initiatives and where your program management career can go at GDIT.
This is a Pipeline requisition opened in preparation for 3 levels of experienced AI Engineers. Positions to become available in the coming weeks.  
MEANINGFUL WORK AND PERSONAL IMPACT  
As an AI Engineer, the work you’ll do at GDIT will be impactful to the mission of USPS. You will play a crucial role in optimizing the business functions at USPS.
The integration of AI technologies is essential to streamline these processes and provide data\-driven insights. The ideal candidate will be responsible for developing and advancing AI capabilities that support the USPS mission, with a focus on identifying opportunities to integrate AI across business processes and implementing solutions based on those findings. This includes automating requirements and test case preparation using tools such as Visual Studio Code, Python, Copilot AI, and other Postal Service–approved technologies. The candidate must bring strong technical expertise, a collaborative approach, and the ability to communicate effectively with stakeholders to ensure AI solutions are practical, mission‑aligned, and successfully adopted.
WHAT YOU’LL NEED TO SUCCEED  
Bring your expertise and drive for innovation to GDIT.
The AI Engineer must have:  
Education:
* Bachelor’s degree in a relevant field from an accredited College/University is preferred.
* Alternative Path: If the candidate does not possess a relevant four\-year degree, an additional four years of relevant work experience will be required.
Required Experience:
* Looking for 3 different levels of experience:
	+ 0\-2 years of specialized AI development experience in technology or software development using Visual Studio, Crew AI, Co\-Pilot, etc.
	+ 3\-7 years of specialized AI development experience in technology or software development using Visual Studio, Crew AI, Co\-Pilot, etc.
	+ 8\+ years of specialized AI development experience in technology or software development using Visual Studio, Crew AI, Co\-Pilot, etc.
* Proven experience leading or contributing to AI/Automation projects in a professional capacity.
* Hands\-on experience in Analytics Support and/or a leadership role is highly desirable.
Required Technical Skills:
* Demonstrated expertise in developing solutions using Visual Studio Code, Python, and other programming languages to harness generative AI and large language models (LLMs).
* Strong knowledge of AI\-related technologies, frameworks, and their integration into enterprise systems.
* Develop AI tool/program to create technical requirements by leveraging current and past business user stories.
* Integrate the existing test automation framework with AI solutions.
* Ensure all AI scripts and programs are fully executable on postal laptops.
* Train designated team members to execute and maintain AI scripts and programs.
Preferred Skills:
* Strong analytical thinking skills and ability to develop creative solutions to complex technical challenges.
* Effective communication skills with the ability to articulate complex technical information to non\-technical stakeholders.
* Demonstrated ability to work in a collaborative team environment with cross\-functional stakeholders.
* Track record of delivering successful AI\-enhanced projects for enterprise systems.
Security Clearance Level: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Remote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\#zxc726 \#AIEngineer
Work Requirements
Years of Experience
2 \+ years of related experience* may vary based on technical training, certification(s), *or* degree
Certification
Travel Required
Less than 10%
Salary and Benefit Information
The likely salary range for this position is $111,155 \- $150,385\.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42">
      <c r="A142" t="inlineStr">
        <is>
          <t>in-4032722a55b1f985</t>
        </is>
      </c>
      <c r="B142" t="inlineStr">
        <is>
          <t>Senior AI/ML Engineer - Clearance Required</t>
        </is>
      </c>
      <c r="C142" t="inlineStr">
        <is>
          <t>Lockheed Martin</t>
        </is>
      </c>
      <c r="D142" t="inlineStr">
        <is>
          <t>indeed</t>
        </is>
      </c>
      <c r="E142">
        <f>HYPERLINK("https://www.indeed.com/viewjob?jk=4032722a55b1f985", "https://www.indeed.com/viewjob?jk=4032722a55b1f985")</f>
        <v/>
      </c>
      <c r="F142">
        <f>HYPERLINK("https://click.appcast.io/t/jLgI3z4llppbumLtixfULMGXY62BJEeiOSCxdDLayKo=", "https://click.appcast.io/t/jLgI3z4llppbumLtixfULMGXY62BJEeiOSCxdDLayKo=")</f>
        <v/>
      </c>
      <c r="G142" t="inlineStr">
        <is>
          <t>Fort Belvoir, VA, US</t>
        </is>
      </c>
      <c r="H142" s="2" t="n">
        <v>46084</v>
      </c>
      <c r="I142" t="inlineStr">
        <is>
          <t>**Job ID:** 719479BR
**Date posted:** Mar. 04, 2026  
**Description:**By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Ft. Belvoir, VA is seeking a highly skilled AI/ML Engineer to join a cross\-functional team of experts in research, data science, software development, physics, and mathematics. As a key member of this team, you will leverage cutting\-edge AI/ML tools and techniques to tackle the most complex challenges in Space \- all in support of our national security.  
This role offers a unique opportunity to collaborate with a diverse group of professionals, drive innovation, and contribute to the development of solutions that address critical problems in the Space domain.  
The successful candidate will have advanced experience with and/or knowledge of: AI/ML, Deep Learning, or Computer Vision, modern software development practices/languages, and a passion for math and science.  
**Basic Qualifications:**  
* Bachelor's degree in a STEM discipline (e.g. Electrical Engineering, Computer Science, Computer Engineering, Mathematics, Physics) or equivalent combination of education, training, and experience in a related technical field.
* Advanced experience in Artificial Intelligence, Machine Learning, Deep Learning, Computer Vision, or Image Processing
* Experience with modern software development tools and practices
* TS/SCI w/poly clearance required to start
**Desired Skills:**  
* Advanced degree in a STEM discipline
* Proficiency in one or more of the following programming languages: Python, Java, C\+\+, C\#, or MATLAB
* Experience with TensorFlow, PyTorch, Keras, or Scikit\-learn
* Experience with RF, SAR or EO image processing algorithms/techniques
* Experience with AWS or another cloud computing platform
* Excellent written and verbal communication skills
* Ability to work in a collaborative and team\-based environment
\#LMSpaceAI  
**Security Clearance Statement:** This position requires a government security clearance, you must be a US Citizen for consideration.  
**Clearance Level:** TS/SCI w/Poly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  
**Business Unit:** SPACE  
**Relocation Available:** Possible  
**Career Area:** Artificial Intelligence  
**Type:** Full\-Time  
**Shift:** First</t>
        </is>
      </c>
    </row>
    <row r="143">
      <c r="A143" t="inlineStr">
        <is>
          <t>in-c82aa4dda525241f</t>
        </is>
      </c>
      <c r="B143" t="inlineStr">
        <is>
          <t>Senior Applied Machine Learning Engineer - Detect</t>
        </is>
      </c>
      <c r="C143" t="inlineStr">
        <is>
          <t>Sage Publication</t>
        </is>
      </c>
      <c r="D143" t="inlineStr">
        <is>
          <t>indeed</t>
        </is>
      </c>
      <c r="E143">
        <f>HYPERLINK("https://www.indeed.com/viewjob?jk=c82aa4dda525241f", "https://www.indeed.com/viewjob?jk=c82aa4dda525241f")</f>
        <v/>
      </c>
      <c r="F143">
        <f>HYPERLINK("https://grnh.se/to2ut5v84us", "https://grnh.se/to2ut5v84us")</f>
        <v/>
      </c>
      <c r="G143" t="inlineStr">
        <is>
          <t>New York, NY, US</t>
        </is>
      </c>
      <c r="H143" s="2" t="n">
        <v>46084</v>
      </c>
      <c r="I143" t="inlineStr">
        <is>
          <t>Sage is on a mission to improve care and quality of life for older adults, starting with those residing in senior living facilities. Falls are the leading cause of injury\-related death among adults over 65\. And yet, fall prevention and emergency response systems for older adults are archaic and ineffective. At Sage we've built a more modern way of understanding when older adults need help, including methods for residents to alert caregivers when in need of help, and corresponding software for caregivers to triage response. Our company mission is to create a product that our client counterparts love, and this role is a key part of that objective.
Sage is a small, tight team of ambitious, multi\-disciplinary entrepreneurs. We are a software\-enabled, mission\-driven company, and are focused only on the problems that are central to achieving that mission. At Sage, we work hard and fast but also know that to build a truly important company, we need to treat our work as a marathon, and not a sprint. The journey matters.
### **About this Role**
As a Senior Applied Machine Learning Engineer on the Detect team, you'll own the end\-to\-end lifecycle of the AI models that power our camera\-based detection system — from data collection and labeling through training, evaluation, and production deployment. Today, Detect uses frontier multi\-modal vision models to analyze video streams and detect falls in real time. Your job is to make these models dramatically better and more capable.
You'll take ownership of our ML experimentation platform and infrastructure, maturing it into a robust system that enables the team to rapidly iterate on model quality at scale. You'll design repeatable fine\-tuning pipelines that allow models to continuously improve with new production data, and expand the system's detection capabilities beyond falls into new behavioral categories. This is a hands\-on, high\-autonomy role where you'll directly impact the accuracy of a life\-saving system used every day by caregivers across the country.
### **Responsibilities**
* Own and evolve our ML experimentation platform, maturing existing infrastructure into a production\-grade system the team relies on daily
* Build data pipelines for collecting, labeling, and preparing production video and image data for model training
* Design repeatable fine\-tuning and evaluation pipelines that enable rapid experimentation and measure model performance at scale
* Improve detection accuracy and reduce false positives through prompt engineering, model fine\-tuning, and novel inference strategies
* Expand detection capabilities into new behavioral categories
* Work closely with the backend engineering team to integrate model improvements into the real\-time video processing pipeline
### **Minimum Qualifications**
* 5\+ years of professional software engineering experience
* Experience training, fine\-tuning, or improving ML/AI models in a production setting
* Strong understanding of model evaluation methodology and experiment tracking
* Proficiency in Python or TypeScript
### **Preferred Qualifications**
* Experience with cloud AI platforms (Google Vertex AI, AWS SageMaker, or similar)
* Experience fine\-tuning multi\-modal models (VLMs) or large language models (LLMs)
* Familiarity with Kotlin, Java, or similar JVM languages
* Background in computer vision, video processing, or working with image/video data at scale
* Experience building internal ML tooling (labeling, experiment tracking, evaluation)
* Experience maturing early\-stage internal tools into production\-grade systems
* Full\-stack capability with TypeScript/React for building internal tool UIs
### **Benefits and Pay**
Our headquarters are located in New York City's Union Square. We believe in cross team collaboration. We think good ideas can come from anyone, and we've designed our processes to encourage participation from all. While we take our mission seriously, we don't take ourselves too seriously. We like to host offsites, outings, and team meals where we can connect as people, not just as colleagues. We offer office lunch and a fully stocked snack bar. While we are an in office culture, we allow up to 2 remote days per week.
Our benefits package for employees includes competitive base compensation along with stock options. The expected annual salary range for this role is **$180,000 \- $210,000** USD, depending upon the job level, which will depend on your level of expertise, your experience, and your qualifications. We also provide fully\-paid health and dental insurance coverage for all of our employees, along with other health benefits including vision insurance, membership to premium primary and urgent care, and online medical health providers. We also have a take as you need time off policy, in addition to 7 paid holidays and a company wide winter break during the holidays.
### **EEO Statement**
Sage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Sage makes hiring decisions based solely on qualifications, merit, and business needs at the time.</t>
        </is>
      </c>
    </row>
    <row r="144">
      <c r="A144" t="inlineStr">
        <is>
          <t>in-5fd3cfd1022f1a0e</t>
        </is>
      </c>
      <c r="B144" t="inlineStr">
        <is>
          <t>Global AI Engineer</t>
        </is>
      </c>
      <c r="C144" t="inlineStr">
        <is>
          <t>PCI Pharma Services</t>
        </is>
      </c>
      <c r="D144" t="inlineStr">
        <is>
          <t>indeed</t>
        </is>
      </c>
      <c r="E144">
        <f>HYPERLINK("https://www.indeed.com/viewjob?jk=5fd3cfd1022f1a0e", "https://www.indeed.com/viewjob?jk=5fd3cfd1022f1a0e")</f>
        <v/>
      </c>
      <c r="F144">
        <f>HYPERLINK("https://pciservices.wd1.myworkdayjobs.com/en-US/External/job/Rockford-IL-USA/Global-AI-Engineer_JR116930-1", "https://pciservices.wd1.myworkdayjobs.com/en-US/External/job/Rockford-IL-USA/Global-AI-Engineer_JR116930-1")</f>
        <v/>
      </c>
      <c r="G144" t="inlineStr">
        <is>
          <t>Rockford, IL, US</t>
        </is>
      </c>
      <c r="H144" s="2" t="n">
        <v>46084</v>
      </c>
      <c r="I144" t="inlineStr">
        <is>
          <t>Life changing therapies. Global impact. Bridge to thousands of biopharma companies and their patients.  
We are PCI.  
Our investment is in People who make an impact, drive progress and create a better tomorrow. Our strategy includes building teams across our global network to pioneer and shape the future of PCI.  
Summary of Objective:
The AI Engineer will be responsible for developing, implementing, and maintaining AI\-driven solutions to enhance the efficiency, accuracy, and scalability of our pharmaceutical packaging operations. This role will involve collaborating with cross\-functional teams, including operations, quality assurance, and regulatory compliance, to integrate AI technologies into our workflows. The ideal candidate will have a strong background in AI/ML, experience in regulated industries, and a passion for leveraging technology to solve complex operational challenges.  
Essential Duties and Responsibilities: To perform this job successfully, an individual must be able to perform each essential duty satisfactorily. The essential duties and responsibilities include the following but other duties may be assigned.* Design and Develop AI/ML models to optimize packaging processes, such as automated quality control, defect detection, inventory management, and predictive maintenance for packaging equipment.
* Design AI tools for real\-time monitoring of production lines to ensure compliance with Good Manufacturing Practices (GMP) and other regulatory standards.
* Create algorithms to improve demand forecasting, supply chain logistics, and resource allocation.
* Deployment and Integration of AI models into production environments, ensuring seamless integration with existing packaging systems, IoT devices, and enterprise software.
* Collaborate with IT and engineering teams to integrate AI solutions with manufacturing execution systems (MES) and enterprise resource planning (ERP) platforms.
* Ensure scalability and robustness of AI tools to handle high\-throughput packaging operations.
* Maintenance and Optimization \- Monitor and maintain AI systems to ensure consistent performance, reliability, and compliance with pharmaceutical regulations (e.g., FDA, EMA).
* Continuously improve AI models by analyzing performance metrics, retraining models with new data, and incorporating feedback from operations teams.
* Troubleshoot and resolve issues related to AI tool performance or integration.
* Collaboration and Compliance \- Work closely with quality assurance and regulatory teams to ensure AI solutions meet stringent industry standards and validation requirements
* Partner with operations teams to identify pain points and opportunities for AI\-driven process improvements.
* Document AI system designs, processes, and validation protocols to support audits and regulatory submissions.
* Innovation and Research \- Stay updated on advancements in AI/ML, particularly in applications for manufacturing and pharmaceuticals.
* Explore emerging technologies (e.g., computer vision, NLP, reinforcement learning) to enhance packaging operations.
* Propose and prototype new AI\-driven solutions to address evolving business needs.
* Knowledge of and adherence to all PCI, cGMP, and GCP policies, procedures, rules.
* Performs job duties as assigned by Manager/Supervisor.
Supervisory Responsibilities: Carries out supervisory responsibilities in accordance with the organizations policies and applicable laws. Responsibilities include interviewing, hiring, and training employees; planning, assigning, and directing work; appraising performance; rewarding and disciplining employees; addressing complaints and resolving problems. Independent and creative engineer, strong innovation and problem solving skills, no direct personnel supervision. Liaisons with key stakeholders across the organization to realize successful outcomes.  
Qualifications: The requirements listed below are representative of the knowledge, skill, and/or ability required for the stated position. Reasonable accommodations may be made to enable individuals with disabilities to perform the essential functions.  
Required:* Bachelor’s or Master’s degree in Computer Science, Data Science, Artificial Intelligence, Machine Learning, or a related field. A PhD is a plus.
* Up to 3\+ years of experience in designing, developing, and deploying AI/ML models in a production environment.
* Technical Skills \- Proficiency in Python, R, or similar programming languages for AI/ML development.
* Experience with ML frameworks and libraries (e.g., TensorFlow, PyTorch, Scikit\-learn).
* Knowledge of computer vision, time\-series analysis, or predictive modelling techniques.
* Familiarity with cloud platforms (e.g., AWS, Azure, GCP) for model deployment and scaling.
* Understanding of IoT, MES, or ERP systems integration.
* Experience with data pipelines, ETL processes, and big data tools (e.g., Hadoop, Spark) is a plus Extensive experience of structured problem solving and troubleshooting techniques.
* Advanced Computer Skills: Ability to perform the most complex computer tasks and operate various computer programs.
* Full Professional Proficiency: Ability to speak, read, and write fluently and accurately on all levels pertinent to professional needs.
* Highest Reasoning Ability: Ability to apply principles of logical or scientific thinking to a wide range of intellectual and practical problems and deal with nonverbal symbolism in its most difficult phases while dealing with concrete/abstract variables.
* Ability to Travel
* Strong analytical and decision\-making skills
* Exceptional time management, organizational, and negotiation skills
* Excellent communication skills, written, verbal and strong presentation skills. Ability to motivate and lead teams by influence.
* Able to translate customer feedback into meaningful product solutions, is a self\-motivated multitasker with high attention to detail.
Preferred:* Certifications: Relevant certifications in AI/ML, cloud platforms, or pharmaceutical regulations.
* Work in experience in pharmaceutical, medical device, or related life sciences.
* Knowledge of GAMP5, ISO 11040, and ISO 11608 standards
* Familiarity with pharmaceutical packaging processes, GMP, or regulatory compliance is a plus.
 *The hiring range for this position is $77,600 to $101,850 annually* *plus eligibility for an annual performance bonus. Final offer amounts are determined by multiple factors including but not limited to specific and relevant experience, education, credentials, geography, and subject matter expertise. PCI offers full\-time employees a competitive benefits package that includes paid time off, health insurance coverage (including dental and vision), flexible spending account, and 401(k).*
\#LI\-MC1
Join us and be part of building the bridge between life changing therapies and patients. Let’s talk future
Equal Employment Opportunity (EEO) Statement:  
*PCI Pharma Services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status.**At PCI, Equity and Inclusion are at the core of our company’s purpose: Together, delivering life\-changing therapies. We are committed to cultivating an inclusive workplace by holding ourselves accountable to the highest standards of understanding, fairness, respect, and equal opportunity – at every level. We envision a PCI community where everyone can belong and grow, and we strive to bring this vision to reality by continuously and intentionally assessing our people practices, policies and programs, marketing approach, and workplace culture.*</t>
        </is>
      </c>
    </row>
    <row r="145">
      <c r="A145" t="inlineStr">
        <is>
          <t>in-da1a3d1f0d9086c0</t>
        </is>
      </c>
      <c r="B145" t="inlineStr">
        <is>
          <t>ML Engineer, GO-AI Technology &amp; Development Team</t>
        </is>
      </c>
      <c r="C145" t="inlineStr">
        <is>
          <t>Amazon.com</t>
        </is>
      </c>
      <c r="D145" t="inlineStr">
        <is>
          <t>indeed</t>
        </is>
      </c>
      <c r="E145">
        <f>HYPERLINK("https://www.indeed.com/viewjob?jk=da1a3d1f0d9086c0", "https://www.indeed.com/viewjob?jk=da1a3d1f0d9086c0")</f>
        <v/>
      </c>
      <c r="F145">
        <f>HYPERLINK("https://www.amazon.jobs/jobs/3173298/ml-engineer-goai-technology--development-team?cmpid=DA_INAD200785B", "https://www.amazon.jobs/jobs/3173298/ml-engineer-goai-technology--development-team?cmpid=DA_INAD200785B")</f>
        <v/>
      </c>
      <c r="G145" t="inlineStr">
        <is>
          <t>Seattle, WA, US</t>
        </is>
      </c>
      <c r="H145" s="2" t="n">
        <v>45998</v>
      </c>
      <c r="I14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6">
      <c r="A146" t="inlineStr">
        <is>
          <t>in-9ddd218a6b525c27</t>
        </is>
      </c>
      <c r="B146" t="inlineStr">
        <is>
          <t>ML Engineer, GO-AI Technology &amp; Development Team</t>
        </is>
      </c>
      <c r="C146" t="inlineStr">
        <is>
          <t>Amazon.com</t>
        </is>
      </c>
      <c r="D146" t="inlineStr">
        <is>
          <t>indeed</t>
        </is>
      </c>
      <c r="E146">
        <f>HYPERLINK("https://www.indeed.com/viewjob?jk=9ddd218a6b525c27", "https://www.indeed.com/viewjob?jk=9ddd218a6b525c27")</f>
        <v/>
      </c>
      <c r="F146">
        <f>HYPERLINK("https://www.amazon.jobs/jobs/3173298/ml-engineer-goai-technology--development-team?cmpid=DA_INAD200785B", "https://www.amazon.jobs/jobs/3173298/ml-engineer-goai-technology--development-team?cmpid=DA_INAD200785B")</f>
        <v/>
      </c>
      <c r="G146" t="inlineStr">
        <is>
          <t>Boston, MA, US</t>
        </is>
      </c>
      <c r="H146" s="2" t="n">
        <v>45998</v>
      </c>
      <c r="I14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7">
      <c r="A147" t="inlineStr">
        <is>
          <t>in-50c0b743c547a493</t>
        </is>
      </c>
      <c r="B147" t="inlineStr">
        <is>
          <t>ML Engineer, GO-AI Technology &amp; Development Team</t>
        </is>
      </c>
      <c r="C147" t="inlineStr">
        <is>
          <t>Amazon.com</t>
        </is>
      </c>
      <c r="D147" t="inlineStr">
        <is>
          <t>indeed</t>
        </is>
      </c>
      <c r="E147">
        <f>HYPERLINK("https://www.indeed.com/viewjob?jk=50c0b743c547a493", "https://www.indeed.com/viewjob?jk=50c0b743c547a493")</f>
        <v/>
      </c>
      <c r="F147">
        <f>HYPERLINK("https://www.amazon.jobs/jobs/3173298/ml-engineer-goai-technology--development-team?cmpid=DA_INAD200785B", "https://www.amazon.jobs/jobs/3173298/ml-engineer-goai-technology--development-team?cmpid=DA_INAD200785B")</f>
        <v/>
      </c>
      <c r="G147" t="inlineStr">
        <is>
          <t>Reading, MA, US</t>
        </is>
      </c>
      <c r="H147" s="2" t="n">
        <v>45998</v>
      </c>
      <c r="I14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48">
      <c r="A148" t="inlineStr">
        <is>
          <t>in-2829cb6ab6d6c07a</t>
        </is>
      </c>
      <c r="B148" t="inlineStr">
        <is>
          <t>ML Engineer, GO-AI Technology &amp; Development Team</t>
        </is>
      </c>
      <c r="C148" t="inlineStr">
        <is>
          <t>Amazon.com</t>
        </is>
      </c>
      <c r="D148" t="inlineStr">
        <is>
          <t>indeed</t>
        </is>
      </c>
      <c r="E148">
        <f>HYPERLINK("https://www.indeed.com/viewjob?jk=2829cb6ab6d6c07a", "https://www.indeed.com/viewjob?jk=2829cb6ab6d6c07a")</f>
        <v/>
      </c>
      <c r="F148">
        <f>HYPERLINK("https://www.amazon.jobs/jobs/3173298/ml-engineer-goai-technology--development-team?cmpid=DA_INAD200785B", "https://www.amazon.jobs/jobs/3173298/ml-engineer-goai-technology--development-team?cmpid=DA_INAD200785B")</f>
        <v/>
      </c>
      <c r="G148" t="inlineStr">
        <is>
          <t>Westborough, MA, US</t>
        </is>
      </c>
      <c r="H148" s="2" t="n">
        <v>45998</v>
      </c>
      <c r="I14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li-4380905517</t>
        </is>
      </c>
      <c r="B2" t="inlineStr">
        <is>
          <t>Senior Applied Scientist</t>
        </is>
      </c>
      <c r="C2" t="inlineStr">
        <is>
          <t>QXO</t>
        </is>
      </c>
      <c r="D2" t="inlineStr">
        <is>
          <t>linkedin</t>
        </is>
      </c>
      <c r="E2" t="inlineStr"/>
      <c r="F2" t="inlineStr"/>
      <c r="G2" t="inlineStr">
        <is>
          <t>Seattle, WA</t>
        </is>
      </c>
      <c r="H2" t="inlineStr"/>
      <c r="I2"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3">
      <c r="A3" t="inlineStr">
        <is>
          <t>li-4343924466</t>
        </is>
      </c>
      <c r="B3" t="inlineStr">
        <is>
          <t>Senior Applied Scientist</t>
        </is>
      </c>
      <c r="C3" t="inlineStr">
        <is>
          <t>Microsoft</t>
        </is>
      </c>
      <c r="D3" t="inlineStr">
        <is>
          <t>linkedin</t>
        </is>
      </c>
      <c r="E3" t="inlineStr"/>
      <c r="F3" t="inlineStr"/>
      <c r="G3" t="inlineStr">
        <is>
          <t>Mountain View, CA</t>
        </is>
      </c>
      <c r="H3" t="inlineStr"/>
      <c r="I3" t="inlineStr">
        <is>
          <t>**Overview**
 Microsoft is innovating rapidly in the advertising space to grow its share of this market by providing the ad industry with the state\-of\-the\-art online advertising platform and service and Microsoft's advertising team is at the core of this effort.
 In this role, the Senior Applied Scientist will design and implement state\-of\-the\-art machine learning models and algorithms that power key systems within Microsoft Ads, Microsoft Audience Network, Copilot, and beyond. Your work will directly impact millions of users and advertisers by delivering scalable solutions that enhance ad relevance and optimize user experiences.
 We are hiring for multiple Senior Applied Scientist roles on Microsoft Advertising team for the following team:
**Signals Modeling Team**
 (This role is available in Mountain View, CA, or Redmond, WA)
 The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The role for this team is focused on building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Develop and deploy cutting\-edge machine learning models, including transformers, generative AI, and reinforcement learning, to optimize user interactions and ad relevance across Microsoft Ads and Copilot.
* Design scalable algorithms for online and offline systems, delivering innovative solutions for content selection, user engagement modeling, and ad generation.
* Drive experimentation through A/B testing and offline validation to evaluate model performance and refine user behavior predictions.
* Build robust data pipelines and frameworks for handling large\-scale, high\-dimensional datasets to support advanced AI applications.
* Stay at the forefront of AI research, incorporating the latest advancements to drive innovation and impact across Microsoft platforms.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Proven experience in programming and data analysis skills
* 2\+ years of experience in developing and deploying large\-scale machine learning models..
* Proven expertise in the areas of Generative AI, deep learning, or transformers.
* 2\+ years of experience in reinforcement learning and contextual bandits.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
      <c r="A4" t="inlineStr">
        <is>
          <t>li-4371242292</t>
        </is>
      </c>
      <c r="B4" t="inlineStr">
        <is>
          <t>Applied Scientist Gen AI - Amazon Advertising, CreativeX</t>
        </is>
      </c>
      <c r="C4" t="inlineStr">
        <is>
          <t>Amazon</t>
        </is>
      </c>
      <c r="D4" t="inlineStr">
        <is>
          <t>linkedin</t>
        </is>
      </c>
      <c r="E4" t="inlineStr"/>
      <c r="F4" t="inlineStr"/>
      <c r="G4" t="inlineStr">
        <is>
          <t>Seattle, WA</t>
        </is>
      </c>
      <c r="H4" t="inlineStr"/>
      <c r="I4" t="inlineStr">
        <is>
          <t>**Description**
 Amazon Advertising is one of Amazon's fastest growing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The Creative X team within Amazon Advertising time aims to democratize access to high\-quality creatives (audio, images, videos, text) by building AI\-driven solutions for advertisers. To accomplish this, we are investing in understanding how best users can leverage Generative AI methods such as latent\-diffusion models, large language models (LLM), generative audio (music and speech synthesis), computer vision (CV), reinforced learning (RL) and related.
 As an Applied Scientist you will be part of a close\-knit team of other applied scientists and product managers, UX and engineers who are highly collaborative and at the top of their respective fields.
 We are looking for talented Applied Scientists who are adept at a variety of skills, especially at the development and use of multi\-modal Generative AI and can use state\-of\-the\-art generative music and audio, computer vision, latent diffusion or related foundational models that will accelerate our plans to generate high\-quality creatives on behalf of advertisers. Every member of the team is expected to build customer (advertiser) facing features, contribute to the collaborative spirit within the team, publish, patent, and bring SOTA research to raise the bar within the team.
**As An Applied Scientist On This Team, You Will**
* Drive the invention and development of novel multi\-modal agentic architectures and models for the use of Generative AI methods in advertising.
* Work closely and integrate end\-to\-end proof\-of\-concept Machine Learning projects that have a high degree of ambiguity, scale and complexity.
* Build interface\-oriented systems that use Machine Learning models, perform proof\-of\-concept, experiment, optimize, and deploy your models into production; work closely with software engineers to assist in productionizing your ML models.
* Curate relevant multi\-modal datasets.
* Perform hands\-on analysis and modeling of experiments with human\-in\-the\-loop that eg increase traffic monetization and merchandise sales, without compromising the shopper experience.
* Run A/B experiments, gather data, and perform statistical analysis.
* Establish scalable, efficient, automated processes for large\-scale data analysis, machine\-learning model development, model validation and serving.
* Mentor and help recruit Applied Scientists to the team.
* Present results and explain methods to senior leadership.
* Willingness to publish research at internal and external top scientific venues.
* Write and pursue IP submissions.
 Key job responsibilities
 This role is focused on developing new multi\-modal Generative AI methods to augment generative imagery and videos. You will develop new multi\-modal paradigms, models, datasets and agentic architectures that will be at the core of advertising\-facing tools that we are launching. You may also work on development of ML and GenAI models suitable for advertising. You will conduct literature reviews to stay on the SOTA of the field. You will regularly engage with product managers, UX designers and engineers who will partner with you to productize your work.
 For reference see our products: Enhanced Video Generator, Creative Agent and Creative Studio.
 A day in the life
 On a day\-to\-day basis, you will be doing your independent research and work to develop models, you will participate in sprint planning, collaborative sessions with your peers, and demo new models and share results with peers, other partner teams and leadership.
**About The Team**
 The team is a dynamic team of applied scientists, UX researchers, engineers and product leaders. We reside in the Creative X organization, which focuses on creating products for advertisers that will improve the quality of the creatives within Amazon Ads.
 We are open to hiring candidates to work out of one of the following locations:
 UK (London), USA (Seattle).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USA, WA, Seattle \- 142,800\.00 \- 193,200\.00 USD annually
**Company** 
 \- Amazon.com Services LLC \- A57
 Job ID: A3178156</t>
        </is>
      </c>
    </row>
    <row r="5">
      <c r="A5" t="inlineStr">
        <is>
          <t>li-4371231730</t>
        </is>
      </c>
      <c r="B5" t="inlineStr">
        <is>
          <t>Applied Scientist, Console Science</t>
        </is>
      </c>
      <c r="C5" t="inlineStr">
        <is>
          <t>Amazon Web Services (AWS)</t>
        </is>
      </c>
      <c r="D5" t="inlineStr">
        <is>
          <t>linkedin</t>
        </is>
      </c>
      <c r="E5" t="inlineStr"/>
      <c r="F5" t="inlineStr"/>
      <c r="G5" t="inlineStr">
        <is>
          <t>Santa Clara, CA</t>
        </is>
      </c>
      <c r="H5" t="inlineStr"/>
      <c r="I5" t="inlineStr">
        <is>
          <t>**Description**
 We are looking for passionate, talented, and inventive Applied Scientists with a strong machine learning background to help build industry\-leading Conversational AI Systems. Our mission is to provide a delightful experience to Amazon’s customers by pushing the envelope in Natural Language Understanding (NLU), Dialog Systems including Generative AI with Large Language Models (LLMs) and Applied Machine Learning (ML).
 As part of our Science team in AWS Console, you will work alongside internationally recognized experts to develop novel algorithms and modeling techniques to advance the state\-of\-the\-art in human language technology. Your work will directly impact millions of our customers in the form of products and services that make use language technology. You will gain hands on experience with Amazon’s heterogeneous text, structured data sources, and large\-scale computing resources to accelerate advances in language understanding.
 We are hiring in all areas of human language technology: NLU, Dialog Management, Conversational AI, LLMs and Generative AI.
**About The Team**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\- 192,200\.00 \- 260,000\.00 USD annually
**Company** 
 \- Amazon Development Center U.S., Inc. \- B02
 Job ID: A3177929</t>
        </is>
      </c>
    </row>
    <row r="6">
      <c r="A6" t="inlineStr">
        <is>
          <t>li-3981027173</t>
        </is>
      </c>
      <c r="B6" t="inlineStr">
        <is>
          <t>Machine Learning Engineer, Monetization Engineering</t>
        </is>
      </c>
      <c r="C6" t="inlineStr">
        <is>
          <t>Pinterest</t>
        </is>
      </c>
      <c r="D6" t="inlineStr">
        <is>
          <t>linkedin</t>
        </is>
      </c>
      <c r="E6" t="inlineStr"/>
      <c r="F6" t="inlineStr"/>
      <c r="G6" t="inlineStr">
        <is>
          <t>Palo Alto, CA</t>
        </is>
      </c>
      <c r="H6" t="inlineStr"/>
      <c r="I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7">
      <c r="A7" t="inlineStr">
        <is>
          <t>li-4380946990</t>
        </is>
      </c>
      <c r="B7" t="inlineStr">
        <is>
          <t>Senior AI/ML Engineer</t>
        </is>
      </c>
      <c r="C7" t="inlineStr">
        <is>
          <t>Node.Digital LLC</t>
        </is>
      </c>
      <c r="D7" t="inlineStr">
        <is>
          <t>linkedin</t>
        </is>
      </c>
      <c r="E7" t="inlineStr"/>
      <c r="F7" t="inlineStr"/>
      <c r="G7" t="inlineStr">
        <is>
          <t>Herndon, VA</t>
        </is>
      </c>
      <c r="H7" t="inlineStr"/>
      <c r="I7"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8">
      <c r="A8" t="inlineStr">
        <is>
          <t>li-4370725718</t>
        </is>
      </c>
      <c r="B8" t="inlineStr">
        <is>
          <t>Machine Learning Engineer, AI for Chemistry project</t>
        </is>
      </c>
      <c r="C8" t="inlineStr">
        <is>
          <t>X, The Moonshot Factory</t>
        </is>
      </c>
      <c r="D8" t="inlineStr">
        <is>
          <t>linkedin</t>
        </is>
      </c>
      <c r="E8" t="inlineStr"/>
      <c r="F8" t="inlineStr"/>
      <c r="G8" t="inlineStr">
        <is>
          <t>Mountain View, CA</t>
        </is>
      </c>
      <c r="H8" t="inlineStr"/>
      <c r="I8" t="inlineStr">
        <is>
          <t>**About X, The Moonshot Factory**
 X is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X’s AI for chemistry moonshot, applying AI to supercharge processes related to the manufacturing of existing chemical compounds. We’re an agile team of experienced AI researchers, software engineers, and entrepreneurs working with partners and customers around the world. We’re looking for people who are passionate about working at the intersection of AI and science. You’ll be part of a fast\-paced team that has the agility and impact of an early stage company, while building on world\-class Google AI technology.
**About The Role**
 As a Machine Learning Engineer, you will be responsible for designing, developing, and deploying state\-of\-the\-art multi\-modal models. This role requires a deep passion for problem\-solving and experimentation, moving across the full range of applied machine learning tasks from initial prototyping to building full\-scale, robust solutions. While you will primarily focus on core product development, you will also serve as a critical bridge between cutting\-edge AI research and real\-world enterprise applications. You will be a key player in our mission to accelerate scientific discovery through machine learning.
**How You Will Have 10X Impact**
* Design and build end\-to\-end machine learning pipelines for training, evaluation, and deployment.
* Develop and fine\-tune sophisticated multi\-modal models using frameworks like PyTorch and libraries from the Hugging Face ecosystem.
* Leverage Google Cloud Platform (GCP) services to deploy and scale our ML models and infrastructure.
* Collaborate with cross\-functional teams of scientists and engineers to translate research ideas into production\-ready solutions.
* Stay current with the latest advancements in machine learning, particularly in multi\-modal learning and generative models.
**What You Should Have**
* Bachelor's or Master's degree in Computer Science, Engineering, or a related technical field.
* A foundational knowledge of organic chemistry concepts or experience working with chemical data (e.g., SMILES strings, molecular graphs).
* Proven experience building and training deep learning models using PyTorch and the Hugging Face library
* Demonstrated experience with Large Language Models (LLMs), multi\-modal models (e.g., Vision Language Models (VLMs)) and computer vision models (eg. OCR)
* Knowledge of Google Cloud Platform (GCP) and its core services for machine learning and data processing.
* Excellent programming skills in Python and a solid understanding of software engineering best practices.
* Experience with large\-scale data processing and database management (e.g., PostgreSQL, SQLAlchemy).
* Experience in start\-up or small team environments
**It’d Be Great If You Also Had These**
* Published research papers in relevant fields
* Hands\-on experience with MLOps principles and tools (e.g., Kubeflow, MLflow, Vertex AI Pipelines) and DevOps practices (e.g., CI/CD, Docker, Kubernetes, Terraform).
 The US base salary range for this full\-time position is $118,000 \- $162,000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9">
      <c r="A9" t="inlineStr">
        <is>
          <t>li-4379667124</t>
        </is>
      </c>
      <c r="B9" t="inlineStr">
        <is>
          <t>Principal AI/ML Engineer</t>
        </is>
      </c>
      <c r="C9" t="inlineStr">
        <is>
          <t>Pragmatike</t>
        </is>
      </c>
      <c r="D9" t="inlineStr">
        <is>
          <t>linkedin</t>
        </is>
      </c>
      <c r="E9" t="inlineStr"/>
      <c r="F9" t="inlineStr"/>
      <c r="G9" t="inlineStr">
        <is>
          <t>New York, United States</t>
        </is>
      </c>
      <c r="H9" t="inlineStr"/>
      <c r="I9"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 are seeking a
 **Staff / Principal ML Ops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Were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0">
      <c r="A10" t="inlineStr">
        <is>
          <t>li-4318928017</t>
        </is>
      </c>
      <c r="B10" t="inlineStr">
        <is>
          <t>Lead AI/ML Engineer</t>
        </is>
      </c>
      <c r="C10" t="inlineStr">
        <is>
          <t>GameStop</t>
        </is>
      </c>
      <c r="D10" t="inlineStr">
        <is>
          <t>linkedin</t>
        </is>
      </c>
      <c r="E10" t="inlineStr"/>
      <c r="F10" t="inlineStr"/>
      <c r="G10" t="inlineStr">
        <is>
          <t>Grapevine, TX</t>
        </is>
      </c>
      <c r="H10" t="inlineStr"/>
      <c r="I10" t="inlineStr">
        <is>
          <t>At GameStop, we are committed to providing exceptional service and delivering the latest and greatest in gaming products to our customers. As a leading global retailer of video games, electronics, and gaming merchandise, we take pride in offering a wide range of products that cater to the needs and desires of gamers worldwide. Our mission is to create unforgettable experiences for our customers by constantly pushing the boundaries of what's possible. Whether you're a hardcore gamer or just starting out, we've got something for everyone. Join us in our mission to shape the future of gaming and bring the best gaming products to the world!
 As part of our investment in technology, we are looking for a Lead AI/ML Engineer to play a key role in developing critical back\-end systems within our engineering ecosystem, specifically focused on systems related to payments, transactions, and customer rewards. This individual will have experience with dynamic pricing engines with multiple pricing sources. Expect to collaborate closely with engineering leadership and numerous other engineering teams throughout our tech organization to build out new systems.
 This position will sit onsite in Grapevine, TX 5 days per week.
**Responsibilities** 
* Help envision and set up a modern technology stack (cloud infrastructure, Kubernetes, service\-oriented architecture, etc.) to lay the foundation for robust system development.
* Design and implement high\-throughput data pipelines, integrating diverse sources (web crawls, market data, historical sales) with low\-latency processing.
* Lead the architecture, development, and deployment of cutting\-edge AI/ML models for real\-time, dynamic pricing.
* Work with a modern technology stack (cloud infrastructure, Kubernetes, service\-oriented architecture, etc.)
* Be an advocate for engineering best practices.
* Mentor and coach other engineers.
**Requirements** 
* 9\+ years of software development experience.
* Hands on experience with dynamic pricing engines with multiple real time price sources.
* Hands on experience with systems requiring real time web scraping from various sources.
* Strong experience as an owner of major technical projects.
* Eagerness to solve complex technical problems.
* Strong interpersonal and communication skills.
* Desire to work in a fast\-paced environment.
* AWS, Kubernetes, CI/CD experience.
* Deep expertise in Java/Spring.
* Solid e\-Commerce and/or Retail technology experience.
*Full\-time store positions at GameStop are also eligible to participate in incentive programs, health benefits, paid time off, 401 (k), employee discount and a casual work environment. Positions at GameStop may also be eligible for a bonus and/or other incentives* 
 .</t>
        </is>
      </c>
    </row>
    <row r="11">
      <c r="A11" t="inlineStr">
        <is>
          <t>li-4378947728</t>
        </is>
      </c>
      <c r="B11" t="inlineStr">
        <is>
          <t>AI Engineer</t>
        </is>
      </c>
      <c r="C11" t="inlineStr">
        <is>
          <t>Robots &amp; Pencils</t>
        </is>
      </c>
      <c r="D11" t="inlineStr">
        <is>
          <t>linkedin</t>
        </is>
      </c>
      <c r="E11" t="inlineStr"/>
      <c r="F11" t="inlineStr"/>
      <c r="G11" t="inlineStr">
        <is>
          <t>Seattle, WA</t>
        </is>
      </c>
      <c r="H11" t="inlineStr"/>
      <c r="I11" t="inlineStr">
        <is>
          <t>Robots \&amp; Pencils is seeking an outcome oriented Forward Deployed Senior Software Engineer to partner with strategic clients on high\-impact agentic AI applications. You'll embed directly with customers throughout the product lifecycle, working hands\-on from design to production.
 As an FDSE, you'll serve as technical thought partner, actively coding and leveraging your software engineering experience across application ideation, development, delivery, and scaling. You'll work on\-site with clients, driving outcomes that maximize their business value.
**Key Responsibilities**
***Client Engagement \&amp; Solution Development***
* Embed with strategic clients as their technical partner for agentic AI applications.
* Build full\-stack prototypes and production features using Python and JavaScript.
* Evaluate and integrate LLMs and tooling for the task at hand \- e.g., AWS Bedrock, Anthropic Claude, OpenAI GPT models, LangGraph/LangChain, retrieval and tool\-use orchestration.
* Architect RAG systems, agent workflows, and conversational interfaces tailored to client needs.
* Own the path to production \- CI/CD, IaC, observability, cost/performance tuning, SLIs/SLOs, and incident response.
* Iterate rapidly based on client feedback and business requirements, translate business goals into technical plans that accelerate time to value.
***Outcome Ownership \&amp; Business Impact***
* Own end\-to\-end delivery from initial concept to production deployment
* Identify opportunities to maximize client business value through agentic AI capabilities
* Provide strategic guidance on application architecture and implementation approaches
* Accelerate client time\-to\-value through hands\-on development and knowledge transfer
* Pick up missing knowledge and skills as needed to ensure project success
***Engineering Leadership \&amp; In\-Field Delivery Excellence***
* Lead complex, multi\-stakeholder initiatives on\-site and remotely; drive clarity, remove blockers, and keep execution on track.
* Set coding standards and architecture patterns in the client codebase; write clear docs, RFCs, and runbooks.
* Mentor client and partner engineers through reviews, pairing, and design sessions; raise the bar on quality and velocity.
* Make sound tradeoffs under real\-world constraints \- privacy, compliance, data residency, cost, and security.
* Align delivery with Robots \&amp; Pencils' responsible AI practices and client governance.
***Cross\-Functional Collaboration***
* Work with internal product, engineering, and customer success teams.
* Share client insights to drive platform improvements and feature priorities.
* Contribute reusable patterns, frameworks, and documentation back to core platform.
* Collaborate across time zones with distributed teams.
* Participate in pre\-sales technical discussions and solution scoping.
**Required Skills \&amp; Qualifications**
* Bachelor's degree in Computer Science, Engineering, or equivalent experience.
* 7\+ years of professional software development with significant ownership of architecture and delivery.
* 3\+ years of Python in ML/AI systems, including PyTorch or TensorFlow.
* 1\+ years building with Generative AI: LLM agents, prompt engineering, LangGraph, LangChain
* Hands\-on RAG experience \- semantic chunking, metadata enrichment, embeddings, retrieval quality, and latency/cost tuning.
* Experience with vector stores such as pgvector, Weaviate, or Chroma.
* Understanding of modern AI interoperability standards such as MCP (Model Context Protocol) and AI communication standards.
* Strong cloud and IaC (Terraform, CloudFormation) background \- AWS, Azure, or GCP \- plus containerization and distributed systems fundamentals.
* Strong AWS expertise: services, solid grasp of compute, networking, storage, security, and container platforms.
* Solid SDLC practices \- testing strategies, CI/CD, code reviews, observability, and incident management.
* Upper\-intermediate English for client communication.
* Experience leading complex technical projects with multiple stakeholders.
* Strong communication skills for technical and executive audiences.
* Ability to context\-switch and adapt to diverse client environments.
* Willingness to travel to client sites.
**Nice to Have**
* Knowledge of advanced RAG patterns \- Adaptive RAG, Agentic RAG, Self\-RAG \- and retrieval evaluation methods.
* Experience building agentic applications with LangGraph, LangChain, or AutoGen, familiarity with patterns and techniques such as ReAct (Reason \+ Act), Chain\-of\-Thought, and Tree\-of\-Thoughts.
* MLOps/AIOps exposure \- model deployment, lifecycle, governance, safety, red\-teaming, data/privacy controls, prompt/version management, offline and online evals using managed services and/or Docker/Kubernetes with MLOps best practices.
* Experience with LLM fine\-tuning techniques \- SFT, RLHF, DPO, PEFT, LoRA/QLoRA \- on hyperscalers' platforms like AWS SageMaker, Google Vertex AI, or Azure ML.
* Experience with production support and/or deployment on AWS, Azure, or GCP using modern CI/CD.
* Prior consulting or professional services experience.
**Personal Competencies**
* Accountability – Owns full client engagement cycle with quality, reliability, and attention to detail.
* Adaptability – Thrives in dynamic, fast\-paced client environments.
* Collaboration – Builds strong partnerships across teams and time zones.
* Execution\-Focused – Delivers maintainable, scalable solutions without overengineering.
* Innovation\-Minded – Brings curiosity and experimentation to technology decisions.
* Craftsmanship – Cares deeply about documentation and code quality, architecture, and user experience.
**Why Join Robots \&amp; Pencils?**
 We don't just ship features; we build digital\-first products that matter. As a Senior Forward Deploy Engineer, you'll join a team that values deep craft, cross\-functional collaboration, and relentless focus on quality. You'll work on impactful agentic AI applications using modern technologies, while influencing engineering culture and best practices across the organization.</t>
        </is>
      </c>
    </row>
    <row r="12">
      <c r="A12" t="inlineStr">
        <is>
          <t>li-4378953332</t>
        </is>
      </c>
      <c r="B12" t="inlineStr">
        <is>
          <t>Machine Learning Engineer</t>
        </is>
      </c>
      <c r="C12" t="inlineStr">
        <is>
          <t>Cubiq Recruitment</t>
        </is>
      </c>
      <c r="D12" t="inlineStr">
        <is>
          <t>linkedin</t>
        </is>
      </c>
      <c r="E12" t="inlineStr"/>
      <c r="F12" t="inlineStr"/>
      <c r="G12" t="inlineStr"/>
      <c r="H12" t="inlineStr"/>
      <c r="I12" t="inlineStr">
        <is>
          <t>I'm working with a pioneering robotics company developing household Robots
 The team is looking for a Machine Learning Engineer: World Models to develop video generation into controllable, large\-scale world models
**What You’ll Be Doing:** 
* Architect Neural Simulators: Design and train spatiotemporal models that move beyond short clips toward coherent, long\-form world simulations.
* Scale Training: Own the end\-to\-end training of multi\-billion parameter models on huge clusters.
* Own the Training Loop End\-to\-End: Design, run, debug, and iterate on large\-scale training experiments—diagnosing failure modes, improving data mixtures, and tightening evaluation to drive measurable gains.
**Requirements** 
* Very strong coding skills in Python, C\+\+, or Rust.
* Video Generation Expertise: Deep experience shipping/researching high\-fidelity video models.
* Architectural Intuition: Ability to design from scratch and reason about scaling laws and failure modes.
* Infrastructure Fluency: Comfortable managing and optimizing large\-scale experiments on massive GPU clusters.</t>
        </is>
      </c>
    </row>
    <row r="13">
      <c r="A13" t="inlineStr">
        <is>
          <t>li-4380943493</t>
        </is>
      </c>
      <c r="B13" t="inlineStr">
        <is>
          <t>Senior Generative AI Engineer</t>
        </is>
      </c>
      <c r="C13" t="inlineStr">
        <is>
          <t>OPENDataJobs</t>
        </is>
      </c>
      <c r="D13" t="inlineStr">
        <is>
          <t>linkedin</t>
        </is>
      </c>
      <c r="E13" t="inlineStr"/>
      <c r="F13" t="inlineStr"/>
      <c r="G13" t="inlineStr">
        <is>
          <t>Washington, DC</t>
        </is>
      </c>
      <c r="H13" t="inlineStr"/>
      <c r="I13" t="inlineStr">
        <is>
          <t>Our client is seeking a Senior Generative AI Engineer to drive internal initiatives and provide AI engineering support for a major federal agency. The role centers on developing cloud\-native generative AI solutions and intelligent data pipelines on AWS, spanning intelligent document processing, computer vision, and related AI / ML domains.
 The ideal candidate is energized and motivated with an extreme commitment to delivery and transformational change through the use of AI. They will think about generative AI in two dimensions: as a tool that makes them and their team dramatically faster, and as a core component of the intelligent systems they build. They understand that deploying an LLM inside a production workflow is a fundamentally different engineering challenge than using one to write a function, and they have done both. They take initiative without being asked and want ownership of the firm's trajectory, not just their deliverables.
 Our client is a Benefit corporation \- legally committed to creating measurable social value alongside business performance. They offer mission\-driven, technically challenging work on complex federal initiatives, paired with direct client access, real ownership of your work product, and a culture that rewards initiative.
**Responsibilities**
*Client Delivery:*
* Design and deploy production\-grade Agentic AI systems where LLMs serve as operational components to reason, explain, and make decisions within live workflows
* Architect intelligent pipelines combining classical tools (OCR, fuzzy matching, structured query) with LLM\-based validation, confidence scoring, fallback logic, and automated logging for auditability and continuous improvement
* Translate ambiguous mission requirements into well\-scoped AI system designs; apply prompt and context engineering, RAG, semantic search, and fine\-tuning as appropriate; leverage AWS services including Bedrock, Textract, Lambda, and Step Functions
* Use generative AI tooling to accelerate the full development lifecycle: requirements analysis, code generation, test coverage, documentation, and deployment scaffolding
* Document and quality\-assure all project work prior to client delivery; attend meetings with agency staff, vendors, and external stakeholders as needed
*Firm Development:*
* Lead or contribute to business development, internal tool\-building, mentorship, or publication to strengthen Peregrine's AI capabilities and market position
**Requirements**
*Core Technologies:*
* AWS Certification required: Certified AI Practitioner, or relevant AWS Associate, Specialist, or Professional\-level certification
* Hands\-on proficiency with AWS tools such as Amazon Bedrock, Textract, Step Functions, Lambda, Glue, CloudFormation, CDK, Cognito and related AWS services
* Python fluency including LangChain and AWS Strands; experience with vector databases and embedding workflows
* Experience with Model Context Protocol (MCP) to connect LLMs to external tools, APIs, and data sources; ability to design and implement MCP servers and clients in production architectures
* Advanced SQL, cloud\-native data pipeline management, and ETL workflows
*Domain Expertise \&amp; Professional Skills:*
* Expert knowledge of LLM behavior, confidence calibration, evaluation, and responsible AI principles. Knowledge includes explainability, auditability, and governance in regulated environments
* Experience with DevSecOps and MLOps: GitHub, CloudFormation, and related tools for version control, CI/CD, pipeline deployments, system and model monitoring, and drift detection
* Domain knowledge of federal data environments, government IT modernization, or public sector AI adoption
* Excellent written and oral communication skills; proven collaborator in professional or academic settings
*Professional Experience:*
* Bachelor's required, advanced degree preferred; Computer Science, Data Science, AI, Applied Mathematics, Statistics, or related quantitative field strongly preferred
* 8\+ years in software development, ML engineering, or data science; background in computer science or related technical and/or quantitative fields
* Multi\-modal AI experience (vision, document understanding, structured extraction)
* Prior consulting, or client\-services experience strongly preferred
* Open\-source contributions or published GenAI research preferred
* Familiarity with OMB AI guidance and the NIST AI Risk Management Framework preferred
* U.S. citizenship; ability to obtain a Public Trust suitability determination required
**Benefits**
 Our client offers a comprehensive and competitive benefits package, including:
* Full health coverage (medical, dental, and vision) with 100% of employee premiums covered
* Life and disability insurance, fully covered by the company
* 401(k) retirement plan with 100% match on contributions up to 4% of salary with immediate vesting
* Unlimited Paid Time Off (PTO) to encourage work\-life balance
* Remote location but greater Washington, DC area preferred for hybrid engagement
* Sponsored AWS certification training
*Our client is an equal opportunity employer.*</t>
        </is>
      </c>
    </row>
    <row r="14">
      <c r="A14" t="inlineStr">
        <is>
          <t>li-4380782893</t>
        </is>
      </c>
      <c r="B14" t="inlineStr">
        <is>
          <t>Machine Learning Engineer</t>
        </is>
      </c>
      <c r="C14" t="inlineStr">
        <is>
          <t>Wiraa</t>
        </is>
      </c>
      <c r="D14" t="inlineStr">
        <is>
          <t>linkedin</t>
        </is>
      </c>
      <c r="E14" t="inlineStr"/>
      <c r="F14" t="inlineStr"/>
      <c r="G14" t="inlineStr"/>
      <c r="H14" t="inlineStr"/>
      <c r="I14" t="inlineStr">
        <is>
          <t>**About The Company**
 Tempus is at the forefront of integrating advanced artificial intelligence into healthcare to revolutionize patient care and medical research. Our proprietary platform connects a comprehensive ecosystem of real\-world evidence, enabling the delivery of real\-time, actionable insights to physicians. By leveraging cutting\-edge technology, we aim to provide personalized treatment options, optimize clinical workflows, and accelerate the development of life\-saving therapies. With a focus on innovation, collaboration, and impact, Tempus is dedicated to transforming healthcare through data\-driven solutions and AI\-powered models.
**About The Role**
 We are seeking an experienced and highly skilled Staff Machine Learning Engineer specializing in large\-scale multimodal model systems engineering to join our dynamic AI team. This pivotal role involves designing, building, and optimizing the foundational data infrastructure that powers Tempus’s most advanced generative AI models. You will be instrumental in enabling the training and deployment of robust, production\-ready multimodal systems that analyze complex data types such as genomics, pathology images, radiology scans, and clinical notes. Your work will directly impact patient outcomes by improving diagnostic accuracy, streamlining clinical workflows, and advancing medical research. This is a high\-impact, strategic position that requires technical leadership, innovative thinking, and a passion for leveraging AI to solve complex healthcare challenges.
**Qualifications**
* Master’s degree in Computer Science, Artificial Intelligence, Software Engineering, or a related field.
* 8\+ years of industry experience in designing, building, and operating large\-scale data pipelines and infrastructure.
* Proven expertise working with massive, heterogeneous datasets (TBs\+).
* Strong experience with distributed data processing frameworks such as Apache Spark, Ray, or Dask.
* Hands\-on experience with large\-scale ML data handling tools like Hugging Face Datasets, MosaicML Streaming, WebDataset, or Petastorm.
* Proficiency in programming languages such as Python.
* Experience with MLOps platforms including MLflow, Kubeflow, or SageMaker Pipelines.
* Understanding of data challenges specific to training large models, including foundation models, LLMs, and multimodal models.
* Leadership skills with the ability to mentor junior engineers and influence technical direction.
* Excellent communication skills for cross\-functional collaboration and technical explanation.
* Pragmatic, action\-oriented mindset with the ability to thrive in a fast\-paced environment.
**Responsibilities**
* Architect and develop sophisticated data processing workflows for multimodal training data ingestion, processing, and preparation.
* Manage the entire lifecycle of large datasets, ensuring efficient storage, retrieval, and integration with distributed ML training frameworks.
* Develop strategies for compliant and efficient data ingestion from diverse sources, including internal databases, third\-party APIs, biomedical datasets, and proprietary data ecosystems.
* Optimize data loading and streaming processes using frameworks like MosaicML Streaming, Ray Data, or similar tools.
* Collaborate with infrastructure and platform teams to leverage cloud\-native services on GCP for performance, security, and cost\-efficiency.
* Engineer connectors and data loaders for accessing knowledge graphs, structured databases, biomedical literature, and ontologies.
* Implement and monitor data workflows using tools such as Airflow and Kubeflow Pipelines, ensuring robustness and scalability.
* Establish monitoring, logging, and alerting systems for data pipeline health, quality assurance, and data drift detection.
* Analyze and optimize data I/O performance, addressing storage, network, and compute bottlenecks.
* Manage cloud storage and processing costs, seeking continuous improvements and efficiencies.
* Lead technical discussions, influence data strategy, and mentor team members to foster a culture of innovation and excellence.
**Benefits**
* Competitive salary aligned with experience and location.
* Comprehensive health, dental, and vision insurance plans.
* Incentive compensation and restricted stock units.
* Flexible work arrangements, including remote options.
* Generous paid time off and holiday leave.
* Opportunities for professional development and continuous learning.
* Collaborative and innovative work environment focused on impactful healthcare solutions.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disability, or any other protected status. We believe that diverse perspectives foster innovation and drive our mission to transform healthcare through data and AI.</t>
        </is>
      </c>
    </row>
    <row r="15">
      <c r="A15" t="inlineStr">
        <is>
          <t>li-4326432230</t>
        </is>
      </c>
      <c r="B15" t="inlineStr">
        <is>
          <t>Perception Machine Learning Engineer – ADAS</t>
        </is>
      </c>
      <c r="C15" t="inlineStr">
        <is>
          <t>Lucid Motors</t>
        </is>
      </c>
      <c r="D15" t="inlineStr">
        <is>
          <t>linkedin</t>
        </is>
      </c>
      <c r="E15" t="inlineStr"/>
      <c r="F15" t="inlineStr"/>
      <c r="G15" t="inlineStr">
        <is>
          <t>Southfield, MI</t>
        </is>
      </c>
      <c r="H15" t="inlineStr"/>
      <c r="I15"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Leading the Future in Luxury Electric Mobility
 At Lucid Motors, we aim to redefine the automotive experience by creating the most captivating, luxury electric vehicles that elevate human experience and push the boundaries of space, performance, and intelligence. Our vehicles are designed to be intuitive, liberating, and engineered for the future of mobility.
 We are committed to leading this new era of luxury electric mobility by returning to the fundamentals of great design — where every decision we make serves both the individual and the environment. Free from the constraints of convention, we empower you to define your own experience.
 Join a team of some of the most accomplished minds in the industry. In addition to competitive salaries, we offer a collaborative environment where innovators can make an immediate and meaningful impact. If you are passionate about building a better, more sustainable future, Lucid Motors is the place for you.
 Role and Responsibilities
* Develop and optimize perception algorithms for autonomous driving systems using camera and LiDAR data.
* Design and implement cutting\-edge deep learning algorithms for 2D/3D object detection, segmentation, tracking, and multi\-task learning.
* Research and integrate BEV\-based transformer models for perception tasks.
* Collaborate with cross\-functional teams to ensure seamless integration and robust implementation.
* Test, release, and deploy perception algorithms into Lucid production programs.
* Support validation and verification of perception algorithms using prototype and pre\-production vehicles.
* Propose innovative software algorithms to enhance future autonomous driving capabilities.
**Required Qualifications**
* Strong theoretical foundations and expertise in deep learning algorithms, including object detection, tracking, and segmentation.
* Proficient in Python with a focus on clean, efficient, and scalable software development.
* Comfortable working with large codebases and debugging complex machine learning models.
* Experience with PyTorch or other ML frameworks (e.g., TensorFlow, MXNet).
* Ability to design and construct evaluation pipelines to unit\-test ML models under diverse conditions and environments.
* Excellent communication skills and a strong team player.
* Bachelor’s degree in Computer Engineering, Electrical Engineering, Automotive Engineering, Mechanical Engineering, or a related field.
* Minimum of 3 years of relevant work experience, or a Ph.D. in a related field for a senior position.
* Advanced degrees are preferred.
**Preferred Qualifications**
* Experience developing BEV transformer models for perception.
* Proficiency in C\+\+ with experience writing efficient, maintainable code.
* Practical, hands\-on approach to solving complex problems in autonomous driving.
* Experience in testing and validating perception systems in real\-world conditions.
* Experience working in agile development teams.
* Expertise in component and system integration, testing, and verification at the system and vehicle levels.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6">
      <c r="A16" t="inlineStr">
        <is>
          <t>li-4379658804</t>
        </is>
      </c>
      <c r="B16" t="inlineStr">
        <is>
          <t>Machine Learning Engineer</t>
        </is>
      </c>
      <c r="C16" t="inlineStr">
        <is>
          <t>RemoteHunter</t>
        </is>
      </c>
      <c r="D16" t="inlineStr">
        <is>
          <t>linkedin</t>
        </is>
      </c>
      <c r="E16" t="inlineStr"/>
      <c r="F16" t="inlineStr"/>
      <c r="G16" t="inlineStr"/>
      <c r="H16" t="inlineStr"/>
      <c r="I16" t="inlineStr">
        <is>
          <t>**1\. About Our Client** 
 : This organization operates within the academic health research sector, addressing challenges in integrating advanced computational tools with healthcare research. It supports a broad research community by providing data services, infrastructure, and consulting to enable complex biomedical and clinical projects. The program focuses on developing scalable, low\-cost technical solutions embedded within healthcare systems, particularly by leveraging electronic health records (EHR) and AI/ML technologies. Its work includes delivering clinical trial interventions, digital tools, and algorithms that are integrated into healthcare delivery to generate scientific evidence and improve patient care. The organization manages cloud\-based platforms that facilitate the deployment and monitoring of AI/ML models at scale, illustrating a focus on innovation and collaboration across technical and research teams.
**2\. About the Opportunit** 
 y: The
 **Machine Learning Enginee** 
 r will lead the design, implementation, and maintenance of data pipelines and infrastructure that support the deployment and continuous monitoring of machine learning and generative AI tools within a research\-focused team. This role is critical for enabling cutting\-edge AI/ML applications within clinical research environments by optimizing cloud infrastructure and integrating new data sources. The engineer will work closely with data scientists and technical teams to productionize AI tools and develop monitoring metrics, ensuring these tools operate reliably in healthcare settings. This position is essential for advancing research capabilities through robust and scalable AI infrastructure
**.
 3\. Responsibiliti** 
 e
* s:
 Lead development and maintenance of data pipelines and infrastructure for AI/ML tool deploym
* entManage and optimize Health IT cloud platform components, including ETL proces
* sesImplement new data integrations to support AI/ML workfl
* owsProductionize machine learning tools developed by research te
* amsDesign and implement monitoring metrics for deployed AI/ML applicati
* onsCollaborate with cross\-functional technical and research teams on customized soluti
* onsSupport scalable and cost\-effective infrastructure for ongoing research proje
**cts
 4\. Requirem** 
 e
* nts:
 Bachelor’s degree in Computer Science, Computer Engineering, or related field, or equivalent exper
* ience5\+ years of experience designing, implementing, and maintaining AI/ML applica
* tionsProficiency in Python with ability to write clean, production\-level
* codeAdvanced SQL skills (e.g., SQLServer, Postgr
* eSQL)Experience with machine learning tools such as Jupyter, Pandas, scikit\-learn, Py
* TorchKnowledge of full software development lifecycle and CI/CD pipe
* linesExperience deploying, monitoring, and maintaining AI/ML models and pipe
* linesAdvanced database, data warehousing, and ETL pipeline exper
* ienceSkilled in MLOps, DevOps, and automated te
* stingExperience with cloud platforms such as AWS, GCP, or
* AzureStrong communication skills for technical and non\-technical stakeho
* ldersAbility to work independently and as part of a team, with effective problem\-solving s
* killsProject leadership and management exper
* ienceUnderstanding of Epic data models (Clarity and Caboodle) and ability to obtain Epic Clinical/Clarity certification shortly after onboa
**rding
 Preferred Qualific** 
 a
* tions:
 Master’s or PhD in Computer Science, Computer Engineering, or relat
* ed areaEpic Clarity certif
* icationCloud development certifi
* cationsExperience with large language models and generative AI in pro
* ductionFamiliarity with data visualization tools (e.g., T
* ableau)Experience with Epic data str
**uctures
 5\. Pay Range and Compensation** 
* Package:
 The salary range for this position is $132,000 to $180,000 (Ann
* ual Rate)Final salary and offer components are subject to additional approvals based
* on policyPlacement within the salary range depends on experience and intern
* al equityFor union\-represented positions, placement follows collective bargaining agreem
**ent rules
 6\. Benefits \&amp;** 
 a
* mp; Perks:
 Information about benefits can be found at https://ucnet.universityofcalifornia.edu/compensation\-and\-benefits
**/index.html
 7\. Equal Opportuni** 
 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
 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
      <c r="A17" t="inlineStr">
        <is>
          <t>li-4379682324</t>
        </is>
      </c>
      <c r="B17" t="inlineStr">
        <is>
          <t>AI Engineer</t>
        </is>
      </c>
      <c r="C17" t="inlineStr">
        <is>
          <t>Haystack</t>
        </is>
      </c>
      <c r="D17" t="inlineStr">
        <is>
          <t>linkedin</t>
        </is>
      </c>
      <c r="E17" t="inlineStr"/>
      <c r="F17" t="inlineStr"/>
      <c r="G17" t="inlineStr"/>
      <c r="H17" t="inlineStr"/>
      <c r="I17" t="inlineStr">
        <is>
          <t>Principal, AI Data Scientist \| Philadelphia
 We're seeking an experienced AI Data Scientist to join a global biopharma company dedicated to transforming patient lives. This organization is at the forefront of developing life\-changing medicines, with a robust pipeline in oncology and neuroscience.
 The Role
 • Support the implementation of innovative AI/ML/GenAI solutions for clinical trial execution and digital healthcare.
 • Develop and implement AI/ML/GenAI solutions to optimize clinical trial operations, including patient recruitment and data monitoring.
 • Create GenAI applications for automated clinical trial documentation like medical reports and protocols.
 • Design and develop predictive models and generative AI solutions using diverse healthcare data sources.
 • Collaborate with cross\-functional teams to address business challenges with AI\-driven solutions.
 • Ensure compliance with regulatory requirements and data privacy standards.
 What You'll Need
 • Advanced degree (MS or PhD) in Data Science, Computer Science, Biostatistics, or related field.
 • 3\-5 years of professional experience, with 1\+ years applying AI/ML in healthcare or clinical research.
 • Strong programming skills in Python, R, or similar, with experience in modern ML frameworks (PyTorch, TensorFlow).
 • Demonstrated experience with generative AI technologies, including LLM architectures and frameworks.
 • Knowledge and experience with digital healthcare tools design and development.
 • Familiarity with high\-compute cloud\-based platforms, particularly AWS, and MLOps deployment approaches.
 What's On Offer
 • Opportunity to work on cutting\-edge AI/ML/GenAI technologies in a biopharma setting.
 • Collaborative environment with cross\-functional teams.
 • Contribute to transforming patient lives through innovative solutions.
 • Comprehensive benefits package.
 Important Information
 • Candidates must be based within commuting distance of Philadelphia.
 • Candidates must have the legal right to work in United States.
 Apply via Haystack today!</t>
        </is>
      </c>
    </row>
    <row r="18">
      <c r="A18" t="inlineStr">
        <is>
          <t>li-4379672022</t>
        </is>
      </c>
      <c r="B18" t="inlineStr">
        <is>
          <t>Principal AI/ML Engineer</t>
        </is>
      </c>
      <c r="C18" t="inlineStr">
        <is>
          <t>Pragmatike</t>
        </is>
      </c>
      <c r="D18" t="inlineStr">
        <is>
          <t>linkedin</t>
        </is>
      </c>
      <c r="E18" t="inlineStr"/>
      <c r="F18" t="inlineStr"/>
      <c r="G18" t="inlineStr">
        <is>
          <t>Boston, KY</t>
        </is>
      </c>
      <c r="H18" t="inlineStr"/>
      <c r="I18"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 are seeking a
 **Staff / Principal ML Ops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Were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19">
      <c r="A19" t="inlineStr">
        <is>
          <t>li-4380951295</t>
        </is>
      </c>
      <c r="B19" t="inlineStr">
        <is>
          <t>Senior AI/ML Engineer</t>
        </is>
      </c>
      <c r="C19" t="inlineStr">
        <is>
          <t>Modus Create</t>
        </is>
      </c>
      <c r="D19" t="inlineStr">
        <is>
          <t>linkedin</t>
        </is>
      </c>
      <c r="E19" t="inlineStr"/>
      <c r="F19" t="inlineStr"/>
      <c r="G19" t="inlineStr"/>
      <c r="H19" t="inlineStr"/>
      <c r="I19" t="inlineStr">
        <is>
          <t>**Senior AI/ML Engineer** 
**Remote US \| Full\-Time** 
 We’re looking for an exceptional Senior AI Engineer with 4\+ years of software engineering experience and a proven track record delivering Generative AI solutions to join Modus’s Engineering Consulting team.
**What You’ll Do** 
 No two days look the same in this role. You might spend one day whiteboarding an architecture with a client, the next drafting a proposal for a new engagement, and the next deep in code shipping an LLM\-powered feature. As a senior engineer on our consulting team, you'll move fluidly between:
* **Designing and building AI solutions** 
 : scoping, architecting, and implementing applications powered by generative AI, from proof of concept to production deployment.
* **Working directly with clients** 
 : understanding their problems, proposing solutions, and translating business needs into technical plans. You're the trusted technical advisor in the room.
* **Hands\-on engineering** 
 : writing production\-quality code, integrating LLMs and ML models into real systems, and deploying them to the cloud.
* **Collaborating across disciplines** 
 : partnering with cloud architects, DevOps specialists, and front\-end developers to deliver end\-to\-end solutions.
* **Supporting business development** 
 — contributing to proposals, scoping engagements, and supporting sales and marketing efforts when needed.
**About You** 
 You're an engineer who thrives in client\-facing environments and can own problems end\-to\-end, from a vague business need to a working system in production.
 Your core strength is deploying and operationalizing AI. You have hands\-on experience deploying large and small language models (LLMs/SLMs) in the cloud and on\-premises, and you're comfortable with techniques like prompt engineering, retrieval\-augmented generation (RAG), fine\-tuning, and agentic architectures (tool use, multi\-agent orchestration, human\-in\-the\-loop workflows). You understand how to evaluate model outputs and build reliable systems around inherently probabilistic components.
 Familiarity with classical ML (prediction, classification) and data science fundamentals is a desirable plus. A background in cloud services for machine learning, text extraction, speech recognition, or computer vision will broaden the engagements you can contribute to.
 Proficiency in Python is a must. Experience with other programming languages like Java, Scala, Rust or R is highly desirable, as it will enable you to work on a broader range of engagements.
 You’ll work side by side with cloud architects, DevOps specialists and front\-end developers, so some knowledge and experience in any of these would help in collaboration.
 You should be comfortable presenting work to both technical and non\-technical audiences, driving alignment with stakeholders and between technical and business outcomes, leading technical teams and cross\-collaborating with teams in adjacent domains. Experience in supporting sales and marketing efforts is a desirable plus.
**Requirements** 
* LLM deployment and agentic AI: experience with LLM orchestration frameworks (e.g., LangChain, LangGraph, Google ADK), agent tooling and protocols (e.g., MCP, function calling), and evaluation/observability libraries. Cloud deployment of LLM\-based applications
* Cloud AI services: experience with managed AI services such as Amazon Bedrock, SageMaker, Rekognition, etc. or equivalents on other platforms
* Machine learning frameworks: familiarity with frameworks like TensorFlow or PyTorch is a plus
* AI\-assisted development tools: experience with AI\-powered coding assistants (e.g., GitHub Copilot, Cursor, Claude Code) and agentic coding workflows
* Cloud platforms: solid experience with at least one major cloud provider (AWS preferred); infrastructure as code (e.g., Terraform) is a plus
* Version control and DevOps: Git, GitHub/GitLab; DevOps and CI/CD experience is a big plus
* Programming and scripting languages: Python, Bash; knowledge of other languages is a plus
* Data storage and querying: SQL and NoSQL databases
 Above all, AI is a rapidly\-evolving field so the curiosity and drive to keep learning matter as much as what you already know.
 Founded in 2011, Modus is a global, fully remote team of world\-class technologists who thrive in a collaborative, innovative environment. We were fully remote before it was cool! We support organizations on their digital transformation journey through strategic consulting and full lifecycle product development, partnering with industry leaders including Atlassian, GitHub and AWS. Recognized as one of the Inc. 5000 Fastest Growing Private Companies for nine years and a top remote work company by FlexJobs, we have helped some of the world’s largest brands deliver powerful digital experiences.
**We combine boutique expertise with enterprise\-scale capabilities, helping organizations drive customer engagement, enhance retention, and maximize long\-term value. As an award\-winning Atlassian partner, we enable businesses to build customer\-centric products that foster lasting relationships and adoption.** 
**Why Modus Create** 
 Modus Create is a global consulting firm that helps organizations modernize their platforms, products, and processes. From open\-source roots to enterprise transformation, we bring together strategy, design, engineering, and AI to build what’s next.
* 100% remote since day one
* Named a top company for remote work by FlexJobs and Inc.
* Trusted by leading brands across the globe
* Culture of autonomy, mastery, inclusion and continuous learning
 By joining our team, you’ll be part of a high\-performing group that leverages each other’s strengths and celebrates every success together. Apply now and show us you have what it takes to drive impactful data engineering \&amp; machine learning strategies with Modus Create!</t>
        </is>
      </c>
    </row>
    <row r="20">
      <c r="A20" t="inlineStr">
        <is>
          <t>li-4370696884</t>
        </is>
      </c>
      <c r="B20" t="inlineStr">
        <is>
          <t>Senior Machine Learning Engineer - Fraud (Research Scientist)</t>
        </is>
      </c>
      <c r="C20" t="inlineStr">
        <is>
          <t>Plaid</t>
        </is>
      </c>
      <c r="D20" t="inlineStr">
        <is>
          <t>linkedin</t>
        </is>
      </c>
      <c r="E20" t="inlineStr"/>
      <c r="F20" t="inlineStr"/>
      <c r="G20" t="inlineStr"/>
      <c r="H20" t="inlineStr"/>
      <c r="I20"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team within Plaid’s Fraud organization builds the machine learning systems behind Plaid’s next\-generation fraud detection products. Leveraging Plaid’s unique network data, the team develops end\-to\-end solutions to identify and prevent fraud before it happens. This includes ownership across the full ML lifecycle, from large\-scale data processing and model experimentation to feature pipelines, model serving, and ongoing performance monitoring.
 As a Senior Machine Learning Engineer (Research Scientist) you will lead applied research to develop next\-generation fraud detection models across complex data modalities, including relational graphs, sequential events, images, and video. You will design and run rigorous experiments and build evaluation methodologies that reflect real\-world fraud dynamics, prototype state\-of\-the\-art architectures such as Graph Neural Networks and Transformer\-based foundation models, and partner closely with Machine Learning Engineers to translate successful research into production systems. The role also involves communicating and publishing results internally and externally, helping raise the technical bar for fraud machine learning at Plaid.
 \*\*\*We are open to remote candidates for this role\*\*\*
**Responsibilities**
* Build next\-generation fraud detection capabilities by researching and prototyping state\-of\-the\-art methods across graph ML, sequential modeling, and multimodal learning.
* Owning a research roadmap that ships: moving from papers/prototypes to measurable product impact.
* Publishing applied research and collaborating with a high\-caliber team across Data, Product, and Engineering.
* Working with one of the largest financial datasets to generate insights that help hundreds of millions of consumers achieve greater financial freedom.
**Qualifications**
* PhD strongly preferred; we will consider equivalent research experience with a strong publication/innovation track record.
* 3\+ years of experience as a Machine Learning Engineer or Research Scientist.
* Strong scientific rigor and communication.
* Strong Python skills \+ ability to build high\-quality research prototypes.
* Fraud / security / abuse domain experience is a plus.
* Experience with large\-scale training, graph systems, and sequential modeling expertise is a plus.
 $225,600 \- $337,200 a year
 The target base salary for this position ranges from $225,600/year to $337,200/year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1">
      <c r="A21" t="inlineStr">
        <is>
          <t>li-4373490772</t>
        </is>
      </c>
      <c r="B21" t="inlineStr">
        <is>
          <t>Senior AI Engineer</t>
        </is>
      </c>
      <c r="C21" t="inlineStr">
        <is>
          <t>Nova Biomedical</t>
        </is>
      </c>
      <c r="D21" t="inlineStr">
        <is>
          <t>linkedin</t>
        </is>
      </c>
      <c r="E21" t="inlineStr"/>
      <c r="F21" t="inlineStr"/>
      <c r="G21" t="inlineStr">
        <is>
          <t>Waltham, MA</t>
        </is>
      </c>
      <c r="H21" t="inlineStr"/>
      <c r="I21" t="inlineStr">
        <is>
          <t>**Nova Biomedical: One Global Brand. One Vision. Together under one name.**
 Advanced Instruments and Nova Biomedical are now united under one brand,
 **Nova Biomedical** 
 , marking a major milestone in our journey to deliver greater value to our customers. By combining our strengths, we're accelerating innovation, supporting critical workflows, and delivering world\-class service across the biopharmaceutical and clinical markets.
**About The Company**
 At Nova Biomedical, we’re not just building instruments, we’re powering breakthroughs that improve lives. Our smart, science\-driven solutions are trusted in over 100 countries to speed drug development and enhance patient care.
 Our integration brings together more than 70 years of scientific excellence with Nova’s cutting\-edge innovation, forming a powerhouse of precision, purpose, and possibility. With FDA\-registered, ISO\-certified manufacturing, more than 125 FDA approvals, and industry\-trusted diagnostics, we’re setting new standards in quality and reliability. Nova Biomedical is proud to be a global leader in osmolality testing and biotechnology and in vitro diagnostic (IVD) instrumentation, dedicated to advancing patient care and scientific discovery with a legacy that continues to shape the future of life sciences.
 With headquarters in Norwood and Waltham, Massachusetts, and a global team of nearly 2,000 employees, we’re building a collaborative, empowered culture grounded in shared values:
 **Customer Centricity, Ingenuity, Ownership \&amp; Accountability, Collaboration, and Integrity** 
 .
**Working at Nova Biomedical means joining a mission\-driven organization where your contributions matter.** 
 Whether you're in engineering, science, manufacturing, or support, you’ll be part of a team that values innovation, invests in your growth, and is committed to making a real\-world impact on global health.
**Explore what’s next with us** 
 at novabiomedical.com or aicompanies.com
**About The Role**
 We are looking for a Senior AI software engineer to support the Research \&amp; Systems Engineering. Facilitating the research, design and deployment of new machine learning/artificial intelligence models, to embed within the current and future products portfolio. Owning the technical responsibility for all Artificial Intelligence (AI) features in the image processing and model training Portfolio.
 If you’re passionate about software engineering and want to be part of a team that is shaping the future of life sciences, we’d love to hear from you, apply today!
**What You’ll Do**
* Design and lead innovative AI projects from beginning to end and provide technical guidance to other team members.
* Be able to assist in the breakdown of new AI features into actionable work items, and work with the team to estimate the time and complexity involved them.
* Produce coherent and concise technical documentation of AI\-based projects, providing summaries and evidence of work completed.
* Manage AI model codebases from research to production level.
* Communicate with other teams (Systems, Software Development team) to perform team tasks more effectively.
* Contribute to the creation and filing of patents to protect intellectual property generated through research efforts, working closely with legal and intellectual property teams as necessary.
* Implement state\-of\-the\-art AI and ML models and evaluate performance with regards to key business objectives, introducing research prototypes and features into the company’s portfolio of market leading instruments.
**What We Are Looking For In You**
* Ability to work on multiple projects at one time and deliver to deadlines
* Ability to work in a methodical and organized manner and keep detailed records of all work carried out
* Ability to readily absorb complex bioinformatic concepts.
* Excellent problem\-solving, analytical and communication skills.
* Strong knowledge of biotech industry with focus on cell development practices.
* Deep knowledge of convolutional models and latest techniques.
* Proficiency in major deep learning frameworks (PyTorch, Keras, Tensorflow)
* MSc or higher in CompSci, Mathematics, Physics, AI, Computational Biology or any other relevant quantitative discipline, OR equivalent master’s level work experience delivering AI/ML solutions
* 2\+ years of experience applying ML/AI to microscope images or biological problems.
* 3\-4 years of experience with any of the major deep learning frameworks (PyTorch, Keras, Tensorflow)
* Experience with ONNX preferred
* Demonstrable industry experience of delivering computer vision\-based AI projects (preferably in biotech)
**Physical Requirements For This Role Include**
* The ability to work on a laptop or desktop computer for prolonged periods of time.
* The ability to lift at least 15 lb.
* The full list of physical requirements for this role is available upon request.
**Why work for Nova Biomedical**
* Flexible Medical, Dental, \&amp; Vision Coverage
* Competitive 401k company match
* Bonus Program, Generous PTO and paid holidays
* Generous Tuition reimbursement
* Hybrid and flexible work arrangements
* Professional development, engagement and events
* Company marketplace for lunch and snacks in our Norwood, MA, Billerica, MA and Westbrook, ME offices
* Company subsidized cafeteria in our Waltham, MA office
**Work Location: O** 
 n\-site in
 **Waltham**
**Targeted Salary Range: $145,000 \- $170,000/year.**
 Nova Biomedical believes in transparency and integrity throughout all we do, including compensation. The provided salary range for this role represents the expected base salary or hourly rate for this opening. Actual compensation will be commensurate with the candidate’s experience and may vary based on individual factors such as location, skills, and education.
**EEO Statement**
 Nova Biomedical takes pride in being an equal opportunity employer committed to hiring a diverse and inclusive workforce. As a part of our commitment to a diverse and inclusive workforce, Nova Biomedical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**Privacy policy**
 https://advancedinstruments.showpad.com/share/DmsEd5QTLlqemTYABlvDW</t>
        </is>
      </c>
    </row>
    <row r="22">
      <c r="A22" t="inlineStr">
        <is>
          <t>li-4341825663</t>
        </is>
      </c>
      <c r="B22" t="inlineStr">
        <is>
          <t>Machine Learning Engineer - LLMs &amp; Generative AI</t>
        </is>
      </c>
      <c r="C22" t="inlineStr">
        <is>
          <t>Truveta</t>
        </is>
      </c>
      <c r="D22" t="inlineStr">
        <is>
          <t>linkedin</t>
        </is>
      </c>
      <c r="E22" t="inlineStr"/>
      <c r="F22" t="inlineStr"/>
      <c r="G22" t="inlineStr"/>
      <c r="H22" t="inlineStr"/>
      <c r="I22" t="inlineStr">
        <is>
          <t>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**Who We Need**
 Truveta is building a diverse and inclusive team to tackle complex health and technical challenges. We are seeking enthusiastic new graduates who are problem\-solvers, collaborative teammates, and eager to make a difference in healthcare. If you’re excited about purposeful work, joining a mission\-driven team, and launching your career in a supportive environment, Truveta could be the perfect place to start.
**This Opportunity**
 We are looking for a Machine Learning Engineer with a deep background in generative AI, large language models (LLMs), and reinforcement learning techniques to build the next generation of AI systems for trustworthy healthcare. This role offers a unique opportunity to build foundational models trained on vast clinical data and drive innovation in a highly meaningful domain.
**Responsibilities**
* Lead the development, training, and deployment of large language and multimodal foundation models tailored to clinical and biomedical domains.
* apply and refine state\-of\-the\-art techniques such as supervised fine\-tuning (SFT), reinforcement learning\-based methods (e.g., RLHF, RLVR), parameter\-efficient fine\-tuning (PEFT), prompt tuning, and retrieval\-augmented generation (RAG).
* Collaborate cross\-functionally with researchers, clinicians, and engineers to design ML\-driven solutions that improve healthcare delivery and outcomes.
* Build scalable infrastructure for distributed training of large models (TPU/GPU clusters, multi\-node orchestration).
* Design and evaluate models for robustness, bias mitigation, factual consistency, and explainability in healthcare contexts.
* Stay current with the latest research in generative AI and contribute back to the community through publications and open\-source initiatives.
**Minimum Qualifications**
* 6\+ years of experience in software engineering or machine learning (3\+ years with a PhD).
* Experience designing and training LLMs or large\-scale generative models (e.g., GPT, PaLM, LLaMA, Claude, Gemma).
* Deep expertise in NLP, sequence modeling, and transformer architectures.
* Proficient in Python and ML libraries such as PyTorch or TensorFlow; strong engineering skills in building scalable ML pipelines.
* Experience with RL\-based fine\-tuning (e.g., Reinforcement Learning from Human Feedback) and evaluation of generative systems.
* Proven ability to lead technical projects and collaborate across teams.
* Bachelor's degree in Computer Science, Engineering, or a related technical field
**Preferred Qualifications**
* PhD or equivalent experience in Machine Learning, NLP, AI, or a related field.
* Experience in healthcare, biomedical informatics, or clinical data modeling.
* Familiarity with multi\-modal foundation models (e.g., text\-image, text\-structured data) and cross\-modal alignment techniques.
* Hands\-on experience with vector databases, semantic search, and retrieval\-based generation
* Publications in top\-tier ML conferences (NeurIPS, ICML, ACL, EMNLP, ICLR, etc.).
* Experience building trustworthy AI systems and applying model interpretability, fairness, and safety frameworks.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Interesting and meaningful work for every career stage
* Great benefits package
* Comprehensive benefits with strong medical, dental and vision insurance plans
* 401K plan
* Professional development \&amp; training opportunities for continuous learning
* Work/life autonomy via flexible work hours and flexible paid time off
* Generous parental leave
* Regular team activities (virtual and in\-person)
* The base pay for this position is $155,000 to $175,000\.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
**Please note that all applicants must be authorized to work in the United States for any employer as we are unable to sponsor work visas or permits (e.g. F\-1 OPT, H1\-B) at this time. We appreciate your interest in the position and encourage you to explore future opportunities with us.**</t>
        </is>
      </c>
    </row>
    <row r="23">
      <c r="A23" t="inlineStr">
        <is>
          <t>li-4379677083</t>
        </is>
      </c>
      <c r="B23" t="inlineStr">
        <is>
          <t>Applied AI Engineer – Generative AI</t>
        </is>
      </c>
      <c r="C23" t="inlineStr">
        <is>
          <t>hackajob</t>
        </is>
      </c>
      <c r="D23" t="inlineStr">
        <is>
          <t>linkedin</t>
        </is>
      </c>
      <c r="E23" t="inlineStr"/>
      <c r="F23" t="inlineStr"/>
      <c r="G23" t="inlineStr">
        <is>
          <t>Mountain View, CA</t>
        </is>
      </c>
      <c r="H23" t="inlineStr"/>
      <c r="I23" t="inlineStr">
        <is>
          <t>***hackajob** 
 is collaborating with
 **Kodiak** 
 to connect them with exceptional tech professionals for this role.*
 Kodiak Robotics, Inc. was founded in 2018 and has become a leader in autonomous ground transportation committed to a safer and more efficient future for all. The company has developed an artificial intelligence (AI) powered technology stack purpose\-built for commercial trucking and the public sector. The company delivers freight daily for its customers across the southern United States using its autonomous technology. In 2024, Kodiak became the first known company to publicly announce delivering a driverless semi\-truck to a customer. Kodiak is also leveraging its commercial self\-driving software to develop, test and deploy autonomous capabilities for the U.S. Department of Defense.
 Kodiak is redefining what AI can do in autonomy, and generative models play a critical role in making AI more adaptive, predictive, and resilient. We are looking for engineers to develop AI that anticipates uncertainty, enhances decision\-making, and refines its own understanding of the world. This role is open to all levels—from those eager to contribute to cutting\-edge research to experts driving innovation at scale.
**In This Role, You Will**
* Develop generative models that enhance adaptability and improve AI robustness
* Research and implement diffusion\-based, autoregressive, and variational techniques for real\-world AI applications
* Apply generative methods to anticipate challenges and reinforce decision\-making
* Build self\-improving AI pipelines that continuously refine model understanding
* Optimize models for efficient, scalable, and interpretable AI decision\-making
**What You’ll Bring**
* BS, MS, or PhD in AI, Computer Science, or a related field, or at least 2\-3 years of industry experience
* Experience with diffusion models, autoregressive learning, or generative AI methods
* Proficiency in Python and deep learning frameworks like PyTorch or TensorFlow
* Strong understanding of uncertainty modeling and self\-supervised learning
* Passion for building AI that continuously adapts and learns.
**What We Offer**
* Competitive compensation package including equity and annual bonuses
* Excellent Medical, Dental, and Vision plans through Kaiser Permanente, Cigna, and MetLife (including a medical plan with infertility benefits)
* MetLife Legal Services, Identity \&amp; Fraud Protection, Hospital Indemnity Insurance, Accident Insurance, \&amp; Critical Illness Insurance
* Flexible PTO, 10 paid holidays, and generous parental leave policies
* Our office is centrally located in Mountain View, CA
* Office perks: dog\-friendly, free catered lunch, a fully stocked kitchen, and free EV charging
* Long Term Disability, Short Term Disability, Life Insurance
* Wellbeing Benefits \- Headspace through Cigna, Calm through Kaiser, One Medical, Gympass, Spring Health through Cigna, Rula (mental health navigation)
* Fidelity 401(k)
* Commuter, FSA, Dependent Care FSA, HSA
* Various incentive programs (referral bonuses, patent bonuses, etc.)
 The pay range listed below reflects the base salary
 **in our SF/Silicon Valley location,** 
 across several internal levels. Actual starting pay will be based on job\-related factors including: work location, experience, relevant training, education, skill level and performance during interview. Total compensation at Kodiak includes base pay, equity, bonus and a competitive benefits package
 California Pay Range
 $150,000
 —
 $250,000 USD
 At Kodiak, we strive to build a diverse community working towards our common company goals in a safe and collaborative environment where harassment of any kind is strictly prohibited. Kodiak is committed to equal opportunity employment regardless of race, ethnicity, religion, gender identity, sexual orientation, age, disability, or veteran status, or any other basis protected by applicable law.
 In alignment with its business operations, Kodiak adheres to all relevant statutes, regulations, and administrative prerequisites. Accordingly, roles that carry more sensitive requirements may be limited to candidates that can satisfy additional scrutiny and eligibility for such positions may hinge on verification of a candidate’s residence, U.S. person status, and/or citizenship status. Should the position require, and Kodiak determines that a candidate’s residence, U.S. person status, and/or citizenship status necessitate an export license, bar the candidate from the position, or otherwise fall under national security\-related restrictions, Kodiak will consider the candidate for alternative positions unaffected by such restrictions, under terms and conditions set forth at Kodiak’s sole discretion, or, as an alternative, opt not to proceed with the candidate’s application. If applicable, Kodiak may provide visa sponsorship for eligible candidates.
*We use a third\-party AI tool (Endorsed) to assist in the initial screening of applications. As part of the evaluation process, we provide Endorsed with job requirements and candidate\-submitted applications. Final hiring decisions are made by our human recruitment team, and no automated system makes the ultimate decision regarding hiring. Certain features of the platform may qualify it as an Automated Employment Decision Tool (AEDT) under applicable regulations. We began using Endorsed on January 1, 2026\. You can review the independent bias audit report covering our use of Endorsed \[here](* 
*https://endorsed.com/local\-law\-144* 
*). By submitting your application, you acknowledge that your application may be processed by AI systems as part of the screening and selection process. If you have any questions or would like to request a separate review of your application, please contact* 
*careers@kodiak.ai* 
*with "Separate Review Request" in the email subject line.*</t>
        </is>
      </c>
    </row>
    <row r="24">
      <c r="A24" t="inlineStr">
        <is>
          <t>li-4364955149</t>
        </is>
      </c>
      <c r="B24" t="inlineStr">
        <is>
          <t>Senior Applied AI Engineer</t>
        </is>
      </c>
      <c r="C24" t="inlineStr">
        <is>
          <t>Drata</t>
        </is>
      </c>
      <c r="D24" t="inlineStr">
        <is>
          <t>linkedin</t>
        </is>
      </c>
      <c r="E24" t="inlineStr"/>
      <c r="F24" t="inlineStr"/>
      <c r="G24" t="inlineStr"/>
      <c r="H24" t="inlineStr"/>
      <c r="I24"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**While we’re ideally looking for someone who can join us in a hybrid capacity from our San Francisco office, we know great talent isn’t limited by zip code. We’ll consider remote candidates across the U.S. who are a strong match for the role.**
 If you thrive when you’re empowered, energized, and working with smart, mission\-driven people where you’ll feel at home here.
**Why Join The Drata Team?**
 The best way to understand the Driver’s Mindset is to see it in action. We’re an award\-winning, mission\-driven team of
 **600\+ people worldwide** 
 , united by a culture that values trust, speed, and continuous growth.
* See the Speed: Watch our CEO, Adam Markowitz, discuss the hyper\-growth journey, from $0 to $100M ARR in just four years
* Hear the Voice of the Team: Explore our "Life at Drata" page for employee testimonials on our collaborative and the growth opportunities available.
* Experience the Impact: See why we are consistently recognized on Fortune's Best Workplaces lists.
* Connect with Us on Socials: LinkedIn \- follow us for company updates, employee stories, and career news.
**Job Summary**
 Drata, at the vanguard of compliance software innovation and renowned for its commitment to trust and security across the internet, is on an ambitious path to redefine how AI and General AI technologies bolster compliance automation.
 Drata is seeking an Applied AI Engineer to drive the quality and effectiveness of our AI systems through rigorous research, experimentation, and evaluation. In this role, you will optimize retrieval strategies, build evaluation frameworks, and establish the scientific foundation that enables our AI features to deliver accurate, trustworthy results.
 This is a research\-focused role emphasizing experimentation and rigor over production engineering. You'll work closely with AI Engineers handing off validated approaches for them to productionize while owning the quality metrics and evaluation systems that ensure our AI delivers on its promises.
 Drata's compliance platform is document\-heavy: VRM Agent, AIQA, Trust Agent, policy\-to\-control mappers, and regulatory summarization all depend on retrieving the right information from large document sets. Your work will directly impact how well our AI understands and navigates compliance artifacts.
**Location: While we’re ideally looking for someone who can join us in a hybrid capacity from our San Francisco office, we know great talent isn’t limited by zip code. We’ll consider remote candidates across the U.S. who are a strong match for the role.**
**What You'll Do**
* Design and evaluate information access \+ reasoning strategies across RAG, agents, and classic ML: chunking, embedding models, hybrid search, metadata filtering, structured retrieval, tool use, and multi\-step workflows
* Prototype GenAI workflows (including agentic systems) that map and reason over compliance objects (controls ↔ risks ↔ requirements)
* Explore ML \+ probabilistic approaches where GenAI is not the best fit: classifiers, ranking models, graph/link prediction, calibration, and weak supervision
* Build and maintain evaluation frameworks: golden datasets, automated quality metrics, regression detection
* Implement and tune ranking/reranking systems: cross\-encoders, LLM\-based rerankers, learning\-to\-rank, custom scoring functions
* Run experiments to validate hypotheses and quantify improvements before production rollout
* Debug failure modes and build error taxonomies across retrieval, reasoning, and generation
* Collaborate with AI and Software Engineers to hand off validated approaches for productionization
* Stay current on applied research in RAG, agents, LLM evaluation, and relevance modeling; bring innovations into the product
**What You'll Bring**
* 6\+ years of experience in applied research, data science, or ML with a focus on NLP, information retrieval, or knowledge systems
* 2\+ years of hands\-on experience building or contributing to production AI/ML systems
* Strong foundation in information retrieval: dense and sparse retrieval, embedding models, search relevance
* Experience with RAG systems: chunking strategies, vector databases, retrieval optimization
* Proficiency in evaluation methodology: metrics design, golden dataset creation, A/B testing, statistical analysis
* Strong Python skills and comfort with notebook\-driven research workflows
* Experience communicating research findings to engineering teams and translating insights into actionable recommendations
* Bonus: Experience with compliance, legal, or document\-heavy domains
* Bonus: Publications or contributions in IR, NLP, or RAG evaluation
 Your contributions at Drata will not only shape the future of compliance and security automation but also solidify our standing as an innovator in the space, driving forward our mission with cutting\-edge technology.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and/or stock, typically in the form of Restricted Stock Units (RSUs). The applicable salary range for each US\-based role is based on where the employee works and is aligned to one of 3 tiers based on the cost of labor for that geographic area. The expected ranges for this role are set forth below, subject to change.*
*Tier 1: $192,000 \- $259,800*
*Tier 2: $172,800 \- $233,800*
*Tier 3: $153,600 \- $207,800*
*You can view which tier applies to where you plan to work* 
*here* 
*. A variety of factors are considered when determining someone’s leveling and compensation–including a candidate’s professional background and experience. These ranges may be modified in the future and final offer amounts may vary from the amounts listed above.*</t>
        </is>
      </c>
    </row>
    <row r="25">
      <c r="A25" t="inlineStr">
        <is>
          <t>li-4379684286</t>
        </is>
      </c>
      <c r="B25" t="inlineStr">
        <is>
          <t>Machine Learning Researcher / ML Engineer – Frontier Models &amp; LLM Systems</t>
        </is>
      </c>
      <c r="C25" t="inlineStr">
        <is>
          <t>Lawrence Harvey</t>
        </is>
      </c>
      <c r="D25" t="inlineStr">
        <is>
          <t>linkedin</t>
        </is>
      </c>
      <c r="E25" t="inlineStr"/>
      <c r="F25" t="inlineStr"/>
      <c r="G25" t="inlineStr">
        <is>
          <t>Miami, FL</t>
        </is>
      </c>
      <c r="H25" t="inlineStr"/>
      <c r="I25" t="inlineStr">
        <is>
          <t>**About the Opportunity** 
 We are partnering with one of the most advanced research\-driven technology organizations in the world, operating at the intersection of machine learning, large\-scale systems, and real\-world decision making.
 This organization applies state\-of\-the\-art machine learning, deep learning, and statistical modeling to some of the most complex data and systems challenges globally.
 Their research teams operate much like elite applied research labs, combining mathematical rigor, production engineering, and frontier ML development to build systems with measurable real\-world impact.
 They are expanding multiple ML Researcher / ML Engineer teams focused on LLMs and next\-generation model architectures.
 This is an opportunity to work alongside world\-class researchers and engineers on problems that demand both theoretical depth and practical implementation at scale.
**Role Focus** 
 There are two primary tracks within the team:
 1️⃣ Model Architecture \&amp; Pre\-Training Research
* Design and build large\-scale models from first principles
* Experiment with architecture design and scaling behavior
* Explore attention variants, normalization strategies, routing mechanisms, and training stability
* Run rigorous ablation experiments and performance analysis
* Work on training infrastructure and model scaling
 2️⃣ Post\-Training \&amp; LLM Optimization
* Fine\-tune and align large language models for complex applications
* Develop advanced post\-training techniques and evaluation methods
* Integrate LLM systems into large\-scale decision platforms
* Optimize models for performance, efficiency, and reliability
**What You'll Work On** 
* Designing and training advanced machine learning models
* Developing research pipelines in Python / PyTorch
* Running controlled experiments and analyzing model performance
* Applying statistical and probabilistic reasoning to large datasets
* Collaborating with researchers and engineers to translate ideas into production systems
* Solving challenging problems involving large\-scale compute, model optimization, and real\-world data
**Ideal Background** 
* 3–8 years of experience in machine learning research or advanced ML engineering
* Experience building, training, or deploying large\-scale ML / LLM models
* Strong coding ability (Python required; C\+\+ beneficial)
* Deep understanding of machine learning fundamentals and model architecture
* Research publications, open\-source contributions, or conference work highly valued
* Strong academic background (Master’s required; PhD strongly preferred) from a top\-tier university with outstanding academic performance (typically \~3\.6\+ GPA or equivalent)
**Particularly Relevant Experience** 
 Candidates from environments such as:
* Frontier AI labs
* Advanced research groups
* Quantitative research firms
* High\-performance ML infrastructure teams
* Deep learning research organizations
**Additional Details** 
* Location: Miami (primary research hub)
* Exceptional candidates may be considered in New York
* Onsite collaboration environment
* Highly competitive compensation structure
 If you're interested in working on cutting\-edge machine learning research with real\-world impact, apply directly or reach out for a confidential conversation.</t>
        </is>
      </c>
    </row>
    <row r="26">
      <c r="A26" t="inlineStr">
        <is>
          <t>li-4379658969</t>
        </is>
      </c>
      <c r="B26" t="inlineStr">
        <is>
          <t>Applied AI Engineer - Flywheel Automation &amp; Continuous Learning</t>
        </is>
      </c>
      <c r="C26" t="inlineStr">
        <is>
          <t>hackajob</t>
        </is>
      </c>
      <c r="D26" t="inlineStr">
        <is>
          <t>linkedin</t>
        </is>
      </c>
      <c r="E26" t="inlineStr"/>
      <c r="F26" t="inlineStr"/>
      <c r="G26" t="inlineStr">
        <is>
          <t>Mountain View, CA</t>
        </is>
      </c>
      <c r="H26" t="inlineStr"/>
      <c r="I26" t="inlineStr">
        <is>
          <t>***hackajob** 
 is collaborating with
 **Kodiak** 
 to connect them with exceptional tech professionals for this role.*
 Kodiak Robotics, Inc. was founded in 2018 and has become a leader in autonomous ground transportation committed to a safer and more efficient future for all. The company has developed an artificial intelligence (AI) powered technology stack purpose\-built for commercial trucking and the public sector. The company delivers freight daily for its customers across the southern United States using its autonomous technology. In 2024, Kodiak became the first known company to publicly announce delivering a driverless semi\-truck to a customer. Kodiak is also leveraging its commercial self\-driving software to develop, test and deploy autonomous capabilities for the U.S. Department of Defense.
 Kodiak is seeking a world\-class Applied AI Engineer to design and build the AI Flywheel \- the closed\-loop system that powers continuous learning across our fleet of autonomous trucks.
 In this role, you will own the architecture and automation of a complete data\-to\-model flywheel: from mining hard edge cases, to orchestrating distributed training pipelines, to deploying models across our large\-scale AI infrastructure. Your work will ensure that our models improve rapidly and continuously with every mile driven.
 This is a high\-impact, cross\-functional role where you’ll interface with our perception, foundation model, and infrastructure teams to transform real\-world driving data into smarter models and safer autonomy.
**In This Role, You Will**
* Design and implement the end\-to\-end AI Flywheel, platforms for training, validation, deployment, and building a robust automated system.
* Build and maintain multi\-node distributed training pipelines using tools like PyTorch DDP, Horovod, or Ray.
* Develop smart data mining and active learning strategies to prioritize valuable training data from petabyte\-scale logs.
* Automate model evaluation and selection pipelines to support rapid iteration and closed\-loop deployment.
* Build infrastructure for seamless model image packaging, validation, and rollout across Kodiak’s autonomous fleet and AI platform.
* Ensure that the flywheel is reliable, reproducible, and scalable, capable of learning from millions of real\-world miles.
**What You'll Bring**
* Bachelor’s, Master’s, or PhD in Computer Science, Machine Learning, Robotics, or a related field.
* 3\+ years of experience building production\-grade ML infrastructure or model pipelines.
* Deep proficiency in Python and deep learning frameworks (e.g., PyTorch, TensorFlow).
* Experience with distributed training and pipeline orchestration (e.g., Airflow, Kubeflow, Dagster).
* Strong engineering fundamentals, debugging skills, and ability to scale systems.
* Passion for turning real\-world data into self\-improving AI systems.
**Ideal Candidate Will Also Bring**
* Experience in autonomous vehicles, robotics, or other sensor\-rich real\-world ML systems.
* Prior work with self\-supervised learning, active learning, or large\-scale data curation.
* Familiarity with containerization (Docker), model packaging, and deployment workflows.
* Comfort working in cross\-functional teams with research scientists, infra engineers, and robotics experts.
* A mindset of ownership, experimentation, and systematic improvement.
**What We Offer**
* Competitive compensation package including equity and annual bonuses
* Excellent Medical, Dental, and Vision plans through Kaiser Permanente, Cigna, and MetLife (including a medical plan with infertility benefits)
* MetLife Legal Services, Identity \&amp; Fraud Protection, Hospital Indemnity Insurance, Accident Insurance, \&amp; Critical Illness Insurance
* Flexible PTO, 10 paid holidays, and generous parental leave policies
* Our office is centrally located in Mountain View, CA
* Office perks: dog\-friendly, free catered lunch, a fully stocked kitchen, and free EV charging
* Long Term Disability, Short Term Disability, Life Insurance
* Wellbeing Benefits \- Headspace through Cigna, Calm through Kaiser, One Medical, Gympass, Spring Health through Cigna, Rula (mental health navigation)
* Fidelity 401(k)
* Commuter, FSA, Dependent Care FSA, HSA
* Various incentive programs (referral bonuses, patent bonuses, etc.)
 The pay range listed below reflects the base salary
 **in our SF/Silicon Valley location,** 
 across several internal levels. Actual starting pay will be based on job\-related factors including: work location, experience, relevant training, education, skill level and performance during interview. Total compensation at Kodiak includes base pay, equity, bonus and a competitive benefits package
 California Pay Range
 $180,000
 —
 $240,000 USD
 At Kodiak, we strive to build a diverse community working towards our common company goals in a safe and collaborative environment where harassment of any kind is strictly prohibited. Kodiak is committed to equal opportunity employment regardless of race, ethnicity, religion, gender identity, sexual orientation, age, disability, or veteran status, or any other basis protected by applicable law.
 In alignment with its business operations, Kodiak adheres to all relevant statutes, regulations, and administrative prerequisites. Accordingly, roles that carry more sensitive requirements may be limited to candidates that can satisfy additional scrutiny and eligibility for such positions may hinge on verification of a candidate’s residence, U.S. person status, and/or citizenship status. Should the position require, and Kodiak determines that a candidate’s residence, U.S. person status, and/or citizenship status necessitate an export license, bar the candidate from the position, or otherwise fall under national security\-related restrictions, Kodiak will consider the candidate for alternative positions unaffected by such restrictions, under terms and conditions set forth at Kodiak’s sole discretion, or, as an alternative, opt not to proceed with the candidate’s application. If applicable, Kodiak may provide visa sponsorship for eligible candidates.
*We use a third\-party AI tool (Endorsed) to assist in the initial screening of applications. As part of the evaluation process, we provide Endorsed with job requirements and candidate\-submitted applications. Final hiring decisions are made by our human recruitment team, and no automated system makes the ultimate decision regarding hiring. Certain features of the platform may qualify it as an Automated Employment Decision Tool (AEDT) under applicable regulations. We began using Endorsed on January 1, 2026\. You can review the independent bias audit report covering our use of Endorsed \[here](* 
*https://endorsed.com/local\-law\-144* 
*). By submitting your application, you acknowledge that your application may be processed by AI systems as part of the screening and selection process. If you have any questions or would like to request a separate review of your application, please contact* 
*careers@kodiak.ai* 
*with "Separate Review Request" in the email subject line.*</t>
        </is>
      </c>
    </row>
    <row r="27">
      <c r="A27" t="inlineStr">
        <is>
          <t>li-4379980427</t>
        </is>
      </c>
      <c r="B27" t="inlineStr">
        <is>
          <t>Staff Machine Learning Engineer</t>
        </is>
      </c>
      <c r="C27" t="inlineStr">
        <is>
          <t>Storm3</t>
        </is>
      </c>
      <c r="D27" t="inlineStr">
        <is>
          <t>linkedin</t>
        </is>
      </c>
      <c r="E27" t="inlineStr"/>
      <c r="F27" t="inlineStr"/>
      <c r="G27" t="inlineStr"/>
      <c r="H27" t="inlineStr"/>
      <c r="I27" t="inlineStr">
        <is>
          <t>**⚡Staff Machine Learning Engineer** 
**💡 Healthcare AI** 
**🌎 US (remote)** 
**💸 $225k \- $275k \+ equity** 
 Join one of the fastest\-growing AI HealthTech startups in the US! This startup recently raised nearly
 **$100m in Series A funding** 
 and is looking to hire
 **top\-tier Staff ML Engineers** 
 to work on their
 **AI\-driven mental health** 
 platform.
**Responsibilities** 
* **Own entire products** 
 end to end
* Work directly
 **with C\-Suite** 
 to
 **plan the product roadmap**
* Work as part of
 **agile teams of 5**
**Requirements** 
* **10\+ years** 
 Engineering experience
* Expert in
 **generative AI** 
 (LLMs, Agentic AI) \&amp;
* **MSc or PhD** 
 in
 **Computer Science** 
 ,
 **Mathematics** 
 , Statistics, or relevant field
* **High\-ownership** 
 self\-starter mentality
* **HealthTech startup experience** 
 is a major plus
**Why apply?** 
* Chance to work directly with the
 **C\-Suite** 
 to
 **shape product direction**
* Highly
 **competitive compensation**
* Chance to be an
 **early member** 
 with
 **generous equity**
* **Fully remote** 
 working arrangement
*🌎 Remote, US* 
*📧 Interested in applying? Please click on the ‘Easy Apply’ button* 
*⚡ Storm3 is a HealthTech recruitment firm with clients across major Tech hubs in North America. To discuss open opportunities or career options, please visit our website at storm3\.com and follow the Storm3 LinkedIn page for the latest jobs and intel*</t>
        </is>
      </c>
    </row>
    <row r="28">
      <c r="A28" t="inlineStr">
        <is>
          <t>li-4361972960</t>
        </is>
      </c>
      <c r="B28" t="inlineStr">
        <is>
          <t>AI Engineer</t>
        </is>
      </c>
      <c r="C28" t="inlineStr">
        <is>
          <t>Orion</t>
        </is>
      </c>
      <c r="D28" t="inlineStr">
        <is>
          <t>linkedin</t>
        </is>
      </c>
      <c r="E28" t="inlineStr"/>
      <c r="F28" t="inlineStr"/>
      <c r="G28" t="inlineStr">
        <is>
          <t>Lehi, UT</t>
        </is>
      </c>
      <c r="H28" t="inlineStr"/>
      <c r="I28" t="inlineStr">
        <is>
          <t>**About This Opportunity**
 As an AI Engineer, you will have a hands\-on AI Engineer role focused on building, deploying, and maintaining end\-to\-end AI/ML systems, pipelines, and applications. You will work closely with senior AI engineers while independently owning well\-scoped projects and shipping production\-ready code. There is emphasis on strong software engineering, data pipelines, cloud infrastructure, containerization, and LLM\-based workflows. This position offers close mentorship, real\-world production experience, and a clear growth path toward senior AI/ML or data engineering roles. As we continue to evolve and live our Orion values, we are looking for someone to grow with us.
**For Internal And External Candidates**
 Candidates must work in\-office at one of the following locations for at least 3 days per week: Omaha, NE or Lehi, UT.
**In This Role, You’ll Get To**
* Design, build, and deploy end\-to\-end AI/ML systems, including model workflows, data pipelines, and deployment architectures
* Develop and maintain reliable, scalable data pipelines for structured and unstructured data
* Write clean, maintainable, and well\-tested code following software engineering best practices
* Work with cloud infrastructure, including containerization and orchestration tools
* Monitor, troubleshoot, and optimize AI workflows and data pipelines for performance and reliability
* Collaborate with cross\-functional teams to integrate AI solutions into production systems
**We’re Looking For Talent Who**
* Has strong programming and software engineering skills (Python, JavaScript, or similar languages)
* Has experience designing and maintaining AI/ML systems, workflows, and pipelines
* Has data engineering skills, including ETL processes and handling structured and unstructured data
* Has familiarity with cloud platforms (AWS, GCP, or Azure) and infrastructure concepts
* Has experience with containerization and orchestration tools (e.g., Docker, Kubernetes)
* Has hands\-on experience with LLMs and prompt engineering
* Has ability to troubleshoot, optimize, and improve system performance and reliability
* Has strong collaboration skills, paired with the ability to work independently and learn quickly
* Has a minimum of a bachelors degree
* Has a minimum of 3 years of experience
* Owns and manages relationships with stakeholders directly and works effectively with people at all levels in an organization
**Salary Range**
 $108,245\.00 \- $169,933\.00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29">
      <c r="A29" t="inlineStr">
        <is>
          <t>li-4380795340</t>
        </is>
      </c>
      <c r="B29" t="inlineStr">
        <is>
          <t>Fullstack AI Engineer</t>
        </is>
      </c>
      <c r="C29" t="inlineStr">
        <is>
          <t>Wiraa</t>
        </is>
      </c>
      <c r="D29" t="inlineStr">
        <is>
          <t>linkedin</t>
        </is>
      </c>
      <c r="E29" t="inlineStr"/>
      <c r="F29" t="inlineStr"/>
      <c r="G29" t="inlineStr"/>
      <c r="H29" t="inlineStr"/>
      <c r="I29" t="inlineStr">
        <is>
          <t>**About The Company**
 Freed is a pioneering healthcare technology company dedicated to transforming the medical profession by alleviating clinician burnout and enhancing the quality of patient care through innovative AI solutions. Founded with the mission to support healthcare providers, Freed combines cutting\-edge artificial intelligence technology with a passionate team of entrepreneurs and clinicians to develop products that streamline medical documentation and improve clinical workflows. Since its inception in May 2023, Freed has rapidly gained recognition and trust within the healthcare industry, acquiring over 20,000 clinicians who rely on its solutions daily. The company's flagship product, an AI\-powered medical scribe, automates the documentation process, generating over 70,000 patient notes each day and surpassing 2 million notes monthly. Backed by prominent investors such as Sequoia Capital, Freed is expanding its product suite to include patient\-facing assistants, insights, and seamless EHR integrations. With a vibrant office in San Francisco and a flexible hybrid work environment, Freed fosters a culture of innovation, collaboration, and impact, attracting talented professionals eager to make a meaningful difference in healthcare.
**About The Role**
 We are seeking a highly skilled and innovative Software Engineer to join our dynamic team at Freed. In this role, you will be instrumental in advancing our AI\-driven healthcare solutions, focusing on developing and refining features that restore joy to the practice of medicine. As part of our engineering team, you will take ownership of product components, from frontend interfaces to backend systems, and work extensively with the latest AI models, including language and speech processing. Your contributions will directly impact the efficiency and satisfaction of clinicians, ultimately improving patient outcomes. Our engineering culture emphasizes speed, autonomy, and responsibility, encouraging team members to experiment, innovate, and deliver high\-quality solutions rapidly. This role offers an exciting opportunity to work at the forefront of AI technology, collaborate with cross\-functional teams, and contribute to a mission\-driven company dedicated to healthcare transformation.
**Qualifications**
* 5\+ years of experience in full\-time software engineering roles post\-graduation
* Proven track record of consistent top performance in software development
* Experience evaluating ML or LLM\-based product features, prompt engineering, and fine\-tuning models
* Familiarity with AI development tools such as Copilot, ChatGPT, Cursor
* Desire to work across the full technology stack, including frontend, backend, and AI model interactions
* Location within Pacific, Mountain, or Central time zones
* Preferred familiarity with tech stack including React, TypeScript, NodeJS, Azure, and SQL
* Strong problem\-solving skills and a passion for innovative healthcare solutions
**Responsibilities**
* Take ownership of product features, from conception through deployment, across the entire software stack
* Adapt and integrate the latest AI models, including language and speech models, into our products
* Contribute to model training, fine\-tuning, prompt engineering, and optimizing inference for latency and cost efficiency
* Collaborate with cross\-functional teams including Product Management and UX Design in a remote environment
* Design and execute experiments to validate product improvements and ensure high\-quality software releases
* Implement new AI\-driven features and improve existing functionalities based on data and user feedback
* Maintain a focus on clinician needs and ensure solutions are aligned with healthcare industry standards
* Stay up\-to\-date with advancements in AI and healthcare technology to continuously improve our products
**Benefits**
* Competitive salary and equity options in a high\-growth company
* Opportunity to make a significant, immediate impact on healthcare technology
* Comprehensive medical, dental, and vision insurance coverage
* Unlimited paid time off to promote work\-life balance
* Company\-sponsored annual retreats for team building and relaxation
* Flexible hybrid work schedule to support personal and professional needs
* Collaborative and innovative work environment with talented colleagues
 Equal Opportunity
 Freed is an equal opportunity employer. We celebrate diversity and are committed to creating an inclusive environment for all employees. We do not discriminate based on race, ethnicity, gender, sexual orientation, age, disability, religion, or any other legally protected status. We believe that diverse perspectives and backgrounds drive innovation and are essential to our mission of transforming healthcare through AI technology.</t>
        </is>
      </c>
    </row>
    <row r="30">
      <c r="A30" t="inlineStr">
        <is>
          <t>li-4379697328</t>
        </is>
      </c>
      <c r="B30" t="inlineStr">
        <is>
          <t>AI Engineer, Professional Services, Google Cloud</t>
        </is>
      </c>
      <c r="C30" t="inlineStr">
        <is>
          <t>Google</t>
        </is>
      </c>
      <c r="D30" t="inlineStr">
        <is>
          <t>linkedin</t>
        </is>
      </c>
      <c r="E30" t="inlineStr"/>
      <c r="F30" t="inlineStr"/>
      <c r="G30" t="inlineStr">
        <is>
          <t>Austin, TX</t>
        </is>
      </c>
      <c r="H30" t="inlineStr"/>
      <c r="I30" t="inlineStr">
        <is>
          <t>The application window will be open until at least March 11,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
 **Minimum qualifications:**
* Bachelor's degree in Computer Science, or equivalent practical experience.
* 8 years of experience building machine learning solutions and working with technical customers.
* Experience designing cloud enterprise solutions and supporting customer projects to completion.
* Experience coding in one or more general purpose languages (e.g., Python, Java, Go, C or C\+\+) including data structures, algorithms, and software design.
**Preferred qualifications:**
* Experience working with recommendation engines, data pipelines, or distributed machine learning.
* Experience with deep learning frameworks (e.g., TensorFlow, PyTorch, XGBoost).
* Understanding of the auxiliary practical concerns in production machine learning systems.
* Knowledge of data warehousing concepts, including data warehouse technical architectures, infrastructure components, ETL/ELT and reporting/analytic tools and environments (e.g., Apache Beam, Hadoop, Spark, Pig, Hive, MapReduce, Flume).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trusted technical advisor to customers and solve complex machine learning challenges.
* Coach customers on the practical challenges in machine learning systems such as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
      <c r="A31" t="inlineStr">
        <is>
          <t>li-4380919429</t>
        </is>
      </c>
      <c r="B31" t="inlineStr">
        <is>
          <t>Founding AI Engineer</t>
        </is>
      </c>
      <c r="C31" t="inlineStr">
        <is>
          <t>brightplace</t>
        </is>
      </c>
      <c r="D31" t="inlineStr">
        <is>
          <t>linkedin</t>
        </is>
      </c>
      <c r="E31" t="inlineStr"/>
      <c r="F31" t="inlineStr"/>
      <c r="G31" t="inlineStr"/>
      <c r="H31" t="inlineStr"/>
      <c r="I31" t="inlineStr">
        <is>
          <t>We're looking for an AI Engineer who thrives at the intersection of data, APIs, and intelligent systems. You'll own the backend infrastructure that powers our AI\-first platform, from data acquisition and normalization to API design and system architecture. This is a founding engineer role where your decisions will shape our technical foundation.
**You'll focus on:** 
* Designing and building data pipelines that transform diverse sources into clean, queryable datasets
* Creating robust APIs that serve both internal AI systems and external partners
* Architecting backend services that handle high\-volume, real\-time data processing
* Partner with other engineers to build a seamless full\-stack product
* Shipping features quickly, learning from real usage, and iterating
**WHAT WE ARE LOOKING FOR:** 
**Technical foundation:** 
* 5\-8 years building production systems with modern Python (FastAPI, Django, or similar)
* Strong experience with data extraction, normalization, and database design (SQL \+ NoSQL)
* Proven ability to design and scale RESTful or GraphQL APIs
* Comfort with cloud infrastructure (AWS, GCP, or Azure)
* Real experience integrating LLMs into production systems (not just experiments)
**AI\-first mindset:** 
* You default to using AI tools (Claude, Cursor, Copilot) to accelerate development
* You think about how to build systems that get smarter with data
* You're excited about prompt engineering, embeddings, and working with unstructured data
**Startup DNA:** 
* Early\-stage company experience required
* Ship fast, learn from production, iterate based on data
* Thrive in ambiguity and make smart trade\-offs without perfect specs
**WHAT WE VALUE:** 
* **Velocity over perfection** 
 : We'd rather ship and learn than build the "right" architecture in a vacuum
* **Ownership** 
 : You'll own significant parts of the product: autonomy and accountability
* **AI\-native thinking** 
 : We're building for an AI\-first world, not bolting AI onto old patterns
* **Pragmatism** 
 : Use the right tool for the job, even if it's not the coolest technology
 NOTE:
* Candidates outside of NYC are not being considered
* We are unable to provide sponsorship for this role</t>
        </is>
      </c>
    </row>
    <row r="32">
      <c r="A32" t="inlineStr">
        <is>
          <t>li-4370703613</t>
        </is>
      </c>
      <c r="B32" t="inlineStr">
        <is>
          <t>Generative AI Engineer</t>
        </is>
      </c>
      <c r="C32" t="inlineStr">
        <is>
          <t>Equifax</t>
        </is>
      </c>
      <c r="D32" t="inlineStr">
        <is>
          <t>linkedin</t>
        </is>
      </c>
      <c r="E32" t="inlineStr"/>
      <c r="F32" t="inlineStr"/>
      <c r="G32" t="inlineStr">
        <is>
          <t>Atlanta, GA</t>
        </is>
      </c>
      <c r="H32" t="inlineStr"/>
      <c r="I32" t="inlineStr">
        <is>
          <t>**What You’ll Do**
* Apply the knowledge of data characteristics and data supply pattern, develop rules and tracking process to support data quality model.
* Prepare data for analytical use by building data pipelines to gather data from multiple sources and systems.
* Integrate, consolidate, cleanse and structure data for use by our clients in our solutions.
* Perform design, creation, and interpretation of large and highly complex datasets.
* Stay up\-to\-date with the latest trends and advancements in GCP and related technologies, actively proposing and evaluating new solutions.
* Understand best practices for data management, maintenance, reporting and security and use that knowledge to implement improvements in our solutions.
* Implement security best practices in pipelines and infrastructure.
* Develop and implement data quality checks and troubleshoot data anomalies.
* Provide guidance and mentorship to junior data engineers.
* Review dataset implementations performed by junior data engineers.
**What Experience You Need**
* BS degree in a STEM major or equivalent discipline; Master’s Degree strongly preferred
* 5\+ years of experience as a data engineer or related role
* Cloud certification strongly preferred
* Advanced skills using programming languages such as Python or SQL and intermediate level experience with scripting languages
* Intermediate level understanding and experience with Google Cloud Platforms and overall cloud computing concepts, as well as basic knowledge of other cloud environments
* Experience building and maintaining moderately\-complex data pipelines, troubleshooting issues, transforming and entering data into a data pipeline in order for the content to be digested and usable for future projects
* Experience designing and implementing moderately complex data models and experience enabling optimization to improve performance
* Demonstrates advanced Git usage and CI/CD integration skills
**What Could Set You Apart**
* Master’s degree in a related field is a strong plus
* Exposure in Vertex AI, GCP AI/ML services (AutoML, BigQuery ML, Cloud Run, etc.) or a similar cloud technology
* Strong foundational skills in Linux Operating System.
* Understanding of NLP, deep learning, and generative architectures (Transformers, Diffusion Models, etc.)
* Background in credit risk, financial data analytics or risk modeling.
* Experience working with large datasets on a big data platform (e.g., Google Cloud, AWS, Snowflake, Hadoop)
* Experience in Business Intelligence, data visualization, and customer insights
* generation.
* Familiarity with data governance, model bias mitigation, and regulatory frameworks (GDPR, AI Act, SEC compliance).
* Experience with MLOps practices, model monitoring, and CI/CD for AI workflows.
* Knowledge of prompt tuning, fine\-tuning, and parameter\-efficient methods (LoRA, PEFT).
* Hands\-on experience with RAG, multi\-modal AI, and hybrid AI architectures.
* Contributions to the AI community through publications, open\-source projects, or conference presentations.</t>
        </is>
      </c>
    </row>
    <row r="33">
      <c r="A33" t="inlineStr">
        <is>
          <t>li-4359698794</t>
        </is>
      </c>
      <c r="B33" t="inlineStr">
        <is>
          <t>Staff Machine Learning Engineer, Ads - Quora (Remote)</t>
        </is>
      </c>
      <c r="C33" t="inlineStr">
        <is>
          <t>Quora</t>
        </is>
      </c>
      <c r="D33" t="inlineStr">
        <is>
          <t>linkedin</t>
        </is>
      </c>
      <c r="E33" t="inlineStr"/>
      <c r="F33" t="inlineStr"/>
      <c r="G33" t="inlineStr"/>
      <c r="H33" t="inlineStr"/>
      <c r="I33"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GPT\-5\.2, Claude Opus 4\.5, Grok 4\.1, Veo 3\.1, Nano Banana Pro (Gemini 3 Pro Image),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Quora product.**
**About The Team And Role**
 Our Monetization team works on challenging problems every day. Our Machine Learning Engineers are tasked with optimizing the advertising product at Quora. The team covers the entire Machine Learning Ads lifecycle from end\-to\-end, including ads targeting, ranking and auction dynamics, and quality measurement. Engrained in our culture is the desire to constantly learn and improve, and our engineers are encouraged to think big and experiment with new ideas. Using continuous deployment, we quickly see our changes in the product and make fast iterations. Our engineers focus on creating polished products and writing high\-quality code by designing APIs and abstractions that are extensible and maintainable. As a remote\-first company, our engineers have a high degree of flexibility and autonomy. Everyone on the engineering team has a huge impact on our product, revenue and company.
 Since we first launched our advertising platform, we've grown to support thousands of advertisers who are reaching over 300 million\+ monthly unique visitors on Quora. Our journey is just beginning as we continue to build new products from the ground up and tackle exciting challenges at scale. Today, we're working on a broad range of areas to grow our ads product to drive more value to our users and advertisers. As a member of the Ads Machine Learning team, you will have a chance to work with a diverse and talented global team of engineers and collaborate closely with cross\-functional partners to help advertisers reach their performance goals through next\-generation targeting and bidding products and to build a stronger connection between Quora users and its business products.
**Responsibilities**
* Improve our existing machine learning systems using your core coding skills and ML knowledge
* Take end to end ownership of machine learning systems \- from data pipelines, feature engineering, candidate extraction, model training, as well as integration into our production systems
* Apply state\-of\-the\-art machine learning algorithms at scale and serving for next\-generation targeting and bidding products that directly impact the company’s top line metrics
* Collaborate with ML platform and product engineers to build scalable and efficient machine learning systems in the production environment
* Work with product and business teams on new innovative features for ad targeting and bidding to optimize advertisement performance
* Identify new opportunities to apply machine learning to different parts of the Ads product to drive value for our users and advertisers
**Minimum Requirements**
* Availability for meetings and impromptu communication during Quora's “coordination hours" (Mon\-Fri: 9am\-3pm Pacific Time)
* 5\+ years of professional software development experience in machine learning
* Previous experience working in Adtech, developing ad targeting/retrieval/recommender systems
* Previous experience building large scale ranking/recommendation systems
* Good understanding of mathematical foundations of machine learning algorithms
* Highly proficient coding ability writing Python
* BS, MS or PhD in Computer Science, Engineering or a related technical field
**Preferred Requirements**
* Experience with leading large\-scale multi\-engineer projects
* Experience in productized reinforcement learning
* Experience working with CTR, CVR, auto\-bidding and auction systems
* Effective communicator with strong leadership skills
* Passion for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There are many factors that will determine the starting pay, including but not limited to experience, location, education, and business needs.
* US candidates only: For US based applicants, the salary range is $189,507 \- $320,613 USD \+ equity \+ benefits.
* Canada candidates only: For Toronto and Vancouver based applicants, the salary range is $248,526 \- $336,370 CAD \+ equity \+ benefits. For all other locations in Canada, the salary range is $231,958 \- $313,946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**To ensure a secure hiring process, all final candidates will undergo identity verification and a comprehensive background check prior to onboarding.**
 Job Applicant Privacy Notice: https://www.careers.quora.com/pages/quora\-global\-job\-applicant\-privacy\-notice</t>
        </is>
      </c>
    </row>
    <row r="34">
      <c r="A34" t="inlineStr">
        <is>
          <t>li-4345475607</t>
        </is>
      </c>
      <c r="B34" t="inlineStr">
        <is>
          <t>AI Engineer Lead</t>
        </is>
      </c>
      <c r="C34" t="inlineStr">
        <is>
          <t>RBC</t>
        </is>
      </c>
      <c r="D34" t="inlineStr">
        <is>
          <t>linkedin</t>
        </is>
      </c>
      <c r="E34" t="inlineStr"/>
      <c r="F34" t="inlineStr"/>
      <c r="G34" t="inlineStr">
        <is>
          <t>New York, NY</t>
        </is>
      </c>
      <c r="H34" t="inlineStr"/>
      <c r="I34" t="inlineStr">
        <is>
          <t>**Job Description**
**What is the opportunity?**
 Join RBC Capital Markets’ AI \&amp; Digital Engineering team as a Senior AI Engineer and shape the strategic direction of artificial intelligence and emerging technologies. Reporting directly to the Head of AI \&amp; Digital Engineering, you’ll drive innovation across global financial markets while mentoring high\-performing teams and influencing executive stakeholders.
**What will you do?**
* Strategic Leadership: Define and execute the AI technology roadmap, aligning with business goals and regulatory requirements. Lead thought leadership initiatives to position RBC as an innovator in financial technology.
* Advanced Solution Architecture: Design and oversee the development of enterprise\-grade AI/ML systems, emphasizing scalability, security, and compliance. Focus on Generative AI, NLP, and blockchain applications.
* Cross\-Functional Influence: Collaborate with senior leaders, data scientists, engineers, and business units to translate complex challenges into actionable AI strategies. Mentor junior team members and foster a culture of innovation.
* Research \&amp; Innovation: Lead feasibility studies, proof\-of\-concepts, and R\&amp;D efforts for emerging technologies. Evaluate and integrate cutting\-edge tools, frameworks, and cloud\-native solutions (AWS/GCP/Azure).
* Production Excellence: Ensure robust deployment and optimization of AI pipelines, balancing technical rigor with business impact. Champion MLOps and DevOps best practices.
* Stakeholder Engagement: Communicate technical visions and project outcomes to C\-suite executives, clients, and regulators. Represent RBC at industry conferences and forums.
* Risk \&amp; Compliance: Proactively address ethical AI, data governance, and regulatory considerations in financial services.
**What do you need to succeed?**
* Experience: Significant related experience in AI/ML engineering, including leadership or architectural roles, with a proven track record of delivering production\-scale AI solutions, ideally within finance or related industries.
* Technical Expertise:
+ Deep expertise in Generative AI (e.g., LLMs, diffusion models), NLP, and computer vision.
+ Proficiency in Python and experience with C/C\+\+ or Java. Hands\-on with frameworks like TensorFlow, PyTorch, or Hugging Face.
+ Blockchain knowledge (e.g., smart contracts, decentralized finance) and cloud\-native AI deployment (Kubernetes, serverless).
* Strategic Thinking: Ability to align technical innovation with business outcomes and regulatory constraints. Experience influencing organizational strategy.
* Leadership \&amp; Mentorship: Demonstrated ability to lead diverse teams, mentor talent, and drive cultural change.
* Education: Advanced degree (MS/PhD) in Computer Science, AI, or a quantitative field preferred.
* Certifications: AWS/GCP/Azure AI certifications, CFA, or FRM a plus.
* Industry Insight: Strong understanding of capital markets, risk management, and financial regulations (e.g., MiFID II, Dodd\-Frank).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include competitive compensation and flexible benefits, such as 401(k) program with company\-matching contributions, health, dental, vision, life, disability insurance, and paid\-time off.
* Leaders who support your development through coaching and managing opportunities.
* Ability to make a difference and lasting impact.
* Work in a dynamic, collaborative, progressive, and high\-performing team.
* Opportunities to do challenging work.
* Opportunities to build close relationships with clients.
 The expected salary range for this particular position in New York is $225,000 \- $300,000 depending on your experience, skills, and registration status, market conditions and business needs. You have the potential to earn more through RBC’s discretionary variable compensation program which gives you an opportunity to increase your total compensation, provided the business meets its performance targets and you meet your individual goals.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**Job Skills**
 Machine Learning (ML)
**Additional Job Details**
**Address:**
 BROOKFIELD PLACE FKA 3 WORLD FINANCIAL CENTER, 200 VESEY STREET:NEW YORK
**City:**
 New York
**Country:**
 United States of America
**Work hours/week:**
 40
**Employment Type:**
 Full time
**Platform:**
 CAPITAL MARKETS
**Job Type:**
 Regular
**Pay Type:**
 Salaried
**Posted Date:**
 2025\-12\-18
**Application Deadline:**
 2026\-03\-09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35">
      <c r="A35" t="inlineStr">
        <is>
          <t>li-4371065200</t>
        </is>
      </c>
      <c r="B35" t="inlineStr">
        <is>
          <t>Lead AI Engineer</t>
        </is>
      </c>
      <c r="C35" t="inlineStr">
        <is>
          <t>Govini</t>
        </is>
      </c>
      <c r="D35" t="inlineStr">
        <is>
          <t>linkedin</t>
        </is>
      </c>
      <c r="E35" t="inlineStr"/>
      <c r="F35" t="inlineStr"/>
      <c r="G35" t="inlineStr">
        <is>
          <t>Pittsburgh, PA</t>
        </is>
      </c>
      <c r="H35" t="inlineStr"/>
      <c r="I35"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an experienced Lead AI Engineer to lead our Agentic AI team as we scale our agentic offerings across all levels of the US government. Over the past year, we have seen the rapid adoption of our agent, Ace. We expect Ace to be handling much more complex tasks and workflows end\-to\-end and/or in cooperation with a human user as time goes on. The team is striving to make Ace an even more effective agent, focusing on planning, reliable execution over longer time horizon tasks, scaled tool use, Ace Skills, memory, and inter\-agent coordination.
 In order to do this job well, we are looking for someone who can demonstrate a project built on LLMs that showcases your skill at getting them to do complex tasks.
* Experience leading agentic system development from ideation through production, including technical design, architecture decisions, and day\-to\-day leadership of Data Scientists and Machine Learning Engineers
* Experience integrating and working with LLMs, with a strong understanding of their capabilities and limitations
* Experience integrating and working with agent frameworks like Claude Agent SDK or OpenAI Agent SDK
* Experience building observability, evaluation, and feedback loops for agent behavior (telemetry, prompt evaluation, regression testing, and reliability metrics).
* Experience working in highly ambiguous environments, and operating with urgency
* Lead Agile ceremonies and technical planning for the Agentic AI team
**Strong Candidates Have**
* Experience designing and deploying complex agentic systems using LLMs
* Hands\-on work with multi\-agent coordination, routing, and tool orchestration
* Passion for building autonomous and semi\-autonomous systems that solve real customer problems
 This role is a full\-time position located out of our office in Pittsburgh, PA.
 This role may require up to 10% travel
 Scope of Responsibilities
* Designs and builds multi\-agent systems with tool use, memory, routing, and planning
* Develops Agent Skills and tools as modular, composable services that interact with backend systems, models, and data processing
* Assist with automated evaluation of agents, skills, and prompts across the entire product lifecycle
* Work with our Product and Implementation organizations to find solutions to our most vexing challenges applying agents to our customer problems
**Qualifications**
* U.S. Citizenship is required
**Required Skills**
* Bachelor's, Master’s, or Doctorate in Computer Science, Computer Engineering, Data Science, or a related field
* Minimum 3 years of experience building and deploying ML or LLM\-powered systems in production environments
* Minimum 2 years of experience leading or mentoring engineering teams in production environments
* Practical experience in building, developing, and productionizing machine learning systems
* Advanced software skills in Python
* Experience with common LLM algorithms and implementations
* Hands\-on experience with AWS and cloud infrastructure
* A strong desire to learn and investigate new technologies
* Familiarity with Git source control management
* Ability to work collaboratively with little supervision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with Claude Code and GenAI coding best practices.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36">
      <c r="A36" t="inlineStr">
        <is>
          <t>li-4380350732</t>
        </is>
      </c>
      <c r="B36" t="inlineStr">
        <is>
          <t>AI Engineer</t>
        </is>
      </c>
      <c r="C36" t="inlineStr">
        <is>
          <t>Underdog.io -Apply to top tech jobs in 60 seconds. A place where companies apply to you</t>
        </is>
      </c>
      <c r="D36" t="inlineStr">
        <is>
          <t>linkedin</t>
        </is>
      </c>
      <c r="E36" t="inlineStr"/>
      <c r="F36" t="inlineStr"/>
      <c r="G36" t="inlineStr"/>
      <c r="H36" t="inlineStr"/>
      <c r="I36"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Huggingface
* **Infra** 
 : AWS/Azure, Kubernetes, Docker, Redis
* **Observability** 
 : LLM telemetry, cost optimization
**Who You Are** 
* 5\+ years in software engineering, including
 **2\+ years shipping production AI/ML systems** 
 (not just prototypes).
* **Proven expertise** 
 in:
* LLM integration (RAG, agentic)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37">
      <c r="A37" t="inlineStr">
        <is>
          <t>li-4354150164</t>
        </is>
      </c>
      <c r="B37" t="inlineStr">
        <is>
          <t>Senior/Principal Machine Learning Engineer</t>
        </is>
      </c>
      <c r="C37" t="inlineStr">
        <is>
          <t>Workday</t>
        </is>
      </c>
      <c r="D37" t="inlineStr">
        <is>
          <t>linkedin</t>
        </is>
      </c>
      <c r="E37" t="inlineStr"/>
      <c r="F37" t="inlineStr"/>
      <c r="G37" t="inlineStr">
        <is>
          <t>Pleasanton, CA</t>
        </is>
      </c>
      <c r="H37" t="inlineStr"/>
      <c r="I37"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**P5, Principal Machine Learning Engineer**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**P4, Senior Machine Learning Engineer**
****Basic Qualifications****
* 7\+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3\+ years of professional experience in machine learning and deep learning frameworks \&amp; toolkits such as Pytorch, TensorFlow
* 4\+ years of professional experience in building services to host machine learning models in production at scale
* 2\+ years of demonstrated experience working with large language models (LLMs), text generation models, and/or graph neural network models for real\-world use cases
* 4\+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$230,400 USD \- $345,600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38">
      <c r="A38" t="inlineStr">
        <is>
          <t>li-4371078498</t>
        </is>
      </c>
      <c r="B38" t="inlineStr">
        <is>
          <t>Forward Deployed AI Engineering – Future Opportunities</t>
        </is>
      </c>
      <c r="C38" t="inlineStr">
        <is>
          <t>Wonderschool</t>
        </is>
      </c>
      <c r="D38" t="inlineStr">
        <is>
          <t>linkedin</t>
        </is>
      </c>
      <c r="E38" t="inlineStr"/>
      <c r="F38" t="inlineStr"/>
      <c r="G38" t="inlineStr">
        <is>
          <t>San Francisco, CA</t>
        </is>
      </c>
      <c r="H38" t="inlineStr"/>
      <c r="I38" t="inlineStr">
        <is>
          <t>**About Wonderschool**
 Wonderschool’s mission is to ensure every child has access to early childhood education that helps them realize their full potential. We empower small business owners—child care providers—to launch and grow in\-home programs through cutting\-edge software, personalized coaching, and responsive support. We also partner with governments to modernize public child care infrastructure.
 Our team is small, fast\-moving, and deeply motivated by the impact we create in families and communities across the country.
**About This Future Opportunity**
 As Wonderschool continues to grow, we’re interested in connecting with
 **Forward Deployed AI Engineers** 
 who are excited to work at the intersection of engineering, product, and real\-world customer impact. This posting is intended to build relationships with candidates for
 **potential future openings** 
 and does not represent an active role at this time.
 This role concept is inspired by best\-in\-class Forward Deployed Software Engineers at companies like Palantir and is designed for builders who love solving real problems in the field—not just from behind a desk.
**What These Roles May Involve**
 Depending on company needs, future Forward Deployed AI Engineer roles may include:
* Working directly with customers and internal teams to uncover high\-leverage problems
* Designing, building, and deploying AI\-powered tools and product experiences
* Writing production code and shipping frequent improvements across the customer journey
* Automating operational workflows such as onboarding, reporting, proposals, and internal tooling
* Leveraging AI developer tools (e.g., Windsurf, Cursor, LLMs) to increase speed and quality
* Owning full feedback loops: discovery, design, build, deploy, and iteration
* Partnering closely with Sales, Onboarding, Account Management, and Product teams
* Prioritizing work based on measurable business impact (revenue, efficiency, retention, experience)
**What We’re Generally Looking For**
* Strong builder mindset; experience launching products, tools, or businesses independently
* Comfort working directly with users and translating insights into shipped solutions
* Ability to write production code independently (e.g., Python, JavaScript, or similar languages)
* Experience working with AI / LLMs and modern developer tooling
* Business\-minded approach to prioritization and problem\-solving
* Comfort operating in ambiguity with high ownership and minimal hand\-holding
* Interest in fast\-paced, in\-person, high\-trust environments
**Compensation (Future Opportunities – California)**
 For future Forward Deployed AI Engineer roles based in California, the expected base salary range is
 **approximately $181,000 – $203,000** 
 . Actual compensation may vary based on role scope, level, experience, and business needs at the time of hire. These roles may also be eligible for equity and benefits.
**Additional Notes**
* This is not an active job opening and does not guarantee an interview or offer
* Role scope, level, location expectations, and compensation may evolve based on business needs
* Candidates may be contacted if and when a relevant opening becomes available</t>
        </is>
      </c>
    </row>
    <row r="39">
      <c r="A39" t="inlineStr">
        <is>
          <t>li-4379663789</t>
        </is>
      </c>
      <c r="B39" t="inlineStr">
        <is>
          <t>Distinguished AI Engineer</t>
        </is>
      </c>
      <c r="C39" t="inlineStr">
        <is>
          <t>TalentAlly</t>
        </is>
      </c>
      <c r="D39" t="inlineStr">
        <is>
          <t>linkedin</t>
        </is>
      </c>
      <c r="E39" t="inlineStr"/>
      <c r="F39" t="inlineStr"/>
      <c r="G39" t="inlineStr">
        <is>
          <t>San Francisco, CA</t>
        </is>
      </c>
      <c r="H39" t="inlineStr"/>
      <c r="I3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$269,100 \- $307,200 for Distinguished AI Engineer
 McLean, VA: $269,100 \- $307,200 for Distinguished AI Engineer
 New York, NY: $293,600 \- $335,100 for Distinguished AI Engineer
 San Francisco, CA: $293,600 \- $335,100 for Distinguished AI Engineer
 San Jose, CA: $293,600 \- $335,100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PDN\-a1375dd9\-4e76\-4572\-817e\-83606c539b82</t>
        </is>
      </c>
    </row>
    <row r="40">
      <c r="A40" t="inlineStr">
        <is>
          <t>li-4323664464</t>
        </is>
      </c>
      <c r="B40" t="inlineStr">
        <is>
          <t>Fullstack Agentic AI Engineer</t>
        </is>
      </c>
      <c r="C40" t="inlineStr">
        <is>
          <t>Kyndryl</t>
        </is>
      </c>
      <c r="D40" t="inlineStr">
        <is>
          <t>linkedin</t>
        </is>
      </c>
      <c r="E40" t="inlineStr"/>
      <c r="F40" t="inlineStr"/>
      <c r="G40" t="inlineStr">
        <is>
          <t>Dallas, TX</t>
        </is>
      </c>
      <c r="H40" t="inlineStr"/>
      <c r="I40"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As a Fullstack Agentic AI Engineer at Kyndryl, you’ll take the architect’s vision and turn it into reality building and delivering the code and integrations that power our customer engagements, and next\-gen Agentic AI deployments. This is a hands\-on, highly technical role where you’ll work on enterprise\-grade software platforms that integrate Agentic AI capabilities.
 You’ll thrive in a true builder’s environment, where MVP rollouts happen in weeks, and you’ll have the autonomy to experiment, innovate, and solve complex problems. Expect a mix of technical work, some customer\-facing collaboration and a fast\-paced, iterative setting with evolving requirements.
 What You’ll Do
* Develop and implement end\-to\-end AI\-driven applications, integrating generative AI models.
* Build and maintain scalable front\-end interfaces using modern web frameworks (React, Angular, Vue.js).
* Design and develop robust back\-end services using Node.js, Python, or other back\-end technologies.
* Integrate large language models (LLMs) and multimodal AI models into applications.
* Optimize application performance, ensuring efficiency in AI inference and API response times.
* Develop and maintain RESTful and GraphQL APIs for AI model interaction.
* Deploy AI applications on cloud platforms (AWS, GCP, Azure) using containerization and serverless technologies.
* Ensure security, scalability, and compliance of AI\-driven applications.
* Stay up to date with the latest advancements in Generative/Agentic4 AI, web development, and cloud technologies.
 \#AgenticAI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Bachelor’s degree in Computer Science, Software Engineering, or a related field (or equivalent experience).
* 4\+ years of experience in full\-stack development, with a track record of building scalable, production\-ready systems.
* Strong proficiency in JavaScript/TypeScript, Python, and modern front\-end frameworks (React, Vue, or Angular).
* Experience with agentic frameworks such as LangChain, AutoGen or CrewAI.
* Hands\-on experience with integrating AI models via APIs (OpenAI, Hugging Face, etc.).
* Knowledge of vector databases, embeddings, and retrieval\-augmented generation (RAG) techniques.
* Experience with cloud platforms (e.g., AWS, Azure, GCP), containerization (Docker, Kubernetes), and CI/CD pipelines.
* Strong understanding of database technologies (SQL, NoSQL, Firebase, MongoDB, PostgreSQL).
* Ability to design scalable and maintainable architectures for AI\-driven applications.
* Capable of working closely with cross\-functional teams to deliver cohesive, end\-to\-end functionality.
* Knowledge of message queues (e.g., RabbitMQ, Kafka) and caching systems (e.g., Redis).
**Preferred Skills And Experience**
* Experience with Temporal Workflows, Langfuse, LLM gateways such as LiteLLM
* Prior experience in prompt engineering
* Experience in building AI\-powered chatbots, content generators, or recommendation systems.
* Familiarity with LLM fine\-tuning, prompt engineering, and AI model optimization.
* Knowledge of serverless computing, edge AI, and streaming architectures.
* Background in handling large\-scale data or real\-time systems.
 The compensation range for the position in the U.S. is $110,880 to $263,160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$122,040 to $315,720
 Colorado: $110,880 to $263,160
 New York City: $133,080 to $315,720
 Washington: $122,040 to $289,440
 Washington DC: $122,040 to $289,440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41">
      <c r="A41" t="inlineStr">
        <is>
          <t>li-4365010555</t>
        </is>
      </c>
      <c r="B41" t="inlineStr">
        <is>
          <t>Senior Machine Learning Engineer (Mandarin speaking)</t>
        </is>
      </c>
      <c r="C41" t="inlineStr">
        <is>
          <t>Moloco</t>
        </is>
      </c>
      <c r="D41" t="inlineStr">
        <is>
          <t>linkedin</t>
        </is>
      </c>
      <c r="E41" t="inlineStr"/>
      <c r="F41" t="inlineStr"/>
      <c r="G41" t="inlineStr">
        <is>
          <t>Menlo Park, CA</t>
        </is>
      </c>
      <c r="H41" t="inlineStr"/>
      <c r="I41"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As a Senior Machine Learning Engineer on Moloco’s Ads Quality team, you’ll design and scale machine learning systems that directly improve ad relevance, ranking, and optimization. Your work will have a measurable impact on advertiser performance, revenue efficiency, and the overall user experience across Moloco’s ad platform.
**The Opportunity:**
* Design, build, and deploy large\-scale ML systems for ad ranking, click\-through prediction, and conversion optimization
* Develop and operate production pipelines that process hundreds of millions of ad requests per day with low\-latency requirements
* Collaborate directly with customers and partners in Mandarin to understand business goals and deliver data\-driven ML solutions
* Apply systematic, reproducible approaches to model training, evaluation, and continuous improvement
* Partner with the Machine Learning Infrastructure and Data teams to improve tooling, deployment pipelines, and training efficiency
* Lead design and code reviews to promote technical excellence and standardize ML practices across Ads teams
* Diagnose model performance, identify optimization opportunities, and execute experiments that drive measurable results
* Mentor engineers on best practices for ML experimentation, productionization, and scaling
* Work cross\-functionally with product, infrastructure, and business teams to align technical innovations with product goals
**How Do I Know if the Role is Right For Me?**
* You have 7\+ years of experience building and deploying ML systems at scale, ideally in AdTech, recommender systems, or search/ranking domains
* You’ve shipped models that directly improved key product or business metrics such as CTR, CVR, or ROI
* You’re fluent in Mandarin Chinese and skilled at collaborating with customers or partners in technical discussions
* You have strong software engineering fundamentals: data structures, algorithms, and system design and proficiency in Python (C\+\+ or Java a plus)
* You’re experienced with modern ML frameworks such as PyTorch, TensorFlow, or JAX
* You’ve worked with distributed data and compute systems like Apache Beam, Dataflow, or Flume
* You understand how to build robust ML pipelines including data versioning, feature engineering, retraining, and model monitoring in production
* You have experience optimizing inference performance on GPUs, TPUs, or similar hardware accelerators
* You thrive in fast\-moving, ambiguous environments and can translate complex technical work into measurable business outcomes
* You value collaboration, accountability, and building systems that scale across teams and markets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$197,600—$247,000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42">
      <c r="A42" t="inlineStr">
        <is>
          <t>li-4370762003</t>
        </is>
      </c>
      <c r="B42" t="inlineStr">
        <is>
          <t>Senior Applied AI Engineer</t>
        </is>
      </c>
      <c r="C42" t="inlineStr">
        <is>
          <t>Teamworks</t>
        </is>
      </c>
      <c r="D42" t="inlineStr">
        <is>
          <t>linkedin</t>
        </is>
      </c>
      <c r="E42" t="inlineStr"/>
      <c r="F42" t="inlineStr"/>
      <c r="G42" t="inlineStr"/>
      <c r="H42" t="inlineStr"/>
      <c r="I42" t="inlineStr">
        <is>
          <t>**The Opportunity**
 Teamworks is accelerating its investment in GenAI to help sports organizations make better decisions faster, from how they analyze performance data to how they operate day to day. We’re hiring a Senior Software Engineer, GenAI to build AI\-powered product experiences that real teams rely on in high\-stakes environments.
 This is a high\-impact role on the Platform team, where you’ll help turn GenAI from experimentation into reliable, production\-ready capabilities used across the Teamworks product suite. You’ll design and ship real customer\-facing AI features, build reusable GenAI infrastructure, and enable product teams across Teamworks to move faster with confidence. Your work will directly contribute to revenue growth, product differentiation, and the future technical foundation of Teamworks.
 This position will report to a Senior Manager, Engineering.
**What You'll Do**
* Design, build, and ship production\-grade GenAI features that help teams explore data, ask better questions, and trust the answers they get.
* Own GenAI features end\-to\-end — from system design and LLM integration through deployment, monitoring, and iteration.
* Build and maintain reusable GenAI platform components that make it easier and safer for teams across Teamworks to ship AI\-powered features.
* Establish and document best practices for building, testing, and operating GenAI systems reliably in production.
* Enable product engineering teams to ship AI\-powered features by providing shared infrastructure, technical guidance, and hands\-on integration support.
* Make architectural decisions that balance speed, scalability, reliability, security, and cost in a multi\-tenant data environment.
* Partner with Product, Design, and domain subject\-matter experts to deliver trustworthy, explainable AI experiences that align with real user workflows.
**Must\-haves**
**What You'll Bring**
* 6\+ years of professional software engineering experience, building and operating production systems with real customer impact.
* Experience shipping GenAI\-powered or ML\-enabled features to production, with ownership beyond prototypes or demos.
* Strong proficiency in TypeScript and Node.js, including building and maintaining backend services and APIs.
* Solid system design and architecture skills, with experience designing distributed, reliable, and observable services.
* Strong data reasoning and SQL fundamentals, including aggregation, time\-based analysis, and performance considerations.
* Hands\-on experience designing and operating production GenAI systems with prompts, tool interfaces, guardrails, and failure handling in cloud environments (AWS preferred).
**Nice\-to\-haves**
* Experience integrating AI\-driven workflows into React\-based user interfaces.
* Familiarity with Infrastructure as Code (e.g., Terraform) and cloud\-native deployment practices.
* Experience with observability and evaluation for AI\-powered systems (e.g., logging, metrics, regression checks).
* Exposure to data platforms or lakehouse\-style architectures.
* Interest in sports analytics, performance data, or complex domain\-driven products.
**Who Thrives Here**
 You’re a builder who cares deeply about shipping real value, not just experimenting with new technology. You enjoy working in undefined problem spaces, think holistically about systems, and take pride in creating solutions that other engineers love to use. You see GenAI as a product capability, not just a model integration, and you’re excited to help define how an entire organization builds with AI.
**About Teamworks**
 We're the Operating System for Sports™, powering 6,500\+ organizations worldwide, from collegiate programs to every major pro league. Founded in 2006, we've evolved from a messaging tool for college football into the leading sports tech platform, with 500\+ global teammates building the future of sports tech. Our solutions span Personnel, Coaching, Performance, Operations, and Intelligence \- helping teams recruit smarter, train better, stay compliant, and win.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*To all recruitment agencies: Teamworks does not accept agency resumes. Please do not forward resumes to our jobs alias, Teamworks employees or any other organization location. Teamworks is not responsible for any fees related to unsolicited resumes.*</t>
        </is>
      </c>
    </row>
    <row r="43">
      <c r="A43" t="inlineStr">
        <is>
          <t>li-4378970545</t>
        </is>
      </c>
      <c r="B43" t="inlineStr">
        <is>
          <t>AI Engineer/Data Scientist</t>
        </is>
      </c>
      <c r="C43" t="inlineStr">
        <is>
          <t>Commercial Bank of California</t>
        </is>
      </c>
      <c r="D43" t="inlineStr">
        <is>
          <t>linkedin</t>
        </is>
      </c>
      <c r="E43">
        <f>HYPERLINK("https://www.linkedin.com/jobs/view/4378970545", "https://www.linkedin.com/jobs/view/4378970545")</f>
        <v/>
      </c>
      <c r="F43" t="inlineStr"/>
      <c r="G43" t="inlineStr">
        <is>
          <t>California, United States</t>
        </is>
      </c>
      <c r="H43" t="inlineStr"/>
      <c r="I43" t="inlineStr">
        <is>
          <t>**AI Engineer/Data Scientist** 
**Location:** 
 Irvine, CA
**Job Type:** 
 Full\-Time \| Exempt \| Remote/Hybrid Eligible
**Salary Range:** 
 $170,000 – $220,000 per year
**About Commercial Bank of California** 
 Commercial Bank of California (CBC) is the largest Latino\-owned bank in California and a certified Minority Depository Institution (MDI). Headquartered in Irvine and founded in 2003, CBC is one of the largest privately held banks in the state, with over $3\.5 billion in assets as of December 2025\.
 We are a purpose\-driven financial institution committed to building long\-term relationships and delivering innovative, personalized banking solutions. Our leadership reflects the diverse communities we serve, and our mission is rooted in empowering entrepreneurs, business owners, and community leaders to thrive.
 As a certified MDI, CBC is proud to play a vital role in advancing financial inclusion and economic opportunity. We believe in a higher vision for banking—one that prioritizes trust, collaboration, and community impact. Join us and be part of a team that’s redefining what it means to be a community\-focused, relationship\-driven bank that puts people over profits.
**Job Summary** 
 As a Senior AI Engineer/Data Scientist, you will lead the design, development, and deployment of production\-grade AI solutions within our financial services ecosystem. You will bridge the gap between complex data science and scalable software engineering, utilizing Azure AI Foundry to build secure, high\-performing models. A primary focus will be on Intelligent Automation—replacing manual financial workflows with AI\-driven agents and LLM\-powered systems.
**Essential Duties and Responsibilities** 
* Design and implement end\-to\-end AI pipelines using Azure AI Foundry (formerly Azure AI Studio),
* including orchestrating complex AI workflows, building RAG (Retrieval\-Augmented Generation) systems for financial document processing, and deploying large language models.
* You’ll establish best practices for prompt engineering, model fine\-tuning, and responsible AI implementation across the organization.
* Identify and automate high\-value banking processes using a combination of traditional ML, generative AI, and agentic systems. This includes automating loan origination workflows, regulatory reporting, document intelligence systems, customer service automation, and compliance monitoring using tools like Azure Document Intelligence, OpenAI models, Claude, and custom solutions.
* Identify manual processes in banking operations (e.g., KYC, credit scoring, fraud detection) and engineer automated solutions using AI agents and RAG (Retrieval\-Augmented Generation) architectures.
* Leverage Claude Code and other developer\-centric AI tools to accelerate the software development lifecycle (SDLC) and maintain high code quality.
* Evaluate and fine\-tune Large Language Models (LLMs) like GPT\-4, Claude 4, and Llama 3 for finance\-specific terminology and compliance requirements.
* Work closely with cybersecurity teams to ensure all AI deployments adhere to banking regulations (GDPR, CCPA, and Basel III standards), implementing robust guardrails and "Human\-in\-the\-Loop" systems.
* Document solutions, present technical findings, and support knowledge sharing across teams.
* This individual will create production\-ready AI systems by incorporating Enterprise\-wide framework, rapidly adapt to emerging AI techniques, and own the lifecycle of models and agents from initial ideation through monitoring and maintenance. The engineer will coordinate with cross\-functional data and business teams but retain technical accountability.
* Own the complete AI development lifecycle: prototype, productionize, monitor, and continuously improve models and systems.
* Rapidly evaluate, adopt, and optimize new AI techniques and platforms as technology evolves
**Minimum Qualifications** 
* Technical AI/ML Expertise
* 7\+ years of experience in AI/ML engineering or data science with minimum 10\+ IT Engineering experience.
* Bachelor’s degree in computer science, Engineering, Mathematics, Data Science, Information Systems, or equivalent.
* Deep Learning \&amp; LLMs: Proven experience with Prompt Engineering, RAG, and fine\-tuning techniques.
* Cloud Platforms: Mastery of Azure AI Foundry, Azure Machine Learning, and Azure OpenAI Service.
* AI Tooling: Hands\-on experience with Claude Code, GitHub Copilot, LangChain, and LlamaIndex for agentic workflows.
* Programming: Expert\-level proficiency in Python (PyTorch, TensorFlow, Scikit\-learn) and SQL.
* Direct experience in the financial industry, understanding the nuances of risk management, transaction monitoring, and payments is a plus.
* Familiarity with financial data structures and the challenges of legacy banking system integration.
* Strong understanding of MLOps (Machine Learning Operations) to manage model versioning, monitoring, and retraining.
* Experience with CI/CD pipelines, containerization (Docker/Kubernetes), and API development (FastAPI/Flask).
* Familiarity with synthetic data generation for financial modeling
* Understanding of real\-time fraud detection architectures
* Experience with conversational AI for banking (chatbots, virtual assistants)
* Experience vetting potential use cases for AI capabilities, implementing viable approaches, and defining/tracking measures of success
* Deep understanding of data engineering, integration, and pipeline architecture.
* Preferred Qualifications:
* Certifications such as Microsoft Certified: Azure AI Engineer Associate (AI\-102\) or Azure Data Scientist Associate (DP\-100\).
* Prior experience in banking, financial services, or fintech (strongly preferred)
* A portfolio of successful AI\-driven automation projects that resulted in measurable ROI or time savings.
* *This list is not all inclusive. Additional duties will be assigned as needed*
**Benefits \&amp; Perks** 
* Competitive employer contribution to medical, dental and vision coverage
* 401k plan with employer match
* Flexible Spending Accounts (FSA) and Dependent Care Accounts
* Employee Assistance Program (EAP)
* Employer provided Calm subscription
* Employer provided mental health benefits through Teladoc
* Life, AD\&amp;D and disability insurance
* Minimum 15 Days of Vacation, 11 Paid Federal Holidays, Paid Time off to Volunteer
* Online discount program
* Tuition Reimbursement Program</t>
        </is>
      </c>
    </row>
    <row r="44">
      <c r="A44" t="inlineStr">
        <is>
          <t>li-4380946856</t>
        </is>
      </c>
      <c r="B44" t="inlineStr">
        <is>
          <t>Applied Scientist, Amazon Music AI Personalization</t>
        </is>
      </c>
      <c r="C44" t="inlineStr">
        <is>
          <t>Amazon Music</t>
        </is>
      </c>
      <c r="D44" t="inlineStr">
        <is>
          <t>linkedin</t>
        </is>
      </c>
      <c r="E44">
        <f>HYPERLINK("https://www.linkedin.com/jobs/view/4380946856", "https://www.linkedin.com/jobs/view/4380946856")</f>
        <v/>
      </c>
      <c r="F44" t="inlineStr"/>
      <c r="G44" t="inlineStr">
        <is>
          <t>San Francisco, CA</t>
        </is>
      </c>
      <c r="H44" t="inlineStr"/>
      <c r="I44" t="inlineStr">
        <is>
          <t>**Description**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Come join a team at the nexus of AI, machine learning, visual and audio technologies within Amazon Music's Artificial Intelligence \&amp; Personalization organization. We're transforming how customers experience music by creating context\-rich, intelligently assembled content that powers every surface—from AI\-generated playlists and insights to interactive experiences and visual storytelling.
 Key job responsibilities
* Work backwards from customer needs to research and develop novel machine learning approaches for music and spoken word multimodal content generation
* Design, develop, evaluate, and deploy scalable AI and ML solutions for customer problems including training LLMs, reasoning models, and diffusion models, agentic and RAG systems, diffusion models
* Ship production quality code for models and collaborate with software engineering teams to drive implementation and experimentation in complex Amazon production systems
* Improve upon existing methods by developing new data sources, testing model enhancements, and fine\-tuning model parameters
* Analyze and extract relevant information from large amounts of structured and unstructured, complex and interrelated datasets describing customer behavior and content
* Advocate technical solutions to business stakeholders, engineering teams, as well as executive level decision makers
* Communicate results, insights and recommendations to audiences of varying levels of technical sophistication
* Conduct literature reviews and stay current with advancements in the field, adapting latest in literature to build efficient and scalable models
* Promote the culture of experimentation and scientific rigor at Amazon
* Contribute to progress of the Amazon and broader research communities by publishing papers
 A day in the life
 Lead innovation in AI/ML to shape Amazon Music experiences for millions. Develop state of the art models leveraging and advancing the latest developments in machine learning and genAI including post\-training of LLMs, diffusion models. Collaborate with talented engineers and scientists to guide research and build scalable models across our audio portfolio \- music, podcasts, live streaming, and more. Drive experiments and rapid prototyping, leveraging Amazon's data at scale. Innovate daily alongside world\-class teams to delight customers worldwide through personalization.
**About The Team**
 We are a team of deeply technical Applied Scientists and Machine Learning Engineers passionate about improving CX through state of the art AI methods. We work on multimodal generation to enhance the audio listening experience on several surfaces Alexa, mobile, fireTV \- from AI\-generated playlists and insights to interactive experiences and visual storytelling.
**Basic Qualifications**
* Experience programming in Java, C\+\+, Python or related language
* Master's degree in computer science, mathematics, statistics, machine learning or equivalent quantitative field
**Preferred Qualifications**
* Experience implementing algorithms using both toolkits and self\-developed code
* Have publications at top\-tier peer\-reviewed conferences or journals
* PhD in Engineering, Computer Science, Machine Learning, Operations Research, Statistics, or related fields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\- 157,300\.00 \- 212,800\.00 USD annually
**Company** 
 \- Amazon.com Services LLC
 Job ID: A3195394</t>
        </is>
      </c>
    </row>
    <row r="45">
      <c r="A45" t="inlineStr">
        <is>
          <t>li-4380011207</t>
        </is>
      </c>
      <c r="B45" t="inlineStr">
        <is>
          <t>Machine Learning Engineer / Data Scientist (Data bricks &amp; Snowflake)</t>
        </is>
      </c>
      <c r="C45" t="inlineStr">
        <is>
          <t>Jobs via Dice</t>
        </is>
      </c>
      <c r="D45" t="inlineStr">
        <is>
          <t>linkedin</t>
        </is>
      </c>
      <c r="E45">
        <f>HYPERLINK("https://www.linkedin.com/jobs/view/4380011207", "https://www.linkedin.com/jobs/view/4380011207")</f>
        <v/>
      </c>
      <c r="F45">
        <f>HYPERLINK("https://click.appcast.io/t/PXtqJtjOKy43y_Gg4rr0oPDoX4jxn3wFk6SApgMLq-M=&amp;urlHash=pOcz", "https://click.appcast.io/t/PXtqJtjOKy43y_Gg4rr0oPDoX4jxn3wFk6SApgMLq-M=&amp;urlHash=pOcz")</f>
        <v/>
      </c>
      <c r="G45" t="inlineStr">
        <is>
          <t>New York, NY</t>
        </is>
      </c>
      <c r="H45" t="inlineStr"/>
      <c r="I45" t="inlineStr">
        <is>
          <t>Dice is the leading career destination for tech experts at every stage of their careers. Our client, ISite Technologies Inc, is seeking the following. Apply via Dice today!
 Job Role:
 **Machine Learning Engineer / Data Scientist (Databricks \&amp; Snowflake)**
 Experience: 10\+ Years
 Location: NewYork
 Work Mode: Onsite
 Skills:
 🔹
 **ML Engineering \&amp; MLOps**
* Productionize ML models using MLflow for experiment tracking, model registry, and lifecycle management
* Implement CI/CD pipelines for ML workflows
* Monitor model performance and manage version control
* Ensure reproducibility and governance of ML assets
* Manage feature pipelines and model retraining strategies
 \_\_\_\_\_\_\_\_\_\_\_\_\_\_\_\_\_\_\_\_\_\_\_\_\_\_\_\_\_\_\_\_\_\_\_\_\_\_\_\_
 🔹
 **Databricks \&amp; Distributed Processing**
* Build scalable data pipelines using Databricks (Spark)
* Optimize distributed workloads for performance and cost efficiency
* Implement notebook\-based and production\-grade job workflows
* Leverage Unity Catalog for governance, lineage, and secure data/model access control
 \_\_\_\_\_\_\_\_\_\_\_\_\_\_\_\_\_\_\_\_\_\_\_\_\_\_\_\_\_\_\_\_\_\_\_\_\_\_\_\_
 🔹
 **Data Warehousing \&amp; Snowflake**
* Design and optimize data models in Snowflake
* Write advanced SQL queries for transformation and analytics
* Integrate Snowflake with Databricks for seamless data workflows
* Support ELT/ETL design and performance tuning</t>
        </is>
      </c>
    </row>
    <row r="46">
      <c r="A46" t="inlineStr">
        <is>
          <t>li-4381121383</t>
        </is>
      </c>
      <c r="B46" t="inlineStr">
        <is>
          <t>Principal Applied Scientist</t>
        </is>
      </c>
      <c r="C46" t="inlineStr">
        <is>
          <t>Oracle</t>
        </is>
      </c>
      <c r="D46" t="inlineStr">
        <is>
          <t>linkedin</t>
        </is>
      </c>
      <c r="E46">
        <f>HYPERLINK("https://www.linkedin.com/jobs/view/4381121383", "https://www.linkedin.com/jobs/view/4381121383")</f>
        <v/>
      </c>
      <c r="F46">
        <f>HYPERLINK("https://eeho.fa.us2.oraclecloud.com/hcmUI/CandidateExperience/en/job/329446/?utm_medium=jobboard&amp;utm_source=LinkedIn&amp;urlHash=1yFy", "https://eeho.fa.us2.oraclecloud.com/hcmUI/CandidateExperience/en/job/329446/?utm_medium=jobboard&amp;utm_source=LinkedIn&amp;urlHash=1yFy")</f>
        <v/>
      </c>
      <c r="G46" t="inlineStr">
        <is>
          <t>Nashville, TN</t>
        </is>
      </c>
      <c r="H46" t="inlineStr"/>
      <c r="I46" t="inlineStr">
        <is>
          <t>**Job Description**
 We are searching for a
 **Principal Applied Scientist to join OCI Planning Strategic Initiative (PSI)** 
 team in Nashville, TN this is a critical role in improving operational efficiency, driving cross\-functional visibility, and enabling leadership to make data\-backed investments and risk\-aware decisions. The ideal candidate will be a highly motivated, analytical individual with strong communication skills to help the organization meet its strategic and financial objectives. Responsibilities will include translating disparate and complex data sets into actionable insights across OCI’s strategic initiatives. The ideal candidate is a subject matter expert in business operations and analytics, with a passion for data and a strong ability to translate complex information into actionable insights. Deep technical leadership to forecasting, scenario modeling, optimization needed to improve planning accuracy, quantify risk, and guide high\-stakes capacity and investment decision at OCI scale. This leader will set scientific direction, establish rigorous evaluation and governance, and partner across planning, engineering, and finance to operationalize decision models into repeatable planning processes and measurable outcomes.
**Responsibilities:**
**Demand, growth, and workload forecasting (multi\-level)**
* Develop and improve forecasting models for OCI demand/consumption and key drivers (by region, service, customer segment, shape/SKU)
* Build hierarchical approaches (global\&gt;region\&gt;AD/cluster/service) and reconcile forecasts across levels.
* Quantify and communication uncertainty (prediction intervals, scenario ranges) to support planning decisions.
**Capacity planning and supply risk modeling** 
* Translate demand forecasts into capacity requirements (compute/storage/network) considering constraints (lead times, redundancy, placement rules)
* Model Supply risks and constraints (procurement delays, buildout timelines, utilization targets, failure domains)
* Create risk indicators (headroom depletion probability, hotspot detection, time\-to\-exhaustion
**Optimization \&amp; Decision Analytics for Planning**
* Formulate optimization problems to recommend actions (where to add capacity, how to allocate limited supply, prioritization across regions/services
* Perform tradeoff analysis across cost, performance, availability, strategic priorities.
* Develop scenario tools for “what if” planning (demand shocks, product launches, regional events)
* Measurement, back testing, and model governance
**Data partnership \&amp; Feature/driver engineering**
* Identify and validate leading indicators (pipeline signals, launches, pricing changes, customer ramp patterns, seasonality, macro factors where allowed)
* Improve data quality through anomaly detection, reconciliation, and automated checks.
* Explore and research data and answer strategic business questions, with data transformation, statistical analyses, or machine learning methods
* Fine\-tune and optimize algorithms and models to ensure scalability, reliability, and performance at a high level
* Collaborate with data scientists and other stakeholders to understand data needs and develop solutions that meet those needs
**Cross\-functional influence and communication**
* Partner with planners, finance/FinOps, capacity engineering and product teams to align on assumptions and actions
* Communicate results to exec and operational stakeholders with clear narratives: drivers, uncertainty, risks and recommended mitigations.
* Drive adoption\-ensure models change planning decisions and improve outcomes.
**Metrics and KPI design expertise** 
 , including defining the north star and guardrail metrics and ensuring metric definitions are unambiguous, consistent, and actionable.
**Basic applied ML understanding** 
 , familiarity with model types (classification/regression), evaluation metrics (AUC, precision/recall), and core concepts such as feature engineering, model training, offline/online evaluation, deployment/monitoring and iterative improvement. ML algorithms, feature engineering, model training, offline/online evaluation, deployment/monitoring and iterative model improvement
**Basic Data Engineering** 
 , including building data pipelines, reliability/SLAs for data, governance/definitions, reporting layers, and operational analytics
**Experimentation (A/B testing) experience** 
 , including designing experiments, analyzing results, avoiding common pitfalls
**Responsibilities**
**Qualifications:**
**Proficient in SQL and/or Python development for data analysis** 
 including writing complex queries, joining multiple sources, validating data quality, and building analysis\-ready datasets; python for analysis using pandas, notebooks, visualizations, and basic modeling.
**Experience with ETL/ELT and data modeling concepts** 
 such as dimensional modeling, event\-event\-log design, and semantic layers
**Experience building dashboards and BI reporting** 
 (e.g., Tableau/Power BI/Looker) to operationalize insights and support decision\-making.
**Metrics and KPI design expertise** 
 , including defining the north star and guardrail metrics and ensuring metric definitions are unambiguous, consistent, and actionable.
**Basic applied ML understanding** 
 , familiarity with model types (classification/regression), evaluation metrics (AUC, precision/recall), and core concepts such as feature engineering, model training, offline/online evaluation, deployment/monitoring and iterative improvement. ML algorithms, feature engineering, model training, offline/online evaluation, deployment/monitoring and iterative model improvement
**Basic Data Engineering** 
 , including building data pipelines, reliability/SLAs for data, governance/definitions, reporting layers, and operational analytics.
**Experimentation (A/B testing) experience** 
 , including designing experiments, analyzing results, avoiding common pitfalls (selection bias, peeking, multiple comparisons)
**Business/product problem framing** 
 with demonstrated ability to translate ambiguous questions into measurable hypotheses and requirements, and communication tradeoffs clearly
**Strong stakeholder management and executive communication skills** 
 , including synthesizing complex analyses into clear recommendations for executive audiences.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7">
      <c r="A47" t="inlineStr">
        <is>
          <t>li-4380975255</t>
        </is>
      </c>
      <c r="B47" t="inlineStr">
        <is>
          <t>Principal Applied Scientist</t>
        </is>
      </c>
      <c r="C47" t="inlineStr">
        <is>
          <t>Microsoft</t>
        </is>
      </c>
      <c r="D47" t="inlineStr">
        <is>
          <t>linkedin</t>
        </is>
      </c>
      <c r="E47">
        <f>HYPERLINK("https://www.linkedin.com/jobs/view/4380975255", "https://www.linkedin.com/jobs/view/4380975255")</f>
        <v/>
      </c>
      <c r="F47">
        <f>HYPERLINK("https://apply.careers.microsoft.com/careers/job/1970393556751851?utm_source=linkedin&amp;domain=microsoft.com&amp;src=LinkedIn&amp;urlHash=X1UZ", "https://apply.careers.microsoft.com/careers/job/1970393556751851?utm_source=linkedin&amp;domain=microsoft.com&amp;src=LinkedIn&amp;urlHash=X1UZ")</f>
        <v/>
      </c>
      <c r="G47" t="inlineStr">
        <is>
          <t>Redmond, WA</t>
        </is>
      </c>
      <c r="H47" t="inlineStr"/>
      <c r="I47" t="inlineStr">
        <is>
          <t>**Overview**
 Our Signals Modeling team builds the intelligence that powers how the advertising marketplace understands user behavior, measures impact and optimizes outcomes from initial impressions through downstream conversions and long\-term advertiser value.
 We develop large\-scale learning systems that infer intent and causal effects from incomplete and noisy feedback, enabling principled decision\-making across ranking, bidding, pricing, and budget allocation. Our work sits at the foundation of marketplace optimization, where accurate attribution and measurement directly influence billions in advertising spend.
 The team designs and operates state\-of\-the\-art modeling platforms spanning representation learning, weak\-supervision, multi\-objective training, calibration, and rigorous experimentation. We transform sparse engagement signals into reliable learning targets and build models that remain robust under delayed conversions, selection bias, and rapidly shifting marketplace dynamics.
 As a Principal Applied Scientist, you will help define the future of data\-driven attribution and causal measurement, shaping the methodologies that determine how value is estimated and optimized across the ecosystem. You will partner across research, engineering, and product leadership to introduce advanced inference techniques into production systems operating at massive scale.
 This is a high\-ownership role focused on solving structurally hard problems where ground truth is limited, experimentation is non\-trivial, and scientific rigor is essential to unlocking durable marketplace advantage.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Define and drive the scientific and technical strategy for data\-driven attribution (DDA) and causal measurement across advertising systems.
* Establish methodologies for incrementality estimation, counterfactual learning, delayed\-feedback modeling, and bias correction in environments with partial observability.
* Lead the design and production adoption of attribution and causal inference frameworks that improve bidding, ranking, optimization, and advertiser ROI at web scale.
* Set evaluation standards that distinguish correlation from causation and elevate experimental rigor across teams.
* Identify capability gaps and introduce advanced research, tools, or modeling approaches to strengthen measurement foundations.
* Operate across organizational boundaries to align research, engineering, product, and business leaders on measurement strategy.
* Serve as a subject\-matter expert and technical advisor on attribution and causal inference.
* Mentor scientists and influence technical direction to raise the organization’s scientific bar.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**Preferred Qualifications**
 2\+ years experience presenting at conferences or other events in the outside research/industry community as an invited speaker.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5\+ years experience conducting research as part of a research program (in academic or industry settings).
 3\+ years experience developing and deploying live production systems, as part of a product team.
 3\+ years experience developing and deploying products or systems at multiple points in the product cycle from ideation to shipping.
* Recognized expertise in attribution, incrementality, marketplace experimentation, or causal ML.
* Track record of driving multi\-year research or modeling agendas that materially improved product outcomes.
* Experience defining measurement strategy for advertising platforms, marketplaces, or large\-scale recommendation systems.
* Publications, patents, or widely adopted internal methodologies in causal inference, experimentation, econometrics, or applied machine learning.
* History of mentoring senior scientists and elevating organizational scientific capability.
* Experience influencing director\- or VP\-level technical strategy.
* Demonstrated track record of setting technical direction for large\-scale machine learning or statistical systems that delivered measurable business impact.
* Deep expertise in causal inference, data\-driven attribution, treatment effect estimation, counterfactual learning, or experimental design — applied in production environments.
* Experience leading ambiguous, high\-impact initiatives where ground truth is limited and methodological rigor is critical.
* Proven ability to influence strategy and drive adoption of new measurement or modeling approaches beyond an immediate team.
* Significant experience developing and deploying production ML systems across multiple stages of the product lifecycle.
* Solid scientific judgment with a history of selecting appropriate methodologies under real\-world constraints.
* Exceptional communication skills with the ability to translate complex technical concepts into guidance for senior technical and business leaders.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\#MicrosoftAI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li-4378978019</t>
        </is>
      </c>
      <c r="B48" t="inlineStr">
        <is>
          <t>Senior Applied Scientist, Delivery Foundation Model</t>
        </is>
      </c>
      <c r="C48" t="inlineStr">
        <is>
          <t>myGwork - LGBTQ+ Business Community</t>
        </is>
      </c>
      <c r="D48" t="inlineStr">
        <is>
          <t>linkedin</t>
        </is>
      </c>
      <c r="E48">
        <f>HYPERLINK("https://www.linkedin.com/jobs/view/4378978019", "https://www.linkedin.com/jobs/view/4378978019")</f>
        <v/>
      </c>
      <c r="F48">
        <f>HYPERLINK("https://mygwork.com/jobs/amazon-senior-applied-scientist-delivery-foundation-model\u002d\u002d3?src=linkedin&amp;utm_source=linkedin&amp;utm_medium=referral&amp;utm_campaign=jobs&amp;urlHash=od87", "https://mygwork.com/jobs/amazon-senior-applied-scientist-delivery-foundation-model\u002d\u002d3?src=linkedin&amp;utm_source=linkedin&amp;utm_medium=referral&amp;utm_campaign=jobs&amp;urlHash=od87")</f>
        <v/>
      </c>
      <c r="G48" t="inlineStr">
        <is>
          <t>Santa Clara, CA</t>
        </is>
      </c>
      <c r="H48" t="inlineStr"/>
      <c r="I48" t="inlineStr">
        <is>
          <t>**This job is with Amazon, an inclusive employer and a member of myGwork – the largest global platform for the LGBTQ\+ business community. Please do not contact the recruiter directly.**
**Description**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Experience in Hive/Spark/Hbase/Yarn, or experience in SQL Server/MySQL and experience that includes strong analytical skills, attention to detail, and effective communication abilities
* Experience with programming languages such as Python, Java, C\+\+
* PhD in mechanical engineering, electrical engineering, material science, physics or equivalent, or PhD and 10\+ years of building machine learning models for business application experience
**Preferred Qualifications**
* PhD, or PhD and 5\+ years of building models for business application experience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CA, Santa Clara \- 192,200\.00 \- 260,000\.00 USD annually
 USA, WA, Bellevue \- 167,100\.00 \- 226,100\.00 USD annually]]\&gt;</t>
        </is>
      </c>
    </row>
    <row r="49">
      <c r="A49" t="inlineStr">
        <is>
          <t>li-4306618892</t>
        </is>
      </c>
      <c r="B49" t="inlineStr">
        <is>
          <t>AI/Generative AI Engineer</t>
        </is>
      </c>
      <c r="C49" t="inlineStr">
        <is>
          <t>Andiamo</t>
        </is>
      </c>
      <c r="D49" t="inlineStr">
        <is>
          <t>linkedin</t>
        </is>
      </c>
      <c r="E49">
        <f>HYPERLINK("https://www.linkedin.com/jobs/view/4306618892", "https://www.linkedin.com/jobs/view/4306618892")</f>
        <v/>
      </c>
      <c r="F49" t="inlineStr"/>
      <c r="G49" t="inlineStr">
        <is>
          <t>New York, NY</t>
        </is>
      </c>
      <c r="H49" t="inlineStr"/>
      <c r="I49"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0">
      <c r="A50" t="inlineStr">
        <is>
          <t>li-4306632527</t>
        </is>
      </c>
      <c r="B50" t="inlineStr">
        <is>
          <t>AI/Generative AI Engineer</t>
        </is>
      </c>
      <c r="C50" t="inlineStr">
        <is>
          <t>Andiamo</t>
        </is>
      </c>
      <c r="D50" t="inlineStr">
        <is>
          <t>linkedin</t>
        </is>
      </c>
      <c r="E50">
        <f>HYPERLINK("https://www.linkedin.com/jobs/view/4306632527", "https://www.linkedin.com/jobs/view/4306632527")</f>
        <v/>
      </c>
      <c r="F50" t="inlineStr"/>
      <c r="G50" t="inlineStr">
        <is>
          <t>San Francisco, CA</t>
        </is>
      </c>
      <c r="H50" t="inlineStr"/>
      <c r="I50"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1">
      <c r="A51" t="inlineStr">
        <is>
          <t>li-4306620914</t>
        </is>
      </c>
      <c r="B51" t="inlineStr">
        <is>
          <t>Machine Learning Engineer, Robot Learning - Robotics Software Firm in High Growth</t>
        </is>
      </c>
      <c r="C51" t="inlineStr">
        <is>
          <t>Andiamo</t>
        </is>
      </c>
      <c r="D51" t="inlineStr">
        <is>
          <t>linkedin</t>
        </is>
      </c>
      <c r="E51">
        <f>HYPERLINK("https://www.linkedin.com/jobs/view/4306620914", "https://www.linkedin.com/jobs/view/4306620914")</f>
        <v/>
      </c>
      <c r="F51" t="inlineStr"/>
      <c r="G51" t="inlineStr">
        <is>
          <t>New York, NY</t>
        </is>
      </c>
      <c r="H51" t="inlineStr"/>
      <c r="I51" t="inlineStr">
        <is>
          <t>Senior Data Engineer
**About The Role**
 Design and scale data platforms that power analytics, ML, and product features. You’ll build streaming and batch pipelines, enforce data contracts, and ensure trust in critical datasets.
**Responsibilities**
* Develop ELT/ETL and near\-real\-time pipelines (Kafka/Flink/Spark) with strong SLAs.
* Model data (Dimensional/Data Vault), implement governance, lineage, and quality checks.
* Operate cloud data warehouses (Snowflake/BigQuery/Redshift) and lakehouse patterns (Iceberg/Delta/Hudi).
* Enable self\-service with dbt, catalogs, and metrics layers; partner with DS/BI stakeholders.
**Requirements**
* 5\+ years in data engineering; strong SQL and Python/Scala.
* Experience with orchestration (Airflow/Dagster) and CI/CD for data.
* Focus on reliability, cost efficiency, and documentation.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2">
      <c r="A52" t="inlineStr">
        <is>
          <t>li-4379695813</t>
        </is>
      </c>
      <c r="B52" t="inlineStr">
        <is>
          <t>Machine Learning Engineer</t>
        </is>
      </c>
      <c r="C52" t="inlineStr">
        <is>
          <t>Brio Group</t>
        </is>
      </c>
      <c r="D52" t="inlineStr">
        <is>
          <t>linkedin</t>
        </is>
      </c>
      <c r="E52">
        <f>HYPERLINK("https://www.linkedin.com/jobs/view/4379695813", "https://www.linkedin.com/jobs/view/4379695813")</f>
        <v/>
      </c>
      <c r="F52" t="inlineStr"/>
      <c r="G52" t="inlineStr">
        <is>
          <t>Texas, United States</t>
        </is>
      </c>
      <c r="H52" t="inlineStr"/>
      <c r="I52" t="inlineStr">
        <is>
          <t>**Applied Machine Learning Engineer – Chemistry \&amp; Data Science** 
 We’re seeking an Applied Machine Learning Engineer with a strong chemistry, chemical engineering, or materials science background to lead experimental optimization campaigns. This hybrid role blends chemistry and data science—turn messy experimental data into actionable insights using Python, Bayesian optimization, and Design of Experiments (DOE) principles.
**What You’ll Do:** 
* Lead optimization campaigns from dataset prep to insight delivery.
* Run Bayesian Optimization and Active Learning loops for efficient experimentation.
* Combine DOE methods with ML approaches for high\-quality results.
* Interpret and communicate model outputs to guide decision\-making.
* Collaborate across teams and ensure data integrity.
**What You Bring:** 
* Master’s or PhD in Chemistry, Chemical Engineering, Materials Science, or related.
* Strong Python/data science skills (pandas, numpy, scikit\-learn, PyTorch).
* DOE experience and comfort with experimental/chemical data.
* Familiarity with Bayesian Optimization and interpreting ML results.
* Excellent communication skills for technical and non\-technical audiences.
**Bonus Skills:** 
* Cheminformatics tools (RDKit), causal inference, visualization, R\&amp;D collaboration.
**Why This Role Matters:** 
* Accelerate experimentation by bridging chemistry and ML.
* Translate complex results into actionable scientific insights.
* Contribute to reproducible, high\-impact experimental outcomes.
**Benefits:** 
* Competitive salary \+ equity
* Health benefits
* Fully remote, collaborative small team
* Growth and promotion opportunities</t>
        </is>
      </c>
    </row>
    <row r="53">
      <c r="A53" t="inlineStr">
        <is>
          <t>li-4306637035</t>
        </is>
      </c>
      <c r="B53" t="inlineStr">
        <is>
          <t>AI/Generative AI Engineer</t>
        </is>
      </c>
      <c r="C53" t="inlineStr">
        <is>
          <t>Andiamo</t>
        </is>
      </c>
      <c r="D53" t="inlineStr">
        <is>
          <t>linkedin</t>
        </is>
      </c>
      <c r="E53">
        <f>HYPERLINK("https://www.linkedin.com/jobs/view/4306637035", "https://www.linkedin.com/jobs/view/4306637035")</f>
        <v/>
      </c>
      <c r="F53" t="inlineStr"/>
      <c r="G53" t="inlineStr">
        <is>
          <t>Boston, MA</t>
        </is>
      </c>
      <c r="H53" t="inlineStr"/>
      <c r="I53"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4">
      <c r="A54" t="inlineStr">
        <is>
          <t>li-4306615998</t>
        </is>
      </c>
      <c r="B54" t="inlineStr">
        <is>
          <t>AI/Generative AI Engineer</t>
        </is>
      </c>
      <c r="C54" t="inlineStr">
        <is>
          <t>Andiamo</t>
        </is>
      </c>
      <c r="D54" t="inlineStr">
        <is>
          <t>linkedin</t>
        </is>
      </c>
      <c r="E54">
        <f>HYPERLINK("https://www.linkedin.com/jobs/view/4306615998", "https://www.linkedin.com/jobs/view/4306615998")</f>
        <v/>
      </c>
      <c r="F54" t="inlineStr"/>
      <c r="G54" t="inlineStr">
        <is>
          <t>Seattle, WA</t>
        </is>
      </c>
      <c r="H54" t="inlineStr"/>
      <c r="I54"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55">
      <c r="A55" t="inlineStr">
        <is>
          <t>li-4297979510</t>
        </is>
      </c>
      <c r="B55" t="inlineStr">
        <is>
          <t>AI/ML Engineer</t>
        </is>
      </c>
      <c r="C55" t="inlineStr">
        <is>
          <t>hackajob</t>
        </is>
      </c>
      <c r="D55" t="inlineStr">
        <is>
          <t>linkedin</t>
        </is>
      </c>
      <c r="E55">
        <f>HYPERLINK("https://www.linkedin.com/jobs/view/4297979510", "https://www.linkedin.com/jobs/view/4297979510")</f>
        <v/>
      </c>
      <c r="F55">
        <f>HYPERLINK("https://www.hackajob.com/job/af5bf704-8ce3-11f0-a314-02b04c748f93-ai-ml-engineer?utm_source=LinkedIn&amp;utm_medium=JobAds&amp;utm_term=Automated&amp;utm_campaign=leo-technologies-ai-ml-engineer&amp;job_name=ai-ml-engineer&amp;company=leo-technologies&amp;workplace_type=remote&amp;country=united-states&amp;urlHash=5tQF", "https://www.hackajob.com/job/af5bf704-8ce3-11f0-a314-02b04c748f93-ai-ml-engineer?utm_source=LinkedIn&amp;utm_medium=JobAds&amp;utm_term=Automated&amp;utm_campaign=leo-technologies-ai-ml-engineer&amp;job_name=ai-ml-engineer&amp;company=leo-technologies&amp;workplace_type=remote&amp;country=united-states&amp;urlHash=5tQF")</f>
        <v/>
      </c>
      <c r="G55" t="inlineStr"/>
      <c r="H55" t="inlineStr"/>
      <c r="I55" t="inlineStr">
        <is>
          <t>***hackajob** 
 is collaborating with
 **Leo Technologies** 
 to connect them with exceptional tech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56">
      <c r="A56" t="inlineStr">
        <is>
          <t>li-4380946990</t>
        </is>
      </c>
      <c r="B56" t="inlineStr">
        <is>
          <t>Senior AI/ML Engineer</t>
        </is>
      </c>
      <c r="C56" t="inlineStr">
        <is>
          <t>Node.Digital LLC</t>
        </is>
      </c>
      <c r="D56" t="inlineStr">
        <is>
          <t>linkedin</t>
        </is>
      </c>
      <c r="E56">
        <f>HYPERLINK("https://www.linkedin.com/jobs/view/4380946990", "https://www.linkedin.com/jobs/view/4380946990")</f>
        <v/>
      </c>
      <c r="F56" t="inlineStr"/>
      <c r="G56" t="inlineStr">
        <is>
          <t>Herndon, VA</t>
        </is>
      </c>
      <c r="H56" t="inlineStr"/>
      <c r="I56" t="inlineStr">
        <is>
          <t>**Location: Herndon, VA (Hybrid Work)**
**Preferred: US Citizenship**
**Node.Digital** 
 is an innovative solutions development company that combines agile development services with next\-generation technologies in Cloud, Mobile, and AI/Machine Learning. We deliver state\-of\-the\-art enterprise solutions to both government and commercial clients. We are looking for talented people to join our efforts to enable digitalization of organizations with AI Automation and Machine Learning.
**Role: AI/ML Engineer**
 The AI/ML Engineer is the architect and guardian of intelligent automation solutions that incorporate generative AI and machine learning technologies. They ensure the operational efciency and continuous refnement of integrated AI/ML solutions with a strong focus on modern generative AI engineering.
**Requirements**
**Required Skills:**
* Overall experience of 6\-10 Years working on Application/framework development
* Min 5\+ years of exp in AI/ML\-based app/solution development with strong focus on generative AI applications
* Hands\-on experience with AWS services including Amazon Bedrock, S3, SageMaker, CDK,Lambda, and other AI/ML services
* Experience with generative AI models and frameworks (LLMs, RAG architectures, prompt engineering, model fne\-tuning)
* Hands\-on exp with OCR, ICR and OMR technologies is a must
* Good programming knowledge in Python and relevant ML/AI frameworks (TensorFlow, PyTorch, LangChain)
* Good understanding of Document Processing, classifcation, data extraction is a must
* Knowledge in Natural Language Processing (NLP), Deep Learning, and Generative AI is a must
* Hands\-on Web application/APIs Development experience is a must
* Profciency in asynchronous/multi\-threaded programming
* Strong knowledge of algorithms, data structures, complexity, optimization, caching and security
* Experience with JSON, SOAP, Rest, XML, XHTML, XSD and XSLT
* Strong knowledge of object\-oriented concepts and Database concepts Experience with databases like SQL Server, PostgreSQL
* Experience with NoSQL databases and vector databases (for RAG implementations) is a plus
* Knowledge of AWS cloud architecture patterns and serverless computing
* Experience with CI/CD pipelines and DevSecOps practices
* Knowledge of Agile methodologies is desirable
* Experience working with a toolchain that includes TFS, SVN, Git
* Involved in different phases of SDLC and have good working exposure on different SDLCs like Agile Methodologies
**Responsibility:**
 Your responsibility spans the design, maintenance, and optimization of intelligent automation solutions including AI Center troubleshooting and resolution of issues that might arise post\-implementation. You will focus on
 **building generative AI applications** 
 with embedded artifcial intelligence or machine learning in support of continuous improvement, learning and augmented decision\-making.
 Key responsibilities include:
 Designing and implementing
 **generative AI solutions using Amazon Bedrock, foundation models, and RAG architectures**
 Building repeatable intelligent solutions/bots for document processing and data cleansing
 Developing and deploying
 **scalable ML/AI models on AWS infrastructure**
 Creating
 **API endpoints and integrations** 
 for AI/ML services
 Implementing
 **model evaluation, monitoring, and continuous improvement** 
 processes Collaborating with cross\-functional teams to embed AI capabilities across business functions
**Nice to Have:**
 Experience with
 **front\-end frameworks** 
 (React, Angular, Vue.js) and modern web development
 **UiPath RPA Developer Certifcation** 
 and UiPath AI Center Experience
 Knowledge of
 **chatbot development and conversational AI**
 Experience with
 **AWS Bedrock Agents and Guardrails**
 Familiarity with
 **model distillation and prompt optimization techniques**
 Understanding of
 **responsible AI practices and AI security**
**Recommended Certifcations:**
 AWS Certifed Machine Learning \- Specialty
 AWS Certifed Solutions Architect
 General AI/ML Certifcations (TensorFlow Developer, Azure AI Engineer
 UiPath AI Center Experience (nice to have)
**Eucation/Year of Exp:**
 Bachelor's degree and a minimum of 5 years of experience in automation engineering roles with a focus on AI/ML integrations and
 **generative AI application development**
**Cultural Fit:**
 Effective communication skills for technical discussions
 Comfortable with Agile methodologies
 Ability to work remotely
 Alignment with customer's mission and values
 Adaptability to varying organizational structures
 Data Analysis and Data Architecture Skills
 Strong problem\-solving abilities for complex AI/ML challenges
**Benefits**
* Medical
* Dental
* Vision
* Basic Life
* Health Saving Account
* 401K Matching
* Three weeks of PTO/Sick
* 11 Paid Holidays
* Pre\-Approved Online Training</t>
        </is>
      </c>
    </row>
    <row r="57">
      <c r="A57" t="inlineStr">
        <is>
          <t>li-4380017092</t>
        </is>
      </c>
      <c r="B57" t="inlineStr">
        <is>
          <t>AIML - Machine Learning Engineer, Siri and Information Intelligence</t>
        </is>
      </c>
      <c r="C57" t="inlineStr">
        <is>
          <t>Apple</t>
        </is>
      </c>
      <c r="D57" t="inlineStr">
        <is>
          <t>linkedin</t>
        </is>
      </c>
      <c r="E57">
        <f>HYPERLINK("https://www.linkedin.com/jobs/view/4380017092", "https://www.linkedin.com/jobs/view/4380017092")</f>
        <v/>
      </c>
      <c r="F57">
        <f>HYPERLINK("https://jobs.apple.com/en-us/details/200609436?board_id=17682&amp;urlHash=Bkpt", "https://jobs.apple.com/en-us/details/200609436?board_id=17682&amp;urlHash=Bkpt")</f>
        <v/>
      </c>
      <c r="G57" t="inlineStr">
        <is>
          <t>Seattle, WA</t>
        </is>
      </c>
      <c r="H57" t="inlineStr"/>
      <c r="I57" t="inlineStr">
        <is>
          <t>**Summary**
 The AIML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Models to power innovative features in both Apple’s devices and services on the cloud.
 As part of this group, you will be doing large scale machine learning and deep learning research and development to improve Open Domain Question Answering (using both structured knowledge graph data and unstructured web data) and Summarization as well as developing fundamental building blocks needed for Artificial Intelligence. This involves developing sophisticated machine learning and large language models (LLMs) to understand user queries, retrieve and rank relevant documents across multiple sources and synthesize information across documents to provide user with a direct answer that best satisfies their intent and information seeking needs. Additionally, you will research and develop the state\-of\-the\-art LLMs for summarizing personal data such as emails, messages, and notifications.
 You will also work with researchers and data scientists to develop, fine\-tune, and evaluate domain specific Large Language Models for various tasks and applications in Apple’s AI powered products and conduct applied research to transfer the cutting edge research in generative AI to production ready technologies.
**Description**
 As a member of our fast\-paced group, you’ll have the unique and rewarding opportunity to shape upcoming products from Apple. We are looking for highly motivated machine learning engineers and researchers having strong machine learning and deep learning fundamentals with hands\-on experience in fine\-tuning deep learning and large language models. This role will have the following responsibilities:
* Conduct research and development on state\-of\-the\-art deep learning and large language models for various tasks and applications in Apple’s AI\-powered products
* Developing, fine\-tuning, and evaluating domain\-specific Large Language Models for various NLP tasks including summarization, question answering, search relevance/ranking, entity linking and query understanding problems
* Conducting applied research to transfer the cutting edge research in generative AI to production ready technologies
* Understanding product requirements, translate them into modeling tasks and engineering tasks
* Stay up to date with the latest advancements and research in deep learning and large language models
**Minimum Qualifications**
* Master’s in Computer Science, Artificial Intelligence, Machine Learning, or a related field.
* Experience working with Deep learning or LLM model development for various NLP tasks and RAG applications including prompt engineering, training data collection and generation, model fine\-tuning and model evaluation
* Experience working with Python and at least one of the deep learning frameworks such as TensorFlow, PyTorch, or JAX.
**Preferred Qualifications**
* PhD in Computer Science, Artificial Intelligence, Machine Learning, or a related field.
* At least 1 year of experience in various state\-of\-the\-art techniques related to LLM fine\-tuning in 1 or more of the following areas:
* \-Supervised Fine\-tuning (SFT) with Rejection Sampling
* \-Preference\-based fine\-tuning techniques (e.g RLHF, Reward model, DPO, PPO, GRPO etc.)
* \-Parameter efficient fine\-tuning techniques (e.g LoRA)
* \-Hallucination reduction and factual accuracy improvements
* \-Designing and implementing safety guardrails
* At least 4 years of experience with large\-scale model training, optimization, and deployment
* One or more scientific publications in various conferences and journals
* Outstanding communication and interpersonal skills with ability to work with cross\-functional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8">
      <c r="A58" t="inlineStr">
        <is>
          <t>li-4378947728</t>
        </is>
      </c>
      <c r="B58" t="inlineStr">
        <is>
          <t>AI Engineer</t>
        </is>
      </c>
      <c r="C58" t="inlineStr">
        <is>
          <t>Robots &amp; Pencils</t>
        </is>
      </c>
      <c r="D58" t="inlineStr">
        <is>
          <t>linkedin</t>
        </is>
      </c>
      <c r="E58">
        <f>HYPERLINK("https://www.linkedin.com/jobs/view/4378947728", "https://www.linkedin.com/jobs/view/4378947728")</f>
        <v/>
      </c>
      <c r="F58" t="inlineStr"/>
      <c r="G58" t="inlineStr">
        <is>
          <t>Seattle, WA</t>
        </is>
      </c>
      <c r="H58" t="inlineStr"/>
      <c r="I58" t="inlineStr">
        <is>
          <t>Robots \&amp; Pencils is seeking an outcome oriented Forward Deployed Senior Software Engineer to partner with strategic clients on high\-impact agentic AI applications. You'll embed directly with customers throughout the product lifecycle, working hands\-on from design to production.
 As an FDSE, you'll serve as technical thought partner, actively coding and leveraging your software engineering experience across application ideation, development, delivery, and scaling. You'll work on\-site with clients, driving outcomes that maximize their business value.
**Key Responsibilities**
***Client Engagement \&amp; Solution Development***
* Embed with strategic clients as their technical partner for agentic AI applications.
* Build full\-stack prototypes and production features using Python and JavaScript.
* Evaluate and integrate LLMs and tooling for the task at hand \- e.g., AWS Bedrock, Anthropic Claude, OpenAI GPT models, LangGraph/LangChain, retrieval and tool\-use orchestration.
* Architect RAG systems, agent workflows, and conversational interfaces tailored to client needs.
* Own the path to production \- CI/CD, IaC, observability, cost/performance tuning, SLIs/SLOs, and incident response.
* Iterate rapidly based on client feedback and business requirements, translate business goals into technical plans that accelerate time to value.
***Outcome Ownership \&amp; Business Impact***
* Own end\-to\-end delivery from initial concept to production deployment
* Identify opportunities to maximize client business value through agentic AI capabilities
* Provide strategic guidance on application architecture and implementation approaches
* Accelerate client time\-to\-value through hands\-on development and knowledge transfer
* Pick up missing knowledge and skills as needed to ensure project success
***Engineering Leadership \&amp; In\-Field Delivery Excellence***
* Lead complex, multi\-stakeholder initiatives on\-site and remotely; drive clarity, remove blockers, and keep execution on track.
* Set coding standards and architecture patterns in the client codebase; write clear docs, RFCs, and runbooks.
* Mentor client and partner engineers through reviews, pairing, and design sessions; raise the bar on quality and velocity.
* Make sound tradeoffs under real\-world constraints \- privacy, compliance, data residency, cost, and security.
* Align delivery with Robots \&amp; Pencils' responsible AI practices and client governance.
***Cross\-Functional Collaboration***
* Work with internal product, engineering, and customer success teams.
* Share client insights to drive platform improvements and feature priorities.
* Contribute reusable patterns, frameworks, and documentation back to core platform.
* Collaborate across time zones with distributed teams.
* Participate in pre\-sales technical discussions and solution scoping.
**Required Skills \&amp; Qualifications**
* Bachelor's degree in Computer Science, Engineering, or equivalent experience.
* 7\+ years of professional software development with significant ownership of architecture and delivery.
* 3\+ years of Python in ML/AI systems, including PyTorch or TensorFlow.
* 1\+ years building with Generative AI: LLM agents, prompt engineering, LangGraph, LangChain
* Hands\-on RAG experience \- semantic chunking, metadata enrichment, embeddings, retrieval quality, and latency/cost tuning.
* Experience with vector stores such as pgvector, Weaviate, or Chroma.
* Understanding of modern AI interoperability standards such as MCP (Model Context Protocol) and AI communication standards.
* Strong cloud and IaC (Terraform, CloudFormation) background \- AWS, Azure, or GCP \- plus containerization and distributed systems fundamentals.
* Strong AWS expertise: services, solid grasp of compute, networking, storage, security, and container platforms.
* Solid SDLC practices \- testing strategies, CI/CD, code reviews, observability, and incident management.
* Upper\-intermediate English for client communication.
* Experience leading complex technical projects with multiple stakeholders.
* Strong communication skills for technical and executive audiences.
* Ability to context\-switch and adapt to diverse client environments.
* Willingness to travel to client sites.
**Nice to Have**
* Knowledge of advanced RAG patterns \- Adaptive RAG, Agentic RAG, Self\-RAG \- and retrieval evaluation methods.
* Experience building agentic applications with LangGraph, LangChain, or AutoGen, familiarity with patterns and techniques such as ReAct (Reason \+ Act), Chain\-of\-Thought, and Tree\-of\-Thoughts.
* MLOps/AIOps exposure \- model deployment, lifecycle, governance, safety, red\-teaming, data/privacy controls, prompt/version management, offline and online evals using managed services and/or Docker/Kubernetes with MLOps best practices.
* Experience with LLM fine\-tuning techniques \- SFT, RLHF, DPO, PEFT, LoRA/QLoRA \- on hyperscalers' platforms like AWS SageMaker, Google Vertex AI, or Azure ML.
* Experience with production support and/or deployment on AWS, Azure, or GCP using modern CI/CD.
* Prior consulting or professional services experience.
**Personal Competencies**
* Accountability – Owns full client engagement cycle with quality, reliability, and attention to detail.
* Adaptability – Thrives in dynamic, fast\-paced client environments.
* Collaboration – Builds strong partnerships across teams and time zones.
* Execution\-Focused – Delivers maintainable, scalable solutions without overengineering.
* Innovation\-Minded – Brings curiosity and experimentation to technology decisions.
* Craftsmanship – Cares deeply about documentation and code quality, architecture, and user experience.
**Why Join Robots \&amp; Pencils?**
 We don't just ship features; we build digital\-first products that matter. As a Senior Forward Deploy Engineer, you'll join a team that values deep craft, cross\-functional collaboration, and relentless focus on quality. You'll work on impactful agentic AI applications using modern technologies, while influencing engineering culture and best practices across the organization.</t>
        </is>
      </c>
    </row>
    <row r="59">
      <c r="A59" t="inlineStr">
        <is>
          <t>li-4380782893</t>
        </is>
      </c>
      <c r="B59" t="inlineStr">
        <is>
          <t>Machine Learning Engineer</t>
        </is>
      </c>
      <c r="C59" t="inlineStr">
        <is>
          <t>Wiraa</t>
        </is>
      </c>
      <c r="D59" t="inlineStr">
        <is>
          <t>linkedin</t>
        </is>
      </c>
      <c r="E59">
        <f>HYPERLINK("https://www.linkedin.com/jobs/view/4380782893", "https://www.linkedin.com/jobs/view/4380782893")</f>
        <v/>
      </c>
      <c r="F59" t="inlineStr"/>
      <c r="G59" t="inlineStr"/>
      <c r="H59" t="inlineStr"/>
      <c r="I59" t="inlineStr">
        <is>
          <t>**About The Company**
 Tempus is at the forefront of integrating advanced artificial intelligence into healthcare to revolutionize patient care and medical research. Our proprietary platform connects a comprehensive ecosystem of real\-world evidence, enabling the delivery of real\-time, actionable insights to physicians. By leveraging cutting\-edge technology, we aim to provide personalized treatment options, optimize clinical workflows, and accelerate the development of life\-saving therapies. With a focus on innovation, collaboration, and impact, Tempus is dedicated to transforming healthcare through data\-driven solutions and AI\-powered models.
**About The Role**
 We are seeking an experienced and highly skilled Staff Machine Learning Engineer specializing in large\-scale multimodal model systems engineering to join our dynamic AI team. This pivotal role involves designing, building, and optimizing the foundational data infrastructure that powers Tempus’s most advanced generative AI models. You will be instrumental in enabling the training and deployment of robust, production\-ready multimodal systems that analyze complex data types such as genomics, pathology images, radiology scans, and clinical notes. Your work will directly impact patient outcomes by improving diagnostic accuracy, streamlining clinical workflows, and advancing medical research. This is a high\-impact, strategic position that requires technical leadership, innovative thinking, and a passion for leveraging AI to solve complex healthcare challenges.
**Qualifications**
* Master’s degree in Computer Science, Artificial Intelligence, Software Engineering, or a related field.
* 8\+ years of industry experience in designing, building, and operating large\-scale data pipelines and infrastructure.
* Proven expertise working with massive, heterogeneous datasets (TBs\+).
* Strong experience with distributed data processing frameworks such as Apache Spark, Ray, or Dask.
* Hands\-on experience with large\-scale ML data handling tools like Hugging Face Datasets, MosaicML Streaming, WebDataset, or Petastorm.
* Proficiency in programming languages such as Python.
* Experience with MLOps platforms including MLflow, Kubeflow, or SageMaker Pipelines.
* Understanding of data challenges specific to training large models, including foundation models, LLMs, and multimodal models.
* Leadership skills with the ability to mentor junior engineers and influence technical direction.
* Excellent communication skills for cross\-functional collaboration and technical explanation.
* Pragmatic, action\-oriented mindset with the ability to thrive in a fast\-paced environment.
**Responsibilities**
* Architect and develop sophisticated data processing workflows for multimodal training data ingestion, processing, and preparation.
* Manage the entire lifecycle of large datasets, ensuring efficient storage, retrieval, and integration with distributed ML training frameworks.
* Develop strategies for compliant and efficient data ingestion from diverse sources, including internal databases, third\-party APIs, biomedical datasets, and proprietary data ecosystems.
* Optimize data loading and streaming processes using frameworks like MosaicML Streaming, Ray Data, or similar tools.
* Collaborate with infrastructure and platform teams to leverage cloud\-native services on GCP for performance, security, and cost\-efficiency.
* Engineer connectors and data loaders for accessing knowledge graphs, structured databases, biomedical literature, and ontologies.
* Implement and monitor data workflows using tools such as Airflow and Kubeflow Pipelines, ensuring robustness and scalability.
* Establish monitoring, logging, and alerting systems for data pipeline health, quality assurance, and data drift detection.
* Analyze and optimize data I/O performance, addressing storage, network, and compute bottlenecks.
* Manage cloud storage and processing costs, seeking continuous improvements and efficiencies.
* Lead technical discussions, influence data strategy, and mentor team members to foster a culture of innovation and excellence.
**Benefits**
* Competitive salary aligned with experience and location.
* Comprehensive health, dental, and vision insurance plans.
* Incentive compensation and restricted stock units.
* Flexible work arrangements, including remote options.
* Generous paid time off and holiday leave.
* Opportunities for professional development and continuous learning.
* Collaborative and innovative work environment focused on impactful healthcare solutions.
 Equal Opportunity
 Tempus is an equal opportunity employer. We celebrate diversity and are committed to creating an inclusive environment for all employees. We do not discriminate based on race, religion, color, national origin, gender, sexual orientation, age, marital status, veteran status, disability, or any other protected status. We believe that diverse perspectives foster innovation and drive our mission to transform healthcare through data and AI.</t>
        </is>
      </c>
    </row>
    <row r="60">
      <c r="A60" t="inlineStr">
        <is>
          <t>li-4361720314</t>
        </is>
      </c>
      <c r="B60" t="inlineStr">
        <is>
          <t>Machine Learning Engineer</t>
        </is>
      </c>
      <c r="C60" t="inlineStr">
        <is>
          <t>Toyota Connected North America</t>
        </is>
      </c>
      <c r="D60" t="inlineStr">
        <is>
          <t>linkedin</t>
        </is>
      </c>
      <c r="E60">
        <f>HYPERLINK("https://www.linkedin.com/jobs/view/4361720314", "https://www.linkedin.com/jobs/view/4361720314")</f>
        <v/>
      </c>
      <c r="F60" t="inlineStr"/>
      <c r="G60" t="inlineStr">
        <is>
          <t>Plano, TX</t>
        </is>
      </c>
      <c r="H60" t="inlineStr"/>
      <c r="I60" t="inlineStr">
        <is>
          <t>**Plano, TX \| Hybrid** 
 Toyota Connected’s Labs team is looking for a Machine Learning Engineer who will use machine learning and statistical techniques to help us create state\-of\-the\-art solutions for non\-trivial, and arguably, unsolved problems. If you are results driven, interested in how to apply advanced Machine Learning techniques, would love to work with voice and text, are deeply technical, highly innovative and long for the opportunity to build solutions for challenging problems that directly impact the company's bottom\-line, we want to talk to you.
**Responsibilities:** 
* Translate complex concepts from white papers into practical and efficient code implementations
* Write clean, maintainable code while complying with coding standards
* Share adopted architecture patterns or new technologies with the rest of teams
* Contribute to ML system design through writing and reviewing RFCs
* Actively participate in interview panels for more junior MLEs
* Regularly serve as a reviewer on merge requests
* Catch necessary unit/integration tests for other's code contributions as part of code review
* Execute full modeling life cycle including data cleansing, feature creation and iterative model selection
* Build scalable, efficient, automated processes for large scale data analysis, model development, model validation and model implementation
* Stay abreast of developments in research methodology and changing technologies in the marketplace and proactively identify applications of these latest developments to improve existing methods
* Work in a fast\-paced Agile Scrum environment to assist in prototyping, designing, and implementing predictive models and algorithms to create real world solutions
* Use statistical, machine learning, and deep learning techniques to create scalable solutions and perform R\&amp;D to drive discovery of new generation products
**Qualifications:** 
* 3\+ years of hands\-on experience in Machine Learning in a corporate environment
* Experience programming in Python
* Experience working with Tensorflow or PyTorch
* Experience with NLP
* Familiar with algorithm design and complexity analysis
* Experience implementing solutions in a cloud environment (AWS or Azure) is a plus
* Experience in designing and implementing Machine Learning pipelines in production environments is a plus
* Strong decision\-making skills with the ability to analyze data, assess risks, and implement effective solutions in a fast\-paced environment
* Problem\-solving skills with the ability to identify challenges, develop creative solutions, and implement effective strategies
* Proven ability to learn and apply new technologies, programming practices, patterns, and methods
* Experience collaborating effectively with cross\-functional teams, including developers, designers, and product owners
* Experience taking ownership of assigned projects and tasks, proactively driving them to completion while ensuring accountability for quality and deadlines.
* Results\-driven with a strong track record of setting goals, executing strategies, and delivering measurable outcomes
**Excited about this opportunity, but don't meet 100% of the qualifications?** 
 We’d still love for you to apply! Toyota Connected is dedicated to building a diverse and inclusive workplace where unique experiences are valued, and everyone has the opportunity to contribute. You may just be the right candidate for this, or other Toyota Connected opportunities.
**Location:** 
 This position is based in Plano, Texas. Toyota Connected encourages all employees to live within a reasonable commuting distance of their assigned work location for Hybrid work.
 To save time applying, Toyota Connected does not offer sponsorship of job applicants for employment\-based visas or any other work authorization for this position currently.
**What’s in it for you?** 
 In addition to an excellent compensation and benefits package, you’ll also receive:
* A Career Path that allows you to take your career to the next level.
* Annual $2,500 Training Budget to help you grow and develop your professional skills.
* Unlimited time off and flexibility for a great work\-life balance. At TC you'll be treated like the professional we know you are and left to manage your own time and workload.
* Home office stipend of $1,000 to help furnish an ergonomic remote office.
* Four months of paid parental leave. We want new moms and dads to have an opportunity to bond with their new little bundles of joy.
* Adoption Assistance of $5,000 for regular adoptions or $6,000 for special needs. We know adoption costs can add up, and we want to help.
* 401(k) with generous company match that is fully vested day one.
* Toyota and Lexus vehicle discounts allow you to drive in style.
* Generous vehicle allowance for new and leased Toyota and Lexus vehicles. Scratch that vehicle payment off your monthly bills!
* Annual Hackathon to embrace your superior creative thinking ability.
* Annual Wellness Stipend of $1000 to help balance your overall mental and physical health.
* Free catered lunches when working onsite. We try to keep it healthy, but Fridays are “cheat” days, so you can get your carbs on!
* Two fully stocked Nespresso bars for your coffee and tea fix.
* No dress code! Come as you are. We know the smart people we hire don’t need to be told what to wear.
* Free covered garage parking to shield your vehicle from those sneaky storms and to protect your buns from the Texas sun.
**Who Are We?** 
 Toyota Connected was established in 2016 to infuse the power of big data and cloud intelligence into all aspects of the mobility experience so that driving a Toyota or Lexus is more personal, intuitive, and safe. We create and enable technologies that delight, simplify, and connect the lives of those who use our products. We believe this mobility revolution will empower our customers to use their vehicles in an array of exciting new ways. We support, celebrate, and thrive on the opportunity to provide Mobility for All.
 Making a connected life a more human experience takes humans from all walks of life. Toyota Connected celebrates and is committed to a diverse and inclusive workplace that embraces you.
 We are committed to creating an accessible and inclusive hiring process by providing reasonable accommodations as necessary for persons with disabilities or those affected by pregnancy, childbirth or related medical conditions. If you need to request an accommodation, please reach out to your Recruiter who will connect you with an HR Business Partner to discuss your requested accommodation. We only share the candidate information obtained through this process as necessary to fulfill our reasonable accommodation obligations and strive to create an unbiased and equitable experience for all.</t>
        </is>
      </c>
    </row>
    <row r="61">
      <c r="A61" t="inlineStr">
        <is>
          <t>li-4378960939</t>
        </is>
      </c>
      <c r="B61" t="inlineStr">
        <is>
          <t>Machine Learning Engineer - Early Career</t>
        </is>
      </c>
      <c r="C61" t="inlineStr">
        <is>
          <t>Jobright.ai</t>
        </is>
      </c>
      <c r="D61" t="inlineStr">
        <is>
          <t>linkedin</t>
        </is>
      </c>
      <c r="E61">
        <f>HYPERLINK("https://www.linkedin.com/jobs/view/4378960939", "https://www.linkedin.com/jobs/view/4378960939")</f>
        <v/>
      </c>
      <c r="F61" t="inlineStr"/>
      <c r="G61" t="inlineStr"/>
      <c r="H61" t="inlineStr"/>
      <c r="I61"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62">
      <c r="A62" t="inlineStr">
        <is>
          <t>li-4380976636</t>
        </is>
      </c>
      <c r="B62" t="inlineStr">
        <is>
          <t>AI Senior Machine Learning Engineer -Gen AI, Machine Learning, Graph ML (10189)</t>
        </is>
      </c>
      <c r="C62" t="inlineStr">
        <is>
          <t>Extreme Networks</t>
        </is>
      </c>
      <c r="D62" t="inlineStr">
        <is>
          <t>linkedin</t>
        </is>
      </c>
      <c r="E62">
        <f>HYPERLINK("https://www.linkedin.com/jobs/view/4380976636", "https://www.linkedin.com/jobs/view/4380976636")</f>
        <v/>
      </c>
      <c r="F62">
        <f>HYPERLINK("https://jobs.lever.co/extremenetworks/f99032c4-6048-484d-b93e-f8dfbb62aa19/apply?source=LinkedIn&amp;urlHash=WvJJ", "https://jobs.lever.co/extremenetworks/f99032c4-6048-484d-b93e-f8dfbb62aa19/apply?source=LinkedIn&amp;urlHash=WvJJ")</f>
        <v/>
      </c>
      <c r="G62" t="inlineStr">
        <is>
          <t>San Jose, CA</t>
        </is>
      </c>
      <c r="H62" t="inlineStr"/>
      <c r="I62"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Position : AI Staff Machine Learning Engineer \-Gen AI,Machine Learning,Graph ML,Big Data
 Experience : 5 to 14 Years
 Hybrid/Remote
 Our AI Core group is pioneering platforms and solutions for Generative AI, including AI Agents, RAG, Knowledge Bases, Data Mining, Anomaly Detection, and LLM fine\-tuning. These innovations power flagship Extreme products while enabling entirely new offerings. Together, we are driving a fundamental shift in how businesses manage networks by building intelligent, high\-performance multi\-agent systems that perceive, learn, and act in real time. At Extreme, innovation is not just encouraged, it is expected. Advance with us and help shape the future of network intelligence.
**About The Position**
* Be a thought leader and forward thinker, help drive an innovative vision for our various products and platforms, design and launch strategic machine learning (ML) solutions and drive business\-wide innovation.
* Take the lead in the end\-to\-end software development lifecycle, encompassing design, testing, deployment, and operations, lead technical discussions and strategy, and participate hands\-on in design reviews, code reviews, and implementation.
* Craft high\-performance, high\-scale microservices architectures, including synchronous and asynchronous web services.
* Develop real\-time online inferencing for highly complex models using Triton, TensorRT and mixed precision computing.
* Mentor and develop other engineers on the team, establish technical direction and foster team culture.
* Uphold the highest standards of technical rigor in engineering and operational excellence, build highly resilient and scalable systems, and champion operational and process improvements.
**Basic Qualifications**
* Degree in mathematics/computer science or related discipline.
* 5 to 10 years of experience in the complete software development lifecycle including design, coding, code reviews, testing, build processes, deployments and operations.
* 5 to 10 years of experience in Python with an in\-depth knowledge of its advanced features and libraries.
* Expertise in designing RESTful APIs with hands\-on experience with technologies such as FastAPI.
* Proficient in Docker, Kubernetes, and modern CI/CD practices.
* 3\+ years of experience in leading the design and architecture of large distributed systems preferably on cloud platforms (e.g., AWS, Azure, Google Cloud).
* Experience as a mentor, tech lead or leading an engineering team.
**Preferred Qualifications**
* MS or PhD in Computer Science or equivalent experience in ML.
* Experience working with ML technologies (PyTorch, Sagemaker, Triton, TensorRT, etc.).
* Experience with NoSQL and document databases.
* Proven ability to handle big data, optimize workflows, and improve system performance.
* Come work with a team of highly talented engineers, and advance with us to achieve new heights every day!
* Salary based on qualifications, experience and region up to USD 170 k to 240 K plus benefits.
 $170,000 \- $240,000 a year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3">
      <c r="A63" t="inlineStr">
        <is>
          <t>li-4380956429</t>
        </is>
      </c>
      <c r="B63" t="inlineStr">
        <is>
          <t>Sr. AI Engineer</t>
        </is>
      </c>
      <c r="C63" t="inlineStr">
        <is>
          <t>Ringside Talent</t>
        </is>
      </c>
      <c r="D63" t="inlineStr">
        <is>
          <t>linkedin</t>
        </is>
      </c>
      <c r="E63">
        <f>HYPERLINK("https://www.linkedin.com/jobs/view/4380956429", "https://www.linkedin.com/jobs/view/4380956429")</f>
        <v/>
      </c>
      <c r="F63" t="inlineStr"/>
      <c r="G63" t="inlineStr">
        <is>
          <t>Ohio, United States</t>
        </is>
      </c>
      <c r="H63" t="inlineStr"/>
      <c r="I63" t="inlineStr">
        <is>
          <t>We are looking for a
 **Senior AI Engineer** 
 to work for our client. The ideal candidate aligns with the responsibilities and qualifications outlined below.
 Our client is seeking a Senior AI Engineer with hands\-on Palantir experience and strong API knowledge to deliver production\-grade AI capabilities at scale. In this fully remote U.S. role, you’ll partner with product, data, and platform teams to build models, services, and integrations that power decisioning and analytics—ideally with an understanding of healthcare data and compliance.
**Responsibilities** 
* Design, build, and deploy AI/ML solutions and decisioning services for real\-world use cases.
* Integrate models and data products within Palantir (e.g., Foundry) and connect to downstream systems via secure APIs.
* Develop, harden, and support RESTful APIs/microservices for model inference, data access, and orchestration.
* Productionize models (feature pipelines, inference endpoints, monitoring, drift detection, observability).
* Collaborate with data engineering to define data contracts, ensure data quality, and optimize performance.
* Implement CI/CD and MLOps best practices for reliable releases and reproducibility.
* Document architectures, interfaces, and runbooks; support on\-call rotations for critical AI services.
* Partner with clinical/operations stakeholders to translate requirements into scalable technical solutions (healthcare experience preferred).
**Qualifications** 
* 5\+ years of software/data/ML engineering experience delivering production systems.
* Demonstrated experience with Palantir (e.g., Foundry pipelines, ontology, operational decisioning, or integration patterns).
* Strong API engineering and microservices experience (REST/JSON, auth, rate limiting, observability).
* Proficiency in Python (or similar) for model serving, data pipelines, and service development.
* Experience with model lifecycle management and monitoring (MLOps).
* Cloud experience (AWS/Azure/GCP) and containerization (Docker; Kubernetes a plus).
* Prior experience in Healthcare is preferred.
* Excellent communication skills for cross\-functional collaboration in a remote environment.
**What Our Client Offers** 
* Impactful, production\-facing AI work with modern platforms including Palantir.
* Remote\-first culture across the U.S. with strong collaboration and autonomy.
* Time and tooling for experimentation, testing, and continuous improvement.
* Competitive compensation, benefits, and professional development support.</t>
        </is>
      </c>
    </row>
    <row r="64">
      <c r="A64" t="inlineStr">
        <is>
          <t>li-4378966527</t>
        </is>
      </c>
      <c r="B64" t="inlineStr">
        <is>
          <t>AI Engineer, Entry Level</t>
        </is>
      </c>
      <c r="C64" t="inlineStr">
        <is>
          <t>Jobright.ai</t>
        </is>
      </c>
      <c r="D64" t="inlineStr">
        <is>
          <t>linkedin</t>
        </is>
      </c>
      <c r="E64">
        <f>HYPERLINK("https://www.linkedin.com/jobs/view/4378966527", "https://www.linkedin.com/jobs/view/4378966527")</f>
        <v/>
      </c>
      <c r="F64">
        <f>HYPERLINK("https://jobright.ai/jobs/info/b2b_1770936109040_2?utm_source=5012&amp;utm_campaign=b2b_1770936109040_2&amp;urlHash=PvRu", "https://jobright.ai/jobs/info/b2b_1770936109040_2?utm_source=5012&amp;utm_campaign=b2b_1770936109040_2&amp;urlHash=PvRu")</f>
        <v/>
      </c>
      <c r="G64" t="inlineStr"/>
      <c r="H64" t="inlineStr"/>
      <c r="I64"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65">
      <c r="A65" t="inlineStr">
        <is>
          <t>li-4380985824</t>
        </is>
      </c>
      <c r="B65" t="inlineStr">
        <is>
          <t>Machine Learning Engineer</t>
        </is>
      </c>
      <c r="C65" t="inlineStr">
        <is>
          <t>RemoteHunter</t>
        </is>
      </c>
      <c r="D65" t="inlineStr">
        <is>
          <t>linkedin</t>
        </is>
      </c>
      <c r="E65">
        <f>HYPERLINK("https://www.linkedin.com/jobs/view/4380985824", "https://www.linkedin.com/jobs/view/4380985824")</f>
        <v/>
      </c>
      <c r="F65" t="inlineStr"/>
      <c r="G65" t="inlineStr"/>
      <c r="H65" t="inlineStr"/>
      <c r="I65" t="inlineStr">
        <is>
          <t>**1\. About Our Client** 
 : This organization operates within the academic health research sector, addressing challenges in integrating advanced computational tools with healthcare research. It supports a broad research community by providing data services, infrastructure, and consulting to enable complex biomedical and clinical projects. The program focuses on developing scalable, low\-cost technical solutions embedded within healthcare systems, particularly by leveraging electronic health records (EHR) and AI/ML technologies. Its work includes delivering clinical trial interventions, digital tools, and algorithms that are integrated into healthcare delivery to generate scientific evidence and improve patient care. The organization manages cloud\-based platforms that facilitate the deployment and monitoring of AI/ML models at scale, illustrating a focus on innovation and collaboration across technical and research teams.
**2\. About the Opportunit** 
 y: The
 **Machine Learning Enginee** 
 r will lead the design, implementation, and maintenance of data pipelines and infrastructure that support the deployment and continuous monitoring of machine learning and generative AI tools within a research\-focused team. This role is critical for enabling cutting\-edge AI/ML applications within clinical research environments by optimizing cloud infrastructure and integrating new data sources. The engineer will work closely with data scientists and technical teams to productionize AI tools and develop monitoring metrics, ensuring these tools operate reliably in healthcare settings. This position is essential for advancing research capabilities through robust and scalable AI infrastructure
**.
 3\. Responsibiliti** 
 e
* s:
 Lead development and maintenance of data pipelines and infrastructure for AI/ML tool deploym
* entManage and optimize Health IT cloud platform components, including ETL proces
* sesImplement new data integrations to support AI/ML workfl
* owsProductionize machine learning tools developed by research te
* amsDesign and implement monitoring metrics for deployed AI/ML applicati
* onsCollaborate with cross\-functional technical and research teams on customized soluti
* onsSupport scalable and cost\-effective infrastructure for ongoing research proje
**cts
 4\. Requirem** 
 e
* nts:
 Bachelor’s degree in Computer Science, Computer Engineering, or related field, or equivalent exper
* ience5\+ years of experience designing, implementing, and maintaining AI/ML applica
* tionsProficiency in Python with ability to write clean, production\-level
* codeAdvanced SQL skills (e.g., SQLServer, Postgr
* eSQL)Experience with machine learning tools such as Jupyter, Pandas, scikit\-learn, Py
* TorchKnowledge of full software development lifecycle and CI/CD pipe
* linesExperience deploying, monitoring, and maintaining AI/ML models and pipe
* linesAdvanced database, data warehousing, and ETL pipeline exper
* ienceSkilled in MLOps, DevOps, and automated te
* stingExperience with cloud platforms such as AWS, GCP, or
* AzureStrong communication skills for technical and non\-technical stakeho
* ldersAbility to work independently and as part of a team, with effective problem\-solving s
* killsProject leadership and management exper
* ienceUnderstanding of Epic data models (Clarity and Caboodle) and ability to obtain Epic Clinical/Clarity certification shortly after onboa
**rding
 Preferred Qualific** 
 a
* tions:
 Master’s or PhD in Computer Science, Computer Engineering, or relat
* ed areaEpic Clarity certif
* icationCloud development certifi
* cationsExperience with large language models and generative AI in pro
* ductionFamiliarity with data visualization tools (e.g., T
* ableau)Experience with Epic data str
**uctures
 5\. Pay Range and Compensation** 
* Package:
 The salary range for this position is $132,000 to $180,000 (Ann
* ual Rate)Final salary and offer components are subject to additional approvals based
* on policyPlacement within the salary range depends on experience and intern
* al equityFor union\-represented positions, placement follows collective bargaining agreem
**ent rules
 6\. Benefits \&amp;** 
 a
* mp; Perks:
 Information about benefits can be found at https://ucnet.universityofcalifornia.edu/compensation\-and\-benefits
**/index.html
 7\. Equal Opportuni** 
 ty Statement: Our client is an equal opportunity employer. They celebrate diversity and are committed to creating an inclusive environment for all employees. All qualified applicants will receive consideration for employment without regard to race, color, religion, gender, gender identity or expression, sexual orientation, or nati
 onal origin.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6">
      <c r="A66" t="inlineStr">
        <is>
          <t>li-4380992683</t>
        </is>
      </c>
      <c r="B66" t="inlineStr">
        <is>
          <t>AI Engineers (3 Levels)</t>
        </is>
      </c>
      <c r="C66" t="inlineStr">
        <is>
          <t>General Dynamics Information Technology</t>
        </is>
      </c>
      <c r="D66" t="inlineStr">
        <is>
          <t>linkedin</t>
        </is>
      </c>
      <c r="E66">
        <f>HYPERLINK("https://www.linkedin.com/jobs/view/4380992683", "https://www.linkedin.com/jobs/view/4380992683")</f>
        <v/>
      </c>
      <c r="F66" t="inlineStr"/>
      <c r="G66" t="inlineStr"/>
      <c r="H66" t="inlineStr"/>
      <c r="I66" t="inlineStr">
        <is>
          <t>****Job Description:****
**Type of Requisition:**
 Pipeline
****Clearance Level Must Currently Possess:****
 None
****Clearance Level Must Be Able To Obtain:****
 None
****Public Trust/Other Required:****
 MBI (T2\)
****Job Family:****
 Data Science and Data Engineering
****Skills:****
**Job Qualifications:**
 Artificial Intelligence (AI), Data Science, Machine Learning (ML)
****Certifications:****
 None
****Experience:****
 2 \+ years of related experience
****US Citizenship Required:****
 No
****Job Description:****
 Own your opportunity to turn data into measurable outcomes for our customers’ most complex challenges. As an
 **AI Engineer** 
 . Here, you’ll see the bigger picture on mission initiatives and where your program management career can go at GDIT.
***This is a Pipeline requisition opened in preparation for 3 levels of experienced AI Engineers. Positions to become available in the coming weeks.***
**MEANINGFUL WORK AND PERSONAL IMPACT**
 As an AI Engineer, the work you’ll do at GDIT will be impactful to the mission of USPS. You will play a crucial role in optimizing the business functions at USPS.
 The integration of AI technologies is essential to streamline these processes and provide data\-driven insights. The ideal candidate will be responsible for developing and advancing AI capabilities that support the USPS mission, with a focus on identifying opportunities to integrate AI across business processes and implementing solutions based on those findings. This includes automating requirements and test case preparation using tools such as Visual Studio Code, Python, Copilot AI, and other Postal Service–approved technologies. The candidate must bring strong technical expertise, a collaborative approach, and the ability to communicate effectively with stakeholders to ensure AI solutions are practical, mission‑aligned, and successfully adopted.
****WHAT YOU’LL NEED TO SUCCEED****
 Bring your expertise and drive for innovation to GDIT.
****Education:****
 The AI Engineer must have:
* Bachelor’s degree in a relevant field from an accredited College/University is preferred.
* Alternative Path: If the candidate does not possess a relevant four\-year degree, an additional four years of relevant work experience will be required.
****Required Experience** 
 :**
* Looking for 3 different levels of experience:
+ 0\-2 years of specialized AI development experience in technology or software development using Visual Studio, Crew AI, Co\-Pilot, etc.
+ 3\-7 years of specialized AI development experience in technology or software development using Visual Studio, Crew AI, Co\-Pilot, etc.
+ 8\+ years of specialized AI development experience in technology or software development using Visual Studio, Crew AI, Co\-Pilot, etc.
* Proven experience leading or contributing to AI/Automation projects in a professional capacity.
* Hands\-on experience in Analytics Support and/or a leadership role is highly desirable.
****Required Technical Skills** 
 :**
* Demonstrated expertise in developing solutions using Visual Studio Code, Python, and other programming languages to harness generative AI and large language models (LLMs).
* Strong knowledge of AI\-related technologies, frameworks, and their integration into enterprise systems.
* Develop AI tool/program to create technical requirements by leveraging current and past business user stories.
* Integrate the existing test automation framework with AI solutions.
* Ensure all AI scripts and programs are fully executable on postal laptops.
* Train designated team members to execute and maintain AI scripts and programs.
****Preferred Skills** 
 :**
* Strong analytical thinking skills and ability to develop creative solutions to complex technical challenges.
* Effective communication skills with the ability to articulate complex technical information to non\-technical stakeholders.
* Demonstrated ability to work in a collaborative team environment with cross\-functional stakeholders.
* Track record of delivering successful AI\-enhanced projects for enterprise systems.
****Security Clearance Level** 
 :**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 Remote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\#zxc726 \#AIEngineer
 The likely salary range for this position is $111,155 \- $150,385\. This is not, however, a guarantee of compensation or salary. Rather, salary will be set based on experience, geographic location and possibly contractual requirements and could fall outside of this range.
****Scheduled Weekly Hours:****
 40
****Travel Required:****
 Less than 10%
****Telecommuting Options:****
 Remote
**Work Location:**
 Any Location / Remote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GDIT typically provides new employees with 15 days of paid leave per calendar year to be used for vacations, personal business, and illness and an additional 10 paid holidays per year. Paid leave and paid holidays are prorated based on the employee’s date of hire. The GDIT Paid Family Leave program provides a total of up to 160 hours of paid leave in a rolling 12 month period for eligible employees.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67">
      <c r="A67" t="inlineStr">
        <is>
          <t>li-4370703613</t>
        </is>
      </c>
      <c r="B67" t="inlineStr">
        <is>
          <t>Generative AI Engineer</t>
        </is>
      </c>
      <c r="C67" t="inlineStr">
        <is>
          <t>Equifax</t>
        </is>
      </c>
      <c r="D67" t="inlineStr">
        <is>
          <t>linkedin</t>
        </is>
      </c>
      <c r="E67">
        <f>HYPERLINK("https://www.linkedin.com/jobs/view/4370703613", "https://www.linkedin.com/jobs/view/4370703613")</f>
        <v/>
      </c>
      <c r="F67" t="inlineStr"/>
      <c r="G67" t="inlineStr">
        <is>
          <t>Atlanta, GA</t>
        </is>
      </c>
      <c r="H67" t="inlineStr"/>
      <c r="I67" t="inlineStr">
        <is>
          <t>**What You’ll Do**
* Apply the knowledge of data characteristics and data supply pattern, develop rules and tracking process to support data quality model.
* Prepare data for analytical use by building data pipelines to gather data from multiple sources and systems.
* Integrate, consolidate, cleanse and structure data for use by our clients in our solutions.
* Perform design, creation, and interpretation of large and highly complex datasets.
* Stay up\-to\-date with the latest trends and advancements in GCP and related technologies, actively proposing and evaluating new solutions.
* Understand best practices for data management, maintenance, reporting and security and use that knowledge to implement improvements in our solutions.
* Implement security best practices in pipelines and infrastructure.
* Develop and implement data quality checks and troubleshoot data anomalies.
* Provide guidance and mentorship to junior data engineers.
* Review dataset implementations performed by junior data engineers.
**What Experience You Need**
* BS degree in a STEM major or equivalent discipline; Master’s Degree strongly preferred
* 5\+ years of experience as a data engineer or related role
* Cloud certification strongly preferred
* Advanced skills using programming languages such as Python or SQL and intermediate level experience with scripting languages
* Intermediate level understanding and experience with Google Cloud Platforms and overall cloud computing concepts, as well as basic knowledge of other cloud environments
* Experience building and maintaining moderately\-complex data pipelines, troubleshooting issues, transforming and entering data into a data pipeline in order for the content to be digested and usable for future projects
* Experience designing and implementing moderately complex data models and experience enabling optimization to improve performance
* Demonstrates advanced Git usage and CI/CD integration skills
**What Could Set You Apart**
* Master’s degree in a related field is a strong plus
* Exposure in Vertex AI, GCP AI/ML services (AutoML, BigQuery ML, Cloud Run, etc.) or a similar cloud technology
* Strong foundational skills in Linux Operating System.
* Understanding of NLP, deep learning, and generative architectures (Transformers, Diffusion Models, etc.)
* Background in credit risk, financial data analytics or risk modeling.
* Experience working with large datasets on a big data platform (e.g., Google Cloud, AWS, Snowflake, Hadoop)
* Experience in Business Intelligence, data visualization, and customer insights
* generation.
* Familiarity with data governance, model bias mitigation, and regulatory frameworks (GDPR, AI Act, SEC compliance).
* Experience with MLOps practices, model monitoring, and CI/CD for AI workflows.
* Knowledge of prompt tuning, fine\-tuning, and parameter\-efficient methods (LoRA, PEFT).
* Hands\-on experience with RAG, multi\-modal AI, and hybrid AI architectures.
* Contributions to the AI community through publications, open\-source projects, or conference presentations.</t>
        </is>
      </c>
    </row>
    <row r="68">
      <c r="A68" t="inlineStr">
        <is>
          <t>li-4378986300</t>
        </is>
      </c>
      <c r="B68" t="inlineStr">
        <is>
          <t>Principal ML Engineer</t>
        </is>
      </c>
      <c r="C68" t="inlineStr">
        <is>
          <t>Brine Group</t>
        </is>
      </c>
      <c r="D68" t="inlineStr">
        <is>
          <t>linkedin</t>
        </is>
      </c>
      <c r="E68">
        <f>HYPERLINK("https://www.linkedin.com/jobs/view/4378986300", "https://www.linkedin.com/jobs/view/4378986300")</f>
        <v/>
      </c>
      <c r="F68" t="inlineStr"/>
      <c r="G68" t="inlineStr"/>
      <c r="H68" t="inlineStr"/>
      <c r="I68" t="inlineStr">
        <is>
          <t>Principal ML Engineer role with digital commerce data analytics company:
 As a Principal/Lead ML Engineer/Architect, you will develop and deliver AI and DS strategy with senior leadership; architect and build production AI systems at scale (AWS); and lead a small team of ML/DS Engineers.
 You have:
* 12\+ years DS/ML, engineering, and technical leadership experience.
* Expertise in statistical methods, classical ML, and design.
* Architected and delivered production AI/ML systems at scale in the cloud.
* Experience writing production code (Python, SQL).
* Combination of the following: NLP, text analytics, LLM integration patterns, RAG architectures, MLOps, etc.
* Ability to present to executive leadership and customers.</t>
        </is>
      </c>
    </row>
    <row r="69">
      <c r="A69" t="inlineStr">
        <is>
          <t>li-4380990564</t>
        </is>
      </c>
      <c r="B69" t="inlineStr">
        <is>
          <t>AI Engineer</t>
        </is>
      </c>
      <c r="C69" t="inlineStr">
        <is>
          <t>Haystack</t>
        </is>
      </c>
      <c r="D69" t="inlineStr">
        <is>
          <t>linkedin</t>
        </is>
      </c>
      <c r="E69">
        <f>HYPERLINK("https://www.linkedin.com/jobs/view/4380990564", "https://www.linkedin.com/jobs/view/4380990564")</f>
        <v/>
      </c>
      <c r="F69" t="inlineStr"/>
      <c r="G69" t="inlineStr">
        <is>
          <t>Raleigh, NC</t>
        </is>
      </c>
      <c r="H69" t="inlineStr"/>
      <c r="I69" t="inlineStr">
        <is>
          <t>**AI Cloud Engineer \| Raleigh, North Carolina \| Hybrid** 
 We're working with a leading NASDAQ\-listed mortgage insurance innovator on this exciting opportunity. They are on a mission to revolutionize homeownership by scaling cutting\-edge GenAI solutions within a robust cloud ecosystem.
 As an AI Cloud Engineer, you will bridge the gap between Data Science and Production, architecting enterprise\-grade GenAI platforms on AWS. This is a high\-impact role where you will automate infrastructure with Terraform and deploy LLM\-powered services using AWS Bedrock to transform the fintech landscape.
**The Role** 
 • Architect and operate secure, scalable AI infrastructure on AWS, leveraging ECR/ECS, Lambda, and API Gateway for high\-performance service delivery.
 • Operationalize GenAI capabilities by building automated CI/CD pipelines via GitHub Actions or CodePipeline, supporting blue/green and canary deployments.
 • Develop internal tools and APIs using Python and Docker to streamline the adoption of LLM services and GenAI patterns across the organization.
 • Implement comprehensive observability and cost governance using CloudWatch, ensuring model lineage, auditability, and production reliability via SLOs.
 • Collaborate with cross\-functional data science teams to prototype and troubleshoot production issues across data, model, and infrastructure layers.
**What You'll Need** 
 • 5\+ years of deep AWS expertise, specifically with ECR/ECS, S3, Glue, Athena, IAM, and SageMaker/Bedrock.
 • 5\+ years of experience building robust CI/CD pipelines for containerized applications and model deployments.
 • 3\+ years of experience with Infrastructure as Code (IaC) using Terraform, focused on parameterized modules and environment promotion.
 • 3\+ years of professional development experience in Python, JSON, and Bash, with an "automation\-first" mindset.
 • Proven experience in highly regulated environments (FinTech/HealthTech) with a focus on data security, RBAC, and encryption standards.
**What's On Offer** 
 • Competitive hybrid work structure in Raleigh (Tues/Wed/Thurs in\-office) with a modern onsite gym.
 • Best\-in\-class financial perks including a 401k with a 5% employer match and student loan repayment assistance.
 • Dedicated "Connection" time with 40 hours of Volunteer Time Off and comprehensive tuition reimbursement.
 • Wellness\-focused culture featuring generous PTO, paid family leave, and fitness/emotional wellness reimbursements.
**Apply via Haystack today!**</t>
        </is>
      </c>
    </row>
    <row r="70">
      <c r="A70" t="inlineStr">
        <is>
          <t>li-4379697328</t>
        </is>
      </c>
      <c r="B70" t="inlineStr">
        <is>
          <t>AI Engineer, Professional Services, Google Cloud</t>
        </is>
      </c>
      <c r="C70" t="inlineStr">
        <is>
          <t>Google</t>
        </is>
      </c>
      <c r="D70" t="inlineStr">
        <is>
          <t>linkedin</t>
        </is>
      </c>
      <c r="E70">
        <f>HYPERLINK("https://www.linkedin.com/jobs/view/4379697328", "https://www.linkedin.com/jobs/view/4379697328")</f>
        <v/>
      </c>
      <c r="F70">
        <f>HYPERLINK("https://careers.google.com/jobs/results/112144142431068870-ai-engineer/?src=Online/LinkedIn/linkedin_us&amp;utm_source=linkedin&amp;utm_medium=jobposting&amp;utm_campaign=contract&amp;urlHash=WVZA", "https://careers.google.com/jobs/results/112144142431068870-ai-engineer/?src=Online/LinkedIn/linkedin_us&amp;utm_source=linkedin&amp;utm_medium=jobposting&amp;utm_campaign=contract&amp;urlHash=WVZA")</f>
        <v/>
      </c>
      <c r="G70" t="inlineStr">
        <is>
          <t>Austin, TX</t>
        </is>
      </c>
      <c r="H70" t="inlineStr"/>
      <c r="I70" t="inlineStr">
        <is>
          <t>The application window will be open until at least March 11, 2026\. This opportunity will remain online based on business needs which may be before or after the specified date.
 Note: By applying to this position you will have an opportunity to share your preferred working location from the following:
 **Austin, TX, USA; Atlanta, GA, USA; Boulder, CO, USA; Chicago, IL, USA** 
 .
 **Minimum qualifications:**
* Bachelor's degree in Computer Science, or equivalent practical experience.
* 8 years of experience building machine learning solutions and working with technical customers.
* Experience designing cloud enterprise solutions and supporting customer projects to completion.
* Experience coding in one or more general purpose languages (e.g., Python, Java, Go, C or C\+\+) including data structures, algorithms, and software design.
**Preferred qualifications:**
* Experience working with recommendation engines, data pipelines, or distributed machine learning.
* Experience with deep learning frameworks (e.g., TensorFlow, PyTorch, XGBoost).
* Understanding of the auxiliary practical concerns in production machine learning systems.
* Knowledge of data warehousing concepts, including data warehouse technical architectures, infrastructure components, ETL/ELT and reporting/analytic tools and environments (e.g., Apache Beam, Hadoop, Spark, Pig, Hive, MapReduce, Flume).
**About The Job**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implement machine learning solutions for customer use cases, leveraging core Google products including TensorFlow, DataFlow, and Vertex AI. You will work with customers to identify opportunities to apply machine learning in their business, and travel to customer sites to deploy solutions and deliver workshops to educate and empower customers. Additionally, you will work closely with Product Management and Product Engineering to build and constantly drive excellence in our products.
 In this role, you are the Google Engineer working with Google's largest and most ambitious Cloud customers. Together with the team, you will support customer implementation of Google Cloud products through architecture guidance, best practices, data migration, capacity planning, implementation, troubleshooting, monitoring, and much more.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a trusted technical advisor to customers and solve complex machine learning challenges.
* Coach customers on the practical challenges in machine learning systems such as feature extraction and feature definition, data validation, monitoring, and management of features and models.
* Work with customers, partners, and Google product teams to deliver tailored solutions into production.
* Create and deliver best practice recommendations, tutorials, blog articles, and sample code.
* Travel up to 30% for in\-region for meetings, technical reviews, and onsite delivery activities.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li-4380000698</t>
        </is>
      </c>
      <c r="B71" t="inlineStr">
        <is>
          <t>Senior Machine Learning Engineer, Vice President</t>
        </is>
      </c>
      <c r="C71" t="inlineStr">
        <is>
          <t>Citi</t>
        </is>
      </c>
      <c r="D71" t="inlineStr">
        <is>
          <t>linkedin</t>
        </is>
      </c>
      <c r="E71">
        <f>HYPERLINK("https://www.linkedin.com/jobs/view/4380000698", "https://www.linkedin.com/jobs/view/4380000698")</f>
        <v/>
      </c>
      <c r="F71">
        <f>HYPERLINK("https://ad.doubleclick.net/ddm/trackclk/N4789.466581LINKEDIN.COM/B31905749.393702677;dc_trk_aid=614240951;dc_trk_cid=235979136;dc_lat=;dc_rdid=;tag_for_child_directed_treatment=;tfua=;ltd=;dc_tdv=1;dc_transparent=1;?https://jobs.citi.com/job/-/-/287/92376052944?source=APPLICANT_SOURCE-3-354&amp;utm_medium=job_posting&amp;utm_campaign=nam_experienced&amp;utm_content=social_media&amp;utm_term=393702677&amp;ss=paid&amp;utm_source=linkedin&amp;urlHash=o9pE", "https://ad.doubleclick.net/ddm/trackclk/N4789.466581LINKEDIN.COM/B31905749.393702677;dc_trk_aid=614240951;dc_trk_cid=235979136;dc_lat=;dc_rdid=;tag_for_child_directed_treatment=;tfua=;ltd=;dc_tdv=1;dc_transparent=1;?https://jobs.citi.com/job/-/-/287/92376052944?source=APPLICANT_SOURCE-3-354&amp;utm_medium=job_posting&amp;utm_campaign=nam_experienced&amp;utm_content=social_media&amp;utm_term=393702677&amp;ss=paid&amp;utm_source=linkedin&amp;urlHash=o9pE")</f>
        <v/>
      </c>
      <c r="G71" t="inlineStr">
        <is>
          <t>Tampa, FL</t>
        </is>
      </c>
      <c r="H71" t="inlineStr"/>
      <c r="I71" t="inlineStr">
        <is>
          <t>**Candidate should possess deep hands\-on expertise in designing, building, and deploying scalable machine learning systems, including advanced NLP and Generative AI (LLM) solutions** 
 . This position demands strong technical leadership, a quick learning ability, a proven track record in delivering high\-value, production\-grade AI solutions, and the capacity to mentor junior engineers.
 The right candidate will be expected to be a key player in the project evolution \&amp; deployment shouldering the following responsibilities:
 Work as a collaborative member of a team spread over multiple locations (India, UK, US) Understand internally published architectural guidelines to design solutions and represent them in architectural reviews. Define \&amp; communicate development standards that follow established architectural designs and perform code reviews to ensure quality standards of systems \&amp; team. Lead by example in developing exceptional quality code by doing design \&amp; code reviews. Design \&amp; develop platform functionality that is scalable \&amp; configurable as a global platform.
**Key Responsibilities**
* ML System Design \&amp; Architecture: Lead the design and architecture of robust, scalable, and high\-performance machine learning systems, ensuring seamless integration with existing platforms.
* Production ML Model Deployment: Own the end\-to\-end lifecycle of deploying and operationalizing machine learning models in production environments, ensuring efficiency, reliability, and maintainability.
* Advanced AI/ML Engineering: Develop, optimize, and implement advanced machine learning algorithms and statistical models, focusing on engineering best practices for performance and scalability.
* Generative AI \&amp; NLP System Development: Engineer and integrate cutting\-edge Generative AI (LLM) and Natural Language Processing (NLP) solutions. This includes designing efficient prompting strategies, developing LLM\-based data augmentation techniques, and implementing Retrieval\-Augmented Generation (RAG, including advanced RAG) to enhance model capabilities within production systems.
* Deep Learning Infrastructure: Design and build systems to effectively apply and deploy deep learning techniques (ANN, LSTM, CNN, BERT, XLNet, Transformers, neural \&amp; LLM\-based embeddings) for state\-of\-the\-art AI applications at scale.
* MLOps \&amp; Automation: Establish and implement MLOps practices, including CI/CD pipelines, automated testing, monitoring, and retraining strategies for ML models to ensure continuous improvement and stability.
* Performance Optimization: Optimize ML models and underlying infrastructure for computational efficiency, speed, and resource utilization.
* Technical Leadership \&amp; Mentorship: Drive technical excellence, promote best coding practices, perform code reviews, and provide mentorship to junior engineers.
* Cross\-Functional Collaboration: Partner closely with data scientists, product managers, and other engineering teams to translate complex business requirements into technical ML solutions and ensure successful delivery.
* Risk Management \&amp; Compliance: Integrate risk assessment and compliance considerations into ML system design and deployment, ensuring adherence to applicable laws, regulations, and internal policies to safeguard the firm's reputation and assets.
**Qualifications**
* Experience:
+ 5\+ years of hands\-on experience in Machine Learning Engineering, MLOps, or AI system development.
+ Minimum of 2 years of direct experience in engineering and deploying Generative AI/LLM solutions in production.
* Technical Skills:
+ Deep proficiency in Python for production\-grade ML development, with expertise in relevant libraries (scikit\-learn, pandas, SpaCy, TensorFlow, PyTorch, Hugging Face Transformers).
+ Strong experience with PySpark for large\-scale data processing and building robust data pipelines.
+ Proficiency in big data frameworks (Hadoop, Spark, Hive, Hue) and experience with streaming technologies.
+ Extensive experience with MLOps tools and practices (e.g., Docker, Kubernetes, MLflow, Airflow, CI/CD for ML).
+ Proven experience in designing, implementing, and deploying NLP and deep learning models to production.
+ Hands\-on experience with Generative AI development, including engineering prompting strategies, RAG implementation, and LLM fine\-tuning and integration (e.g., Langchain, LlamaIndex).
+ Familiarity with cloud platforms (AWS, Azure, GCP) and their ML services.
+ Good to have: Experience with graph neural networks, graph databases, or distributed systems for ML.
* System Design \&amp; Architecture: Demonstrated ability to design scalable, fault\-tolerant, and performant ML systems.
* Problem\-Solving: Exceptional analytical, interpretive, and problem\-solving skills with a focus on engineering challenges and innovative solutions.
* Communication: Excellent interpersonal, verbal, and written communication skills, with the ability to articulate complex technical concepts to both technical and non\-technical audiences.
* Autonomy \&amp; Leadership: Proven ability to work independently, drive projects to completion, and provide technical leadership and mentorship
 \-\-\-\-\-\-\-\-\-\-\-\-\-\-\-\-\-\-\-\-\-\-\-\-\-\-\-\-\-\-\-\-\-\-\-\-\-\-\-\-\-\-\-\-\-\-\-\-\-\-\-\-\-\-
**Job Family Group:**
 Technology
 \-\-\-\-\-\-\-\-\-\-\-\-\-\-\-\-\-\-\-\-\-\-\-\-\-\-\-\-\-\-\-\-\-\-\-\-\-\-\-\-\-\-\-\-\-\-\-\-\-\-\-\-\-\-
**Job Family:**
 Digital Software Engineering
 \-\-\-\-\-\-\-\-\-\-\-\-\-\-\-\-\-\-\-\-\-\-\-\-\-\-\-\-\-\-\-\-\-\-\-\-\-\-\-\-\-\-\-\-\-\-\-\-\-\-\-\-\-\-
**Time Type:**
 Full time
 \-\-\-\-\-\-\-\-\-\-\-\-\-\-\-\-\-\-\-\-\-\-\-\-\-\-\-\-\-\-\-\-\-\-\-\-\-\-\-\-\-\-\-\-\-\-\-\-\-\-\-\-\-\-
**Primary Location:**
 Tampa Florida United States
 \-\-\-\-\-\-\-\-\-\-\-\-\-\-\-\-\-\-\-\-\-\-\-\-\-\-\-\-\-\-\-\-\-\-\-\-\-\-\-\-\-\-\-\-\-\-\-\-\-\-\-\-\-\-
**Primary Location Full Time Salary Range:**
 $125,600\.00 \- $188,400\.00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Mar 10,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72">
      <c r="A72" t="inlineStr">
        <is>
          <t>li-4362351320</t>
        </is>
      </c>
      <c r="B72" t="inlineStr">
        <is>
          <t>Senior Machine Learning Engineer</t>
        </is>
      </c>
      <c r="C72" t="inlineStr">
        <is>
          <t>Harnham</t>
        </is>
      </c>
      <c r="D72" t="inlineStr">
        <is>
          <t>linkedin</t>
        </is>
      </c>
      <c r="E72">
        <f>HYPERLINK("https://www.linkedin.com/jobs/view/4362351320", "https://www.linkedin.com/jobs/view/4362351320")</f>
        <v/>
      </c>
      <c r="F72" t="inlineStr"/>
      <c r="G72" t="inlineStr"/>
      <c r="H72" t="inlineStr"/>
      <c r="I72" t="inlineStr">
        <is>
          <t>**Machine Learning Engineer – Generative AI \&amp; Scalable ML Systems** 
***Remote \- Must be based in the US***
**About the Company** 
 Join a global media\-tech leader powering smarter audience strategies and monetization solutions for some of the world’s most recognized brands. This is a fast\-paced, innovation\-driven environment where data, AI, and engineering intersect to create products that shape the future of media.
**The Mission** 
 As a
 **Machine Learning Engineer** 
 , you’ll be at the forefront of designing, building, and deploying machine learning systems at scale. You’ll work on projects that leverage
 **Large Language Models (LLMs)** 
 and
 **Generative AI** 
 to deliver intelligent features and solve complex business challenges. This is an opportunity to influence the technical roadmap for ML initiatives and work with cutting\-edge technologies in a collaborative, forward\-thinking team.
**What You’ll Do** 
* Design, develop, and deploy ML models in production environments
* Collaborate with product and engineering teams to deliver AI\-powered features
* Experiment with generative AI technologies and prototype innovative solutions
* Contribute to architectural decisions and long\-term ML infrastructure planning
* Ensure models are explainable, maintainable, and monitored effectively
* Participate in on\-call rotations to maintain system reliability
**What We’re Looking For** 
* 5\+ years of experience as a Machine Learning Engineer
* Proven track record of deploying ML models at scale
* Strong Python and advanced SQL skills
* Hands\-on experience with PyTorch, TensorFlow, Spark, MLFlow
* Familiarity with Snowflake or similar data warehouse environments
* Bonus: Experience implementing and scaling LLMs in production
* Degree in Computer Science, Engineering, or related field
**Why Join?** 
* Competitive compensation: $170,000–$185,000
* Comprehensive health, dental, and vision coverage
* 401K with company match
* Fully paid parental leave
* Flexible work hours \&amp; remote\-friendly culture
* Unlimited PTO and 11 paid holidays
* Wellness, learning, and coworking reimbursements</t>
        </is>
      </c>
    </row>
    <row r="73">
      <c r="A73" t="inlineStr">
        <is>
          <t>li-4381113871</t>
        </is>
      </c>
      <c r="B73" t="inlineStr">
        <is>
          <t>Senior Applied Machine Learning Engineer - Detect</t>
        </is>
      </c>
      <c r="C73" t="inlineStr">
        <is>
          <t>Sage</t>
        </is>
      </c>
      <c r="D73" t="inlineStr">
        <is>
          <t>linkedin</t>
        </is>
      </c>
      <c r="E73">
        <f>HYPERLINK("https://www.linkedin.com/jobs/view/4381113871", "https://www.linkedin.com/jobs/view/4381113871")</f>
        <v/>
      </c>
      <c r="F73">
        <f>HYPERLINK("https://grnh.se/9pkmdjr04us&amp;urlHash=cMGS", "https://grnh.se/9pkmdjr04us&amp;urlHash=cMGS")</f>
        <v/>
      </c>
      <c r="G73" t="inlineStr">
        <is>
          <t>New York, NY</t>
        </is>
      </c>
      <c r="H73" t="inlineStr"/>
      <c r="I73" t="inlineStr">
        <is>
          <t>Sage is on a mission to improve care and quality of life for older adults, starting with those residing in senior living facilities. Falls are the leading cause of injury\-related death among adults over 65\. And yet, fall prevention and emergency response systems for older adults are archaic and ineffective. At Sage we've built a more modern way of understanding when older adults need help, including methods for residents to alert caregivers when in need of help, and corresponding software for caregivers to triage response. Our company mission is to create a product that our client counterparts love, and this role is a key part of that objective.
 Sage is a small, tight team of ambitious, multi\-disciplinary entrepreneurs. We are a software\-enabled, mission\-driven company, and are focused only on the problems that are central to achieving that mission. At Sage, we work hard and fast but also know that to build a truly important company, we need to treat our work as a marathon, and not a sprint. The journey matters.
**About This Role**
 As a Senior Applied Machine Learning Engineer on the Detect team, you'll own the end\-to\-end lifecycle of the AI models that power our camera\-based detection system — from data collection and labeling through training, evaluation, and production deployment. Today, Detect uses frontier multi\-modal vision models to analyze video streams and detect falls in real time. Your job is to make these models dramatically better and more capable.
 You'll take ownership of our ML experimentation platform and infrastructure, maturing it into a robust system that enables the team to rapidly iterate on model quality at scale. You'll design repeatable fine\-tuning pipelines that allow models to continuously improve with new production data, and expand the system's detection capabilities beyond falls into new behavioral categories. This is a hands\-on, high\-autonomy role where you'll directly impact the accuracy of a life\-saving system used every day by caregivers across the country.
**Responsibilities**
* Own and evolve our ML experimentation platform, maturing existing infrastructure into a production\-grade system the team relies on daily
* Build data pipelines for collecting, labeling, and preparing production video and image data for model training
* Design repeatable fine\-tuning and evaluation pipelines that enable rapid experimentation and measure model performance at scale
* Improve detection accuracy and reduce false positives through prompt engineering, model fine\-tuning, and novel inference strategies
* Expand detection capabilities into new behavioral categories
* Work closely with the backend engineering team to integrate model improvements into the real\-time video processing pipeline
**Minimum Qualifications**
* 5\+ years of professional software engineering experience
* Experience training, fine\-tuning, or improving ML/AI models in a production setting
* Strong understanding of model evaluation methodology and experiment tracking
* Proficiency in Python or TypeScript
**Preferred Qualifications**
* Experience with cloud AI platforms (Google Vertex AI, AWS SageMaker, or similar)
* Experience fine\-tuning multi\-modal models (VLMs) or large language models (LLMs)
* Familiarity with Kotlin, Java, or similar JVM languages
* Background in computer vision, video processing, or working with image/video data at scale
* Experience building internal ML tooling (labeling, experiment tracking, evaluation)
* Experience maturing early\-stage internal tools into production\-grade systems
* Full\-stack capability with TypeScript/React for building internal tool UIs
 Benefits and Pay
 Our headquarters are located in New York City's Union Square. We believe in cross team collaboration. We think good ideas can come from anyone, and we've designed our processes to encourage participation from all. While we take our mission seriously, we don't take ourselves too seriously. We like to host offsites, outings, and team meals where we can connect as people, not just as colleagues. We offer office lunch and a fully stocked snack bar. While we are an in office culture, we allow up to 2 remote days per week.
 Our benefits package for employees includes competitive base compensation along with stock options. The expected annual salary range for this role is
 **$180,000 \- $210,000** 
 USD, depending upon the job level, which will depend on your level of expertise, your experience, and your qualifications. We also provide fully\-paid health and dental insurance coverage for all of our employees, along with other health benefits including vision insurance, membership to premium primary and urgent care, and online medical health providers. We also have a take as you need time off policy, in addition to 7 paid holidays and a company wide winter break during the holidays.
 EEO Statement
 Sage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Sage makes hiring decisions based solely on qualifications, merit, and business needs at the time.</t>
        </is>
      </c>
    </row>
    <row r="74">
      <c r="A74" t="inlineStr">
        <is>
          <t>li-4365123543</t>
        </is>
      </c>
      <c r="B74" t="inlineStr">
        <is>
          <t>Senior Machine Learning Engineer</t>
        </is>
      </c>
      <c r="C74" t="inlineStr">
        <is>
          <t>Harnham</t>
        </is>
      </c>
      <c r="D74" t="inlineStr">
        <is>
          <t>linkedin</t>
        </is>
      </c>
      <c r="E74">
        <f>HYPERLINK("https://www.linkedin.com/jobs/view/4365123543", "https://www.linkedin.com/jobs/view/4365123543")</f>
        <v/>
      </c>
      <c r="F74" t="inlineStr"/>
      <c r="G74" t="inlineStr">
        <is>
          <t>New York, United States</t>
        </is>
      </c>
      <c r="H74" t="inlineStr"/>
      <c r="I74" t="inlineStr">
        <is>
          <t>**Machine Learning Engineer – ML Infrastructure (NYC, Hybrid)** 
 A fast‑growing AI team inside a major national healthcare technology organisation is hiring Machine Learning Engineers in NYC. This group combines startup speed with enterprise‑scale impact, building the ML systems that power healthcare’s first AI\-driven Revenue Operating System.
**The Role** 
 You’ll own core ML infrastructure that accelerates research: experiment tracking, benchmarking, training pipelines, distributed compute, and deployment standards. You’ll work closely with researchers and platform teams to take models from prototype to production quickly and safely.
**What You’ll Work On** 
* ML dev environment, experimentation \&amp; benchmarking tools
* Distributed compute: Ray, Airflow, Kubernetes
* Training \&amp; inference pipelines
* Handoff contracts and performance gates
* Agentic workflow/LLM agent orchestration
**What We’re Looking For** 
* 5\+ years software engineering, 2\+ years ML engineering
* Strong experience with ML infrastructure or internal tooling
* Background with distributed systems and model deployment
* Comfortable in fast\-moving research\-to\-production environments
* Based in NYC — hybrid, 3 days per week in office
**Why Join** 
* Top\-of\-market comp (salary \+ equity)
* Huge technical ownership
* Mission\-driven AI work with real\-world impact
* Hybrid culture with a high\-calibre engineering team</t>
        </is>
      </c>
    </row>
    <row r="75">
      <c r="A75" t="inlineStr">
        <is>
          <t>li-4380010695</t>
        </is>
      </c>
      <c r="B75" t="inlineStr">
        <is>
          <t>Staff AI Engineer</t>
        </is>
      </c>
      <c r="C75" t="inlineStr">
        <is>
          <t>SpotOn</t>
        </is>
      </c>
      <c r="D75" t="inlineStr">
        <is>
          <t>linkedin</t>
        </is>
      </c>
      <c r="E75">
        <f>HYPERLINK("https://www.linkedin.com/jobs/view/4380010695", "https://www.linkedin.com/jobs/view/4380010695")</f>
        <v/>
      </c>
      <c r="F75">
        <f>HYPERLINK("https://jobs.ashbyhq.com/spoton/6038e413-6bbf-45b6-b138-aa097d8a765d/application?utm_source=LinkedIn&amp;urlHash=up1I", "https://jobs.ashbyhq.com/spoton/6038e413-6bbf-45b6-b138-aa097d8a765d/application?utm_source=LinkedIn&amp;urlHash=up1I")</f>
        <v/>
      </c>
      <c r="G75" t="inlineStr">
        <is>
          <t>Raleigh, NC</t>
        </is>
      </c>
      <c r="H75" t="inlineStr"/>
      <c r="I75"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**About The Accelerate Team**
 The Accelerate team is a new 5\-person engineering team with a singular mission: prove that AI\-native engineering practices can fundamentally change how a fintech engineering org builds software \- then make that the new standard. The team has direct VP sponsorship, mission \&amp; charter, and three defined projects with hard deadlines.
 We're hiring a Staff/Principal IC who has already demonstrated AI\-assisted engineering at scale. This is not an "AI\-curious" role. You write code with AI every day. You've built agents that do real work. You have strong, experience\-backed opinions on which models to use for what, where agents fail, and how to build guardrails that actually hold. You've seen what works in production and you're impatient to do it at scale.
 You will be the most technically senior AI practitioner on this team \- the person everyone looks to for "how do we actually build this." You don't manage the team. You drive the architecture, build the hardest parts, and set the technical standard.
**The Role: Technical Lead, Not Manager**
**Role**
 This isn't a "set up some CI/CD and plug in Copilot" role. You are the person who architects the systems that change how SpotOn engineers build software. You will:
**Be the AI engineering technical authority.** 
 You set the technical standard for how AI is used in code generation, review, testing, and task automation. You don't just implement tools \- you design the systems, workflows, and guardrails that make AI\-assisted development safe, measurable, and scalable in a PCI\-regulated payments environment. The team lead sets priorities; you set the technical direction.
**Drive The Architecture And Implementation Of Three Concurrent Projects**
* Automated PR Review \- A risk\-tiered AI review pipeline where AI handles first\-pass review on every PR, with an escalation framework you design that determines when human review is mandatory (payment logic, PCI\-scoped code, compliance paths) versus when AI approval is sufficient. You define the criteria. You tune the thresholds. You prove it works.
* Android and API Test Automation \- A fully automated test harness for our Android\-native POS and KDS products: virtual device provisioning, test execution, teardown, AI\-assisted failure analysis \- replacing multi\-day manual QA cycles with sub\-30\-minute automated runs.
* AI Agent Swarms \- A multi\-agent pipeline that takes a PRD and produces a tested, reviewed pull request for tier 1\-3 engineering work (nits, bugs, small features). You design the agent orchestration \- planner, coder, tester, reviewer \- and the blast\-radius controls that keep it safe in fintech.
**Evangelize by shipping, not by presenting.** 
 Your most persuasive argument is a working system, not a slide deck. You demo to engineering leads every two weeks with real metrics. You turn skeptics into adopters by showing them their own time savings.
**Measure everything.** 
 You define the metrics framework: developer hours recovered, cycle time compression, quality ratios, cost per deployment. You report to the CTO monthly with quantified value delivered. If something isn't working, the data tells you before anyone else.
**What We Require**
 This is a high bar intentionally. We need someone who has already done this, not someone who wants to learn.
**Required Experience**
* 5\+ years building developer tools, infrastructure, or platform engineering systems \- you understand how engineering orgs actually work at scale, not just how AI demos work
* 2\+ years working deeply with LLMs and AI agents in production \- not side projects, not hackathons. Production systems handling real code, real reviews, or real task automation. You can speak to failure modes, cost optimization, prompt engineering patterns, and model selection trade\-offs from experience.
* Designed and operated AI\-assisted code generation or review systems serving 50\+ engineers or 30\+ repositories. You know the difference between "cool demo" and "trusted by the team."
* Built multi\-agent or agentic workflows \- task decomposition, agent specialization, orchestration, error recovery. You've worked with Claude Code, OpenAI Assistants, LangGraph, CrewAI, AutoGen, or custom agent frameworks at a level where you can articulate why you chose one approach over another.
* Hands\-on with AI coding tools daily \- Claude Code, Cursor, GitHub Copilot, Windsurf, Codeium \- you don't just use them, you push their limits. You know where they excel and where they hallucinate. You have a personal workflow that makes you measurably faster and you can teach it.
**Required Domain Expertise (at Least Two Of Three)**
* Fintech / payments / regulated industry \- you understand what PCI\-DSS, SOX, or HIPAA compliance means for code review and deployment. You know why "just let the AI merge it" isn't an option for payment logic.
* Mobile / Android testing automation \- Espresso, UI Automator, or AI\-native tools (Drizz, mabl, testRigor). Experience with emulator farms, device provisioning, and CI\-integrated test pipelines.
* Multi\-agent system architecture \- you've built systems where multiple AI agents collaborate on decomposed tasks with coordination protocols, fallback strategies, and human\-in\-the\-loop checkpoints.
**Who You Are**
 You are not "AI\-interested." You are AI\-obsessed in the productive sense:
* You already write 50%\+ of your code with AI assistance and you've measured the impact on your own velocity. You have opinions on which models are best for which tasks and you update those opinions monthly as the landscape shifts.
* You've built things with agents that most engineers think aren't possible yet. You're 6\-12 months ahead of the mainstream in your personal practice and you have the shipped systems to prove it.
* You prototype in hours, not days. You can go from "I have an idea for how to automate X" to a working POC before end of day. You refine ruthlessly after.
* You context\-switch across backend, mobile tooling, and AI/ML systems without losing depth. You don't need to be an Android expert, but you need to be dangerous enough to architect the test harness and evaluate the output.
* You communicate technical progress in business terms. You know that "we reduced median PR review time by 47%" lands better with a CTO than "we fine\-tuned our prompt chain." You build dashboards, not just systems.
* You're an evangelist, not a gatekeeper. You get energy from showing other engineers how to work with AI. You don't hoard knowledge \- you build systems that make the whole org better.
* You have a healthy skepticism forged by real experience. You've seen AI fail in production. You've dealt with hallucinated code, flaky agent workflows, and false\-positive reviews. That experience makes your guardrails better, not your enthusiasm less.
**What You Won't Be Doing**
* Building product features for restaurants (that's the rest of the org)
* Pure ML/AI research without production deployment
* Maintaining legacy systems or writing JIRA tickets all day
* People management \- you're a pure IC on a small, senior, fast\-moving squad. You write more code than anyone on the team.
**Tech Environment**
* Languages: Kotlin (Android), Go, TypeScript, Python
* Mobile: Android\-native POS applications on dedicated hardware
* Infrastructure: AWS, GitHub, CI/CD (GitHub Actions)
* AI Stack: You'll have significant influence on tool selection \- bring your opinions
* Team tooling: Jira, Slack, Figma, standard SpotOn eng stack
*We will never ask candidates to pay fees, purchase equipment, or share sensitive personal or financial information during the hiring process. All legitimate communication from our recruiting team will come from an official company email address (@* 
*spoton.com* 
*). If something seems suspicious, please contact us at* 
*careers@spoton.com* 
*.*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
 Compensation Range: $210K \- $280K</t>
        </is>
      </c>
    </row>
    <row r="76">
      <c r="A76" t="inlineStr">
        <is>
          <t>li-4380023263</t>
        </is>
      </c>
      <c r="B76" t="inlineStr">
        <is>
          <t>Senior Staff Machine Learning Engineer</t>
        </is>
      </c>
      <c r="C76" t="inlineStr">
        <is>
          <t>BILL</t>
        </is>
      </c>
      <c r="D76" t="inlineStr">
        <is>
          <t>linkedin</t>
        </is>
      </c>
      <c r="E76">
        <f>HYPERLINK("https://www.linkedin.com/jobs/view/4380023263", "https://www.linkedin.com/jobs/view/4380023263")</f>
        <v/>
      </c>
      <c r="F76">
        <f>HYPERLINK("https://www.bill.com/job?5818451004&amp;gh_jid=5818451004&amp;gh_src=a109ba074us&amp;urlHash=dQp-", "https://www.bill.com/job?5818451004&amp;gh_jid=5818451004&amp;gh_src=a109ba074us&amp;urlHash=dQp-")</f>
        <v/>
      </c>
      <c r="G76" t="inlineStr">
        <is>
          <t>San Jose, CA</t>
        </is>
      </c>
      <c r="H76" t="inlineStr"/>
      <c r="I76" t="inlineStr">
        <is>
          <t>**Innovate with purpose**
 At BILL, we believe in empowering the businesses that drive our economy. By replacing outdated financial processes with innovative tools, we help businesses—from startups to established brands—make smarter decisions and gain control of their operations. And we don’t stop there: we’re creating the future of financial automation so businesses can spend more time on what matters.
 Working here means you become part of a vision\-driven team that’s ready to tackle challenges and build cutting\-edge solutions. We value purpose, drive, and curiosity—and we thrive in a fast\-paced, ever\-changing environment. Whether in one of our offices in San Jose, CA, Draper, UT, or in a remote\-eligible role, BILLders collaborate to deliver real impact for businesses that need more time in their busy weeks.
 BILL builds high performing teams and we seek to hire the best talent for every role. We're committed to building a workplace that fosters inclusion and diverse perspectives, valuing each person’s unique skills and experiences. We’d love to hear from you—you might be just what we’re looking for, whether in this role or another.
 ✨ Let’s give businesses more time for what matters.
 Come join BILL’s AI Product and Platform team, the group building the intelligence backbone that powers every AI and agent\-driven experience across our products. You’ll architect large\-scale LLM infrastructure, evaluation, and data systems that hundreds of thousands of customers and every internal developers rely on every day. You’ll partner closely with product and engineer teams to launch new agents, drive down latency and cost, and set the technical standards that raise the bar for AI across the company.
**Make Your Impact Within a Rapidly Growing Fintech Company**
* Architect \&amp; Oversee: Lead the architectural strategy and design for end\-to\-end ML systems. You will own the operational roadmap for production\-level inference, fine\-tuning, and LLM orchestration at a large scale.
* Build Reusable Frameworks: Develop and standardize reusable ML modeling frameworks, high\-performance data pipelines, and internal libraries that set the bar for performance, accuracy, and explainability across all engineering teams.
* Drive Innovation \&amp; Research: Lead applied research initiatives. You will design experiments that push the boundaries of Bill's AI capabilities, turning both successful innovations and "failed" experiments into institutional knowledge.
* Scale the "Data Backbone": Oversee the evolution of Bill's data infrastructure, ensuring that ETL processes and structured datasets are built for maximum scalability and long\-term maintainability.
* Shape Strategy \&amp; Goals: Identify emerging AI opportunities and transform them into core business goals. You will influence the broader engineering organization's AI roadmap and manage technical risks across multiple projects.
* Raise the Bar: Define and enforce best practices for ML engineering. You will partner with leadership to mentor junior engineers and ensure the team is operating at peak technical excellence.
**We’d Love To Chat If You Have**
* Proven Leadership: A track record of leading complex, high\-impact AI projects from ideation to production, with a focus on large\-scale distributed systems, cloud infrastructure and operational excellence.
* Architectural Mastery: Deep expertise in building backend systems that support AI\-driven products, specifically focusing on the scalability and maintainability of LLM\-based architectures.
* Strategic Data Engineering: Expert\-level experience in building complex data pipelines (ETL, cleaning, structuring) that serve as the foundation for high\-performing, mission\-critical AI systems.
* Applied Research Mindset: Ability to bridge the gap between theoretical ML research and production engineering, with a focus on measurable data\-driven outcomes.
* Influence \&amp; Mentorship: Strong communication skills with a history of shaping team goals, defining engineering standards, and raising the technical profile of the teams you work with.
* Advanced Problem Solving: Experience managing the risks and trade\-offs of complex AI deployments, including performance optimization and cost\-effective scaling.
**Visa Sponsorship:** 
 Please note that
 **this position is eligible for visa sponsorship** 
 .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$216,000—$269,900 USD
**What’s in it for you?**
 Redefining how businesses automate their work is a fast\-paced, exciting, and fun environment. But we also have benefits and perks to ensure the magic isn’t only experienced by our customers, but by our employees as well.
 Here is a preview of some of the amazing benefits here at BILL: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Don’t believe us? Check out our culture, benefits, and teams on our career site, LinkedIn Life, or YouTube pages.
 BILL is an Equal Opportunity Employer. We believe our best ideas come from the unique stories, perspectives, and experiences of our team members. We welcome people of all backgrounds, abilities, and identities to bring their authentic selves and contribute to our culture.
 We are committed to a transparent, inclusive hiring process that reflects our values. If you need accommodations at any stage, please contact interviewaccommodations@hq.bill.com. To ensure a fair evaluation, our Candidate Integrity Policy prohibits the use of unapproved external assistance, including generative AI, during live interviews or assessments. Doing so will result in a review and potential disqualification.
 Our Applicant Privacy Notice describes how BILL treats the personal information it receives from applicants.</t>
        </is>
      </c>
    </row>
    <row r="77">
      <c r="A77" t="inlineStr">
        <is>
          <t>li-4378974072</t>
        </is>
      </c>
      <c r="B77" t="inlineStr">
        <is>
          <t>Principal AI Engineer</t>
        </is>
      </c>
      <c r="C77" t="inlineStr">
        <is>
          <t>myGwork - LGBTQ+ Business Community</t>
        </is>
      </c>
      <c r="D77" t="inlineStr">
        <is>
          <t>linkedin</t>
        </is>
      </c>
      <c r="E77">
        <f>HYPERLINK("https://www.linkedin.com/jobs/view/4378974072", "https://www.linkedin.com/jobs/view/4378974072")</f>
        <v/>
      </c>
      <c r="F77">
        <f>HYPERLINK("https://mygwork.com/jobs/cornerstone-ondemand-principal-ai-engineer?src=linkedin&amp;utm_source=linkedin&amp;utm_medium=referral&amp;utm_campaign=jobs&amp;urlHash=mlgf", "https://mygwork.com/jobs/cornerstone-ondemand-principal-ai-engineer?src=linkedin&amp;utm_source=linkedin&amp;utm_medium=referral&amp;utm_campaign=jobs&amp;urlHash=mlgf")</f>
        <v/>
      </c>
      <c r="G77" t="inlineStr">
        <is>
          <t>Dublin, CA</t>
        </is>
      </c>
      <c r="H77" t="inlineStr"/>
      <c r="I77" t="inlineStr">
        <is>
          <t>**This job is with Cornerstone OnDemand, an inclusive employer and a member of myGwork – the largest global platform for the LGBTQ\+ business community. Please do not contact the recruiter directly.**
 We are seeking a
 **Principal AI Engineer** 
 to design, build, and scale AI\-driven systems across our product platforms. This role is ideal for a deeply technical engineer who leads through hands\-on contribution, solves complex problems, and drives the adoption of AI into real\-world products.
 The ideal candidate brings
 **strong backend and cloud fundamentals** 
 ,
 **mandatory experience with Java and AWS** 
 , and proven experience integrating
 **AI and Generative AI capabilities** 
 into production systems. You will work closely with product, architecture, and engineering teams to deliver reliable, scalable, AI\-enabled solutions that create meaningful business impact.
****In this role you will...****
**AI Engineering \&amp; System Design**
* Design, build, and operate AI\-powered applications, including LLM\-based services, ML\-driven workflows, and intelligent automation.
* Integrate AI capabilities into Java\-based backend systems and cloud\-native platforms.
* Design scalable API\-first services (REST \&amp; GraphQL) exposing AI capabilities across products.
* Implement data pipelines supporting feature engineering, retrieval\-augmented generation (RAG), vector search, and inference.
* Apply best practices for prompt design, model orchestration, evaluation, and observability.
**Cloud \&amp; Platform Engineering (AWS \- Must Have)**
* Build and operate cloud\-native AI systems on AWS, including EC2, S3, RDS, Lambda, and EKS.
* Design containerized workloads using Docker and Kubernetes (EKS).
* Optimize systems for scalability, latency, reliability, and cost efficiency.
* Implement Infrastructure as Code using Terraform or AWS CDK.
**Data \&amp; Distributed Systems**
* Design and operate relational (SQL) and NoSQL data stores for high\-scale, distributed systems.
* Make informed trade\-offs around data consistency, availability, and performance.
* Work with event\-driven and asynchronous architectures where appropriate.
**Technical Leadership \&amp; Impact**
* Lead complex technical initiatives end\-to\-end, from design through production deployment.
* Influence system design and engineering standards across teams through design reviews and technical guidance.
* Mentor senior engineers and raise the overall bar for AI and cloud engineering excellence.
* Collaborate with Product, Data, UX, Security, and DevOps teams to deliver AI\-driven product capabilities.
**You Have What It Takes If You Have...**
* 8\-10 years of hands\-on software engineering experience building large\-scale, production systems.
* Strong, hands\-on experience with Java in backend and distributed systems.
* Mandatory, hands\-on experience with AWS, including designing and operating cloud\-native workloads.
* Strong experience with SQL and NoSQL databases in production environments.
* 3\+ years of experience building AI\-powered applications, including ML or LLM\-based systems.
* Experience with API\-first architectures (REST, GraphQL).
* Hands\-on experience with Docker and Kubernetes (EKS).
* Strong problem\-solving skills and ability to own systems end\-to\-end.
**An extra dose of awesome if...**
* Experience with Generative AI platforms and frameworks (AWS Bedrock, OpenAI APIs, LangChain, LlamaIndex).
* Experience with vector databases and semantic search.
* Familiarity with MLOps practices, model monitoring, and evaluation frameworks.
* Experience working in product\-driven, agile environments.
 ]]\&gt;</t>
        </is>
      </c>
    </row>
    <row r="78">
      <c r="A78" t="inlineStr">
        <is>
          <t>li-4380023003</t>
        </is>
      </c>
      <c r="B78" t="inlineStr">
        <is>
          <t>Staff Machine Learning Engineer</t>
        </is>
      </c>
      <c r="C78" t="inlineStr">
        <is>
          <t>Zoom</t>
        </is>
      </c>
      <c r="D78" t="inlineStr">
        <is>
          <t>linkedin</t>
        </is>
      </c>
      <c r="E78">
        <f>HYPERLINK("https://www.linkedin.com/jobs/view/4380023003", "https://www.linkedin.com/jobs/view/4380023003")</f>
        <v/>
      </c>
      <c r="F78">
        <f>HYPERLINK("https://zoom.wd5.myworkdayjobs.com/Zoom/job/Seattle-WA/Staff-Machine-Learning-Engineer_R18681?source=linkedin&amp;urlHash=n2q-", "https://zoom.wd5.myworkdayjobs.com/Zoom/job/Seattle-WA/Staff-Machine-Learning-Engineer_R18681?source=linkedin&amp;urlHash=n2q-")</f>
        <v/>
      </c>
      <c r="G78" t="inlineStr">
        <is>
          <t>Seattle, WA</t>
        </is>
      </c>
      <c r="H78" t="inlineStr"/>
      <c r="I78" t="inlineStr">
        <is>
          <t>**What You Can Expect**
 Zoom is building the next generation of AI Companion, powered by Agentic Retrieval — a unified intelligence layer that enables AI agents to securely search, reason over, and act on enterprise knowledge at scale. In this role, you’ll design and develop the core retrieval and reasoning systems driving AI\-powered workflows across meetings, chat, docs, and enterprise apps. This is a high\-impact opportunity to shape Zoom’s AI foundation and advance how enterprises access and use knowledge.
**About The Team**
 The Agentic Retrieval team within Zoom’s GenAI Engineering group builds a multi\-tenant, permission\-aware retrieval platform. It powers large\-scale document and data search. The team also focuses on enterprise knowledge graph reasoning and retrieval orchestration for AI agents. We operate at the intersection of distributed systems, machine learning, knowledge representation, and large language models. Our mission is to enable AI agents to access the right information, with the right permissions, at the right time — across enterprise data sources.
**Responsibilities**
* Designing and building scalable retrieval systems using vector and semantic search for unstructured data, hybrid keyword\-embedding search, enterprise data analytics, and graph\-based reasoning.
* Designing and optimize Retrieval\-Augmented Generation (RAG) pipelines for multi\-step, tool\-using AI agents.
* Building indexing pipelines that transform heterogeneous enterprise data into unified retrieval\-ready representations.
* Developing ranking, relevance modeling, and evaluation frameworks to improve answer quality and grounding.
* Working on permission\-aware retrieval to ensure secure, multi\-tenant isolation and fine\-grained access control.
* Partnering closely with product, infrastructure, and applied research teams to ship production\-grade AI capabilities.
**What We’re Looking For**
* 5\+ years of experience in machine learning, search infrastructure, information retrieval, distributed systems, or related areas.
* Demonstrate hands\-on experience building and operating large\-scale search, recommendation, or data platforms in production environments.
* Possess understanding of:Information retrieval, Structured query systems, Knowledge graph or graph database concepts
* Have experience building or integrating RAG systems and LLM\-based applications in production.
* Possess proficiency in one or more of: Python, Go, Java, C\#, or C\+\+.
* Have experience with modern ML frameworks (e.g., PyTorch, TensorFlow) and vector databases or search engines.
* Have experience working with enterprise data systems or multi\-tenant SaaS environments is a plus.
**Minimum**
**Salary Range or On Target Earnings:**
**Maximum**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 a sprint! We're building a strong team at Zoom, and we're looking for talented individuals to join us for the long haul. No need to rush your application – take your time to ensure it's a good fit for your career goals. We continuously review applications, so submit yours whenever you're ready to take the next step.</t>
        </is>
      </c>
    </row>
    <row r="79">
      <c r="A79" t="inlineStr">
        <is>
          <t>li-4380979654</t>
        </is>
      </c>
      <c r="B79" t="inlineStr">
        <is>
          <t>Senior AI/ML Engineer - Clearance Required</t>
        </is>
      </c>
      <c r="C79" t="inlineStr">
        <is>
          <t>Lockheed Martin</t>
        </is>
      </c>
      <c r="D79" t="inlineStr">
        <is>
          <t>linkedin</t>
        </is>
      </c>
      <c r="E79">
        <f>HYPERLINK("https://www.linkedin.com/jobs/view/4380979654", "https://www.linkedin.com/jobs/view/4380979654")</f>
        <v/>
      </c>
      <c r="F79">
        <f>HYPERLINK("https://sjobs.brassring.com/TGnewUI/Search/home/HomeWithPreLoad?PageType=JobDetails&amp;partnerid=25037&amp;siteid=5010&amp;jobId=840493&amp;codes=ZA646&amp;utm_campaign=LM_Space&amp;utm_term=rm&amp;utm_source=LinkedIn&amp;utm_medium=Internet-Board&amp;urlHash=E4zS", "https://sjobs.brassring.com/TGnewUI/Search/home/HomeWithPreLoad?PageType=JobDetails&amp;partnerid=25037&amp;siteid=5010&amp;jobId=840493&amp;codes=ZA646&amp;utm_campaign=LM_Space&amp;utm_term=rm&amp;utm_source=LinkedIn&amp;utm_medium=Internet-Board&amp;urlHash=E4zS")</f>
        <v/>
      </c>
      <c r="G79" t="inlineStr">
        <is>
          <t>Fort Belvoir, VA</t>
        </is>
      </c>
      <c r="H79" t="inlineStr"/>
      <c r="I79" t="inlineStr">
        <is>
          <t>**Basic Qualifications**
* Bachelor's degree in a STEM discipline (e.g. Electrical Engineering, Computer Science, Computer Engineering, Mathematics, Physics) or equivalent combination of education, training, and experience in a related technical field.
* Advanced experience in Artificial Intelligence, Machine Learning, Deep Learning, Computer Vision, or Image Processing
* Experience with modern software development tools and practices
* TS/SCI w/poly clearance required to start
**Job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Ft. Belvoir, VA is seeking a highly skilled AI/ML Engineer to join a cross\-functional team of experts in research, data science, software development, physics, and mathematics. As a key member of this team, you will leverage cutting\-edge AI/ML tools and techniques to tackle the most complex challenges in Space \- all in support of our national security.
 This role offers a unique opportunity to collaborate with a diverse group of professionals, drive innovation, and contribute to the development of solutions that address critical problems in the Space domain.
 The successful candidate will have advanced experience with and/or knowledge of: AI/ML, Deep Learning, or Computer Vision, modern software development practices/languages, and a passion for math and science.
**Desired Skills**
* Advanced degree in a STEM discipline
* Proficiency in one or more of the following programming languages: Python, Java, C\+\+, C\#, or MATLAB
* Experience with TensorFlow, PyTorch, Keras, or Scikit\-learn
* Experience with RF, SAR or EO image processing algorithms/techniques
* Experience with AWS or another cloud computing platform
* Excellent written and verbal communication skills
* Ability to work in a collaborative and team\-based environment
 \#LMSpaceAI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80">
      <c r="A80" t="inlineStr">
        <is>
          <t>li-4380947771</t>
        </is>
      </c>
      <c r="B80" t="inlineStr">
        <is>
          <t>Applied AI Engineer - National Security (TS/SCI)</t>
        </is>
      </c>
      <c r="C80" t="inlineStr">
        <is>
          <t>TRM Labs</t>
        </is>
      </c>
      <c r="D80" t="inlineStr">
        <is>
          <t>linkedin</t>
        </is>
      </c>
      <c r="E80">
        <f>HYPERLINK("https://www.linkedin.com/jobs/view/4380947771", "https://www.linkedin.com/jobs/view/4380947771")</f>
        <v/>
      </c>
      <c r="F80" t="inlineStr"/>
      <c r="G80" t="inlineStr"/>
      <c r="H80" t="inlineStr"/>
      <c r="I80"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As TRM’s first Applied AI Engineer embedded with our Forward Deployed Engineering team, you’ll help bring generative AI into the heart of U.S. national security missions. This role is about impact at the edge: building and deploying AI systems in secure, high\-side environments where speed, accuracy, and trust are mission\-critical.
 At TRM, we fuse blockchain intelligence with AI to illuminate hidden risks and strengthen global security. In this role, you won’t just be building models—you’ll be shaping how cutting\-edge technology accelerates outcomes that protect national interests and public safety.
**The Impact You’ll Have Here**
* Deploy AI to the mission edge. Act as the primary technical interface with national security customers, deploying TRM’s AI capabilities into classified, airgapped, and mission\-critical environments. Adapt solutions to real\-world constraints while ensuring secure, reliable integration.
* Own AI application lifecycles. Build, tune, deploy, and optimize AI systems tailored to mission needs. Apply techniques like retrieval\-augmented generation, prompt optimization, and fine\-tuning to ensure performance at scale.
* Accelerate mission wins. Drive pilots and long\-term programs by working directly with end users, closing the loop between operators and engineering. Capture field feedback, measure mission impact, and channel insights back into TRM’s product and research roadmaps.
**What We’re Looking For**
* Strong background in ML model evaluation/tuning, Python, API integration, SQL, and MCP servers.
* Proven ability to deliver results quickly within highly regulated or bureaucratic environments.
* A customer\-first mindset: you identify mission impact, work backward from it, and remove blockers to deliver.
* Excellent communicator, able to interface confidently with technical and non\-technical stakeholders and build trust in high\-stakes settings.
* Bonus: Experience with ML frameworks (PyTorch, TensorFlow), API design, Kubernetes (Helm), and Terraform/IaC deployments.
* Candidate must have an active TS/SCI clearance with Polygraph.
**About The Team**
* The AI Engineering and Forward Deployed teams at TRM are mission\-focused builders. We pair deep technical expertise with direct engagement in the field, delivering AI capabilities that matter when and where they are needed most.
* The AI Engineering team is globally distributed. The Forward Deployed team is U.S.\-based and aligned to the Eastern timezone, operating both onsite and remotely. We communicate across secure and unclassified channels, adapting seamlessly to whatever the mission requires.
* We prioritize speed, transparency, and impact. Weekly syncs and project check\-ins keep us aligned. Project tracking is always up to date. Issues are flagged immediately and resolved with urgency.
* We always put the customer first – The Forward Deployed team is on the front\-lines working directly with customers and will develop close relationships with them. We do whatever it takes to ensure their mission success.
**Learn About TRM Speed In This Position**
* Rapid Issue Resolution. TRM Engineers identify and resolve critical onsite issues in minutes to hours, not weeks. We create virtual war rooms, implement fixes, and share lessons with both customer stakeholders and internal teams within 48 hours.
* Navigating Bureaucracy. We anticipate and address procedural hurdles, build trust with key stakeholders, and find alternative pathways to approvals. This keeps projects moving even in complex environments.
* Efficient Knowledge Transfer. Engineers document and share updates in real time, ensuring the entire team—onsite and remote—has full visibility into plans, blockers, and resolutions. Knowledge sharing sessions and clear documentation reduce friction and accelerate delivery.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The estimated base salary range for this role is $200,000 \- $265,000\.
* Additionally, this role may be eligible to participate in TRM’s equity plan.
* Please note – we factor in the different costs for geographies outside the United States.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**Privacy Policy And Additional Information**
 By submitting your application, you are agreeing to allow TRM to process your personal information in accordance with the TRM Privacy Policy.
 Our typical hiring cycles for specialized roles span 24 to 36 months. Accordingly, we retain your personal information for up to 36 months to evaluate your application and to consider you for current and future employment opportunities, unless you request earlier deletion or a different retention period is required or permitted by law.
 To notify TRM Labs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form.
**Recruitment agencies**
 TRM Labs does not accept unsolicited agency resumes. Please do not forward resumes to TRM employees. TRM Labs is not responsible for any fees related to unsolicited resumes and will not pay fees to any third\-party agency or company without a signed agreement.
**Learn More** 
 : Company Values \| Interviewing \| FAQs</t>
        </is>
      </c>
    </row>
    <row r="81">
      <c r="A81" t="inlineStr">
        <is>
          <t>li-4380003479</t>
        </is>
      </c>
      <c r="B81" t="inlineStr">
        <is>
          <t>AI Engineer</t>
        </is>
      </c>
      <c r="C81" t="inlineStr">
        <is>
          <t>Jobs via Dice</t>
        </is>
      </c>
      <c r="D81" t="inlineStr">
        <is>
          <t>linkedin</t>
        </is>
      </c>
      <c r="E81">
        <f>HYPERLINK("https://www.linkedin.com/jobs/view/4380003479", "https://www.linkedin.com/jobs/view/4380003479")</f>
        <v/>
      </c>
      <c r="F81" t="inlineStr"/>
      <c r="G81" t="inlineStr">
        <is>
          <t>Orlando, FL</t>
        </is>
      </c>
      <c r="H81" t="inlineStr"/>
      <c r="I81" t="inlineStr">
        <is>
          <t>RESPONSIBILITIES:
 Kforce has a client in Orlando, FL that is seeking an AI Engineer.
 Summary:
 We are seeking an experienced AI Engineer to join a small, high\-impact team building and operating internal web applications powered by Large Language Models (LLMs). This is a hands\-on, full\-time engineering role focused on backend\-heavy development, AI orchestration, and cloud\-native delivery, with selective full\-stack contributions as needed.
 You will work closely with a senior technical lead, executing from a prioritized JIRA backlog and serving as a key technical contributor across integrations, GenAI agents, and data\-driven features. This role is designed to increase overall team capacity by taking ownership of core engineering execution, enabling greater stakeholder engagement and roadmap progress.
 Responsibilities:
* Design, implement, and maintain LLM\-enabled services, including prompt orchestration, tool/function calling, and agent workflows
* Develop retrieval\-augmented generation (RAG) pipelines and agent\-based systems on top of integrated enterprise data sources
* Integrate with enterprise and private LLM inference endpoints using standard client libraries and SDKs
* Build and maintain backend services using Python and FastAPI, with a strong focus on business logic, integrations, and reliability
* Implement and optimize data access layers using SQL, async database patterns, and ORM frameworks (e.g., SQLAlchemy)
* Contribute to TypeScript/React front\-end development as needed to support AI workflows and internal user experiences
* Work with large datasets (e.g., pricing, performance, operational data) to power analytics, model context, and AI agent behavior
* Apply practical machine learning and data analytics techniques where they enhance insight generation and automation outcomes
 REQUIREMENTS:
* Demonstrated professional experience delivering production\-grade software systems (non\-entry\-level)
* Cloud, CI/CD, and operational excellence
* Expert\-level Python experience, including API and service development with FastAPI and async patterns
* Proven experience implementing LLM\-based solutions in real\-world applications (prompt engineering, orchestration, RAG, evaluation)
* Strong working knowledge of SQL, relational data modeling, and query optimization
* Experience building and supporting integration\-heavy systems with multiple upstream/downstream dependencies
* Practical experience with cloud\-native development, including containers and deployment workflows
* Ability to work effectively from a JIRA backlog, communicate progress clearly, and deliver iteratively in a small team
 Preferred Qualifications:
* Hands\-on experience administering or supporting Kubernetes environments
* Experience with infrastructure\-as\-code (e.g., Azure Bicep, Terraform, or similar)
* Familiarity with federated authentication / SSO (OAuth2, OIDC, enterprise identity providers)
* Solid experience with TypeScript and React beyond basic UI updates
* Exposure to machine learning libraries (e.g., PyTorch) and/or data processing tools (e.g., NumPy)
* Experience implementing observability standards (logging, metrics, monitoring dashboards)
 Work Arrangement \&amp; Schedule:
* Full\-time: 40 hours per week
* Hybrid model: A minimum of 24 hours per week onsite, with the remaining hours worked remotely
* Onsite days are coordinated to support close collaboration with the technical lead and broader stakeholders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2026-03-04T23:14:43Z</dcterms:created>
  <dcterms:modified xsi:type="dcterms:W3CDTF">2026-03-04T23:14:43Z</dcterms:modified>
</cp:coreProperties>
</file>