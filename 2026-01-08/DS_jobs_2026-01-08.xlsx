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in-625ddfffcb0ba4ae</t>
        </is>
      </c>
      <c r="B2" t="inlineStr">
        <is>
          <t>Staff Data Scientist-Promo Analytics</t>
        </is>
      </c>
      <c r="C2" t="inlineStr">
        <is>
          <t>Milwaukee Tool</t>
        </is>
      </c>
      <c r="D2" t="inlineStr">
        <is>
          <t>indeed</t>
        </is>
      </c>
      <c r="E2" t="inlineStr"/>
      <c r="F2" t="inlineStr"/>
      <c r="G2" t="inlineStr">
        <is>
          <t>Menomonee Falls, WI, US</t>
        </is>
      </c>
      <c r="H2" s="2" t="n">
        <v>46029</v>
      </c>
      <c r="I2" t="inlineStr">
        <is>
          <t>Job Description:
Staff Data Scientist – Promo Analytics  
\*\*Applicants must be authorized to work in the U.S.; Sponsorship is not available for this position.
INNOVATE without boundaries!
At Milwaukee Tool we firmly believe that our People and our Culture are the secrets to our success—so we give you unlimited access to everything you need to provide support to your business unit. Behind our doors you'll be empowered every day to own it, drive it, and do what it takes to support the biggest breakthroughs in the industry. Meanwhile, you'll have the support and resources of the fastest\-growing brand in the construction industry to make it happen.  
Your Role on Our Team:
As a Staff Data Scientist – Promo Analytics, you will serve as a senior technical leader, driving the architecture and delivery of innovative analytics solutions that enable Milwaukee Tool to make fast, data\-driven decisions about promotional strategies. Working closely with business partners and the Promo Analytics pod, you will design, build, and support the foundational systems that power our promo analytics capabilities. You will develop and implement scalable machine learning models and forecasting tools to optimize promotions, ensuring trusted and actionable insights across the organization. You’ll build deep expertise in our promotional data, shape long\-term analytics strategy, and lead advanced analytics initiatives. Success in this role requires technical excellence, a passion for experimentation, and the ability to influence and elevate the team while delivering significant business value.  
You’ll be DISRUPTIVE through these duties and responsibilities:* Architect, design, and build scalable machine learning and forecasting models to optimize promotional strategies and drive significant business impact.
* Set technical direction for promo analytics, establishing best practices and standards for model development, validation, and deployment.
* Lead the development and implementation of advanced analytics frameworks, reusable tools, and templates to accelerate team and organizational productivity.
* Translate complex, cross\-functional business needs into actionable data science projects and long\-term analytics strategy.
* Oversee and guide the integration of promo analytics solutions across multiple business domains, ensuring consistency and scalability.
* Lead root cause analysis for major promo analytics issues, drive long\-term remediation, and influence operational reliability improvements.
* Mentor and provide technical guidance to other data scientists and analytics professionals within the pod and across teams.
* Collaborate with Data Engineers, Product Owners, Business Intelligence Engineers, and other technical team members to deliver integrated, enterprise\-scale solutions.
* Engage directly with marketing and sales leadership to understand strategic business challenges and deliver high\-impact analytics solutions.
* Perform other duties as assigned.
The TOOLS you’ll bring with you:* Bachelor’s degree in Statistics, Mathematics, Computer Science, Data Science, or a related field, or equivalent experience.
* 8 or more years of experience in data science, advanced analytics, or a closely related technical field.
* Expert\-level proficiency in statistical modeling, machine learning, and advanced analytics techniques.
* Advanced proficiency in at least one programming language used for data science (Python preferred)
* Extensive hands\-on experience building, validating, and deploying scalable machine learning and forecasting models in production environments.
* Demonstrated experience with cloud\-based data science platforms (Databricks, Azure Machine Learning, or similar).
* Proven track record developing and implementing complex statistical and ML models for business impact, ideally in pricing, promotion, or revenue management.
* Strong knowledge of experimental design, A/B testing, and model evaluation best practices.
* Ability to lead and influence cross\-functional analytics initiatives and set technical direction for data science projects.
* Strong problem\-solving, debugging, and analytical skills, especially in complex, multi\-system environments.
* Ability to thrive in agile, dynamic, and collaborative teams, and to communicate complex analytics clearly to technical and non\-technical audiences.
Other TOOLS we prefer you to have:* Deep expertise with advanced machine learning techniques (e.g., time series forecasting, causal inference, uplift modeling, optimization, or reinforcement learning).
* Experience applying analytics to promo, pricing, or revenue management challenges.
* Hands\-on experience with cloud\-based data science platforms (Databricks, Azure Machine Learning, or similar).
* Strong background in experimental design and statistical testing (A/B testing, multivariate testing, quasi\-experimental methods).
* Proficiency with data visualization and storytelling tools (e.g., Power BI, Tableau, matplotlib, or similar).
* Demonstrated ability to work with large, complex, and messy datasets in real\-world business contexts.
* Experience collaborating in Agile, cross\-functional teams.
* Exceptional communication skills for translating complex analytics into actionable insights for both technical and non\-technical audiences.
* A track record of thought leadership, publication, or conference presentations in data science or applied analytics (preferred but not required).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Frequently required to stand, walk, bend, stretch, reach, and effectively communicate with others in the workplace
* Sitting for prolonged periods of time
* Prolonged exposure to computer screens
* Repetitive use of hands and fingers to operate office equipment, machinery, hand tools and/or power tools
* Specific vision abilities required by this job include close vision, color vision, peripheral vision, depth perception, and ability to adjust focus
* May require to wear personal protective equipment which includes, but is not limited to, safety glasses, gloves, and hearing protection
* May work in laboratories and/or controlled, enclosed, restricted areas
* Noise levels range from moderate to loud
* Must be able to lift up to 50 pounds at a time
* May require travel dependent on company needs
We provide these great perks and benefits:* Robust health, dental and vision insurance plans
* Generous 401 (K) savings plan
* Education assistance
* On\-site wellness, fitness center, food, and coffee service
* And many more, check out our benefits site HERE.
 *Milwaukee Tool is an equal opportunity employer.*</t>
        </is>
      </c>
    </row>
    <row r="3">
      <c r="A3" t="inlineStr">
        <is>
          <t>in-3f6ad0370117c050</t>
        </is>
      </c>
      <c r="B3" t="inlineStr">
        <is>
          <t>Sr Data Scientist-Promo Analytics</t>
        </is>
      </c>
      <c r="C3" t="inlineStr">
        <is>
          <t>Milwaukee Tool</t>
        </is>
      </c>
      <c r="D3" t="inlineStr">
        <is>
          <t>indeed</t>
        </is>
      </c>
      <c r="E3" t="inlineStr"/>
      <c r="F3" t="inlineStr"/>
      <c r="G3" t="inlineStr">
        <is>
          <t>Menomonee Falls, WI, US</t>
        </is>
      </c>
      <c r="H3" s="2" t="n">
        <v>46029</v>
      </c>
      <c r="I3" t="inlineStr">
        <is>
          <t>Job Description:
Senior Data Scientist – Promo Analytics  
\*\*Applicants must be authorized to work in the U.S.; Sponsorship is not available for this position.
INNOVATE without boundaries!
At Milwaukee Tool we firmly believe that our People and our Culture are the secrets to our success—so we give you unlimited access to everything you need to provide support to your business unit. Behind our doors you'll be empowered every day to own it, drive it, and do what it takes to support the biggest breakthroughs in the industry. Meanwhile, you'll have the support and resources of the fastest\-growing brand in the construction industry to make it happen.  
Your Role on Our Team:
As a Senior Data Scientist – Promo Analytics, you will deliver innovative analytics solutions that enable Milwaukee Tool to make fast, data\-driven decisions about promotional strategies. Working closely with business partners and the Promo Analytics pod, you will design, build, and support the core systems that power our promo analytics capabilities. You will develop scalable machine learning models and forecasting tools to optimize promotions, ensuring trusted and actionable insights across the organization. You’ll build deep expertise in our promotional data and drive advanced analytics initiatives. Success in this role requires curiosity, a passion for experimentation, and the ability to operate independently while effectively engaging with stakeholders to elevate our team and deliver value to our customers.  
You’ll be DISRUPTIVE through these duties and responsibilities:* Design and build machine learning and forecasting models to optimize promotional strategies and deliver measurable business value.
* Develop, validate, and deploy advanced statistical and ML models for pricing, promotion, and revenue management.
* Translate business needs into actionable data science projects and deliverables within the promo analytics domain.
* Apply best practices in model development, experimentation, and continuous improvement to ensure analytics excellence.
* Analyze large, complex datasets using Databricks, Azure, and other modern data platforms to uncover actionable insights.
* Build and maintain analytics tools and templates to support team productivity and solution delivery.
* Conduct root cause analysis for promo analytics issues and contribute to long\-term remediation and reliability improvements.
* Collaborate with Data Engineers, Product Owners, Business Intelligence Engineers, and other technical team members in a pod structure.
* Work directly with marketing and sales teams to understand business challenges and deliver impactful analytics solutions.
* Perform other duties as assigned.
The TOOLS you’ll bring with you:* Bachelor’s degree in Statistics, Mathematics, Computer Science, Data Science, or a related field, or equivalent experience.
* 5 or more years of experience in data science, advanced analytics, or a closely related technical field.
* Advanced proficiency in statistical modeling, machine learning, and analytics techniques.
* Proficiency in at least one programming language used for data science (Python preferred)
* Hands\-on experience building, validating, and deploying machine learning and forecasting models in production environments.
* Experience with cloud\-based data science platforms (Databricks, Azure Machine Learning, or similar).
* Demonstrated ability to develop and implement statistical and ML models for business impact, ideally in pricing, promotion, or revenue management.
* Knowledge of experimental design, A/B testing, and model evaluation best practices.
* Ability to work independently and collaboratively within cross\-functional teams.
* Strong problem\-solving, debugging, and analytical skills, especially in complex, multi\-system environments.
* Ability to thrive in agile, dynamic, and collaborative teams, and to communicate complex analytics clearly to technical and non\-technical audiences.
Other TOOLS we prefer you to have:* Experience with advanced machine learning techniques (e.g., time series forecasting, causal inference, uplift modeling, optimization, or reinforcement learning).
* Familiarity with promo, pricing, or revenue management analytics.
* Experience with Databricks, Azure Machine Learning, or similar cloud\-based data science platforms.
* Experience with experimentation frameworks (A/B testing, multivariate testing).
* Knowledge of data visualization tools (e.g., Power BI, Tableau, matplotlib, or similar).
* Experience working with large, complex datasets in a business context.
* Experience collaborating in Agile, cross\-functional teams.
* Strong communication skills for presenting complex analytics to technical and non\-technical audiences.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Frequently required to stand, walk, bend, stretch, reach, and effectively communicate with others in the workplace
* Sitting for prolonged periods of time
* Prolonged exposure to computer screens
* Repetitive use of hands and fingers to operate office equipment, machinery, hand tools and/or power tools
* Specific vision abilities required by this job include close vision, color vision, peripheral vision, depth perception, and ability to adjust focus
* May require to wear personal protective equipment which includes, but is not limited to, safety glasses, gloves, and hearing protection
* May work in laboratories and/or controlled, enclosed, restricted areas
* Noise levels range from moderate to loud
* Must be able to lift up to 50 pounds at a time
* May require travel dependent on company needs
We provide these great perks and benefits:* Robust health, dental and vision insurance plans
* Generous 401 (K) savings plan
* Education assistance
* On\-site wellness, fitness center, food, and coffee service
* And many more, check out our benefits site HERE.
*Milwaukee Tool is an equal opportunity employer.*</t>
        </is>
      </c>
    </row>
    <row r="4">
      <c r="A4" t="inlineStr">
        <is>
          <t>in-b8f07a4955523579</t>
        </is>
      </c>
      <c r="B4" t="inlineStr">
        <is>
          <t>Applied Scientist, Skill Builder, AWS Training and Certifications</t>
        </is>
      </c>
      <c r="C4" t="inlineStr">
        <is>
          <t>Amazon Web Services</t>
        </is>
      </c>
      <c r="D4" t="inlineStr">
        <is>
          <t>indeed</t>
        </is>
      </c>
      <c r="E4" t="inlineStr"/>
      <c r="F4" t="inlineStr"/>
      <c r="G4" t="inlineStr">
        <is>
          <t>Seattle, WA, US</t>
        </is>
      </c>
      <c r="H4" s="2" t="n">
        <v>46000</v>
      </c>
      <c r="I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in-c7080a222921d49e</t>
        </is>
      </c>
      <c r="B5" t="inlineStr">
        <is>
          <t>Applied Scientist, Skill Builder, AWS Training and Certifications</t>
        </is>
      </c>
      <c r="C5" t="inlineStr">
        <is>
          <t>Amazon Web Services</t>
        </is>
      </c>
      <c r="D5" t="inlineStr">
        <is>
          <t>indeed</t>
        </is>
      </c>
      <c r="E5" t="inlineStr"/>
      <c r="F5" t="inlineStr"/>
      <c r="G5" t="inlineStr">
        <is>
          <t>Arlington, VA, US</t>
        </is>
      </c>
      <c r="H5" s="2" t="n">
        <v>46000</v>
      </c>
      <c r="I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in-d6a74799056117aa</t>
        </is>
      </c>
      <c r="B6" t="inlineStr">
        <is>
          <t>Applied Scientist, Skill Builder, AWS Training and Certifications</t>
        </is>
      </c>
      <c r="C6" t="inlineStr">
        <is>
          <t>Amazon Web Services</t>
        </is>
      </c>
      <c r="D6" t="inlineStr">
        <is>
          <t>indeed</t>
        </is>
      </c>
      <c r="E6" t="inlineStr"/>
      <c r="F6" t="inlineStr"/>
      <c r="G6" t="inlineStr">
        <is>
          <t>Bellevue, WA, US</t>
        </is>
      </c>
      <c r="H6" s="2" t="n">
        <v>46000</v>
      </c>
      <c r="I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in-96c84298bad31fa3</t>
        </is>
      </c>
      <c r="B7" t="inlineStr">
        <is>
          <t>Data Scientist</t>
        </is>
      </c>
      <c r="C7" t="inlineStr">
        <is>
          <t>ElevateMe</t>
        </is>
      </c>
      <c r="D7" t="inlineStr">
        <is>
          <t>indeed</t>
        </is>
      </c>
      <c r="E7" t="inlineStr"/>
      <c r="F7" t="inlineStr"/>
      <c r="G7" t="inlineStr">
        <is>
          <t>Columbus, OH, US</t>
        </is>
      </c>
      <c r="H7" s="2" t="n">
        <v>46030</v>
      </c>
      <c r="I7" t="inlineStr">
        <is>
          <t>**Role Summary:**  
We are looking for an **Entry\-Level Data Scientist** who is eager to work with data and build real\-world analytical solutions. This role is ideal for recent graduates and OPT candidates who want hands\-on experience in data analysis, modeling, and business problem\-solving in a U.S. work environment.
**Responsibilities:**
* Collect, clean, and analyze structured and unstructured data
* Build basic machine learning models for prediction and classification
* Perform data exploration to identify trends and insights
* Create visual reports and dashboards to communicate findings
* Support data\-driven decision\-making across teams
* Write and optimize queries to extract data from databases
* Assist senior data scientists with model testing and validation
**Qualifications:**
* Bachelor’s or Master’s degree in Data Science, Computer Science, Statistics, or a related field
* Strong understanding of Python and data analysis libraries (Pandas, NumPy, Matplotlib)
* Basic knowledge of machine learning concepts and statistics
* Experience working with datasets through academic projects or internships
* Good problem\-solving and communication skills
**Additional Skills (Preferred but Not Required):**
* Familiarity with SQL and databases
* Exposure to tools like Scikit\-learn, TensorFlow, or PyTorch
* Experience with Power BI, Tableau, or data visualization tools
* Understanding of U.S. business or industry use cases
**Ideal Candidate:**
* Recent graduate or **OPT\-authorized candidate**
* Looking for a full\-time role in the U.S. data industry
* Comfortable working with data and learning new tools
* Motivated to grow into an advanced Data Scientist role
Job Type: Full\-time
Pay: $80,000\.00 \- $130,000\.00 per year
Benefits:
* Employee assistance program
* Employee discount
* Health insurance
* Life insurance
* Paid time off
* Referral program
Work Location: Hybrid remote in Columbus, OH</t>
        </is>
      </c>
    </row>
    <row r="8">
      <c r="A8" t="inlineStr">
        <is>
          <t>in-920e34183319a1a0</t>
        </is>
      </c>
      <c r="B8" t="inlineStr">
        <is>
          <t>Senior Data Scientist</t>
        </is>
      </c>
      <c r="C8" t="inlineStr">
        <is>
          <t>Capgemini Government Solutions</t>
        </is>
      </c>
      <c r="D8" t="inlineStr">
        <is>
          <t>indeed</t>
        </is>
      </c>
      <c r="E8" t="inlineStr"/>
      <c r="F8" t="inlineStr"/>
      <c r="G8" t="inlineStr">
        <is>
          <t>Washington, DC, US</t>
        </is>
      </c>
      <c r="H8" s="2" t="n">
        <v>46029</v>
      </c>
      <c r="I8" t="inlineStr">
        <is>
          <t>Capgemini Government Solutions (CGS) LLC is seeking a highly motivated Senior Data Scientist to lead the development and deployment of models and methodologies that enable pattern analysis, predictive modeling, intelligent automation, and AI/ML solutions. The successful candidate will have the opportunity to conceive and deliver innovative data science solutions to the U.S. Public Sector to help address critical national and global challenges such as health, climate change, and national security. This individual will join our Data and AI practice in the DC Metro Area. As a part of the rapidly expanding CGS Data and AI practice, the candidate will also help our clients develop, deploy, and modernize their data science products and ecosystems.
At Capgemini, we are committed to our staff’s professional development and offer a wide range of training and educational resources. In addition to our internal learning sites, we partnered with Coursera and Degreed to offer our staff the latest courses from academic institutions around the world. We provide education expense reimbursements as well as sponsor seminars, conferences, and certifications. Our practice leaders work with every team member to chart appropriate career paths and goals to ensure that we all stay innovative and transformative, which maximizes our ability to scale up our solutions, keep up with the cutting edge, and bring the art of what’s possible to the Federal Government.
**Job Responsibilities**
As a Senior Data Scientist you will:
* Provide subject matter expertise in matters of data science, machine learning, and artificial intelligence to an entrepreneurial and high performing team
* Drive data science and AI/ML\-related solutions based on evaluation of requirements, resources, and alternatives
* Lead exploratory data analysis to evaluate data pipelines and construct data stores (structured, semi\-structured, and unstructured) as needed to feed frameworks/models
* Manage development of custom algorithms, frameworks, and models or leverage available tools, libraries, and applications to solve complex problems
* Oversee deployment of data science and AI/ML solutions and develop methodologies to scale up
* Coordinate internal and external stakeholders to pattern analysis, predictive modeling, intelligent automation, GenAI, OCR, NLP, fraud detection, and other business cases for using data science, machine learning, and artificial intelligence
* Present and articulate findings and present solutions to clients and team members
* Maintain knowledge of advances of data science in industry and academia
* Contribute to the overall growth of the Data and AI practice
**Required Qualifications**
* U.S. Citizenship is required
* Eligible to obtain and maintain a Government Security Clearance
* Be at client site full time in Washington, DC
* Bachelor’s degree or higher in data science, statistics, computer science, economics, mathematics, information systems, or similar field preferred
* Minimum of ten (10\) years of professional experience (relevant advanced degrees may substitute equivalent number of years) with data science, AI/ML, or deep learning delivery responsibilities such as:
* + Managing teams to deliver work products that comply with quality, time, and technical targets
	+ Coordinating and influencing stakeholders, managing communications, and managing client expectations
	+ Designing and developing data models and algorithms for multi\-objective optimization and decision making
	+ Building and deploying predictive and prescriptive analytics
	+ Conducting hypothesis testing, statistical and probability analyses
	+ Applying appropriate methods to describe statistical relationships between variables
	+ Performing multiple correspondence analysis (MCA), principal component analysis (PCA, and association rule mining
* Experience using tools such as Databricks; Azure’s Machine Learning and AI Services; AWS’s SageMaker and Bedrock
* Experience programming in languages such as Python, R, Scala, SQL, JavaScript, C/C\+\+, and Java
* Experience using libraries and frameworks such as TensorFlow, PyTorch, mpi4py, Spark ML/MLlib, Jupyter, h2o, keras, or mir
* Experience collecting in managing large data sets in cloud\-based databases, data lakes, and data warehouses such as Oracle EDW, SQL Server, or MS Access
* Ability to multi\-task and stay flexible in a dynamic work environment
**Preferred/Nice to Have Qualifications**
* Active Government Security clearance
* Experience developing algorithms for High\-Performance Computing (HPC) environments using custom multi\-core desktop computers and MS MPI
* Experience with Deep Learning methods in NLP, sentiment analysis, topic modeling, and graph theory and databases
* Experience working with big data distributed programming languages and ecosystems such as Hadoop, MapReduce, Pig, or Kafka
* Experience working in an IT project team following SDLC and DevOps methodologies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 **Get The Future You Want \| www.capgemini.com**
##### **Disclaimer**
All qualified applicants will be considered for employment based on their skills, and merit.
##### **Please be aware that Capgemini may capture your image (video or screenshot) during the interview process and that image may be used for verification, including during the hiring and onboarding process.**
##### **Applicants for employment in the US must have valid work authorization that does not now and/or will not in the future require sponsorship of a visa for employment authorization in the US by Capgemini.**
#####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$120k \- $155k.**
##### **This role may be eligible for other compensation including variable compensation, bonus, or commission. Full time regular employees are eligible for paid time off, medical/dental/vision insurance, 401(k), and any other benefits to eligible employees.**
#####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9">
      <c r="A9" t="inlineStr">
        <is>
          <t>in-eaa5deffbecb2e1c</t>
        </is>
      </c>
      <c r="B9" t="inlineStr">
        <is>
          <t>Data Scientist</t>
        </is>
      </c>
      <c r="C9" t="inlineStr">
        <is>
          <t>Oasys Inc.</t>
        </is>
      </c>
      <c r="D9" t="inlineStr">
        <is>
          <t>indeed</t>
        </is>
      </c>
      <c r="E9" t="inlineStr"/>
      <c r="F9" t="inlineStr"/>
      <c r="G9" t="inlineStr">
        <is>
          <t>Huntsville, AL, US</t>
        </is>
      </c>
      <c r="H9" s="2" t="n">
        <v>46029</v>
      </c>
      <c r="I9" t="inlineStr">
        <is>
          <t>**Data Scientist**
**OASYS, INC.,** a Leading Edge Government contractor in Huntsville Alabama, is seeking applicants for a Data Scientist.
Main duties for the Data Scientist: Under general direction, apply knowledge of mathematics, statistics, modeling, business analysis, and technology to transform high volumes of complex data into analytic solutions. Develop and maintain data visualizations using Tableau. Evaluate accuracy and quality of data sources as well as the designed models. Evaluate new and existing data sources, processes, and architecture to develop recommendations. May use expertise to design, develop code, test, and debug software in multiple programming languages. May work in one or several areas such as equipment or software design, engineering evaluation, or test configuration management procedures, statistical analysis, and modeling.
**Minimum Requirements:**
* 3\+ years' of data scientist experience
* 12 total years of experience and the 12 years can be any type of paid experience
* Strong Tableau visualization development skills
* Strong Oracle data analysis skills and ability to write/read SQL
* Experience in data analytics, predictive analytics, mathematics, statistics, or similar field
* Experience developing predictive or statistical models such as regressions, decision trees, neural networks, developing simulations, or performing optimizations using ILOG CPLEX, AnyLogic, or similar software package
* Demonstrated skill and experience in analyzing data using Excel or other methods
* Experience using SQL or other programming language to write complex queries, perform data analysis, extract data, and manipulate data
* Experience in data preparation, manipulation, and cleansing for large datasets
* Exhibit leadership, training, communication, and organization
**Required Education:** A Bachelor's degree is required, preferably in a technical discipline (STEM, computer science, or computer engineering, etc.).
E**ligibility:** Only US citizens are eligible for this position. Candidates must have the ability to obtain Secret Clearance. An Active Secret Clearance is highly desired.
**About OASYS, INC.:** Located in Huntsville, Alabama, OASYS, INC. is a technology services and products company dedicated to delivering the right solutions to our government and commercial clients. Our innovative solutions combined with today's technology and our subject matter expertise help to provide full lifecycle support for our client's needs.
**Benefits:** OASYS, INC. offers a robust benefit plan to include: BC/BS of Alabama Heath \&amp; Dental, VSP Vision, Employee Stock Ownership Plan (ESOP), 401\-K with Matching, Flexible Spending Account, Tuition Reimbursement, Holidays, Vacation, Short\-term/Long\-term Disability.
www.oasys\-incorporated.com
EOE AA M/F/Vet/Disability Equal Employment Opportunity is the Law: http://www1\.eeoc.gov/employers/upload/eeoc\_self\_print\_poster.pdf</t>
        </is>
      </c>
    </row>
    <row r="10">
      <c r="A10" t="inlineStr">
        <is>
          <t>in-a8a950667ef4ff78</t>
        </is>
      </c>
      <c r="B10" t="inlineStr">
        <is>
          <t>Data Scientist</t>
        </is>
      </c>
      <c r="C10" t="inlineStr">
        <is>
          <t>Pickle</t>
        </is>
      </c>
      <c r="D10" t="inlineStr">
        <is>
          <t>indeed</t>
        </is>
      </c>
      <c r="E10" t="inlineStr"/>
      <c r="F10" t="inlineStr"/>
      <c r="G10" t="inlineStr">
        <is>
          <t>New York, NY, US</t>
        </is>
      </c>
      <c r="H10" s="2" t="n">
        <v>46029</v>
      </c>
      <c r="I10" t="inlineStr">
        <is>
          <t>**About Pickle**
================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Pickle is now live nationwide and scaling rapidly in key local markets including **NYC, LA, and Miami**. Our marketplace already features **300K\+ items listed for rent**, and we’re just getting started.
What makes Pickle different is the combination of **incredible peer\-to\-peer inventory**, **industry\-leading convenience** (under **2 days nationwide** and under **2 hours locally**), and an **on\-demand model with no subscriptions** — users rent what they want, when they want it. Backed by our **Series A funding raised in early 2025** from **FirstMark and Craft**, we’re scaling quickly and building the future of access\-driven shopping.
**About The Role**
==================
You will be the strategic partner to the Founders, answering the billion\-dollar question: ***How do we scale efficiently?***
You will be the detective solving the complex puzzle of a two\-sided marketplace. One day, you might be modeling price elasticity to determine how a 5% discount impacts contribution margin. The next, you’ll be digging into referral data to engineer a viral loop that lowers our CAC by half. You will hunt down the "why" behind every chart, discovering the invisible friction points that hold us back and the hidden behaviors that unlock massive growth.
If you are a "Grinder"—someone who loves the thrill of a hard problem and can’t put it down until you’ve found the solution—this is your playground.
**Responsibilities**
====================
**Growth Strategy \&amp; Acquisition**
* **Pricing \&amp; Incentive Strategy:** Design and test dynamic pricing models and incentive structures (e.g., first\-order discounts, owner bonuses). You will mathematically determine how to stoke demand and aid conversion *without* eroding our contribution profit margins, ensuring every dollar of "discount" generates long\-term ROI.
* **The Growth Equation:** Model our acquisition channels (Organic, Paid, Referral, Ambassadors). You will identify which channels have the highest LTV/CAC ratio and tell us where to double down.
* **Viral Loops:** Analyze our referral and sharing behaviors. You will calculate our K\-factor (virality) and identify product changes to keep our users as our best marketing channel.
**Marketplace Liquidity \&amp; Retention**
* **Supply\-Led Growth:** Analyze how inventory levels drive organic growth. *Does adding 100 power owners in Chicago unlock 1,000 new customers?* You will tell us where to focus supply acquisition.
* **The "Magic Moments":** Identify the specific user behaviors that lead to long\-term retention (e.g., "Users who rent within 7 days of signup retain at 3x").
* **Churn Prediction:** Build models to identify at\-risk users before they leave, allowing our CX team to intervene.
**Product Conversion (CRO)**
* **Funnel Optimization:** Own the granular analysis of our demand and supply funnels. You will find the leaks in the bucket and design A/B tests to plug them.
* **Experimentation:** Help the product team design valid experiments. You ensure we aren't just shipping features, but moving metrics with statistical significance.
**Requirements**
================
* **The "Grinder" Mentality:** You are relentlessly curious. You are the type of person who can't put something down until you figure out the why.
* **Growth Native:** You speak the language of growth: CAC, LTV, ROAS, K\-Factor, Churn, and Cohorts. You understand that "Data Science" is a tool to make money and grow the user base.
* **Product Fluency**: You understand product growth loops and can quickly execute and extract insights from demand funnels and A/B tests
* **5\+ Years Experience:** Ideally in a **Consumer Marketplace** or high\-growth B2C app. You have seen how a company scales and understand the data infrastructure needed to support it.
	+ *Note: We are open to less experience if you have exceptional raw talent and a portfolio of solving complex growth problems.*
* **Technical Fluency:** Expert\-level **SQL**. Proficient in **Python/R** for modeling. Experience with growth stacks (PostHog, Mixpanel, AppsFlyer, Segment) and visualization tools.
**Benefits**
============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$170K \- $250K</t>
        </is>
      </c>
    </row>
    <row r="11">
      <c r="A11" t="inlineStr">
        <is>
          <t>in-bb00ed185dfc17b7</t>
        </is>
      </c>
      <c r="B11" t="inlineStr">
        <is>
          <t>Senior Data Scientist- Gen AI</t>
        </is>
      </c>
      <c r="C11" t="inlineStr">
        <is>
          <t>Tiger Analytics</t>
        </is>
      </c>
      <c r="D11" t="inlineStr">
        <is>
          <t>indeed</t>
        </is>
      </c>
      <c r="E11" t="inlineStr"/>
      <c r="F11" t="inlineStr"/>
      <c r="G11" t="inlineStr">
        <is>
          <t>Charlotte, NC, US</t>
        </is>
      </c>
      <c r="H11" s="2" t="n">
        <v>46029</v>
      </c>
      <c r="I11"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**Strong Problem**\-Solving Skills: Demonstrated ability to approach complex business and technical challenges using data science methodologies and statistical techniques
* **Proficiency in Python and SQL:** Hands\-on experience in writing production\-grade code, data manipulation, and querying large databases
* **Expertise in NLP:** Proven experience working with text and transcription data, including preprocessing, feature engineering, and model development
* **Generative AI Knowledge**: Solid understanding of latest\-generation AI concepts including LLMs, prompt engineering, retrieval\-augmented generation (RAG), and other contemporary generative AI applications
* **Curiosity and Continuous Learning**: Passionate about staying current with emerging trends, research papers, and advancements in NLP and AI
* **Strategic Alignment:** Ability to understand organizational vision and strategy, translating it into data\-driven initiatives that create positive business impact
* **Strong Communication:** Ability to articulate complex technical concepts to both technical and non\-technical audiences.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2">
      <c r="A12" t="inlineStr">
        <is>
          <t>in-7c3b690fade384db</t>
        </is>
      </c>
      <c r="B12" t="inlineStr">
        <is>
          <t>Senior Data Scientist- Gen AI</t>
        </is>
      </c>
      <c r="C12" t="inlineStr">
        <is>
          <t>Tiger Analytics</t>
        </is>
      </c>
      <c r="D12" t="inlineStr">
        <is>
          <t>indeed</t>
        </is>
      </c>
      <c r="E12" t="inlineStr"/>
      <c r="F12" t="inlineStr"/>
      <c r="G12" t="inlineStr">
        <is>
          <t>Malvern, PA, US</t>
        </is>
      </c>
      <c r="H12" s="2" t="n">
        <v>46029</v>
      </c>
      <c r="I12"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**Strong Problem**\-Solving Skills: Demonstrated ability to approach complex business and technical challenges using data science methodologies and statistical techniques
* **Proficiency in Python and SQL:** Hands\-on experience in writing production\-grade code, data manipulation, and querying large databases
* **Expertise in NLP:** Proven experience working with text and transcription data, including preprocessing, feature engineering, and model development
* **Generative AI Knowledge**: Solid understanding of latest\-generation AI concepts including LLMs, prompt engineering, retrieval\-augmented generation (RAG), and other contemporary generative AI applications
* **Curiosity and Continuous Learning**: Passionate about staying current with emerging trends, research papers, and advancements in NLP and AI
* **Strategic Alignment:** Ability to understand organizational vision and strategy, translating it into data\-driven initiatives that create positive business impact
* **Strong Communication:** Ability to articulate complex technical concepts to both technical and non\-technical audiences.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3">
      <c r="A13" t="inlineStr">
        <is>
          <t>in-632eaaf4d7d5e59c</t>
        </is>
      </c>
      <c r="B13" t="inlineStr">
        <is>
          <t>Vice President, Data Scientist</t>
        </is>
      </c>
      <c r="C13" t="inlineStr">
        <is>
          <t>BNY</t>
        </is>
      </c>
      <c r="D13" t="inlineStr">
        <is>
          <t>indeed</t>
        </is>
      </c>
      <c r="E13" t="inlineStr"/>
      <c r="F13" t="inlineStr"/>
      <c r="G13" t="inlineStr">
        <is>
          <t>Pittsburgh, PA, US</t>
        </is>
      </c>
      <c r="H13" s="2" t="n">
        <v>46029</v>
      </c>
      <c r="I13" t="inlineStr">
        <is>
          <t>Vice President, Data Scientist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\#LifeAtBNY is all about. Join us and be part of something extraordinary.
We’re seeking a future team member for the role of Data Scientist to join our Financial Crimes Compliance team. This role is in Lake Mary or Pittsburgh.
In this role, you’ll make an impact in the following ways:
* Development, testing and tuning of financial crimes compliance detection rules/models for AML transaction monitoring, sanctions screening, customer risk rating etc.
* Analyze and interpret data to facilitate statistical analysis for development, testing or tuning of financial crimes compliance detection rules. Perform ad hoc analysis used for statistical analysis as required.
* Conduct complex mathematical analysis utilizing various statistical methods or techniques including machine learning, GenAI, logistic regression and various other ensemble techniques (e.g., XGBoost, LightGBM)
* Interprets findings from statistical analyses performed for communication to senior and executive level management in written and verbal form.
Ability to understand and use various programming languages like python to identify, investigate and resolve data and programming issues  
* 
To be successful in this role, we’re seeking the following:
* Graduate degree in a quantitative discipline, e.g. Engineering, Computer Science, Mathematics, Operations Research, Data Science, and 7\+ years of relevant experience.
* Strong critical thinking and data analysis skills. Experienced in collecting, organizing, and evaluating business data
* Ability to pay attention to details
* Ability to report research results in a comprehensive, concise manner and to develop and present precise and clear metrics
* Skilled in coordinating and multi\-tasking for various projects
* Understands databases (Oracle or Snowflake); good technical skills in querying and analyzing data (SQL or equivalent)
* Ability to manage issues and influence others to remediate
* Ability to communicate effectively, both orally and in writing. Communicates and collaborates with all levels of team\-mates
* Good organizational and project management skills, as well as attention to detail
* Multitasks, prioritizes and meets deadlines in timely manner
* Experience working in Global Financial Crimes Technology with Anti Money Laundering and Economic Sanctions knowledge a plus.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row>
    <row r="14">
      <c r="A14" t="inlineStr">
        <is>
          <t>in-e6a127bae0e1bd20</t>
        </is>
      </c>
      <c r="B14" t="inlineStr">
        <is>
          <t>Principal Applied Scientist, Artificial General Intelligence</t>
        </is>
      </c>
      <c r="C14" t="inlineStr">
        <is>
          <t>Amazon.com</t>
        </is>
      </c>
      <c r="D14" t="inlineStr">
        <is>
          <t>indeed</t>
        </is>
      </c>
      <c r="E14" t="inlineStr"/>
      <c r="F14" t="inlineStr"/>
      <c r="G14" t="inlineStr">
        <is>
          <t>San Francisco, CA, US</t>
        </is>
      </c>
      <c r="H14" s="2" t="n">
        <v>45978</v>
      </c>
      <c r="I1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in-6450fd1d5a856208</t>
        </is>
      </c>
      <c r="B15" t="inlineStr">
        <is>
          <t>Sr. Applied Scientist, AGI Foundations</t>
        </is>
      </c>
      <c r="C15" t="inlineStr">
        <is>
          <t>Amazon.com</t>
        </is>
      </c>
      <c r="D15" t="inlineStr">
        <is>
          <t>indeed</t>
        </is>
      </c>
      <c r="E15" t="inlineStr"/>
      <c r="F15" t="inlineStr"/>
      <c r="G15" t="inlineStr">
        <is>
          <t>Bellevue, WA, US</t>
        </is>
      </c>
      <c r="H15" s="2" t="n">
        <v>45978</v>
      </c>
      <c r="I1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in-f18a5e26fe48daec</t>
        </is>
      </c>
      <c r="B16" t="inlineStr">
        <is>
          <t>Applied Scientist, Artificial General Intelligence</t>
        </is>
      </c>
      <c r="C16" t="inlineStr">
        <is>
          <t>Amazon.com</t>
        </is>
      </c>
      <c r="D16" t="inlineStr">
        <is>
          <t>indeed</t>
        </is>
      </c>
      <c r="E16" t="inlineStr"/>
      <c r="F16" t="inlineStr"/>
      <c r="G16" t="inlineStr">
        <is>
          <t>Seattle, WA, US</t>
        </is>
      </c>
      <c r="H16" s="2" t="n">
        <v>45974</v>
      </c>
      <c r="I1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in-8ac6c058bb4d4fe0</t>
        </is>
      </c>
      <c r="B17" t="inlineStr">
        <is>
          <t>Applied Scientist, Artificial General Intelligence</t>
        </is>
      </c>
      <c r="C17" t="inlineStr">
        <is>
          <t>Amazon.com</t>
        </is>
      </c>
      <c r="D17" t="inlineStr">
        <is>
          <t>indeed</t>
        </is>
      </c>
      <c r="E17" t="inlineStr"/>
      <c r="F17" t="inlineStr"/>
      <c r="G17" t="inlineStr">
        <is>
          <t>Sunnyvale, CA, US</t>
        </is>
      </c>
      <c r="H17" s="2" t="n">
        <v>45974</v>
      </c>
      <c r="I1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in-d99a724bc927acf6</t>
        </is>
      </c>
      <c r="B18" t="inlineStr">
        <is>
          <t>Applied Scientist, Artificial General Intelligence</t>
        </is>
      </c>
      <c r="C18" t="inlineStr">
        <is>
          <t>Amazon.com</t>
        </is>
      </c>
      <c r="D18" t="inlineStr">
        <is>
          <t>indeed</t>
        </is>
      </c>
      <c r="E18" t="inlineStr"/>
      <c r="F18" t="inlineStr"/>
      <c r="G18" t="inlineStr">
        <is>
          <t>Boston, MA, US</t>
        </is>
      </c>
      <c r="H18" s="2" t="n">
        <v>45974</v>
      </c>
      <c r="I1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in-24a8fe9021c0becd</t>
        </is>
      </c>
      <c r="B19" t="inlineStr">
        <is>
          <t>Senior Data Scientist, AWS Professional Services</t>
        </is>
      </c>
      <c r="C19" t="inlineStr">
        <is>
          <t>Amazon Web Services</t>
        </is>
      </c>
      <c r="D19" t="inlineStr">
        <is>
          <t>indeed</t>
        </is>
      </c>
      <c r="E19" t="inlineStr"/>
      <c r="F19" t="inlineStr"/>
      <c r="G19" t="inlineStr">
        <is>
          <t>Dallas, TX, US</t>
        </is>
      </c>
      <c r="H19" s="2" t="n">
        <v>45972</v>
      </c>
      <c r="I1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in-0fc3095b19f9d3d1</t>
        </is>
      </c>
      <c r="B20" t="inlineStr">
        <is>
          <t>Senior Data Scientist, AWS Professional Services</t>
        </is>
      </c>
      <c r="C20" t="inlineStr">
        <is>
          <t>Amazon Web Services</t>
        </is>
      </c>
      <c r="D20" t="inlineStr">
        <is>
          <t>indeed</t>
        </is>
      </c>
      <c r="E20" t="inlineStr"/>
      <c r="F20" t="inlineStr"/>
      <c r="G20" t="inlineStr">
        <is>
          <t>Boston, MA, US</t>
        </is>
      </c>
      <c r="H20" s="2" t="n">
        <v>45972</v>
      </c>
      <c r="I2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in-259f4185c05ba84a</t>
        </is>
      </c>
      <c r="B21" t="inlineStr">
        <is>
          <t>Senior Data Scientist, AWS Professional Services</t>
        </is>
      </c>
      <c r="C21" t="inlineStr">
        <is>
          <t>Amazon Web Services</t>
        </is>
      </c>
      <c r="D21" t="inlineStr">
        <is>
          <t>indeed</t>
        </is>
      </c>
      <c r="E21" t="inlineStr"/>
      <c r="F21" t="inlineStr"/>
      <c r="G21" t="inlineStr">
        <is>
          <t>Atlanta, GA, US</t>
        </is>
      </c>
      <c r="H21" s="2" t="n">
        <v>45972</v>
      </c>
      <c r="I2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in-f7385c9545d6793d</t>
        </is>
      </c>
      <c r="B22" t="inlineStr">
        <is>
          <t>Senior Data Scientist, AWS Professional Services</t>
        </is>
      </c>
      <c r="C22" t="inlineStr">
        <is>
          <t>Amazon Web Services</t>
        </is>
      </c>
      <c r="D22" t="inlineStr">
        <is>
          <t>indeed</t>
        </is>
      </c>
      <c r="E22" t="inlineStr"/>
      <c r="F22" t="inlineStr"/>
      <c r="G22" t="inlineStr">
        <is>
          <t>Chicago, IL, US</t>
        </is>
      </c>
      <c r="H22" s="2" t="n">
        <v>45972</v>
      </c>
      <c r="I2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in-2793edd7eb32a448</t>
        </is>
      </c>
      <c r="B23" t="inlineStr">
        <is>
          <t>Senior Data Scientist, AWS Professional Services</t>
        </is>
      </c>
      <c r="C23" t="inlineStr">
        <is>
          <t>Amazon Web Services</t>
        </is>
      </c>
      <c r="D23" t="inlineStr">
        <is>
          <t>indeed</t>
        </is>
      </c>
      <c r="E23" t="inlineStr"/>
      <c r="F23" t="inlineStr"/>
      <c r="G23" t="inlineStr">
        <is>
          <t>Santa Monica, CA, US</t>
        </is>
      </c>
      <c r="H23" s="2" t="n">
        <v>45972</v>
      </c>
      <c r="I2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in-25527feae78bdb66</t>
        </is>
      </c>
      <c r="B24" t="inlineStr">
        <is>
          <t>Senior Data Scientist, AWS Professional Services</t>
        </is>
      </c>
      <c r="C24" t="inlineStr">
        <is>
          <t>Amazon Web Services</t>
        </is>
      </c>
      <c r="D24" t="inlineStr">
        <is>
          <t>indeed</t>
        </is>
      </c>
      <c r="E24" t="inlineStr"/>
      <c r="F24" t="inlineStr"/>
      <c r="G24" t="inlineStr">
        <is>
          <t>Irvine, CA, US</t>
        </is>
      </c>
      <c r="H24" s="2" t="n">
        <v>45972</v>
      </c>
      <c r="I2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in-fab0266fe76c400b</t>
        </is>
      </c>
      <c r="B25" t="inlineStr">
        <is>
          <t>Senior Data Scientist, AWS Professional Services</t>
        </is>
      </c>
      <c r="C25" t="inlineStr">
        <is>
          <t>Amazon Web Services</t>
        </is>
      </c>
      <c r="D25" t="inlineStr">
        <is>
          <t>indeed</t>
        </is>
      </c>
      <c r="E25" t="inlineStr"/>
      <c r="F25" t="inlineStr"/>
      <c r="G25" t="inlineStr">
        <is>
          <t>New York, NY, US</t>
        </is>
      </c>
      <c r="H25" s="2" t="n">
        <v>45972</v>
      </c>
      <c r="I2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in-1fa4372f3aaa9197</t>
        </is>
      </c>
      <c r="B26" t="inlineStr">
        <is>
          <t>Senior Data Scientist, AWS Professional Services</t>
        </is>
      </c>
      <c r="C26" t="inlineStr">
        <is>
          <t>Amazon Web Services</t>
        </is>
      </c>
      <c r="D26" t="inlineStr">
        <is>
          <t>indeed</t>
        </is>
      </c>
      <c r="E26" t="inlineStr"/>
      <c r="F26" t="inlineStr"/>
      <c r="G26" t="inlineStr">
        <is>
          <t>Seattle, WA, US</t>
        </is>
      </c>
      <c r="H26" s="2" t="n">
        <v>45972</v>
      </c>
      <c r="I2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in-a12c21b3b0fcbc4f</t>
        </is>
      </c>
      <c r="B27" t="inlineStr">
        <is>
          <t>Senior Data Scientist, AWS Professional Services</t>
        </is>
      </c>
      <c r="C27" t="inlineStr">
        <is>
          <t>Amazon Web Services</t>
        </is>
      </c>
      <c r="D27" t="inlineStr">
        <is>
          <t>indeed</t>
        </is>
      </c>
      <c r="E27" t="inlineStr"/>
      <c r="F27" t="inlineStr"/>
      <c r="G27" t="inlineStr">
        <is>
          <t>Arlington, VA, US</t>
        </is>
      </c>
      <c r="H27" s="2" t="n">
        <v>45972</v>
      </c>
      <c r="I2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in-3d7e7384b97ad870</t>
        </is>
      </c>
      <c r="B28" t="inlineStr">
        <is>
          <t>Applied Scientist, Sponsored Products and Brands</t>
        </is>
      </c>
      <c r="C28" t="inlineStr">
        <is>
          <t>Amazon.com</t>
        </is>
      </c>
      <c r="D28" t="inlineStr">
        <is>
          <t>indeed</t>
        </is>
      </c>
      <c r="E28" t="inlineStr"/>
      <c r="F28" t="inlineStr"/>
      <c r="G28" t="inlineStr">
        <is>
          <t>New York, NY, US</t>
        </is>
      </c>
      <c r="H28" s="2" t="n">
        <v>45965</v>
      </c>
      <c r="I2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in-d9d3c79722cadb24</t>
        </is>
      </c>
      <c r="B29" t="inlineStr">
        <is>
          <t>Applied Scientist, Sponsored Products and Brands</t>
        </is>
      </c>
      <c r="C29" t="inlineStr">
        <is>
          <t>Amazon.com</t>
        </is>
      </c>
      <c r="D29" t="inlineStr">
        <is>
          <t>indeed</t>
        </is>
      </c>
      <c r="E29" t="inlineStr"/>
      <c r="F29" t="inlineStr"/>
      <c r="G29" t="inlineStr">
        <is>
          <t>Seattle, WA, US</t>
        </is>
      </c>
      <c r="H29" s="2" t="n">
        <v>45965</v>
      </c>
      <c r="I2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in-b8be0e24ad760d16</t>
        </is>
      </c>
      <c r="B30" t="inlineStr">
        <is>
          <t>Principal Applied Scientist, Amazon AGI</t>
        </is>
      </c>
      <c r="C30" t="inlineStr">
        <is>
          <t>Amazon.com</t>
        </is>
      </c>
      <c r="D30" t="inlineStr">
        <is>
          <t>indeed</t>
        </is>
      </c>
      <c r="E30" t="inlineStr"/>
      <c r="F30" t="inlineStr"/>
      <c r="G30" t="inlineStr">
        <is>
          <t>Boston, MA, US</t>
        </is>
      </c>
      <c r="H30" s="2" t="n">
        <v>45964</v>
      </c>
      <c r="I3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in-c39bbe5fa7648b8c</t>
        </is>
      </c>
      <c r="B31" t="inlineStr">
        <is>
          <t>Sr. Applied Scientist, AGI Foundations</t>
        </is>
      </c>
      <c r="C31" t="inlineStr">
        <is>
          <t>Amazon.com</t>
        </is>
      </c>
      <c r="D31" t="inlineStr">
        <is>
          <t>indeed</t>
        </is>
      </c>
      <c r="E31" t="inlineStr"/>
      <c r="F31" t="inlineStr"/>
      <c r="G31" t="inlineStr">
        <is>
          <t>Boston, MA, US</t>
        </is>
      </c>
      <c r="H31" s="2" t="n">
        <v>45963</v>
      </c>
      <c r="I3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in-23cc3fec1cbdd6be</t>
        </is>
      </c>
      <c r="B32" t="inlineStr">
        <is>
          <t>Sr. Applied Scientist, AGI Foundations</t>
        </is>
      </c>
      <c r="C32" t="inlineStr">
        <is>
          <t>Amazon.com</t>
        </is>
      </c>
      <c r="D32" t="inlineStr">
        <is>
          <t>indeed</t>
        </is>
      </c>
      <c r="E32" t="inlineStr"/>
      <c r="F32" t="inlineStr"/>
      <c r="G32" t="inlineStr">
        <is>
          <t>Bellevue, WA, US</t>
        </is>
      </c>
      <c r="H32" s="2" t="n">
        <v>45963</v>
      </c>
      <c r="I3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in-a4c9d056bf861b24</t>
        </is>
      </c>
      <c r="B33" t="inlineStr">
        <is>
          <t>Sr. Applied Scientist, AGI Foundations</t>
        </is>
      </c>
      <c r="C33" t="inlineStr">
        <is>
          <t>Amazon.com</t>
        </is>
      </c>
      <c r="D33" t="inlineStr">
        <is>
          <t>indeed</t>
        </is>
      </c>
      <c r="E33" t="inlineStr"/>
      <c r="F33" t="inlineStr"/>
      <c r="G33" t="inlineStr">
        <is>
          <t>New York, NY, US</t>
        </is>
      </c>
      <c r="H33" s="2" t="n">
        <v>45963</v>
      </c>
      <c r="I3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in-639f93381af44dfc</t>
        </is>
      </c>
      <c r="B34" t="inlineStr">
        <is>
          <t>Sr. Applied Scientist , AMX Science</t>
        </is>
      </c>
      <c r="C34" t="inlineStr">
        <is>
          <t>Amazon.com</t>
        </is>
      </c>
      <c r="D34" t="inlineStr">
        <is>
          <t>indeed</t>
        </is>
      </c>
      <c r="E34" t="inlineStr"/>
      <c r="F34" t="inlineStr"/>
      <c r="G34" t="inlineStr">
        <is>
          <t>New York, NY, US</t>
        </is>
      </c>
      <c r="H34" s="2" t="n">
        <v>45958</v>
      </c>
      <c r="I3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in-478157046f22b37a</t>
        </is>
      </c>
      <c r="B35" t="inlineStr">
        <is>
          <t>Sr. Applied Scientist , AMX Science</t>
        </is>
      </c>
      <c r="C35" t="inlineStr">
        <is>
          <t>Amazon.com</t>
        </is>
      </c>
      <c r="D35" t="inlineStr">
        <is>
          <t>indeed</t>
        </is>
      </c>
      <c r="E35" t="inlineStr"/>
      <c r="F35" t="inlineStr"/>
      <c r="G35" t="inlineStr">
        <is>
          <t>Seattle, WA, US</t>
        </is>
      </c>
      <c r="H35" s="2" t="n">
        <v>45958</v>
      </c>
      <c r="I3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in-ce9f4f2e0cba308c</t>
        </is>
      </c>
      <c r="B36" t="inlineStr">
        <is>
          <t>Sr Data Scientist , Annapurna Labs, ML Acceleration Power Architecture</t>
        </is>
      </c>
      <c r="C36" t="inlineStr">
        <is>
          <t>Amazon Web Services</t>
        </is>
      </c>
      <c r="D36" t="inlineStr">
        <is>
          <t>indeed</t>
        </is>
      </c>
      <c r="E36" t="inlineStr"/>
      <c r="F36" t="inlineStr"/>
      <c r="G36" t="inlineStr">
        <is>
          <t>Austin, TX, US</t>
        </is>
      </c>
      <c r="H36" s="2" t="n">
        <v>45957</v>
      </c>
      <c r="I3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in-5b0ec7d70c9c74b1</t>
        </is>
      </c>
      <c r="B37" t="inlineStr">
        <is>
          <t>Sr Data Scientist , Annapurna Labs, ML Acceleration Power Architecture</t>
        </is>
      </c>
      <c r="C37" t="inlineStr">
        <is>
          <t>Amazon Web Services</t>
        </is>
      </c>
      <c r="D37" t="inlineStr">
        <is>
          <t>indeed</t>
        </is>
      </c>
      <c r="E37" t="inlineStr"/>
      <c r="F37" t="inlineStr"/>
      <c r="G37" t="inlineStr">
        <is>
          <t>Cupertino, CA, US</t>
        </is>
      </c>
      <c r="H37" s="2" t="n">
        <v>45957</v>
      </c>
      <c r="I3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in-bf3c7ef0e605710c</t>
        </is>
      </c>
      <c r="B38" t="inlineStr">
        <is>
          <t>Sr Data Scientist , Annapurna Labs, ML Acceleration Power Architecture</t>
        </is>
      </c>
      <c r="C38" t="inlineStr">
        <is>
          <t>Amazon Web Services</t>
        </is>
      </c>
      <c r="D38" t="inlineStr">
        <is>
          <t>indeed</t>
        </is>
      </c>
      <c r="E38" t="inlineStr"/>
      <c r="F38" t="inlineStr"/>
      <c r="G38" t="inlineStr">
        <is>
          <t>Seattle, WA, US</t>
        </is>
      </c>
      <c r="H38" s="2" t="n">
        <v>45957</v>
      </c>
      <c r="I3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in-fe4c988b05a66103</t>
        </is>
      </c>
      <c r="B39" t="inlineStr">
        <is>
          <t>Applied Scientist, Prime Video - Content Understanding, Localization &amp; Enrichment Team</t>
        </is>
      </c>
      <c r="C39" t="inlineStr">
        <is>
          <t>Amazon.com</t>
        </is>
      </c>
      <c r="D39" t="inlineStr">
        <is>
          <t>indeed</t>
        </is>
      </c>
      <c r="E39" t="inlineStr"/>
      <c r="F39" t="inlineStr"/>
      <c r="G39" t="inlineStr">
        <is>
          <t>San Francisco, CA, US</t>
        </is>
      </c>
      <c r="H39" s="2" t="n">
        <v>45943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in-ba9143552aca9a28</t>
        </is>
      </c>
      <c r="B40" t="inlineStr">
        <is>
          <t>Applied Scientist, Prime Video - Content Understanding, Localization &amp; Enrichment Team</t>
        </is>
      </c>
      <c r="C40" t="inlineStr">
        <is>
          <t>Amazon.com</t>
        </is>
      </c>
      <c r="D40" t="inlineStr">
        <is>
          <t>indeed</t>
        </is>
      </c>
      <c r="E40" t="inlineStr"/>
      <c r="F40" t="inlineStr"/>
      <c r="G40" t="inlineStr">
        <is>
          <t>Seattle, WA, US</t>
        </is>
      </c>
      <c r="H40" s="2" t="n">
        <v>45943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in-585739027ae29588</t>
        </is>
      </c>
      <c r="B41" t="inlineStr">
        <is>
          <t>Principal Applied Scientist, Advertiser Growth, Amazon Sponsored Products &amp; Brands</t>
        </is>
      </c>
      <c r="C41" t="inlineStr">
        <is>
          <t>Amazon.com</t>
        </is>
      </c>
      <c r="D41" t="inlineStr">
        <is>
          <t>indeed</t>
        </is>
      </c>
      <c r="E41" t="inlineStr"/>
      <c r="F41" t="inlineStr"/>
      <c r="G41" t="inlineStr">
        <is>
          <t>New York, NY, US</t>
        </is>
      </c>
      <c r="H41" s="2" t="n">
        <v>45942</v>
      </c>
      <c r="I4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in-d4ba7e644ca5ed7b</t>
        </is>
      </c>
      <c r="B42" t="inlineStr">
        <is>
          <t>Principal Applied Scientist, Advertiser Growth, Amazon Sponsored Products &amp; Brands</t>
        </is>
      </c>
      <c r="C42" t="inlineStr">
        <is>
          <t>Amazon.com</t>
        </is>
      </c>
      <c r="D42" t="inlineStr">
        <is>
          <t>indeed</t>
        </is>
      </c>
      <c r="E42" t="inlineStr"/>
      <c r="F42" t="inlineStr"/>
      <c r="G42" t="inlineStr">
        <is>
          <t>Seattle, WA, US</t>
        </is>
      </c>
      <c r="H42" s="2" t="n">
        <v>45942</v>
      </c>
      <c r="I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in-5e266bbee7aa039f</t>
        </is>
      </c>
      <c r="B43" t="inlineStr">
        <is>
          <t>Principal Applied Scientist, Advertiser Growth, Amazon Sponsored Products &amp; Brands</t>
        </is>
      </c>
      <c r="C43" t="inlineStr">
        <is>
          <t>Amazon.com</t>
        </is>
      </c>
      <c r="D43" t="inlineStr">
        <is>
          <t>indeed</t>
        </is>
      </c>
      <c r="E43" t="inlineStr"/>
      <c r="F43" t="inlineStr"/>
      <c r="G43" t="inlineStr">
        <is>
          <t>Palo Alto, CA, US</t>
        </is>
      </c>
      <c r="H43" s="2" t="n">
        <v>45942</v>
      </c>
      <c r="I4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in-1d16bf6b1685b4d6</t>
        </is>
      </c>
      <c r="B44" t="inlineStr">
        <is>
          <t>Applied Scientist, Artificial General Intelligence</t>
        </is>
      </c>
      <c r="C44" t="inlineStr">
        <is>
          <t>Amazon.com</t>
        </is>
      </c>
      <c r="D44" t="inlineStr">
        <is>
          <t>indeed</t>
        </is>
      </c>
      <c r="E44" t="inlineStr"/>
      <c r="F44" t="inlineStr"/>
      <c r="G44" t="inlineStr">
        <is>
          <t>Bellevue, WA, US</t>
        </is>
      </c>
      <c r="H44" s="2" t="n">
        <v>45937</v>
      </c>
      <c r="I4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in-3cbf691b09949c34</t>
        </is>
      </c>
      <c r="B45" t="inlineStr">
        <is>
          <t>Applied Scientist, Artificial General Intelligence</t>
        </is>
      </c>
      <c r="C45" t="inlineStr">
        <is>
          <t>Amazon.com</t>
        </is>
      </c>
      <c r="D45" t="inlineStr">
        <is>
          <t>indeed</t>
        </is>
      </c>
      <c r="E45" t="inlineStr"/>
      <c r="F45" t="inlineStr"/>
      <c r="G45" t="inlineStr">
        <is>
          <t>Seattle, WA, US</t>
        </is>
      </c>
      <c r="H45" s="2" t="n">
        <v>45937</v>
      </c>
      <c r="I4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in-16875d0bb8a2adaa</t>
        </is>
      </c>
      <c r="B46" t="inlineStr">
        <is>
          <t>Applied Scientist, Artificial General Intelligence</t>
        </is>
      </c>
      <c r="C46" t="inlineStr">
        <is>
          <t>Amazon.com</t>
        </is>
      </c>
      <c r="D46" t="inlineStr">
        <is>
          <t>indeed</t>
        </is>
      </c>
      <c r="E46" t="inlineStr"/>
      <c r="F46" t="inlineStr"/>
      <c r="G46" t="inlineStr">
        <is>
          <t>New York, NY, US</t>
        </is>
      </c>
      <c r="H46" s="2" t="n">
        <v>45937</v>
      </c>
      <c r="I4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in-febea9ab42ea6fb7</t>
        </is>
      </c>
      <c r="B47" t="inlineStr">
        <is>
          <t>Applied Scientist, Artificial General Intelligence</t>
        </is>
      </c>
      <c r="C47" t="inlineStr">
        <is>
          <t>Amazon.com</t>
        </is>
      </c>
      <c r="D47" t="inlineStr">
        <is>
          <t>indeed</t>
        </is>
      </c>
      <c r="E47" t="inlineStr"/>
      <c r="F47" t="inlineStr"/>
      <c r="G47" t="inlineStr">
        <is>
          <t>Sunnyvale, CA, US</t>
        </is>
      </c>
      <c r="H47" s="2" t="n">
        <v>45937</v>
      </c>
      <c r="I4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in-52817dfe66cc062e</t>
        </is>
      </c>
      <c r="B48" t="inlineStr">
        <is>
          <t>Applied Scientist II, Prime Video - Personalization and Discovery Science, Personalization and Discovery Science</t>
        </is>
      </c>
      <c r="C48" t="inlineStr">
        <is>
          <t>Amazon.com</t>
        </is>
      </c>
      <c r="D48" t="inlineStr">
        <is>
          <t>indeed</t>
        </is>
      </c>
      <c r="E48" t="inlineStr"/>
      <c r="F48" t="inlineStr"/>
      <c r="G48" t="inlineStr">
        <is>
          <t>Sunnyvale, CA, US</t>
        </is>
      </c>
      <c r="H48" s="2" t="n">
        <v>45930</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in-6946ab40ac5d906e</t>
        </is>
      </c>
      <c r="B49" t="inlineStr">
        <is>
          <t>Applied Scientist II, Prime Video - Personalization and Discovery Science, Personalization and Discovery Science</t>
        </is>
      </c>
      <c r="C49" t="inlineStr">
        <is>
          <t>Amazon.com</t>
        </is>
      </c>
      <c r="D49" t="inlineStr">
        <is>
          <t>indeed</t>
        </is>
      </c>
      <c r="E49" t="inlineStr"/>
      <c r="F49" t="inlineStr"/>
      <c r="G49" t="inlineStr">
        <is>
          <t>New York, NY, US</t>
        </is>
      </c>
      <c r="H49" s="2" t="n">
        <v>45930</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in-3e307770de3ad763</t>
        </is>
      </c>
      <c r="B50" t="inlineStr">
        <is>
          <t>Applied Scientist II, Prime Video - Personalization and Discovery Science, Personalization and Discovery Science</t>
        </is>
      </c>
      <c r="C50" t="inlineStr">
        <is>
          <t>Amazon.com</t>
        </is>
      </c>
      <c r="D50" t="inlineStr">
        <is>
          <t>indeed</t>
        </is>
      </c>
      <c r="E50" t="inlineStr"/>
      <c r="F50" t="inlineStr"/>
      <c r="G50" t="inlineStr">
        <is>
          <t>Seattle, WA, US</t>
        </is>
      </c>
      <c r="H50" s="2" t="n">
        <v>45930</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in-be67b0d2025db9e8</t>
        </is>
      </c>
      <c r="B51" t="inlineStr">
        <is>
          <t>Principal Applied Scientist, Artificial General Intelligence</t>
        </is>
      </c>
      <c r="C51" t="inlineStr">
        <is>
          <t>Amazon.com</t>
        </is>
      </c>
      <c r="D51" t="inlineStr">
        <is>
          <t>indeed</t>
        </is>
      </c>
      <c r="E51" t="inlineStr"/>
      <c r="F51" t="inlineStr"/>
      <c r="G51" t="inlineStr">
        <is>
          <t>New York, NY, US</t>
        </is>
      </c>
      <c r="H51" s="2" t="n">
        <v>45923</v>
      </c>
      <c r="I5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in-41723e35bacfb1db</t>
        </is>
      </c>
      <c r="B52" t="inlineStr">
        <is>
          <t>Principal Applied Scientist, Artificial General Intelligence</t>
        </is>
      </c>
      <c r="C52" t="inlineStr">
        <is>
          <t>Amazon.com</t>
        </is>
      </c>
      <c r="D52" t="inlineStr">
        <is>
          <t>indeed</t>
        </is>
      </c>
      <c r="E52" t="inlineStr"/>
      <c r="F52" t="inlineStr"/>
      <c r="G52" t="inlineStr">
        <is>
          <t>Bellevue, WA, US</t>
        </is>
      </c>
      <c r="H52" s="2" t="n">
        <v>45923</v>
      </c>
      <c r="I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in-e62c0ea8822f872e</t>
        </is>
      </c>
      <c r="B53" t="inlineStr">
        <is>
          <t>Principal Applied Scientist, Artificial General Intelligence</t>
        </is>
      </c>
      <c r="C53" t="inlineStr">
        <is>
          <t>Amazon.com</t>
        </is>
      </c>
      <c r="D53" t="inlineStr">
        <is>
          <t>indeed</t>
        </is>
      </c>
      <c r="E53" t="inlineStr"/>
      <c r="F53" t="inlineStr"/>
      <c r="G53" t="inlineStr">
        <is>
          <t>Boston, MA, US</t>
        </is>
      </c>
      <c r="H53" s="2" t="n">
        <v>45923</v>
      </c>
      <c r="I5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in-c37f9dca6b61a1ba</t>
        </is>
      </c>
      <c r="B54" t="inlineStr">
        <is>
          <t>Principal Applied Scientist, Artificial General Intelligence</t>
        </is>
      </c>
      <c r="C54" t="inlineStr">
        <is>
          <t>Amazon.com</t>
        </is>
      </c>
      <c r="D54" t="inlineStr">
        <is>
          <t>indeed</t>
        </is>
      </c>
      <c r="E54" t="inlineStr"/>
      <c r="F54" t="inlineStr"/>
      <c r="G54" t="inlineStr">
        <is>
          <t>Sunnyvale, CA, US</t>
        </is>
      </c>
      <c r="H54" s="2" t="n">
        <v>45923</v>
      </c>
      <c r="I5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in-ac650eb73b8253f7</t>
        </is>
      </c>
      <c r="B55" t="inlineStr">
        <is>
          <t>Senior Applied Scientist, Artificial General Intelligence</t>
        </is>
      </c>
      <c r="C55" t="inlineStr">
        <is>
          <t>Amazon.com</t>
        </is>
      </c>
      <c r="D55" t="inlineStr">
        <is>
          <t>indeed</t>
        </is>
      </c>
      <c r="E55" t="inlineStr"/>
      <c r="F55" t="inlineStr"/>
      <c r="G55" t="inlineStr">
        <is>
          <t>Sunnyvale, CA, US</t>
        </is>
      </c>
      <c r="H55" s="2" t="n">
        <v>45922</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in-16a4fb32429e13ed</t>
        </is>
      </c>
      <c r="B56" t="inlineStr">
        <is>
          <t>Senior Applied Scientist, Artificial General Intelligence</t>
        </is>
      </c>
      <c r="C56" t="inlineStr">
        <is>
          <t>Amazon.com</t>
        </is>
      </c>
      <c r="D56" t="inlineStr">
        <is>
          <t>indeed</t>
        </is>
      </c>
      <c r="E56" t="inlineStr"/>
      <c r="F56" t="inlineStr"/>
      <c r="G56" t="inlineStr">
        <is>
          <t>Boston, MA, US</t>
        </is>
      </c>
      <c r="H56" s="2" t="n">
        <v>45922</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in-651255665406366e</t>
        </is>
      </c>
      <c r="B57" t="inlineStr">
        <is>
          <t>Senior Applied Scientist, Artificial General Intelligence</t>
        </is>
      </c>
      <c r="C57" t="inlineStr">
        <is>
          <t>Amazon.com</t>
        </is>
      </c>
      <c r="D57" t="inlineStr">
        <is>
          <t>indeed</t>
        </is>
      </c>
      <c r="E57" t="inlineStr"/>
      <c r="F57" t="inlineStr"/>
      <c r="G57" t="inlineStr">
        <is>
          <t>Seattle, WA, US</t>
        </is>
      </c>
      <c r="H57" s="2" t="n">
        <v>45922</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in-c1f2aa67b10c0a71</t>
        </is>
      </c>
      <c r="B58" t="inlineStr">
        <is>
          <t>Applied Scientist, Artificial General Intelligence</t>
        </is>
      </c>
      <c r="C58" t="inlineStr">
        <is>
          <t>Amazon.com</t>
        </is>
      </c>
      <c r="D58" t="inlineStr">
        <is>
          <t>indeed</t>
        </is>
      </c>
      <c r="E58" t="inlineStr"/>
      <c r="F58" t="inlineStr"/>
      <c r="G58" t="inlineStr">
        <is>
          <t>Bellevue, WA, US</t>
        </is>
      </c>
      <c r="H58" s="2" t="n">
        <v>45921</v>
      </c>
      <c r="I5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in-96e509a1bbd2d4d3</t>
        </is>
      </c>
      <c r="B59" t="inlineStr">
        <is>
          <t>Applied Scientist, Artificial General Intelligence</t>
        </is>
      </c>
      <c r="C59" t="inlineStr">
        <is>
          <t>Amazon.com</t>
        </is>
      </c>
      <c r="D59" t="inlineStr">
        <is>
          <t>indeed</t>
        </is>
      </c>
      <c r="E59" t="inlineStr"/>
      <c r="F59" t="inlineStr"/>
      <c r="G59" t="inlineStr">
        <is>
          <t>Seattle, WA, US</t>
        </is>
      </c>
      <c r="H59" s="2" t="n">
        <v>45921</v>
      </c>
      <c r="I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in-56a16263024294be</t>
        </is>
      </c>
      <c r="B60" t="inlineStr">
        <is>
          <t>Applied Scientist, Artificial General Intelligence</t>
        </is>
      </c>
      <c r="C60" t="inlineStr">
        <is>
          <t>Amazon.com</t>
        </is>
      </c>
      <c r="D60" t="inlineStr">
        <is>
          <t>indeed</t>
        </is>
      </c>
      <c r="E60" t="inlineStr"/>
      <c r="F60" t="inlineStr"/>
      <c r="G60" t="inlineStr">
        <is>
          <t>Boston, MA, US</t>
        </is>
      </c>
      <c r="H60" s="2" t="n">
        <v>45921</v>
      </c>
      <c r="I6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in-807f1dd6433198ab</t>
        </is>
      </c>
      <c r="B61" t="inlineStr">
        <is>
          <t>Applied Scientist, Artificial General Intelligence</t>
        </is>
      </c>
      <c r="C61" t="inlineStr">
        <is>
          <t>Amazon.com</t>
        </is>
      </c>
      <c r="D61" t="inlineStr">
        <is>
          <t>indeed</t>
        </is>
      </c>
      <c r="E61" t="inlineStr"/>
      <c r="F61" t="inlineStr"/>
      <c r="G61" t="inlineStr">
        <is>
          <t>New York, NY, US</t>
        </is>
      </c>
      <c r="H61" s="2" t="n">
        <v>45921</v>
      </c>
      <c r="I6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in-7f9a79aaca7d9fc7</t>
        </is>
      </c>
      <c r="B62" t="inlineStr">
        <is>
          <t>Applied Scientist II, Prime Video - Personalization and Discovery Science</t>
        </is>
      </c>
      <c r="C62" t="inlineStr">
        <is>
          <t>Amazon.com</t>
        </is>
      </c>
      <c r="D62" t="inlineStr">
        <is>
          <t>indeed</t>
        </is>
      </c>
      <c r="E62" t="inlineStr"/>
      <c r="F62" t="inlineStr"/>
      <c r="G62" t="inlineStr">
        <is>
          <t>New York, NY, US</t>
        </is>
      </c>
      <c r="H62" s="2" t="n">
        <v>45915</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in-0b44d41fab4b5be8</t>
        </is>
      </c>
      <c r="B63" t="inlineStr">
        <is>
          <t>Applied Scientist II, Prime Video - Personalization and Discovery Science</t>
        </is>
      </c>
      <c r="C63" t="inlineStr">
        <is>
          <t>Amazon.com</t>
        </is>
      </c>
      <c r="D63" t="inlineStr">
        <is>
          <t>indeed</t>
        </is>
      </c>
      <c r="E63" t="inlineStr"/>
      <c r="F63" t="inlineStr"/>
      <c r="G63" t="inlineStr">
        <is>
          <t>Sunnyvale, CA, US</t>
        </is>
      </c>
      <c r="H63" s="2" t="n">
        <v>45915</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in-95362560eab78925</t>
        </is>
      </c>
      <c r="B64" t="inlineStr">
        <is>
          <t>Applied Scientist II, Prime Video - Personalization and Discovery Science</t>
        </is>
      </c>
      <c r="C64" t="inlineStr">
        <is>
          <t>Amazon.com</t>
        </is>
      </c>
      <c r="D64" t="inlineStr">
        <is>
          <t>indeed</t>
        </is>
      </c>
      <c r="E64" t="inlineStr"/>
      <c r="F64" t="inlineStr"/>
      <c r="G64" t="inlineStr">
        <is>
          <t>Seattle, WA, US</t>
        </is>
      </c>
      <c r="H64" s="2" t="n">
        <v>45915</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in-b8a98cd5cda82d01</t>
        </is>
      </c>
      <c r="B65" t="inlineStr">
        <is>
          <t>Sr. Applied Scientist, Prime Video - Personalization and Discovery Science</t>
        </is>
      </c>
      <c r="C65" t="inlineStr">
        <is>
          <t>Amazon.com</t>
        </is>
      </c>
      <c r="D65" t="inlineStr">
        <is>
          <t>indeed</t>
        </is>
      </c>
      <c r="E65" t="inlineStr"/>
      <c r="F65" t="inlineStr"/>
      <c r="G65" t="inlineStr">
        <is>
          <t>Seattle, WA, US</t>
        </is>
      </c>
      <c r="H65" s="2" t="n">
        <v>45914</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in-e1c8a5cc19ce022b</t>
        </is>
      </c>
      <c r="B66" t="inlineStr">
        <is>
          <t>Sr. Applied Scientist, Prime Video - Personalization and Discovery Science</t>
        </is>
      </c>
      <c r="C66" t="inlineStr">
        <is>
          <t>Amazon.com</t>
        </is>
      </c>
      <c r="D66" t="inlineStr">
        <is>
          <t>indeed</t>
        </is>
      </c>
      <c r="E66" t="inlineStr"/>
      <c r="F66" t="inlineStr"/>
      <c r="G66" t="inlineStr">
        <is>
          <t>New York, NY, US</t>
        </is>
      </c>
      <c r="H66" s="2" t="n">
        <v>45914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in-c6f07f478f7c95b3</t>
        </is>
      </c>
      <c r="B67" t="inlineStr">
        <is>
          <t>Sr. Applied Scientist, Prime Video - Personalization and Discovery Science</t>
        </is>
      </c>
      <c r="C67" t="inlineStr">
        <is>
          <t>Amazon.com</t>
        </is>
      </c>
      <c r="D67" t="inlineStr">
        <is>
          <t>indeed</t>
        </is>
      </c>
      <c r="E67" t="inlineStr"/>
      <c r="F67" t="inlineStr"/>
      <c r="G67" t="inlineStr">
        <is>
          <t>Sunnyvale, CA, US</t>
        </is>
      </c>
      <c r="H67" s="2" t="n">
        <v>45914</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in-dbff748286f52014</t>
        </is>
      </c>
      <c r="B68" t="inlineStr">
        <is>
          <t>Senior Applied Scientist, Model Customization, Generative AI Innovation Center</t>
        </is>
      </c>
      <c r="C68" t="inlineStr">
        <is>
          <t>Amazon Web Services</t>
        </is>
      </c>
      <c r="D68" t="inlineStr">
        <is>
          <t>indeed</t>
        </is>
      </c>
      <c r="E68" t="inlineStr"/>
      <c r="F68" t="inlineStr"/>
      <c r="G68" t="inlineStr">
        <is>
          <t>Arlington, VA, US</t>
        </is>
      </c>
      <c r="H68" s="2" t="n">
        <v>45908</v>
      </c>
      <c r="I6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in-8855dcb5c548468b</t>
        </is>
      </c>
      <c r="B69" t="inlineStr">
        <is>
          <t>Senior Applied Scientist, Model Customization, Generative AI Innovation Center</t>
        </is>
      </c>
      <c r="C69" t="inlineStr">
        <is>
          <t>Amazon Web Services</t>
        </is>
      </c>
      <c r="D69" t="inlineStr">
        <is>
          <t>indeed</t>
        </is>
      </c>
      <c r="E69" t="inlineStr"/>
      <c r="F69" t="inlineStr"/>
      <c r="G69" t="inlineStr">
        <is>
          <t>Bellevue, WA, US</t>
        </is>
      </c>
      <c r="H69" s="2" t="n">
        <v>45908</v>
      </c>
      <c r="I6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in-129118f62cdc54b1</t>
        </is>
      </c>
      <c r="B70" t="inlineStr">
        <is>
          <t>Senior Applied Scientist, Model Customization, Generative AI Innovation Center</t>
        </is>
      </c>
      <c r="C70" t="inlineStr">
        <is>
          <t>Amazon Web Services</t>
        </is>
      </c>
      <c r="D70" t="inlineStr">
        <is>
          <t>indeed</t>
        </is>
      </c>
      <c r="E70" t="inlineStr"/>
      <c r="F70" t="inlineStr"/>
      <c r="G70" t="inlineStr">
        <is>
          <t>Seattle, WA, US</t>
        </is>
      </c>
      <c r="H70" s="2" t="n">
        <v>45908</v>
      </c>
      <c r="I7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in-65506f5219fde03a</t>
        </is>
      </c>
      <c r="B71" t="inlineStr">
        <is>
          <t>Senior Applied Scientist, Model Customization, Generative AI Innovation Center</t>
        </is>
      </c>
      <c r="C71" t="inlineStr">
        <is>
          <t>Amazon Web Services</t>
        </is>
      </c>
      <c r="D71" t="inlineStr">
        <is>
          <t>indeed</t>
        </is>
      </c>
      <c r="E71" t="inlineStr"/>
      <c r="F71" t="inlineStr"/>
      <c r="G71" t="inlineStr">
        <is>
          <t>New York, NY, US</t>
        </is>
      </c>
      <c r="H71" s="2" t="n">
        <v>45908</v>
      </c>
      <c r="I7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in-b02f5f7beaee479f</t>
        </is>
      </c>
      <c r="B72" t="inlineStr">
        <is>
          <t>Senior Applied Scientist, Artificial General Intelligence</t>
        </is>
      </c>
      <c r="C72" t="inlineStr">
        <is>
          <t>Amazon.com</t>
        </is>
      </c>
      <c r="D72" t="inlineStr">
        <is>
          <t>indeed</t>
        </is>
      </c>
      <c r="E72" t="inlineStr"/>
      <c r="F72" t="inlineStr"/>
      <c r="G72" t="inlineStr">
        <is>
          <t>Bellevue, WA, US</t>
        </is>
      </c>
      <c r="H72" s="2" t="n">
        <v>45907</v>
      </c>
      <c r="I7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in-ad563f0b3b3271dc</t>
        </is>
      </c>
      <c r="B73" t="inlineStr">
        <is>
          <t>Senior Applied Scientist, Artificial General Intelligence</t>
        </is>
      </c>
      <c r="C73" t="inlineStr">
        <is>
          <t>Amazon.com</t>
        </is>
      </c>
      <c r="D73" t="inlineStr">
        <is>
          <t>indeed</t>
        </is>
      </c>
      <c r="E73" t="inlineStr"/>
      <c r="F73" t="inlineStr"/>
      <c r="G73" t="inlineStr">
        <is>
          <t>New York, NY, US</t>
        </is>
      </c>
      <c r="H73" s="2" t="n">
        <v>45907</v>
      </c>
      <c r="I7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in-378929f4fe84aa20</t>
        </is>
      </c>
      <c r="B74" t="inlineStr">
        <is>
          <t>Senior Applied Scientist, Artificial General Intelligence</t>
        </is>
      </c>
      <c r="C74" t="inlineStr">
        <is>
          <t>Amazon.com</t>
        </is>
      </c>
      <c r="D74" t="inlineStr">
        <is>
          <t>indeed</t>
        </is>
      </c>
      <c r="E74" t="inlineStr"/>
      <c r="F74" t="inlineStr"/>
      <c r="G74" t="inlineStr">
        <is>
          <t>Sunnyvale, CA, US</t>
        </is>
      </c>
      <c r="H74" s="2" t="n">
        <v>45907</v>
      </c>
      <c r="I7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in-53e4e8cb6e128e4c</t>
        </is>
      </c>
      <c r="B75" t="inlineStr">
        <is>
          <t>Senior Applied Scientist, Artificial General Intelligence</t>
        </is>
      </c>
      <c r="C75" t="inlineStr">
        <is>
          <t>Amazon.com</t>
        </is>
      </c>
      <c r="D75" t="inlineStr">
        <is>
          <t>indeed</t>
        </is>
      </c>
      <c r="E75" t="inlineStr"/>
      <c r="F75" t="inlineStr"/>
      <c r="G75" t="inlineStr">
        <is>
          <t>Seattle, WA, US</t>
        </is>
      </c>
      <c r="H75" s="2" t="n">
        <v>45907</v>
      </c>
      <c r="I7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in-4922032fb15d5eb2</t>
        </is>
      </c>
      <c r="B76" t="inlineStr">
        <is>
          <t>Senior Applied Scientist, Artificial General Intelligence</t>
        </is>
      </c>
      <c r="C76" t="inlineStr">
        <is>
          <t>Amazon.com</t>
        </is>
      </c>
      <c r="D76" t="inlineStr">
        <is>
          <t>indeed</t>
        </is>
      </c>
      <c r="E76" t="inlineStr"/>
      <c r="F76" t="inlineStr"/>
      <c r="G76" t="inlineStr">
        <is>
          <t>Cambridge, MA, US</t>
        </is>
      </c>
      <c r="H76" s="2" t="n">
        <v>45907</v>
      </c>
      <c r="I7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in-73d833caa99a9e75</t>
        </is>
      </c>
      <c r="B77" t="inlineStr">
        <is>
          <t>Senior Applied Scientist, Artificial General Intelligence</t>
        </is>
      </c>
      <c r="C77" t="inlineStr">
        <is>
          <t>Amazon.com</t>
        </is>
      </c>
      <c r="D77" t="inlineStr">
        <is>
          <t>indeed</t>
        </is>
      </c>
      <c r="E77" t="inlineStr"/>
      <c r="F77" t="inlineStr"/>
      <c r="G77" t="inlineStr">
        <is>
          <t>Sunnyvale, CA, US</t>
        </is>
      </c>
      <c r="H77" s="2" t="n">
        <v>45907</v>
      </c>
      <c r="I7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in-7cf0824ac326f08d</t>
        </is>
      </c>
      <c r="B78" t="inlineStr">
        <is>
          <t>Senior Applied Scientist, Artificial General Intelligence</t>
        </is>
      </c>
      <c r="C78" t="inlineStr">
        <is>
          <t>Amazon.com</t>
        </is>
      </c>
      <c r="D78" t="inlineStr">
        <is>
          <t>indeed</t>
        </is>
      </c>
      <c r="E78" t="inlineStr"/>
      <c r="F78" t="inlineStr"/>
      <c r="G78" t="inlineStr">
        <is>
          <t>Bellevue, WA, US</t>
        </is>
      </c>
      <c r="H78" s="2" t="n">
        <v>45907</v>
      </c>
      <c r="I7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in-61cc79fa5111b68b</t>
        </is>
      </c>
      <c r="B79" t="inlineStr">
        <is>
          <t>Senior Applied Scientist, Artificial General Intelligence</t>
        </is>
      </c>
      <c r="C79" t="inlineStr">
        <is>
          <t>Amazon.com</t>
        </is>
      </c>
      <c r="D79" t="inlineStr">
        <is>
          <t>indeed</t>
        </is>
      </c>
      <c r="E79" t="inlineStr"/>
      <c r="F79" t="inlineStr"/>
      <c r="G79" t="inlineStr">
        <is>
          <t>New York, NY, US</t>
        </is>
      </c>
      <c r="H79" s="2" t="n">
        <v>45907</v>
      </c>
      <c r="I7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in-7d16ec8ff5b16bb6</t>
        </is>
      </c>
      <c r="B80" t="inlineStr">
        <is>
          <t>Sr. Applied Scientist, Prime Video - Personalization and Discovery Science</t>
        </is>
      </c>
      <c r="C80" t="inlineStr">
        <is>
          <t>Amazon.com</t>
        </is>
      </c>
      <c r="D80" t="inlineStr">
        <is>
          <t>indeed</t>
        </is>
      </c>
      <c r="E80" t="inlineStr"/>
      <c r="F80" t="inlineStr"/>
      <c r="G80" t="inlineStr">
        <is>
          <t>New York, NY, US</t>
        </is>
      </c>
      <c r="H80" s="2" t="n">
        <v>45896</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in-118b5050faf05648</t>
        </is>
      </c>
      <c r="B81" t="inlineStr">
        <is>
          <t>Sr. Applied Scientist, Prime Video - Personalization and Discovery Science</t>
        </is>
      </c>
      <c r="C81" t="inlineStr">
        <is>
          <t>Amazon.com</t>
        </is>
      </c>
      <c r="D81" t="inlineStr">
        <is>
          <t>indeed</t>
        </is>
      </c>
      <c r="E81" t="inlineStr"/>
      <c r="F81" t="inlineStr"/>
      <c r="G81" t="inlineStr">
        <is>
          <t>Seattle, WA, US</t>
        </is>
      </c>
      <c r="H81" s="2" t="n">
        <v>45896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in-3c1b11113cc6304e</t>
        </is>
      </c>
      <c r="B82" t="inlineStr">
        <is>
          <t>Sr. Applied Scientist, Prime Video - Personalization and Discovery Science</t>
        </is>
      </c>
      <c r="C82" t="inlineStr">
        <is>
          <t>Amazon.com</t>
        </is>
      </c>
      <c r="D82" t="inlineStr">
        <is>
          <t>indeed</t>
        </is>
      </c>
      <c r="E82" t="inlineStr"/>
      <c r="F82" t="inlineStr"/>
      <c r="G82" t="inlineStr">
        <is>
          <t>Sunnyvale, CA, US</t>
        </is>
      </c>
      <c r="H82" s="2" t="n">
        <v>45896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in-d1da7f4cdca582a1</t>
        </is>
      </c>
      <c r="B83" t="inlineStr">
        <is>
          <t>Sr. Applied Scientist, Recommendations and Search</t>
        </is>
      </c>
      <c r="C83" t="inlineStr">
        <is>
          <t>Amazon.com</t>
        </is>
      </c>
      <c r="D83" t="inlineStr">
        <is>
          <t>indeed</t>
        </is>
      </c>
      <c r="E83" t="inlineStr"/>
      <c r="F83" t="inlineStr"/>
      <c r="G83" t="inlineStr">
        <is>
          <t>New York, NY, US</t>
        </is>
      </c>
      <c r="H83" s="2" t="n">
        <v>45888</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in-9cec69ae5983864f</t>
        </is>
      </c>
      <c r="B84" t="inlineStr">
        <is>
          <t>Sr. Applied Scientist, Recommendations and Search</t>
        </is>
      </c>
      <c r="C84" t="inlineStr">
        <is>
          <t>Amazon.com</t>
        </is>
      </c>
      <c r="D84" t="inlineStr">
        <is>
          <t>indeed</t>
        </is>
      </c>
      <c r="E84" t="inlineStr"/>
      <c r="F84" t="inlineStr"/>
      <c r="G84" t="inlineStr">
        <is>
          <t>Sunnyvale, CA, US</t>
        </is>
      </c>
      <c r="H84" s="2" t="n">
        <v>45888</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in-12cb2573c5507b53</t>
        </is>
      </c>
      <c r="B85" t="inlineStr">
        <is>
          <t>Sr. Applied Scientist, Recommendations and Search</t>
        </is>
      </c>
      <c r="C85" t="inlineStr">
        <is>
          <t>Amazon.com</t>
        </is>
      </c>
      <c r="D85" t="inlineStr">
        <is>
          <t>indeed</t>
        </is>
      </c>
      <c r="E85" t="inlineStr"/>
      <c r="F85" t="inlineStr"/>
      <c r="G85" t="inlineStr">
        <is>
          <t>Seattle, WA, US</t>
        </is>
      </c>
      <c r="H85" s="2" t="n">
        <v>45888</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in-b47e0bc1d2a2521c</t>
        </is>
      </c>
      <c r="B86" t="inlineStr">
        <is>
          <t>Sr. Applied Scientist, Prime Video - Personalization and Discovery Science</t>
        </is>
      </c>
      <c r="C86" t="inlineStr">
        <is>
          <t>Amazon.com</t>
        </is>
      </c>
      <c r="D86" t="inlineStr">
        <is>
          <t>indeed</t>
        </is>
      </c>
      <c r="E86" t="inlineStr"/>
      <c r="F86" t="inlineStr"/>
      <c r="G86" t="inlineStr">
        <is>
          <t>New York, NY, US</t>
        </is>
      </c>
      <c r="H86" s="2" t="n">
        <v>45886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in-0ec868ce44166693</t>
        </is>
      </c>
      <c r="B87" t="inlineStr">
        <is>
          <t>Applied Scientist II, Prime Video - Personalization and Discovery Science, Personalization and Discovery Science</t>
        </is>
      </c>
      <c r="C87" t="inlineStr">
        <is>
          <t>Amazon.com</t>
        </is>
      </c>
      <c r="D87" t="inlineStr">
        <is>
          <t>indeed</t>
        </is>
      </c>
      <c r="E87" t="inlineStr"/>
      <c r="F87" t="inlineStr"/>
      <c r="G87" t="inlineStr">
        <is>
          <t>Sunnyvale, CA, US</t>
        </is>
      </c>
      <c r="H87" s="2" t="n">
        <v>45886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in-a8c89ad6786eba5f</t>
        </is>
      </c>
      <c r="B88" t="inlineStr">
        <is>
          <t>Applied Scientist II, Prime Video - Personalization and Discovery Science, Personalization and Discovery Science</t>
        </is>
      </c>
      <c r="C88" t="inlineStr">
        <is>
          <t>Amazon.com</t>
        </is>
      </c>
      <c r="D88" t="inlineStr">
        <is>
          <t>indeed</t>
        </is>
      </c>
      <c r="E88" t="inlineStr"/>
      <c r="F88" t="inlineStr"/>
      <c r="G88" t="inlineStr">
        <is>
          <t>New York, NY, US</t>
        </is>
      </c>
      <c r="H88" s="2" t="n">
        <v>45886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in-dc423a3de9394446</t>
        </is>
      </c>
      <c r="B89" t="inlineStr">
        <is>
          <t>Sr. Applied Scientist, Prime Video - Personalization and Discovery Science</t>
        </is>
      </c>
      <c r="C89" t="inlineStr">
        <is>
          <t>Amazon.com</t>
        </is>
      </c>
      <c r="D89" t="inlineStr">
        <is>
          <t>indeed</t>
        </is>
      </c>
      <c r="E89" t="inlineStr"/>
      <c r="F89" t="inlineStr"/>
      <c r="G89" t="inlineStr">
        <is>
          <t>Sunnyvale, CA, US</t>
        </is>
      </c>
      <c r="H89" s="2" t="n">
        <v>45886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in-6addace1f0c04179</t>
        </is>
      </c>
      <c r="B90" t="inlineStr">
        <is>
          <t>Applied Scientist II, Prime Video - Personalization and Discovery Science, Personalization and Discovery Science</t>
        </is>
      </c>
      <c r="C90" t="inlineStr">
        <is>
          <t>Amazon.com</t>
        </is>
      </c>
      <c r="D90" t="inlineStr">
        <is>
          <t>indeed</t>
        </is>
      </c>
      <c r="E90" t="inlineStr"/>
      <c r="F90" t="inlineStr"/>
      <c r="G90" t="inlineStr">
        <is>
          <t>Seattle, WA, US</t>
        </is>
      </c>
      <c r="H90" s="2"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in-4aebc6c2416aeb30</t>
        </is>
      </c>
      <c r="B91" t="inlineStr">
        <is>
          <t>Sr. Applied Scientist, Prime Video - Personalization and Discovery Science</t>
        </is>
      </c>
      <c r="C91" t="inlineStr">
        <is>
          <t>Amazon.com</t>
        </is>
      </c>
      <c r="D91" t="inlineStr">
        <is>
          <t>indeed</t>
        </is>
      </c>
      <c r="E91" t="inlineStr"/>
      <c r="F91" t="inlineStr"/>
      <c r="G91" t="inlineStr">
        <is>
          <t>Seattle, WA, US</t>
        </is>
      </c>
      <c r="H91" s="2" t="n">
        <v>45886</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in-4c9a720f669763a6</t>
        </is>
      </c>
      <c r="B92" t="inlineStr">
        <is>
          <t>Sr. Applied Scientist, Prime Video - Personalization and Discovery Science</t>
        </is>
      </c>
      <c r="C92" t="inlineStr">
        <is>
          <t>Amazon.com</t>
        </is>
      </c>
      <c r="D92" t="inlineStr">
        <is>
          <t>indeed</t>
        </is>
      </c>
      <c r="E92" t="inlineStr"/>
      <c r="F92" t="inlineStr"/>
      <c r="G92" t="inlineStr">
        <is>
          <t>New York, NY, US</t>
        </is>
      </c>
      <c r="H92" s="2" t="n">
        <v>45883</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in-93263108ef04734a</t>
        </is>
      </c>
      <c r="B93" t="inlineStr">
        <is>
          <t>Sr. Applied Scientist, Prime Video - Personalization and Discovery Science</t>
        </is>
      </c>
      <c r="C93" t="inlineStr">
        <is>
          <t>Amazon.com</t>
        </is>
      </c>
      <c r="D93" t="inlineStr">
        <is>
          <t>indeed</t>
        </is>
      </c>
      <c r="E93" t="inlineStr"/>
      <c r="F93" t="inlineStr"/>
      <c r="G93" t="inlineStr">
        <is>
          <t>Sunnyvale, CA, US</t>
        </is>
      </c>
      <c r="H93" s="2" t="n">
        <v>45883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in-94f2b9cd6641e382</t>
        </is>
      </c>
      <c r="B94" t="inlineStr">
        <is>
          <t>Sr. Applied Scientist, Prime Video - Personalization and Discovery Science</t>
        </is>
      </c>
      <c r="C94" t="inlineStr">
        <is>
          <t>Amazon.com</t>
        </is>
      </c>
      <c r="D94" t="inlineStr">
        <is>
          <t>indeed</t>
        </is>
      </c>
      <c r="E94" t="inlineStr"/>
      <c r="F94" t="inlineStr"/>
      <c r="G94" t="inlineStr">
        <is>
          <t>Seattle, WA, US</t>
        </is>
      </c>
      <c r="H94" s="2" t="n">
        <v>45883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in-4553a958254f8d06</t>
        </is>
      </c>
      <c r="B95" t="inlineStr">
        <is>
          <t>Applied Scientist II, Prime Video - Personalization and Discovery Science</t>
        </is>
      </c>
      <c r="C95" t="inlineStr">
        <is>
          <t>Amazon.com</t>
        </is>
      </c>
      <c r="D95" t="inlineStr">
        <is>
          <t>indeed</t>
        </is>
      </c>
      <c r="E95" t="inlineStr"/>
      <c r="F95" t="inlineStr"/>
      <c r="G95" t="inlineStr">
        <is>
          <t>Seattle, WA, US</t>
        </is>
      </c>
      <c r="H95" s="2" t="n">
        <v>45883</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in-d4afb030c0e54c44</t>
        </is>
      </c>
      <c r="B96" t="inlineStr">
        <is>
          <t>Applied Scientist II, Prime Video - Personalization and Discovery Science</t>
        </is>
      </c>
      <c r="C96" t="inlineStr">
        <is>
          <t>Amazon.com</t>
        </is>
      </c>
      <c r="D96" t="inlineStr">
        <is>
          <t>indeed</t>
        </is>
      </c>
      <c r="E96" t="inlineStr"/>
      <c r="F96" t="inlineStr"/>
      <c r="G96" t="inlineStr">
        <is>
          <t>New York, NY, US</t>
        </is>
      </c>
      <c r="H96" s="2" t="n">
        <v>45883</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in-abe4aeab723b8e41</t>
        </is>
      </c>
      <c r="B97" t="inlineStr">
        <is>
          <t>Applied Scientist II, Prime Video - Personalization and Discovery Science</t>
        </is>
      </c>
      <c r="C97" t="inlineStr">
        <is>
          <t>Amazon.com</t>
        </is>
      </c>
      <c r="D97" t="inlineStr">
        <is>
          <t>indeed</t>
        </is>
      </c>
      <c r="E97" t="inlineStr"/>
      <c r="F97" t="inlineStr"/>
      <c r="G97" t="inlineStr">
        <is>
          <t>Sunnyvale, CA, US</t>
        </is>
      </c>
      <c r="H97" s="2" t="n">
        <v>45883</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in-3d58350541d08790</t>
        </is>
      </c>
      <c r="B98" t="inlineStr">
        <is>
          <t>Sr. Applied Scientist, Prime Video - Personalization and Discovery Science</t>
        </is>
      </c>
      <c r="C98" t="inlineStr">
        <is>
          <t>Amazon.com</t>
        </is>
      </c>
      <c r="D98" t="inlineStr">
        <is>
          <t>indeed</t>
        </is>
      </c>
      <c r="E98" t="inlineStr"/>
      <c r="F98" t="inlineStr"/>
      <c r="G98" t="inlineStr">
        <is>
          <t>Sunnyvale, CA, US</t>
        </is>
      </c>
      <c r="H98" s="2" t="n">
        <v>45881</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in-4e14debebff85a5f</t>
        </is>
      </c>
      <c r="B99" t="inlineStr">
        <is>
          <t>Sr. Applied Scientist, Prime Video - Personalization and Discovery Science</t>
        </is>
      </c>
      <c r="C99" t="inlineStr">
        <is>
          <t>Amazon.com</t>
        </is>
      </c>
      <c r="D99" t="inlineStr">
        <is>
          <t>indeed</t>
        </is>
      </c>
      <c r="E99" t="inlineStr"/>
      <c r="F99" t="inlineStr"/>
      <c r="G99" t="inlineStr">
        <is>
          <t>New York, NY, US</t>
        </is>
      </c>
      <c r="H99" s="2" t="n">
        <v>45881</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in-3cb78e3f70ab1d2c</t>
        </is>
      </c>
      <c r="B100" t="inlineStr">
        <is>
          <t>Sr. Applied Scientist, Prime Video - Personalization and Discovery Science</t>
        </is>
      </c>
      <c r="C100" t="inlineStr">
        <is>
          <t>Amazon.com</t>
        </is>
      </c>
      <c r="D100" t="inlineStr">
        <is>
          <t>indeed</t>
        </is>
      </c>
      <c r="E100" t="inlineStr"/>
      <c r="F100" t="inlineStr"/>
      <c r="G100" t="inlineStr">
        <is>
          <t>Seattle, WA, US</t>
        </is>
      </c>
      <c r="H100" s="2" t="n">
        <v>45881</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in-1ddaf0ddcc02ba7d</t>
        </is>
      </c>
      <c r="B101" t="inlineStr">
        <is>
          <t>Applied Scientist II, Prime Video - Personalization and Discovery Science</t>
        </is>
      </c>
      <c r="C101" t="inlineStr">
        <is>
          <t>Amazon.com</t>
        </is>
      </c>
      <c r="D101" t="inlineStr">
        <is>
          <t>indeed</t>
        </is>
      </c>
      <c r="E101" t="inlineStr"/>
      <c r="F101" t="inlineStr"/>
      <c r="G101" t="inlineStr">
        <is>
          <t>New York, NY, US</t>
        </is>
      </c>
      <c r="H101" s="2" t="n">
        <v>45881</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in-6795f1f5ceb21a22</t>
        </is>
      </c>
      <c r="B102" t="inlineStr">
        <is>
          <t>Applied Scientist II, Prime Video - Personalization and Discovery Science</t>
        </is>
      </c>
      <c r="C102" t="inlineStr">
        <is>
          <t>Amazon.com</t>
        </is>
      </c>
      <c r="D102" t="inlineStr">
        <is>
          <t>indeed</t>
        </is>
      </c>
      <c r="E102" t="inlineStr"/>
      <c r="F102" t="inlineStr"/>
      <c r="G102" t="inlineStr">
        <is>
          <t>Seattle, WA, US</t>
        </is>
      </c>
      <c r="H102" s="2" t="n">
        <v>45881</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in-f94045fa5708495c</t>
        </is>
      </c>
      <c r="B103" t="inlineStr">
        <is>
          <t>Applied Scientist II, Prime Video - Personalization and Discovery Science</t>
        </is>
      </c>
      <c r="C103" t="inlineStr">
        <is>
          <t>Amazon.com</t>
        </is>
      </c>
      <c r="D103" t="inlineStr">
        <is>
          <t>indeed</t>
        </is>
      </c>
      <c r="E103" t="inlineStr"/>
      <c r="F103" t="inlineStr"/>
      <c r="G103" t="inlineStr">
        <is>
          <t>Sunnyvale, CA, US</t>
        </is>
      </c>
      <c r="H103" s="2" t="n">
        <v>45881</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in-c813d40cb07f1c30</t>
        </is>
      </c>
      <c r="B104" t="inlineStr">
        <is>
          <t>Senior Data Scientist, Data and Machine Learning, WWPS US Federal</t>
        </is>
      </c>
      <c r="C104" t="inlineStr">
        <is>
          <t>Amazon Web Services</t>
        </is>
      </c>
      <c r="D104" t="inlineStr">
        <is>
          <t>indeed</t>
        </is>
      </c>
      <c r="E104" t="inlineStr"/>
      <c r="F104" t="inlineStr"/>
      <c r="G104" t="inlineStr">
        <is>
          <t>Arlington, VA, US</t>
        </is>
      </c>
      <c r="H104" s="2" t="n">
        <v>45872</v>
      </c>
      <c r="I10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in-107c317fd9926359</t>
        </is>
      </c>
      <c r="B105" t="inlineStr">
        <is>
          <t>Senior Data Scientist, Data and Machine Learning, WWPS US Federal</t>
        </is>
      </c>
      <c r="C105" t="inlineStr">
        <is>
          <t>Amazon Web Services</t>
        </is>
      </c>
      <c r="D105" t="inlineStr">
        <is>
          <t>indeed</t>
        </is>
      </c>
      <c r="E105" t="inlineStr"/>
      <c r="F105" t="inlineStr"/>
      <c r="G105" t="inlineStr">
        <is>
          <t>Herndon, VA, US</t>
        </is>
      </c>
      <c r="H105" s="2" t="n">
        <v>45872</v>
      </c>
      <c r="I10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in-57c39afc2fd5ac90</t>
        </is>
      </c>
      <c r="B106" t="inlineStr">
        <is>
          <t>Senior Data Scientist, Data and Machine Learning, WWPS US Federal</t>
        </is>
      </c>
      <c r="C106" t="inlineStr">
        <is>
          <t>Amazon Web Services</t>
        </is>
      </c>
      <c r="D106" t="inlineStr">
        <is>
          <t>indeed</t>
        </is>
      </c>
      <c r="E106" t="inlineStr"/>
      <c r="F106" t="inlineStr"/>
      <c r="G106" t="inlineStr">
        <is>
          <t>Jessup, MD, US</t>
        </is>
      </c>
      <c r="H106" s="2" t="n">
        <v>45872</v>
      </c>
      <c r="I10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in-498492dae9420523</t>
        </is>
      </c>
      <c r="B107" t="inlineStr">
        <is>
          <t>Applied Scientist II, Prime Video Personalization and Discovery Science</t>
        </is>
      </c>
      <c r="C107" t="inlineStr">
        <is>
          <t>Amazon.com</t>
        </is>
      </c>
      <c r="D107" t="inlineStr">
        <is>
          <t>indeed</t>
        </is>
      </c>
      <c r="E107" t="inlineStr"/>
      <c r="F107" t="inlineStr"/>
      <c r="G107" t="inlineStr">
        <is>
          <t>Seattle, WA, US</t>
        </is>
      </c>
      <c r="H107" s="2" t="n">
        <v>45859</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in-16fe0c19acd7782f</t>
        </is>
      </c>
      <c r="B108" t="inlineStr">
        <is>
          <t>Applied Scientist II, Prime Video Personalization and Discovery Science</t>
        </is>
      </c>
      <c r="C108" t="inlineStr">
        <is>
          <t>Amazon.com</t>
        </is>
      </c>
      <c r="D108" t="inlineStr">
        <is>
          <t>indeed</t>
        </is>
      </c>
      <c r="E108" t="inlineStr"/>
      <c r="F108" t="inlineStr"/>
      <c r="G108" t="inlineStr">
        <is>
          <t>Sunnyvale, CA, US</t>
        </is>
      </c>
      <c r="H108" s="2" t="n">
        <v>45859</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in-e1f681d8c4b55b23</t>
        </is>
      </c>
      <c r="B109" t="inlineStr">
        <is>
          <t>Applied Scientist II, Prime Video Personalization and Discovery Science</t>
        </is>
      </c>
      <c r="C109" t="inlineStr">
        <is>
          <t>Amazon.com</t>
        </is>
      </c>
      <c r="D109" t="inlineStr">
        <is>
          <t>indeed</t>
        </is>
      </c>
      <c r="E109" t="inlineStr"/>
      <c r="F109" t="inlineStr"/>
      <c r="G109" t="inlineStr">
        <is>
          <t>New York, NY, US</t>
        </is>
      </c>
      <c r="H109" s="2" t="n">
        <v>45859</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in-4d26434e7bd579c0</t>
        </is>
      </c>
      <c r="B110" t="inlineStr">
        <is>
          <t>Principal Applied Scientist, AGI Foundations, AGI Foundations</t>
        </is>
      </c>
      <c r="C110" t="inlineStr">
        <is>
          <t>Amazon.com</t>
        </is>
      </c>
      <c r="D110" t="inlineStr">
        <is>
          <t>indeed</t>
        </is>
      </c>
      <c r="E110" t="inlineStr"/>
      <c r="F110" t="inlineStr"/>
      <c r="G110" t="inlineStr">
        <is>
          <t>Sunnyvale, CA,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in-23a9ce21c27af986</t>
        </is>
      </c>
      <c r="B111" t="inlineStr">
        <is>
          <t>Principal Applied Scientist, AGI Foundations, AGI Foundations</t>
        </is>
      </c>
      <c r="C111" t="inlineStr">
        <is>
          <t>Amazon.com</t>
        </is>
      </c>
      <c r="D111" t="inlineStr">
        <is>
          <t>indeed</t>
        </is>
      </c>
      <c r="E111" t="inlineStr"/>
      <c r="F111" t="inlineStr"/>
      <c r="G111" t="inlineStr">
        <is>
          <t>Boston, MA, US</t>
        </is>
      </c>
      <c r="H111" s="2" t="n">
        <v>45856</v>
      </c>
      <c r="I1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in-5179c7a44bff9610</t>
        </is>
      </c>
      <c r="B112" t="inlineStr">
        <is>
          <t>Principal Applied Scientist, AGI Foundations, AGI Foundations</t>
        </is>
      </c>
      <c r="C112" t="inlineStr">
        <is>
          <t>Amazon.com</t>
        </is>
      </c>
      <c r="D112" t="inlineStr">
        <is>
          <t>indeed</t>
        </is>
      </c>
      <c r="E112" t="inlineStr"/>
      <c r="F112" t="inlineStr"/>
      <c r="G112" t="inlineStr">
        <is>
          <t>New York, NY, US</t>
        </is>
      </c>
      <c r="H112" s="2"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in-7ffe06b1da27018f</t>
        </is>
      </c>
      <c r="B113" t="inlineStr">
        <is>
          <t>Principal Applied Scientist, AGI Foundations, AGI Foundations</t>
        </is>
      </c>
      <c r="C113" t="inlineStr">
        <is>
          <t>Amazon.com</t>
        </is>
      </c>
      <c r="D113" t="inlineStr">
        <is>
          <t>indeed</t>
        </is>
      </c>
      <c r="E113" t="inlineStr"/>
      <c r="F113" t="inlineStr"/>
      <c r="G113" t="inlineStr">
        <is>
          <t>Bellevue, WA, US</t>
        </is>
      </c>
      <c r="H113" s="2" t="n">
        <v>45856</v>
      </c>
      <c r="I11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in-11f19b59c683c28c</t>
        </is>
      </c>
      <c r="B114" t="inlineStr">
        <is>
          <t>Sr. Applied Scientist, Amazon Advertising</t>
        </is>
      </c>
      <c r="C114" t="inlineStr">
        <is>
          <t>Amazon.com</t>
        </is>
      </c>
      <c r="D114" t="inlineStr">
        <is>
          <t>indeed</t>
        </is>
      </c>
      <c r="E114" t="inlineStr"/>
      <c r="F114" t="inlineStr"/>
      <c r="G114" t="inlineStr">
        <is>
          <t>New York, NY,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in-7ab9d6df073c4355</t>
        </is>
      </c>
      <c r="B115" t="inlineStr">
        <is>
          <t>Sr. Applied Scientist, Amazon Advertising</t>
        </is>
      </c>
      <c r="C115" t="inlineStr">
        <is>
          <t>Amazon.com</t>
        </is>
      </c>
      <c r="D115" t="inlineStr">
        <is>
          <t>indeed</t>
        </is>
      </c>
      <c r="E115" t="inlineStr"/>
      <c r="F115" t="inlineStr"/>
      <c r="G115" t="inlineStr">
        <is>
          <t>Arlington, VA,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in-02143f47c0e06702</t>
        </is>
      </c>
      <c r="B116" t="inlineStr">
        <is>
          <t>Sr. Applied Scientist, Amazon Advertising</t>
        </is>
      </c>
      <c r="C116" t="inlineStr">
        <is>
          <t>Amazon.com</t>
        </is>
      </c>
      <c r="D116" t="inlineStr">
        <is>
          <t>indeed</t>
        </is>
      </c>
      <c r="E116" t="inlineStr"/>
      <c r="F116" t="inlineStr"/>
      <c r="G116" t="inlineStr">
        <is>
          <t>Seattle, WA,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in-2496f990091a31e4</t>
        </is>
      </c>
      <c r="B117" t="inlineStr">
        <is>
          <t>Sr. Applied Scientist, Amazon Advertising</t>
        </is>
      </c>
      <c r="C117" t="inlineStr">
        <is>
          <t>Amazon.com</t>
        </is>
      </c>
      <c r="D117" t="inlineStr">
        <is>
          <t>indeed</t>
        </is>
      </c>
      <c r="E117" t="inlineStr"/>
      <c r="F117" t="inlineStr"/>
      <c r="G117" t="inlineStr">
        <is>
          <t>Simi Valley, CA,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in-d9b94cda2f5dc9db</t>
        </is>
      </c>
      <c r="B118" t="inlineStr">
        <is>
          <t>Sr. Applied Scientist, Amazon Advertising</t>
        </is>
      </c>
      <c r="C118" t="inlineStr">
        <is>
          <t>Amazon.com</t>
        </is>
      </c>
      <c r="D118" t="inlineStr">
        <is>
          <t>indeed</t>
        </is>
      </c>
      <c r="E118" t="inlineStr"/>
      <c r="F118" t="inlineStr"/>
      <c r="G118" t="inlineStr">
        <is>
          <t>Austin, TX,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in-a71664fe3e71f709</t>
        </is>
      </c>
      <c r="B119" t="inlineStr">
        <is>
          <t>Sr. Applied Scientist, Amazon Advertising</t>
        </is>
      </c>
      <c r="C119" t="inlineStr">
        <is>
          <t>Amazon.com</t>
        </is>
      </c>
      <c r="D119" t="inlineStr">
        <is>
          <t>indeed</t>
        </is>
      </c>
      <c r="E119" t="inlineStr"/>
      <c r="F119" t="inlineStr"/>
      <c r="G119" t="inlineStr">
        <is>
          <t>Los Angeles, CA,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in-323799f5ed3761f5</t>
        </is>
      </c>
      <c r="B120" t="inlineStr">
        <is>
          <t>Sr. Applied Scientist, Amazon Advertising</t>
        </is>
      </c>
      <c r="C120" t="inlineStr">
        <is>
          <t>Amazon.com</t>
        </is>
      </c>
      <c r="D120" t="inlineStr">
        <is>
          <t>indeed</t>
        </is>
      </c>
      <c r="E120" t="inlineStr"/>
      <c r="F120" t="inlineStr"/>
      <c r="G120" t="inlineStr">
        <is>
          <t>Palo Alto, CA,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in-f1bbe02f969908b6</t>
        </is>
      </c>
      <c r="B121" t="inlineStr">
        <is>
          <t>Sr. Applied Scientist, Amazon Advertising</t>
        </is>
      </c>
      <c r="C121" t="inlineStr">
        <is>
          <t>Amazon.com</t>
        </is>
      </c>
      <c r="D121" t="inlineStr">
        <is>
          <t>indeed</t>
        </is>
      </c>
      <c r="E121" t="inlineStr"/>
      <c r="F121" t="inlineStr"/>
      <c r="G121" t="inlineStr">
        <is>
          <t>West Hollywood, CA, US</t>
        </is>
      </c>
      <c r="H121" s="2"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in-5acb9163c55ee977</t>
        </is>
      </c>
      <c r="B122" t="inlineStr">
        <is>
          <t>Senior Applied Scientist, Artificial General Intelligence</t>
        </is>
      </c>
      <c r="C122" t="inlineStr">
        <is>
          <t>Amazon.com</t>
        </is>
      </c>
      <c r="D122" t="inlineStr">
        <is>
          <t>indeed</t>
        </is>
      </c>
      <c r="E122" t="inlineStr"/>
      <c r="F122" t="inlineStr"/>
      <c r="G122" t="inlineStr">
        <is>
          <t>Sunnyvale, CA, US</t>
        </is>
      </c>
      <c r="H122" s="2" t="n">
        <v>45846</v>
      </c>
      <c r="I12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in-e58f074efb8f7e46</t>
        </is>
      </c>
      <c r="B123" t="inlineStr">
        <is>
          <t>Senior Applied Scientist, Artificial General Intelligence</t>
        </is>
      </c>
      <c r="C123" t="inlineStr">
        <is>
          <t>Amazon.com</t>
        </is>
      </c>
      <c r="D123" t="inlineStr">
        <is>
          <t>indeed</t>
        </is>
      </c>
      <c r="E123" t="inlineStr"/>
      <c r="F123" t="inlineStr"/>
      <c r="G123" t="inlineStr">
        <is>
          <t>Seattle, WA, US</t>
        </is>
      </c>
      <c r="H123" s="2" t="n">
        <v>45846</v>
      </c>
      <c r="I12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in-1a535a823f05cad7</t>
        </is>
      </c>
      <c r="B124" t="inlineStr">
        <is>
          <t>Senior Applied Scientist, Artificial General Intelligence</t>
        </is>
      </c>
      <c r="C124" t="inlineStr">
        <is>
          <t>Amazon.com</t>
        </is>
      </c>
      <c r="D124" t="inlineStr">
        <is>
          <t>indeed</t>
        </is>
      </c>
      <c r="E124" t="inlineStr"/>
      <c r="F124" t="inlineStr"/>
      <c r="G124" t="inlineStr">
        <is>
          <t>Boston, MA, US</t>
        </is>
      </c>
      <c r="H124" s="2" t="n">
        <v>45846</v>
      </c>
      <c r="I12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in-9018be8c6fa63e24</t>
        </is>
      </c>
      <c r="B125" t="inlineStr">
        <is>
          <t>Applied Scientist, Prime Video - Personalization and Discovery Science</t>
        </is>
      </c>
      <c r="C125" t="inlineStr">
        <is>
          <t>Amazon.com</t>
        </is>
      </c>
      <c r="D125" t="inlineStr">
        <is>
          <t>indeed</t>
        </is>
      </c>
      <c r="E125" t="inlineStr"/>
      <c r="F125" t="inlineStr"/>
      <c r="G125" t="inlineStr">
        <is>
          <t>Seattle, WA, US</t>
        </is>
      </c>
      <c r="H125" s="2" t="n">
        <v>45845</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in-1a511743d743d58c</t>
        </is>
      </c>
      <c r="B126" t="inlineStr">
        <is>
          <t>Applied Scientist, Prime Video - Personalization and Discovery Science</t>
        </is>
      </c>
      <c r="C126" t="inlineStr">
        <is>
          <t>Amazon.com</t>
        </is>
      </c>
      <c r="D126" t="inlineStr">
        <is>
          <t>indeed</t>
        </is>
      </c>
      <c r="E126" t="inlineStr"/>
      <c r="F126" t="inlineStr"/>
      <c r="G126" t="inlineStr">
        <is>
          <t>Sunnyvale, CA, US</t>
        </is>
      </c>
      <c r="H126" s="2" t="n">
        <v>45845</v>
      </c>
      <c r="I1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in-aa4f5c41c48531b9</t>
        </is>
      </c>
      <c r="B127" t="inlineStr">
        <is>
          <t>Applied Scientist, Prime Video - Personalization and Discovery Science</t>
        </is>
      </c>
      <c r="C127" t="inlineStr">
        <is>
          <t>Amazon.com</t>
        </is>
      </c>
      <c r="D127" t="inlineStr">
        <is>
          <t>indeed</t>
        </is>
      </c>
      <c r="E127" t="inlineStr"/>
      <c r="F127" t="inlineStr"/>
      <c r="G127" t="inlineStr">
        <is>
          <t>New York, NY, US</t>
        </is>
      </c>
      <c r="H127" s="2" t="n">
        <v>45845</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in-765ef35708407687</t>
        </is>
      </c>
      <c r="B128" t="inlineStr">
        <is>
          <t>Sr. Data Scientist, Amazon Leo Global Planning, Amazon Leo</t>
        </is>
      </c>
      <c r="C128" t="inlineStr">
        <is>
          <t>Amazon.com</t>
        </is>
      </c>
      <c r="D128" t="inlineStr">
        <is>
          <t>indeed</t>
        </is>
      </c>
      <c r="E128" t="inlineStr"/>
      <c r="F128" t="inlineStr"/>
      <c r="G128" t="inlineStr">
        <is>
          <t>Redmond, WA, US</t>
        </is>
      </c>
      <c r="H128" s="2" t="n">
        <v>45830</v>
      </c>
      <c r="I12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in-84d506a54fefca0a</t>
        </is>
      </c>
      <c r="B129" t="inlineStr">
        <is>
          <t>Sr. Data Scientist, Amazon Leo Global Planning, Amazon Leo</t>
        </is>
      </c>
      <c r="C129" t="inlineStr">
        <is>
          <t>Amazon.com</t>
        </is>
      </c>
      <c r="D129" t="inlineStr">
        <is>
          <t>indeed</t>
        </is>
      </c>
      <c r="E129" t="inlineStr"/>
      <c r="F129" t="inlineStr"/>
      <c r="G129" t="inlineStr">
        <is>
          <t>Bellevue, WA, US</t>
        </is>
      </c>
      <c r="H129" s="2" t="n">
        <v>45830</v>
      </c>
      <c r="I12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in-9bf5795bc965a0cb</t>
        </is>
      </c>
      <c r="B130" t="inlineStr">
        <is>
          <t>Sr. Applied Scientist, Prime Video - Personalization and Discovery Science</t>
        </is>
      </c>
      <c r="C130" t="inlineStr">
        <is>
          <t>Amazon.com</t>
        </is>
      </c>
      <c r="D130" t="inlineStr">
        <is>
          <t>indeed</t>
        </is>
      </c>
      <c r="E130" t="inlineStr"/>
      <c r="F130" t="inlineStr"/>
      <c r="G130" t="inlineStr">
        <is>
          <t>Sunnyvale, CA, US</t>
        </is>
      </c>
      <c r="H130" s="2" t="n">
        <v>45819</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in-82946b1457bb32d7</t>
        </is>
      </c>
      <c r="B131" t="inlineStr">
        <is>
          <t>Sr. Applied Scientist, Prime Video - Personalization and Discovery Science</t>
        </is>
      </c>
      <c r="C131" t="inlineStr">
        <is>
          <t>Amazon.com</t>
        </is>
      </c>
      <c r="D131" t="inlineStr">
        <is>
          <t>indeed</t>
        </is>
      </c>
      <c r="E131" t="inlineStr"/>
      <c r="F131" t="inlineStr"/>
      <c r="G131" t="inlineStr">
        <is>
          <t>Seattle, WA, US</t>
        </is>
      </c>
      <c r="H131" s="2" t="n">
        <v>45819</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in-b10b3f1d47a84f13</t>
        </is>
      </c>
      <c r="B132" t="inlineStr">
        <is>
          <t>Principal Applied Scientist, FAR (Frontier AI &amp; Robotics)</t>
        </is>
      </c>
      <c r="C132" t="inlineStr">
        <is>
          <t>Amazon.com</t>
        </is>
      </c>
      <c r="D132" t="inlineStr">
        <is>
          <t>indeed</t>
        </is>
      </c>
      <c r="E132" t="inlineStr"/>
      <c r="F132" t="inlineStr"/>
      <c r="G132" t="inlineStr">
        <is>
          <t>Seattle, WA, US</t>
        </is>
      </c>
      <c r="H132" s="2"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in-91cd28d1bead7c3a</t>
        </is>
      </c>
      <c r="B133" t="inlineStr">
        <is>
          <t>Principal Applied Scientist, FAR (Frontier AI &amp; Robotics)</t>
        </is>
      </c>
      <c r="C133" t="inlineStr">
        <is>
          <t>Amazon.com</t>
        </is>
      </c>
      <c r="D133" t="inlineStr">
        <is>
          <t>indeed</t>
        </is>
      </c>
      <c r="E133" t="inlineStr"/>
      <c r="F133" t="inlineStr"/>
      <c r="G133" t="inlineStr">
        <is>
          <t>San Francisco, CA, US</t>
        </is>
      </c>
      <c r="H133" s="2" t="n">
        <v>45740</v>
      </c>
      <c r="I13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in-fa4863202ec1ae4e</t>
        </is>
      </c>
      <c r="B134" t="inlineStr">
        <is>
          <t>Applied Scientist, Personalization, DTx Science</t>
        </is>
      </c>
      <c r="C134" t="inlineStr">
        <is>
          <t>Amazon.com</t>
        </is>
      </c>
      <c r="D134" t="inlineStr">
        <is>
          <t>indeed</t>
        </is>
      </c>
      <c r="E134" t="inlineStr"/>
      <c r="F134" t="inlineStr"/>
      <c r="G134" t="inlineStr">
        <is>
          <t>New York, NY, US</t>
        </is>
      </c>
      <c r="H134" s="2" t="n">
        <v>45979</v>
      </c>
      <c r="I13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in-b8f1fa8359dfa992</t>
        </is>
      </c>
      <c r="B135" t="inlineStr">
        <is>
          <t>Applied Scientist, Personalization, DTx Science</t>
        </is>
      </c>
      <c r="C135" t="inlineStr">
        <is>
          <t>Amazon.com</t>
        </is>
      </c>
      <c r="D135" t="inlineStr">
        <is>
          <t>indeed</t>
        </is>
      </c>
      <c r="E135" t="inlineStr"/>
      <c r="F135" t="inlineStr"/>
      <c r="G135" t="inlineStr">
        <is>
          <t>Seattle, WA, US</t>
        </is>
      </c>
      <c r="H135" s="2" t="n">
        <v>45979</v>
      </c>
      <c r="I13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in-4434828a4a8ed433</t>
        </is>
      </c>
      <c r="B136" t="inlineStr">
        <is>
          <t>Sr. Applied Scientist, Sales AI</t>
        </is>
      </c>
      <c r="C136" t="inlineStr">
        <is>
          <t>Amazon.com</t>
        </is>
      </c>
      <c r="D136" t="inlineStr">
        <is>
          <t>indeed</t>
        </is>
      </c>
      <c r="E136" t="inlineStr"/>
      <c r="F136" t="inlineStr"/>
      <c r="G136" t="inlineStr">
        <is>
          <t>Sunnyvale, CA, US</t>
        </is>
      </c>
      <c r="H136" s="2" t="n">
        <v>45830</v>
      </c>
      <c r="I13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in-d8b84b6a7f0313ef</t>
        </is>
      </c>
      <c r="B137" t="inlineStr">
        <is>
          <t>Sr. Applied Scientist, Sales AI</t>
        </is>
      </c>
      <c r="C137" t="inlineStr">
        <is>
          <t>Amazon.com</t>
        </is>
      </c>
      <c r="D137" t="inlineStr">
        <is>
          <t>indeed</t>
        </is>
      </c>
      <c r="E137" t="inlineStr"/>
      <c r="F137" t="inlineStr"/>
      <c r="G137" t="inlineStr">
        <is>
          <t>Seattle, WA, US</t>
        </is>
      </c>
      <c r="H137" s="2" t="n">
        <v>45830</v>
      </c>
      <c r="I13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in-bd7b88a59927bfcb</t>
        </is>
      </c>
      <c r="B138" t="inlineStr">
        <is>
          <t>Sr. Applied Scientist, Sales AI</t>
        </is>
      </c>
      <c r="C138" t="inlineStr">
        <is>
          <t>Amazon.com</t>
        </is>
      </c>
      <c r="D138" t="inlineStr">
        <is>
          <t>indeed</t>
        </is>
      </c>
      <c r="E138" t="inlineStr"/>
      <c r="F138" t="inlineStr"/>
      <c r="G138" t="inlineStr">
        <is>
          <t>New York, NY, US</t>
        </is>
      </c>
      <c r="H138" s="2" t="n">
        <v>45830</v>
      </c>
      <c r="I1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in-ad03f3b7b8829457</t>
        </is>
      </c>
      <c r="B139" t="inlineStr">
        <is>
          <t>Data Scientist</t>
        </is>
      </c>
      <c r="C139" t="inlineStr">
        <is>
          <t>Lymba Corporation</t>
        </is>
      </c>
      <c r="D139" t="inlineStr">
        <is>
          <t>indeed</t>
        </is>
      </c>
      <c r="E139" t="inlineStr"/>
      <c r="F139" t="inlineStr"/>
      <c r="G139" t="inlineStr">
        <is>
          <t>US</t>
        </is>
      </c>
      <c r="H139" s="2" t="n">
        <v>46030</v>
      </c>
      <c r="I139" t="inlineStr">
        <is>
          <t>**Location:** Remote  
**Employment Type:** Full\-Time  
**Must have an Active DHS Public Trust Clearance.** 
**About the Role**
We are seeking a motivated and detail\-oriented Data Scientist to join our data team. In this role, you will work closely with data engineers, analysts, and business stakeholders to analyze large datasets, build data pipelines, and develop foundational machine learning models that support data\-driven decision\-making.
This position is ideal for recent graduates or early\-career professionals looking to grow their skills in big data processing, analytics, and applied machine learning in a modern cloud\-based environment.
**Key Responsibilities**
* Analyze and transform structured and semi\-structured data using **PySpark** within **Databricks**
* Write efficient and accurate **SQL** queries to extract, join, and aggregate data from large datasets
* Build, test, and maintain data pipelines and analytical workflows
* Perform exploratory data analysis (EDA) to identify trends, patterns, and anomalies
* Develop and evaluate basic **machine learning models** (e.g., regression, classification, clustering)
* Collaborate with cross\-functional teams to translate business questions into data solutions
* Document code, methodologies, and results clearly and effectively
* Support data quality checks and validation efforts
**Required Qualifications**
* Bachelor’s degree in **Data Science, Computer Science, Statistics, Mathematics, Engineering**, or a related field **plus three years** industry experience
* Must be a **U.S. Citizen** with an active DHS Public Trust clearance
* Hands\-on experience with **Databricks** for data processing and analytics
* Proficiency in **Python**, including **PySpark**
* Strong working knowledge of **SQL** (joins, subqueries, aggregations, window functions)
* Practical experience using **Microsoft Excel**, including:
* Pivot tables and charts
* Data formatting for readability and insights
* Data cleaning and validation
* Understanding of basic **machine learning concepts**, including:
* Supervised vs. unsupervised learning
* Common algorithms (e.g., linear/logistic regression, decision trees, k\-means)
* Model evaluation metrics
* Familiarity with data cleaning, preprocessing, and feature engineering
* Ability to communicate technical findings to non\-technical stakeholders
**Preferred Qualifications**
* Prior work experience, internship, academic, or project\-based experience in data science or analytics
* Experience with cloud platforms (AWS, Azure, or GCP)
* Familiarity with version control tools (e.g., Git)
* Exposure to data visualization tools (e.g., Tableau, Power BI, or matplotlib/seaborn)
* Experience working with large\-scale or distributed datasets
**What We Offer**
* Growth opportunities within a collaborative data team
* Exposure to real\-world data science projects and production systems
* Competitive salary and benefits package
Job Type: Full\-time
Pay: $60,000\.00 \- $85,000\.00 per year
Benefits:
* 401(k)
* 401(k) matching
* Dental insurance
* Health insurance
* Paid time off
* Vision insurance
Application Question(s):
* Are you eligible to apply for clearance?
Education:
* Bachelor's (Required)
Experience:
* PySpark: 1 year (Preferred)
* Python: 3 years (Required)
Security clearance:
* Confidential (Required)
Work Location: Remote</t>
        </is>
      </c>
    </row>
    <row r="140">
      <c r="A140" t="inlineStr">
        <is>
          <t>in-88823c82de2cbf53</t>
        </is>
      </c>
      <c r="B140" t="inlineStr">
        <is>
          <t>HR Data Scientist (People Analytics)</t>
        </is>
      </c>
      <c r="C140" t="inlineStr">
        <is>
          <t>General Motors (GM)</t>
        </is>
      </c>
      <c r="D140" t="inlineStr">
        <is>
          <t>indeed</t>
        </is>
      </c>
      <c r="E140" t="inlineStr"/>
      <c r="F140" t="inlineStr"/>
      <c r="G140" t="inlineStr">
        <is>
          <t>Remote, US</t>
        </is>
      </c>
      <c r="H140" s="2" t="n">
        <v>46029</v>
      </c>
      <c r="I140" t="inlineStr">
        <is>
          <t>**Job Description**
**HR Data Scientist (People Analytics)**
**The Role**
We’re looking for an HR **Data Scientist** to join our People Analytics Center of Excellence . In this role, you’ll leverage your expertise in machi n e learni ng, AI , and HR data to design and deploy predictive models that inform strategic workforce decisions , from talent acquisition to retention and mobility. You’ll work hands\-on in Databrick s, usi ng scalable data science workflows to turn complex people data into actionable insig hts th at shape how we attract, develop, and retain talent.  
**What’s** **in It for You**
* You will lead the development of AI\-driven insights that directly influence talent and workforce strategy.
* You will work with cutting\-edge tools such as Databricks, Workday, and Azure to operationalize ML models in production.
* You will collaborate with a multidisciplinary team of data scientists, engineers, People Analytics Consultants, and HR partners.
* You will be part of a forward\-thinking People Analytics team that values innovation, transparency, and responsible AI.
* You will grow your impact at the intersection of data science and human behavior, shaping the future of work.
**Key Outcomes**
**You will deliver:**
* Production\-grade People Analytics projects such as attrition prediction, hiring funnel analytics , , and skills inference.
* A scalable, secure Workday\-integrated Databricks data model that supports advanced analytics and predictive modeling.
* Reliable ML and analytics models that deliver actionable insights across HR.
**Your Responsibilities**
**Model Development and Advanced Analytics**
* Design, develop, and deploy production\-ready ML and statistical models using **Python (pandas, scikit\-learn,** **PySpark** **,** **GPBoost** **,** **XGBoost** **,** among others ) within **Databricks** and tracked through **MLflow** .
* Apply techniques such as classification, regression, NLP, clustering, and forecasting to address workforce challenges.
* Perform model evaluation, monitoring, and explainability to ensure responsible use of AI in HR contexts.
* Partner with data engineers to ensure reliable HR datasets across Workday and other systems.
**Insight Generation and Storytelling**
* Translate model outputs into clear, actionable insights for HR and business leaders.
* Collaborate with People Analytics teams to visualize and communicate findings effectively.
* Document methodologies and promote a culture of data transparency and continuous learning.
**Who You Are**
You are an analytical storyteller who thrives at the intersection of data, technology, and people.
You are passionate about uncovering insights that improve employee experience and business performance, and you are as comfortable building production\-grade ML pipelines as you are explaining results to executives.  
**Qualifications**
**Required**
* 5\+ years in data engineering or analytics, with demonstrated delivery of data platforms or ML/AI solutions.
* Proficiency in SQL
* Proficiency in Python (pandas, scikit\-learn, PySpark , TensorFlow, XGBoost , GPBoost, among others ) with experience managing experiments and deployments through MLflow
* Strong understanding of data privacy and ethical AI principles
**Preferred**
* Proficiency in Databricks
* Experience in People Analytics or HR technology environments.
* Strong understanding of HR data and employee lifecycle processes (recruiting, development, engagement, workforce planning).
* Degree in quantitative field (Mathematics, Statistics, Computer Science) or equivalent experience.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$106,600 \- $163,400\.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\#LI\-HP2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1">
      <c r="A141" t="inlineStr">
        <is>
          <t>in-dab6c4021c870099</t>
        </is>
      </c>
      <c r="B141" t="inlineStr">
        <is>
          <t>Senior Data Scientist</t>
        </is>
      </c>
      <c r="C141" t="inlineStr">
        <is>
          <t>John Deere</t>
        </is>
      </c>
      <c r="D141" t="inlineStr">
        <is>
          <t>indeed</t>
        </is>
      </c>
      <c r="E141" t="inlineStr"/>
      <c r="F141" t="inlineStr"/>
      <c r="G141" t="inlineStr">
        <is>
          <t>Austin, IL, US</t>
        </is>
      </c>
      <c r="H141" s="2" t="n">
        <v>46026</v>
      </c>
      <c r="I141"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***Onsite/Remote:****Remote Position*
 *This position is eligible for remote work at the present time. The arrangement may be delayed for training or other job acclimation purposes and remains subject to change.*
**Your Responsibilities**
-------------------------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**Moline, IL**, **Chicago, IL**, or **Austin, TX**.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42">
      <c r="A142" t="inlineStr">
        <is>
          <t>in-1dec6439116c9c87</t>
        </is>
      </c>
      <c r="B142" t="inlineStr">
        <is>
          <t>Senior Data Scientist</t>
        </is>
      </c>
      <c r="C142" t="inlineStr">
        <is>
          <t>John Deere</t>
        </is>
      </c>
      <c r="D142" t="inlineStr">
        <is>
          <t>indeed</t>
        </is>
      </c>
      <c r="E142" t="inlineStr"/>
      <c r="F142" t="inlineStr"/>
      <c r="G142" t="inlineStr">
        <is>
          <t>Chicago, IL, US</t>
        </is>
      </c>
      <c r="H142" s="2" t="n">
        <v>46026</v>
      </c>
      <c r="I142"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***Onsite/Remote:****Remote Position*
 *This position is eligible for remote work at the present time. The arrangement may be delayed for training or other job acclimation purposes and remains subject to change.*
**Your Responsibilities**
-------------------------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**Moline, IL**, **Chicago, IL**, or **Austin, TX**.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43">
      <c r="A143" t="inlineStr">
        <is>
          <t>in-41e94295a4c4e3ad</t>
        </is>
      </c>
      <c r="B143" t="inlineStr">
        <is>
          <t>Senior Data Scientist</t>
        </is>
      </c>
      <c r="C143" t="inlineStr">
        <is>
          <t>John Deere</t>
        </is>
      </c>
      <c r="D143" t="inlineStr">
        <is>
          <t>indeed</t>
        </is>
      </c>
      <c r="E143" t="inlineStr"/>
      <c r="F143" t="inlineStr"/>
      <c r="G143" t="inlineStr">
        <is>
          <t>Moline, IL, US</t>
        </is>
      </c>
      <c r="H143" s="2" t="n">
        <v>46026</v>
      </c>
      <c r="I143"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***Onsite/Remote:****Remote Position*
 *This position is eligible for remote work at the present time. The arrangement may be delayed for training or other job acclimation purposes and remains subject to change.*
**Your Responsibilities**
-------------------------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**Moline, IL**, **Chicago, IL**, or **Austin, TX**.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44">
      <c r="A144" t="inlineStr">
        <is>
          <t>in-909bf460851cc387</t>
        </is>
      </c>
      <c r="B144" t="inlineStr">
        <is>
          <t>Data Scientist</t>
        </is>
      </c>
      <c r="C144" t="inlineStr">
        <is>
          <t>Brockwell Technologies, Inc.</t>
        </is>
      </c>
      <c r="D144" t="inlineStr">
        <is>
          <t>indeed</t>
        </is>
      </c>
      <c r="E144" t="inlineStr"/>
      <c r="F144" t="inlineStr"/>
      <c r="G144" t="inlineStr">
        <is>
          <t>Redstone Arsenal, AL, US</t>
        </is>
      </c>
      <c r="H144" s="2" t="n">
        <v>46030</v>
      </c>
      <c r="I144" t="inlineStr">
        <is>
          <t>**About Us**
Brockwell Technologies, Inc. (BTI) was founded in 1998 as a Woman Owned Small Business headquartered in Huntsville, AL. We provide top tier technical and engineering support services to some of the industry's largest company and government organizations. We believe creating a great employment experience starts with investing in our people, because they are our greatest asset. BTI is a six\-time winner of the Huntsville/Madison County Best Places to Work award and certified as a "Great Place to Work".
To learn more about our company, please click here to view our company website.
**What We Can Offer You**
* Great Company Culture \- We've been recognized by multiple organizations like Best Places to Work, Great Place to Work, Glassdoor for our workplace culture
* Employer Paid Benefits Vision, Basic Life and AD\&amp;D (Employee Only), Short Term Disability, Long Term Disability, Telemedicine, and Employee Assistance Program for employees and their families
* Paid Time Off \- We provide a generous PTO plan that graduates quickly with the years of service, company paid holidays, and we offer employees a PTO payout
* Health Benefits \- Blue Cross Blue Shield medical with FSA option
* Dental Benefits
* Retirement \- 401(K) Plan offered to all part\-time and full\-time employees aged 21 or older, we offer employees an employer contribution match, you are immediately vested, and at no cost to you access to a personal financial planner
* Education \- We provide both tuition reimbursement and continuing education/training reimbursement
* Flexible Work Models \- In office, work\-from\-home, or hybrid schedules (determined by our customer)
* Other Benefits \- Dependent Care Flexible Spending Account, Voluntary Term Life Insurance and AD\&amp;D, Voluntary Spouse Life and AD\&amp;D, Voluntary Dependent Child Life and AD\&amp;D, Voluntary Accident, Referral Bonus Program.
**JOB DESCRIPTION:**
Brockwell Technologies, Inc. (BTI) is seeking a Full Time **Data Scientist** to support our customer in Huntsville, AL.
*\*\* If candidate lives 51\+ miles outside of Huntsville, AL \- Remote work is authorized for this position \*\**
*\*\* If candidate lives within 50 miles of Huntsville, AL \- Hybrid work is authorized for this position \*\**
**About the Position**
Under general direction, apply knowledge of mathematics, statistics, modeling, business analysis, and technology to transform high volumes of complex data into analytic solutions. Develop and maintain data visualizations using Tableau. Evaluate accuracy and quality of data sources as well as the designed models. Evaluate new and existing data sources, processes, and architecture to develop recommendations. May use expertise to design, develop code, test, and debug software in multiple programming languages. May work in one or several areas such as equipment or software design, engineering evaluation, or test configuration management procedures, statistical analysis, and modeling.
**Minimum Qualifications**
To be considered for this position, you must meet the following minimum qualifications listed below:
* U.S. Citizenship is required
* Active Secret Clearance or ability to obtain
* Strong Tableau visualization development skills
* Strong Oracle data analysis skills and ability to write/read SQL
* Experience in data analytics, predictive analytics, mathematics, statistics, or similar field
* Experience developing predictive or statistical models such as regressions, decision trees, neural networks, developing simulations, or performing optimizations using ILOG CPLEX, AnyLogic, or similar software package
* Demonstrated skill and experience in analyzing data using Excel or other methods
* Experience using SQL or other programming language to write complex queries, perform data analysis, extract data, and manipulate data
* Experience in data preparation, manipulation, and cleansing for large datasets
 **Minimum Experience**
This position requires a minimum of either of the two options listed below:
* 12\+ years of experience with a Bachelor's Degree
* 10\+ years of experience with a Master's Degree
**Education/Certifications**
* Bachelor's or Master's Degree
**Security Clearance**
* This position requires an active DoD Secret Security Clearance government security clearance as a condition for placement and continued employment. Applicants must be a U.S. citizen for consideration.
* Candidates selected for this position will be subject to a background investigation and must meet eligibility requirements for access to classified information
* **U.S. Citizenship is required.**
 **BTI is an EEO/M/F/Veteran/Disabled Employer**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To perform this job successfully, an individual must be able to perform each essential duty satisfactorily. The qualifications listed above are representative of the knowledge, skill, and/or ability required. Reasonable accommodations may be made to enable individuals with disabilities to perform the essential functions.
*The above\-noted job description is not intended to describe, in detail, the multitude of tasks that may be assigned but rather to give the applicant a general sense of the responsibilities and expectations of this position. As the nature of business demands change so, too, may the essential functions of the position.*</t>
        </is>
      </c>
    </row>
    <row r="145">
      <c r="A145" t="inlineStr">
        <is>
          <t>in-c2d4c26864634ef8</t>
        </is>
      </c>
      <c r="B145" t="inlineStr">
        <is>
          <t>Onsite Data Scientist/Power BI Developer</t>
        </is>
      </c>
      <c r="C145" t="inlineStr">
        <is>
          <t>Thompson Gray</t>
        </is>
      </c>
      <c r="D145" t="inlineStr">
        <is>
          <t>indeed</t>
        </is>
      </c>
      <c r="E145" t="inlineStr"/>
      <c r="F145" t="inlineStr"/>
      <c r="G145" t="inlineStr">
        <is>
          <t>Newport News, VA, US</t>
        </is>
      </c>
      <c r="H145" s="2" t="n">
        <v>46030</v>
      </c>
      <c r="I145" t="inlineStr">
        <is>
          <t>Thompson Gray, Inc. is seeking an ***Onsite Data Scientist/Power BI Developer*** for a Department of Defense (DoD) project office integrating resource management data and systems (finance, acquisition, manpower) at Fort Eustis in Newport News, VA.
**Job Description:** The Onsite Data Scientist/Power BI Developer is required in\-office at Fort Eustis, VA three days per week (Tu, Wed, Thu). The Onsite DS/PBI Dev is responsible for collaborating with business analysts and IT specialists to build a data analytics environment using Microsoft's Power Platform and Azure cloud tools. The DS/PBI Dev will architect, build and support an environment populated by 50\+ data sources, 300\+ data tables and 10,000\+ data points across 7\-8 different lines of business (budgeting/financial, contracts/acquisition, manpower/human resources, etc.). New projects require all phase of requirements gathering and documentation, establishing data connections to new source data (PBI Connectors, APIs, Azure SQL, spreadsheets, etc.), data cleansing and normalization, data modeling and data architecture into a unified, cross\-domain, integrated environment. Later phases include building advanced data analytics and dashboards from the normalized data using Power BI. The Data Scientist will work closely with our technical and functional staff and the client user community to establish detailed requirements for data management and visualization.
All potential candidates **must be U.S. citizens**, with **no exceptions**.
Responsibilities include:
* Participate in all aspects of the application lifecycle: requirements analysis and definition, data design, data architecture and integration as well as data visualization and advanced analytics
* Produce and support a Microsoft tools cloud\-based PaaS data architecture and environment
* Produce data models based on business requirements (star schemas, snowflake schemas, UML diagrams, relational database design, etc.) per the Kimball Group's Dimensional Modeling Techniques, standards of 3NF (third normal form), database design, etc.
* Produce a data analytics platform for data reporting and visualization across multiple integrated lines of business with dynamic and flexible ad\-hoc reporting, historical trending, predictive analytics, and others
* Analyze large, complex systems and data to identify semantic gaps, performance bottlenecks, and data errors as well as uncover opportunities to improve efficiency
* Demonstrated ability to derive hierarchical relationships from undocumented, flat data
* Lead efforts to design, implement, and support enterprise scale data analytics
**Required Skills:**
* U.S. Citizenship
* ***BS degree in Data Science, Computer Science or related field/equivalent experience***
* Knowledge of Data Science and Data Analytics concepts and tools
* Knowledge of Data Management and Data Architecture concepts
* Experience in creation of data models
**Desired Skills:**
* Experience with DoD and knowledge of DoD standards
* Demonstrated experience translating business and technical requirements into comprehensive data strategies and analytic solutions
* Demonstrated ability to adequately plan and meet delivery objectives and maintain adequate service levels in a highly dynamic, complex environments
**U.S. Citizenship is required**. A current DoD security clearance of SECRET or above is highly desired.
 *Thompson Gray is an Equal Opportunity Employer and VEVRAA Federal Contractor.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gender identity, sexual orientation or national origin. Moreover, these regulations require that covered prime contractors and subcontractors take affirmative action to employ and advance in employment individuals without regard to race, color, religion, sex, gender identity, sexual orientation national origin, protected veteran status or disability. Thompson Gray, Inc. welcomes minority and veteran applicants.*</t>
        </is>
      </c>
    </row>
    <row r="146">
      <c r="A146" t="inlineStr">
        <is>
          <t>in-951ab2bc7a73a684</t>
        </is>
      </c>
      <c r="B146" t="inlineStr">
        <is>
          <t>Data Scientist, Demand Forecasting</t>
        </is>
      </c>
      <c r="C146" t="inlineStr">
        <is>
          <t>Paper Source</t>
        </is>
      </c>
      <c r="D146" t="inlineStr">
        <is>
          <t>indeed</t>
        </is>
      </c>
      <c r="E146" t="inlineStr"/>
      <c r="F146" t="inlineStr"/>
      <c r="G146" t="inlineStr">
        <is>
          <t>New York, NY, US</t>
        </is>
      </c>
      <c r="H146" s="2" t="n">
        <v>46029</v>
      </c>
      <c r="I146" t="inlineStr">
        <is>
          <t>Title: Data Scientist, Demand Forecasting
Category: Merchandising \&amp; Product Development
EmploymentType: Full\-Time
Location: NY\-New York (Union Square)
LocationType: corporate
JobLocation: New York, New York 10003
JobSummary: We're seeking a highly skilled Data Scientist to join our team, with a focus on demand forecasting and supply planning. In this role, you will train and implement demand forecasting algorithms using modern machine learning techniques, driving measurable improvements in forecast accuracy. These demand forecasts will be used to support buying and replenishment decisions for all products in our stores and distribution centers. This is a critical role in driving business success. By developing and deploying advanced analytics solutions to inform inventory purchasing decisions, you will help ensure high stock availability while reducing our inventory investment.  
This is a hybrid position requiring 2\-3 days in our NY office.  
An employee in this position can expect an annual starting rate between $100,000 \- $120,000 depending on experience, seniority, geographic locations, and other factors permitted by law.
WhatYouDo:
The Data Scientist, Demand Forecasting role supports our buying teams with the key tools and information needed to run the business. You are instrumental in advancing our Demand Planning, analytical capability, data quality, and forecasting tools used by multiple internal B\&amp;N partners. This role will have a direct impact on our ability to improve forecast accuracy and drive business growth with optimized inventory levels. Day to day you will:  
* Develop and deploy demand forecasting models using machine learning and statistical techniques
* Collaborate with IT to implement models in production, ensuring seamless integration with existing systems
* Guide data engineering efforts to improve analytical capabilities, including data governance, quality, architecture, and tooling
* Analyze large datasets to inform business decisions, identifying trends, opportunities, and challenges
* Communicate complex technical concepts to non\-technical stakeholders, providing actionable insights and recommendations
* Stay up to date on changes in the field of forecasting, including the use of AI, to improve and scale forecasting capabilities
Knowledge\&amp;Experience:
Success in this role requires high attention to detail, excellent analytical abilities, and strong business acumen. We’re seeking someone with:  
* A degree in Computer Science, Statistics, Mathematics, or related field
* 3\-5 years of experience in data science, with a focus on time\-series analysis, regression analysis and machine learning
* Strong technical skills in programming languages such as Python, R, and SQL
* Experience with machine learning frameworks such as TensorFlow, PyTorch, or scikit\-learn
* Excellent leadership and collaboration skills, with experience working with cross\-functional teams
* Strong communication and presentation skills, with ability to distill complex concepts into actionable insights
* Experience with cloud\-based technologies and data engineering tools such as Databricks and Azure
* Familiarity with agile development methodologies and DevOps practices
* Knowledge of retail operations, merchandising and supply chain processes
* Must be able to work our of our NY office 2 \- 3 days/week
EeoStatement: As an Affirmative Action Employer, Barnes \&amp; Noble hires qualified people to work for its Paper Source subsidiary to perform the many tasks necessary for the success of our business and is committed to diversity in the workplace. An essential part of this policy is providing equal employment opportunity for all. All employment practices and decisions—including those involving application procedures, recruitment or recruitment advertising, hiring, placement, job assignment, transfer, promotion, demotion, training, rates of pay or other forms of compensation, benefits, discipline ,leave of absence, layoff, recall, termination and general treatment during employment—will be conducted without regard to self\-identified, perceived or actual age, race, color, ancestry, national origin, citizenship status, military or veteran status, religion, creed, disability, sex, sexual orientation, marital status, medical condition as defined by applicable law, genetic information, gender, gender identity, gender expression (including transgender status), hairstyle, height and/or weight, pregnancy, childbirth and related medical conditions, reproductive health decisions, or any other self\-identified, perceived or actual characteristic protected by applicable federal, state, or local laws and ordinances, and will comply with all applicable laws.</t>
        </is>
      </c>
    </row>
    <row r="147">
      <c r="A147" t="inlineStr">
        <is>
          <t>in-8d2fac59778b5ab7</t>
        </is>
      </c>
      <c r="B147" t="inlineStr">
        <is>
          <t>Senior Data Scientist II</t>
        </is>
      </c>
      <c r="C147" t="inlineStr">
        <is>
          <t>RELX Group</t>
        </is>
      </c>
      <c r="D147" t="inlineStr">
        <is>
          <t>indeed</t>
        </is>
      </c>
      <c r="E147" t="inlineStr"/>
      <c r="F147" t="inlineStr"/>
      <c r="G147" t="inlineStr">
        <is>
          <t>Raleigh, NC, US</t>
        </is>
      </c>
      <c r="H147" s="2" t="n">
        <v>46029</v>
      </c>
      <c r="I147" t="inlineStr">
        <is>
          <t>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*Are you looking to develop your Data Scientist career?**Would you enjoy training more junior team members?*
As a Senior Data Scientist II, you will need to independently design and deliver effective AI solutions for data scientist projects. Your work will involve collaborative problem solving, technical leadership, and mentoring of junior team members.
Responsibilities:
Modeling \&amp; Methods* Algorithm Design: Develop and implement advanced models for tasks such as information extraction, classification, and entity linking.
* Innovative Techniques: Work with long\-context modeling, coreference resolution, retrieval/re\-ranking systems, and LLM structured output.
* Experimentation: Lead in designing baselines, comparators, ablation studies, and rigorous evaluation strategies.
Data \&amp; Evaluation* Data Quality: Oversee data collection and annotation processes to build high\-quality datasets.
* Metrics: Define and measure key performance metrics (e.g., Precision, Recall, F1, ranking metrics) to evaluate model performance.
* Analysis: Conduct comprehensive error analysis and perform iterative model enhancement.
Engineering \&amp; Delivery* Product ionization: Implement and deploy models in both batch and real\-time environments.
* System Integration: Collaborate with engineering teams to build end\-to\-end data pipelines and scalable production systems.
* Documentation: Write detailed design documents and ensure reproducibility of the entire modeling pipeline.
Standards \&amp; Mentorship* Best Practices: Establish and propagate coding, evaluation, and model deployment standards across teams.
* Collaboration: Engage with cross\-functional teams including product, engineering, and domain experts.
* Leadership: Mentor junior data scientists, review work, and foster a culture of continuous improvement within the team.
Requirements:* Technical Expertise: Hands\-on experience with several areas such as information extraction, long\-context modeling, entity linking, and retrieval systems.
* Programming Skills: Proficiency in Python and experience with ML frameworks and libraries, including PyTorch/Transformers, spaCy, and vector search libraries.
* Analytical Skills: Advanced skills in evaluation design, error analysis, and a capability to defend trade\-offs using clear metrics.
* MLOps: Experienced with deploying production\-grade machine learning models and managing end\-to\-end pipelines.
Preferred Qualifications* Domain Experience: Prior work experience in regulated domains or industries with complex data challenges.
* Advanced Techniques: Familiarity with knowledge\-graph approaches, document clustering, or programmatic labeling.
* Agentic Solutions: Knowledge of agentic frameworks and capabilities in building agentic solutions is a valuable plus.
* Communication: Excellent written and verbal communication skills for effective collaboration with technical and non\-technical stakeholders.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48">
      <c r="A148" t="inlineStr">
        <is>
          <t>in-7988d5aebd202f5b</t>
        </is>
      </c>
      <c r="B148" t="inlineStr">
        <is>
          <t>Senior Data Scientist II</t>
        </is>
      </c>
      <c r="C148" t="inlineStr">
        <is>
          <t>LexisNexis Legal &amp; Professional</t>
        </is>
      </c>
      <c r="D148" t="inlineStr">
        <is>
          <t>indeed</t>
        </is>
      </c>
      <c r="E148" t="inlineStr"/>
      <c r="F148" t="inlineStr"/>
      <c r="G148" t="inlineStr">
        <is>
          <t>Raleigh, NC, US</t>
        </is>
      </c>
      <c r="H148" s="2" t="n">
        <v>46029</v>
      </c>
      <c r="I148" t="inlineStr">
        <is>
          <t>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*Are you looking to develop your Data Scientist career?**Would you enjoy training more junior team members?*
As a Senior Data Scientist II, you will need to independently design and deliver effective AI solutions for data scientist projects. Your work will involve collaborative problem solving, technical leadership, and mentoring of junior team members.
Responsibilities:
Modeling \&amp; Methods* Algorithm Design: Develop and implement advanced models for tasks such as information extraction, classification, and entity linking.
* Innovative Techniques: Work with long\-context modeling, coreference resolution, retrieval/re\-ranking systems, and LLM structured output.
* Experimentation: Lead in designing baselines, comparators, ablation studies, and rigorous evaluation strategies.
Data \&amp; Evaluation* Data Quality: Oversee data collection and annotation processes to build high\-quality datasets.
* Metrics: Define and measure key performance metrics (e.g., Precision, Recall, F1, ranking metrics) to evaluate model performance.
* Analysis: Conduct comprehensive error analysis and perform iterative model enhancement.
Engineering \&amp; Delivery* Product ionization: Implement and deploy models in both batch and real\-time environments.
* System Integration: Collaborate with engineering teams to build end\-to\-end data pipelines and scalable production systems.
* Documentation: Write detailed design documents and ensure reproducibility of the entire modeling pipeline.
Standards \&amp; Mentorship* Best Practices: Establish and propagate coding, evaluation, and model deployment standards across teams.
* Collaboration: Engage with cross\-functional teams including product, engineering, and domain experts.
* Leadership: Mentor junior data scientists, review work, and foster a culture of continuous improvement within the team.
Requirements:* Technical Expertise: Hands\-on experience with several areas such as information extraction, long\-context modeling, entity linking, and retrieval systems.
* Programming Skills: Proficiency in Python and experience with ML frameworks and libraries, including PyTorch/Transformers, spaCy, and vector search libraries.
* Analytical Skills: Advanced skills in evaluation design, error analysis, and a capability to defend trade\-offs using clear metrics.
* MLOps: Experienced with deploying production\-grade machine learning models and managing end\-to\-end pipelines.
Preferred Qualifications* Domain Experience: Prior work experience in regulated domains or industries with complex data challenges.
* Advanced Techniques: Familiarity with knowledge\-graph approaches, document clustering, or programmatic labeling.
* Agentic Solutions: Knowledge of agentic frameworks and capabilities in building agentic solutions is a valuable plus.
* Communication: Excellent written and verbal communication skills for effective collaboration with technical and non\-technical stakeholders.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49">
      <c r="A149" t="inlineStr">
        <is>
          <t>in-3d738048f310d6d7</t>
        </is>
      </c>
      <c r="B149" t="inlineStr">
        <is>
          <t>Data Scientist (SME)</t>
        </is>
      </c>
      <c r="C149" t="inlineStr">
        <is>
          <t>Peraton</t>
        </is>
      </c>
      <c r="D149" t="inlineStr">
        <is>
          <t>indeed</t>
        </is>
      </c>
      <c r="E149" t="inlineStr"/>
      <c r="F149" t="inlineStr"/>
      <c r="G149" t="inlineStr">
        <is>
          <t>Lackland AFB, TX, US</t>
        </is>
      </c>
      <c r="H149" s="2" t="n">
        <v>46029</v>
      </c>
      <c r="I14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and innovative **Data Scientist** to join our team at **Lackland AFB**, supporting **16****th** **Air Force (16 AF)**. The Data Scientist will play a critical role in leveraging advanced data analytics, machine learning, and statistical modeling to support intelligence, surveillance, and reconnaissance (ISR) operations. This position requires expertise in data science methodologies, tools, and technologies to design how data will be stored, consumed, integrated and managed by different units and digital systems.
**Key Responsibilities:**
* Develop and implement **data science solutions** to support ISR operations and decision\-making processes.
* Determine, create and populate optimal data architectures, structures, and systems.
* Apply **machine learning algorithms**, **statistical modeling**, and **predictive analytics** to solve mission\-critical challenges.
* Design and maintain **data pipelines**, ensuring the efficient collection, processing, and storage of structured and unstructured data.
* Identify and address data quality issues, ensuring the accuracy and reliability of analytical outputs.
* Stay current with emerging data science technologies, tools, and methodologies to enhance analytical capabilities.
* Ensure compliance with all security protocols, classification guidelines, and organizational policies. **Qualifications**
**Required Qualifications:**
* **Required Experience:** Minimum 15 years of experience conducting analysis relevant to the specific labor category with at least a portion of the experience within the last 2 years.
* R**equired Education:** Master's degree from a college or university accredited by an agency recognized by the U.S. Department of Education or have a bachelor's degree from a college or university accredited by an agency recognized by the U.S. Department of Education and an additional 5 years of related expert experience, for a total of 20 years, as a substitute to the master's degree.
* **Technical Expertise:**
* Proficiency in **data analysis**, **machine learning**, and **statistical modeling**.
* Experience with programming languages such as **Python**, **R**, or **SQL**.
* Familiarity with data visualization tools such as **Tableau**, **Power BI**, or **D3\.js**.
* Strong understanding of data engineering concepts, including ETL processes and database management.
* **Skills:**
* Exceptional analytical, critical thinking, and problem\-solving skills.
* Strong written and verbal communication skills for producing reports and presenting findings.
* Ability to work collaboratively in a fast\-paced, mission\-driven environment.
* **Security Clearance:** Active **Top Secret/SCI** clearance is required.
**Preferred Qualifications:**
* Experience supporting **16 AF** or similar ISR \&amp; Cyber organizations.
* Knowledge of ISR operations and intelligence data sources.
* Familiarity with cloud computing platforms such as **AWS**, **Azure**, or **Google Cloud**.
* Certifications such as **Certified Data Scientist (CDS)**, **AWS Certified Machine Learning Specialty**, or equivalent.
**Why Join Us?**
* Be part of a mission\-critical team supporting the **U.S. Air Force's ISR and data\-driven operations**.
* Work in a dynamic and collaborative environment at **Lackland AFB**, a hub for Air Force intelligence and innovation.
* Access to professional development opportunities and career growth within the data science and intelligence community.
\#AFACC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50">
      <c r="A150" t="inlineStr">
        <is>
          <t>in-8165a6bf0255fe6c</t>
        </is>
      </c>
      <c r="B150" t="inlineStr">
        <is>
          <t>Staff Data Scientist - Experimentation &amp; Measurement</t>
        </is>
      </c>
      <c r="C150" t="inlineStr">
        <is>
          <t>PlayStation</t>
        </is>
      </c>
      <c r="D150" t="inlineStr">
        <is>
          <t>indeed</t>
        </is>
      </c>
      <c r="E150" t="inlineStr"/>
      <c r="F150" t="inlineStr"/>
      <c r="G150" t="inlineStr">
        <is>
          <t>San Mateo, CA, US</t>
        </is>
      </c>
      <c r="H150" s="2" t="n">
        <v>46029</v>
      </c>
      <c r="I150" t="inlineStr">
        <is>
          <t>Position Type:
Location(s):
United States, San Mateo, CA
Date Posted:
Job ID:
R\-122757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Scientist \- Experimentation \&amp; Measurement**
**San Mateo, CA (Hybrid)**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 Design, execute, and interpret A/B tests and quasi\-experiments, and apply advanced causal inference methods when experimentation isn’t feasible.
* Partner with cross\-functional teams (product, engineering, marketing) to embed experimentation into development and iteration cycles and communicate results with the company’s senior leadership.
* Mentor and guide other Data Scientists, providing thought leadership and technical direction.
* Serve as a thought leader on best practices for hypothesis development, metric selection, test structure, and results communication.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Your insights will directly influence how PlayStation builds, markets, and evolves products across our ecosystem.
**Basic Requirements:**
* Master’s or PhD in Statistics, Economics, or Econometrics.
* 6\+ years of experience in a data science experimentation/causal inference\-focused role (4\+ with PhD).
* Deep expertise in A/B testing and causal inference, including quasi\-experimental methods.
* Proficiency in SQL and Python for data extraction, transformation, and analysis.
* Broad and applied knowledge of statistical techniques.
* Experience with machine learning modeling is a plus.
* Proven ability to influence product and business decisions through clear, actionable insights.
* Experience contributing to or developing experimentation frameworks, best practices, or internal tooling.
* Bonus: Passion for video games, player communities, or the gaming industry.
\#LI\-KC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$212,200—$318,200 USD**Equal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1">
      <c r="A151" t="inlineStr">
        <is>
          <t>in-7a7e672efa3c4828</t>
        </is>
      </c>
      <c r="B151" t="inlineStr">
        <is>
          <t>Senior Data Scientist - Experimentation &amp; Measurement</t>
        </is>
      </c>
      <c r="C151" t="inlineStr">
        <is>
          <t>PlayStation</t>
        </is>
      </c>
      <c r="D151" t="inlineStr">
        <is>
          <t>indeed</t>
        </is>
      </c>
      <c r="E151" t="inlineStr"/>
      <c r="F151" t="inlineStr"/>
      <c r="G151" t="inlineStr">
        <is>
          <t>San Mateo, CA, US</t>
        </is>
      </c>
      <c r="H151" s="2" t="n">
        <v>46029</v>
      </c>
      <c r="I151" t="inlineStr">
        <is>
          <t>Position Type:
Location(s):
United States, San Mateo, CA
Date Posted:
Job ID:
R\-122757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 **Senior Data Scientist \- Experimentation \&amp; Measurement**
**San Mateo, CA**
### 
###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\#LI\-KC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$178,900—$268,300 USD**Equal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2">
      <c r="A152" t="inlineStr">
        <is>
          <t>in-42dd5537070165cb</t>
        </is>
      </c>
      <c r="B152" t="inlineStr">
        <is>
          <t>Health AI Data Scientist</t>
        </is>
      </c>
      <c r="C152" t="inlineStr">
        <is>
          <t>Booz Allen Hamilton</t>
        </is>
      </c>
      <c r="D152" t="inlineStr">
        <is>
          <t>indeed</t>
        </is>
      </c>
      <c r="E152" t="inlineStr"/>
      <c r="F152" t="inlineStr"/>
      <c r="G152" t="inlineStr">
        <is>
          <t>Washington, DC, US</t>
        </is>
      </c>
      <c r="H152" s="2" t="n">
        <v>46029</v>
      </c>
      <c r="I152" t="inlineStr">
        <is>
          <t>Health AI Data Scientist**The Opportunity:**
To achieve an organization’s mission, leaders need strong team members who can design, implement, and maintain strategic data management processes. Whether completing an immediate task, recognizing a process gap, identifying key stakeholders, or flexing to support an emerging requirement, our clients need a specialist who can help manage operations while managing responses to external inquiries in a timely manner. That is why we need you, an experienced Scientific R\&amp;D Data Steward who can integrate applicable IT program management strategies to help various teams understand their vision and needs as pertaining to scientific data.
As part of our team, you'll serve as a strategic technical specialist for the Advanced Research Projects Agency for Health (ARPA\-H), helping conceptualize, create, and execute advanced government\-funded research and development programs to accelerate better health outcomes for everyone. You will work with world\-class scientists and engineers to support the development of high\-impact solutions to society's most challenging health problems. You’ll leverage technical expertise to provide strategic assessments of new technologies in support to senior ARPA\-H decision makers. You will maintain responsibility for producing and presenting findings and recommendations to a team of colleagues and clients on the feasibility and potential impact of future research programs, assisting with the management of current programs, and facilitating commercialization of successfully developed technologies.
You'll serve as a Scientific R\&amp;D Data Steward helping clients to develop IT management strategies, collaborate on leadership vision, develop stakeholder management strategies, and manage client’s data requirements. You will be responsible for managing incoming requirements, advising on data governance standards, advising on scientific and healthcare data repositories, data types, and tools, and advising on data standards. Your attention to detail, flexibility, communication skills, understanding of the client's mission, and problem\-solving will enable the mission's success. This position is a Hybrid role with Booz Allen. Candidate is expected to work on\-site at a Booz Allen or Client Facility 20\-50% of your time, as needed.
**What You’ll Work On:**
* Build IT and data project plans and roadmaps and manage data requirements in take pipeline and prioritization.
* Advise on scientific and healthcare data repositories, data types, or tools that could enhance programs and advise on data standards that will support the scientific vision and long\-term growth.
* Identify key stakeholders to collect pain points and requirements and socialize project plans to facilitate buy\-in from stakeholders.
* Identify cost efficiencies regarding data and technology infrastructure requirements.
* Maintain current scientific knowledge of emergent biomedical data types, technologies, and standards and identify ways that re\-use of data can support better science.
* Advise on data governance standards, handling practices, and potential solutions for various biomedical data types.
* Draft policies supporting the use and sharing of agency research data and coordinate education efforts on best practices and use of data.
Join us. The world can't wait.
**You Have:**
* 10\+ years of experience in data management and governance
* 10\+ years of experience managing biomedical data types, including data pertaining to EHRs, radiological imaging, digital pathology, and proteomics
* Experience managing and handling PII, PHI, CUI, and IP data
* Experience implementing FAIR and FHIR practices pertaining to data management
* Experience drafting policies pertaining to data management and stewardship
* Experience implementing minimum standards as pertaining to the Gold Standard Science Executive Order
* Experience interacting and communicating with senior\-level executives, including SES or GS\-15
* Knowledge of AI/ML evaluation methods, including benchmarking, robustness, and sources of bias or leakage
* Ability to critically review and assess technical work across health data and AI domains
* Bachelor's degree
**Nice If You Have:**
* Experience supporting an ARPA or R\&amp;D organization such as DARPA
* Experience using Microsoft Office, including Excel, Word, and PowerPoint
* Ability to operate independently within a fast\-paced start\-up environment
* Possession of excellent verbal and written communication skills
* Master’s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3">
      <c r="A153" t="inlineStr">
        <is>
          <t>in-b612e959883b27d8</t>
        </is>
      </c>
      <c r="B153" t="inlineStr">
        <is>
          <t>Data Scientist, Senior</t>
        </is>
      </c>
      <c r="C153" t="inlineStr">
        <is>
          <t>Booz Allen Hamilton</t>
        </is>
      </c>
      <c r="D153" t="inlineStr">
        <is>
          <t>indeed</t>
        </is>
      </c>
      <c r="E153" t="inlineStr"/>
      <c r="F153" t="inlineStr"/>
      <c r="G153" t="inlineStr">
        <is>
          <t>McLean, VA, US</t>
        </is>
      </c>
      <c r="H153" s="2" t="n">
        <v>46029</v>
      </c>
      <c r="I153" t="inlineStr">
        <is>
          <t>Data Scientist, Senior**The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Kibana, Tableau, or Power BI
* TS/SCI clearance
* Bachelor’s degree and 5\+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Experience developing and implementing ontological frameworks
* Experience in the development of algorithms leveraging R, Python, or SQL and NoSQL
* Experience working with Deep Learning and AI frameworks including PyTorch, TensorFlow, and Keras
* Experience working with Retrieval\-Augmented Generation (RAG) and Large Language Models (LLM)
* Experience with Distributed data and computing tools, including MapReduce, Hadoop, Hive, EMR, Kafka, Spark, Gurobi, or MySQL
* Experience with visualization packages, including Plotly, Seaborn, or ggplot2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4">
      <c r="A154" t="inlineStr">
        <is>
          <t>in-137c201066cf6d0d</t>
        </is>
      </c>
      <c r="B154" t="inlineStr">
        <is>
          <t>University - Data Scientist</t>
        </is>
      </c>
      <c r="C154" t="inlineStr">
        <is>
          <t>Booz Allen Hamilton</t>
        </is>
      </c>
      <c r="D154" t="inlineStr">
        <is>
          <t>indeed</t>
        </is>
      </c>
      <c r="E154" t="inlineStr"/>
      <c r="F154" t="inlineStr"/>
      <c r="G154" t="inlineStr">
        <is>
          <t>McLean, VA, US</t>
        </is>
      </c>
      <c r="H154" s="2" t="n">
        <v>46029</v>
      </c>
      <c r="I154" t="inlineStr">
        <is>
          <t>University \- Data Scientist**The Opportunity:â¯Â**
Are you excited at the prospect of unlocking the secrets held by a data set? Are you fascinated by the possibilities presented by the IoT, machine learning, and artificial intelligence advances? In an increasingly connected world, massive amounts of structured and unstructured dataâ¯openâ¯new opportunities. As a data scientist, you can turn these complex data sets into useful information to solve global issues. Across private and public sectorsâfrom fraud detection, to cancer research, to national intelligenceâyou know the answers are in the data.â¯Â
We have an opportunity for you to use your analytical skills to improve our business. Youâll work closely with your customer to understand their questions and needs, and then dig into their data\-rich environment to find the pieces of their information puzzle. Youâll apply analytical skills and use the right combination of tools and frameworks to turn that set of disparate data points into tangible answers to help clients make informed decisions. Youâll provide your customer with a deep understanding of their data, what it all means, and how they can use it. Join us as we use data science for good.
Join us. The world canât wait.â¯Â
**You Have:â¯â¯**Â
* Experience with machine learning, data mining, statistics, or graph algorithms in academic or internship environmentsÂ
* Experience using R, Perl, Python, SAS, or SPSS for data analysisÂ
* Knowledge of an object\-oriented language, including Java, C\+\+, C\#, or PythonÂ
* Ability to leverage expertise in data gathering and analytical workÂ
* Ability to obtain a Secret clearanceÂ
* Scheduled to obtain a Bachelor's degree by Winter 2025 or Spring/Summer 2026Â
**Nice If You Have:â¯Â**
* Possession of excellent problem\-solving skills
* Pursuing a degree in Computer Science, Data Science, Computer Engineering, Systems Engineering, or a related field preferred
**Clearance:â¯Â**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Allenâs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youâll periodically work from a Booz Allen or client site facility.
* If this position is listed as onsite, youâll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5">
      <c r="A155" t="inlineStr">
        <is>
          <t>in-479a16e84866b470</t>
        </is>
      </c>
      <c r="B155" t="inlineStr">
        <is>
          <t>Data Scientist</t>
        </is>
      </c>
      <c r="C155" t="inlineStr">
        <is>
          <t>Dana-Farber Cancer Institute</t>
        </is>
      </c>
      <c r="D155" t="inlineStr">
        <is>
          <t>indeed</t>
        </is>
      </c>
      <c r="E155" t="inlineStr"/>
      <c r="F155" t="inlineStr"/>
      <c r="G155" t="inlineStr">
        <is>
          <t>Boston, MA, US</t>
        </is>
      </c>
      <c r="H155" s="2" t="n">
        <v>46029</v>
      </c>
      <c r="I155" t="inlineStr">
        <is>
          <t>Job Ref:
JR\-270  
Location:
450 Brookline Ave, BOSTON, MA 02215  
Category:
IT/Informatics  
Employment Type:
Full time  
Work Location:
Boston Job Posting Location  
Salary/Pay Rate:
$131,900\.00 \- $142,100\.00 per year
**Overview**
The Department of Data Science at the Dana Farber Cancer Institute (DFCI) seeks candidates with a strong background in scientific programming. As part of the department's mission to collaborate with basic biologists and clinical researchers to better understand cancer and improve treatment, our department develops new statistical methods and data analysis pipelines. Substantial experience in two or more of: scientific computing; data technologies; user interfaces; containerization; or distributed computing will be required. Much of our work is based on R and related tools and technologies, and experience in package development and advanced computing in the R ecosystem will be essential. We want help extending and improving these, as well as organizing and managing our data, and training our students, postdoctoral faculty, and collaborators in best practices and new developments related to R. We are seeking a data scientist to help with these challenges.  
The successful candidate will have a unique opportunity to take a leadership role in an exceptional collaborative environment with experts in a wide range of areas, including clinical trials, cancer genetics, immunology, epigenetics, machine learning, Bayesian methods, and alignment algorithms. There is room for growth in this position as the career ladder includes leadership levels. We offer salaries that are competitive with the biotech industry.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 Meet and consult with scientists requiring data science support and design plans and solutions
* Delivery of results for projects
* Work as part of the broader team to identify longer\-term solutions that will improve quality,
* speed and efficacy of our current projects and programs
* Evaluate and benchmark new libraries; prototype and pipeline development.
* Deep data science skills, at the interface between computer science and statistics
**Knowledge, Skills and Abilities**
* Excellent communication and effective problem\-solving skills, track record in serving a variety of diverse customers and projects
* Ability to work independently, prioritize, and manage people if needed, within an environment with ever changing priorities.
* Natural language processing experience preferred
* Shiny, Spyre, Flask, WebDev and prototyping experience preferred
* JupyterHub, Sun Grid Engine, Google Cloud Platform, AWS experience preferred
* Experienced in data science methodologies and techniques, e.g. hypothesis testing, classification, regression, clustering, feature allocation, deep learning, time\-series analysis, network modeling, feature selection/engineering.
* Significant scientific background with prior experience in clinical research
**Minimum Job Qualifications**
* PhD or equivalent experience with evidence of impact in data science applied to real life problems in a research setting ideally within a clinical research environment
* 5 to 8 years of experience post PhD
* Prior experience supervising at least 1 person preferred
**License/Certification/Registration Required:** None
**Supervisory Responsibilities:** No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$131,900\.00 \- $142,100\.00</t>
        </is>
      </c>
    </row>
    <row r="156">
      <c r="A156" t="inlineStr">
        <is>
          <t>in-16783e336e6049ad</t>
        </is>
      </c>
      <c r="B156" t="inlineStr">
        <is>
          <t>Senior Data Scientist</t>
        </is>
      </c>
      <c r="C156" t="inlineStr">
        <is>
          <t>Xsolis</t>
        </is>
      </c>
      <c r="D156" t="inlineStr">
        <is>
          <t>indeed</t>
        </is>
      </c>
      <c r="E156" t="inlineStr"/>
      <c r="F156" t="inlineStr"/>
      <c r="G156" t="inlineStr">
        <is>
          <t>Remote, US</t>
        </is>
      </c>
      <c r="H156" s="2" t="n">
        <v>46029</v>
      </c>
      <c r="I156" t="inlineStr">
        <is>
          <t>The Senior Data Scientist at XSOLIS is responsible for developing, evaluating, and deploying scalable machine learning and AI solutions using large\-scale healthcare data. This role blends traditional machine learning, data quality and risk modeling, and modern Generative AI techniques to support real\-time clinical and operational decision\-making.
The Senior Data Scientist works on moderately complex initiatives, collaborates closely with product and engineering teams, and contributes to responsible, high\-quality, and production\-ready AI systems.
 **Essential Duties \&amp; Responsibilities**  
The essential functions include, but are not limited to the following:  
* + Develop and deploy traditional machine learning models, including bias modeling, risk mitigation, and predictive analytics
	+ Build scalable ML models and end\-to\-end ML pipelines suitable for production environments
	+ Perform advanced data quality assessments, validation checks, and feature identification and analysis
	+ Evaluate bias in training data and recommend mitigation strategies aligned with responsible AI practices
	+ Design and implement intermediate models for risk scoring and predictive insights
	+ Apply Generative AI techniques, including prompt engineering, retrieval\-augmented generation (RAG), and deployment of GenAI models
	+ Utilize and contribute to LLM evaluation frameworks to assess performance, accuracy, and reliability
	+ Collaborate closely with Product, Engineering, and Business teams to identify, refine, and deliver high\-impact AI use cases
	+ Prepare trained models for production, including documentation, testing, and environment replication
	+ Monitor model performance and participate in ongoing model optimization and observability efforts
	+ Communicate complex analyses and results to technical and non\-technical stakeholders
	+ Maintain thorough documentation and participate in continuous learning and knowledge sharing across the Data Science team
**Minimum Qualifications (Knowledge, Skills, and Abilities)**
***Education:***
* Bachelor’s degree in Statistics, Mathematics, Computer Science, Economics, or similar quantitative field; Master’s degree preferred
***Experience:***  
* + Strong analytical thinking and problem\-solving skills
	+ Ability to collaborate cross\-functionally with product\-focused teams
	+ Clear written and verbal communication skills
	+ Commitment to ethical, responsible, and high\-quality AI development
	+ Big data querying experience using major cloud providers
	+ Data processing, cleaning, feature extraction, and exploratory data analysis
	+ Strong experience with machine learning and deep learning techniques and algorithms
	+ Generative AI experience, including:
		- Prompt engineering and prompt optimization
		- RAG vs. non\-RAG architectures
		- LLM evaluation methodologies
	+ Experience with AI agents, agentic AI systems, and multi\-agent orchestration
	+ Model training, containerization, deployment, and performance monitoring
	+ Automation, observability, and lifecycle management of ML pipelines (MLDC / MLOps)
	+ Proficiency in Python and common ML libraries (e.g., scikit\-learn, PyTorch, TensorFlow)
	+ Experience working with relational databases and large\-scale structured and unstructured datasets
**Supervisory Responsibilities**  
This role does not have any direct reports and is a single contributor role.
**Working Environment and Travel Requirements**
Work is typically in a normal office administrative environment involving minimal exposure to physical risks. Position requires little to moderate physical activity. Mostly sedentary work exerting up to 10 pounds of force occasionally or a negligible amount of force to lift, carry, push, pull, or otherwise move objects. Work involves sitting most of the time, but may involve walking or standing for brief periods of time. No significant stooping is usually required.
**About Us**
Xsolis is an AI\-driven technology company with a human\-centered approach, fostering collaboration between healthcare providers and payers through real\-time transparency, objective data for increased accuracy and alignment of medical necessity decisions, and more efficient outcomes. Dragonfly®, its AI\-driven proprietary platform, is the first and only solution to use real\-time predictive analytics to continuously assign an objective medical necessity score and assess the anticipated level of care for every patient, enabling more efficiency across the healthcare system. Xsolis is headquartered in Franklin, Tennessee.
**Our Values:**
* Team First
* Client Passionate
* Always Curious
* Deliver Excellence
Xsolis has been ranked on the Inc. 5000 and Deloitte Technology Fast 500 lists in both 2022 and 2023 as a fastest\-growing private company, and was named 2022 Best in Business among private companies by the Nashville Business Journal. Xsolis executives have been featured in Becker's Hospital Review, Becker's Payer Issues, Chief Healthcare Executive, CIO Review, Managed Healthcare Executive, Medical Economics, HIT Consultant, Healthcare IT Today, among other leading publications.
For more information, visit www.xsolis.com.
**Where We’ll Go Together**  
Our company will become the new standard for utilization management. You’ll be a core part of realizing that goal and a valued contributor to the culture and climate we wish to create. Our wins are your wins, and we’re dedicated to making you feel your work matters (it truly does).
If any of this speaks to you, let’s get in touch.
**Candidates must successfully pass a background check and drug screen prior to beginning employment with XSOLIS.**
**XSOLIS is an equal opportunity employer that is committed to hiring based upon merit, skills, experience, and qualifications. We recognize the importance of an inclusive and diverse workforce that celebrates all individuals from all walks of life. We encourage everyone to apply regardless of gender identity, race, veteran status, age, sexual orientation, or any other protected class.**
**All employees of XSOLIS fall under the same security role, which includes access to sensitive information, including proprietary data and PHI.**
All official communications from our recruitment team come from emails ending in @xsolis.com or @echo.newtonsoftware.com. Job offers are only extended after a formal interview process, and any offer will come through official channels. You can verify postings on our official careers page: https://www.xsolis.com/about/careers.</t>
        </is>
      </c>
    </row>
    <row r="157">
      <c r="A157" t="inlineStr">
        <is>
          <t>in-6e8f8ee7800229fd</t>
        </is>
      </c>
      <c r="B157" t="inlineStr">
        <is>
          <t>Senior Principal Data Scientist - Cataloging &amp; Metadata</t>
        </is>
      </c>
      <c r="C157" t="inlineStr">
        <is>
          <t>Johnson &amp; Johnson</t>
        </is>
      </c>
      <c r="D157" t="inlineStr">
        <is>
          <t>indeed</t>
        </is>
      </c>
      <c r="E157">
        <f>HYPERLINK("https://www.indeed.com/viewjob?jk=6e8f8ee7800229fd", "https://www.indeed.com/viewjob?jk=6e8f8ee7800229fd")</f>
        <v/>
      </c>
      <c r="F157">
        <f>HYPERLINK("https://www.careers.jnj.com/en/jobs/r-052133/senior-principal-data-scientist-cataloging-metadata/", "https://www.careers.jnj.com/en/jobs/r-052133/senior-principal-data-scientist-cataloging-metadata/")</f>
        <v/>
      </c>
      <c r="G157" t="inlineStr">
        <is>
          <t>Titusville, FL, US</t>
        </is>
      </c>
      <c r="H157" s="3" t="n">
        <v>46029</v>
      </c>
      <c r="I15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Science**Job Category:**
Scientific/Technology**All Job Posting Locations:**
Titusville, New Jersey, United States of America**Job Description:**
Job Description
Johnson and Johnson Innovative Medicine (J\&amp;J IM), a pharmaceutical company of Johnson \&amp; Johnson is recruiting for a Cataloging Data Scientist
This position has a primary location of Titusville, NJ but is also open to candidates from Cambridge, Boston , Madrid, Spain
About Innovative Medicine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**We are searching for the best talent for Senior Principal Data Scientist \- Cataloging \&amp; Metadata**
**Purpose**
We are seeking a Sr. Principal Data Scientist for Cataloging, Metadata and Governance Team to design, develop, and implement automated AI solutions that address complex enterprise business challenges. In addition to building robust AI models, you will play a key role in enhancing data quality by curating, validating, and enriching metadata from multiple sources, and conducting quality checks on all relevant data fields. You will collaborate closely with Data Management, Platform Teams, Product Owners, and Business stakeholders to support catalog automation setup, improving data catalog usability and ensuring seamless data access for analytics and decision\-making.
The Senior Principal Data Scientist \- Cataloging \&amp; Metadata collaborates with cross\-functional teams, including Data Management, Platform Teams, Product Owners, and Business stakeholders—to ensure metadata from multiple sources is curated, validated, and enriched, and that quality checks are rigorously performed across all relevant data fields. This role aligns with catalog automation initiatives, enhances data catalog usability, and supports seamless data access to empower analytics and informed decision\-making. In addition to these core responsibilities, the Cataloging Data Scientist also designs, develops, and implements generative AI solutions that are closely integrated with cataloging processes, further enhancing the discoverability, findability, and overall usability of the data catalog, and driving continuous improvement in data management and discovery.
**You will be responsible for:**
* Own solutioning, developing and implementing solutions for the data cataloging, metadata and governance team.
* Lead the curation and ongoing management of the enterprise data catalog by capturing, validating, and enriching metadata from diverse sources, ensuring that business terms, data elements, and approved definitions are documented in collaboration with Data Owners and SME’s.
* Monitor catalog adoption and usage, continuously enhancing catalog usability and searchability so that all critical datasets, data products, and master data entities are indexed, discoverable, and accurately described.
* Implement rigorous data quality assessments, applying validation and enrichment techniques to maintain the reliability, accuracy, and contextualization of metadata throughout the data lifecycle.
* Develop and monitor KPIs for metadata quality, completeness, and compliance across domains.
* Works closely with cross\-functional teams—including Knowledge Management, Data Products, and other groups—to integrate catalog automation and metadata capabilities into broader enterprise workflows, supporting seamless data accessibility and governance.
* Partner with the DSDH teams to implement automated data governance monitoring and reporting processes.
* Contribute to proof\-of\-concept/pilot/launch projects that assess data governance and metadata improvements and quantify business value achieved through enhanced data governance.
* Partner with the DSDH teams to implement automated data governance solutions, monitoring and reporting processes.
* Participate with ontologies and knowledge graph initiatives to ensure metadata is harmonized with enterprise semantic frameworks.
* Collaborate with the JJ Technology, legal, Compliance, external vendors and other DSDH teams to ensure alignment and traceability between business definitions, technical metadata, and lineage.
* Design, develop, and deploy generative AI solutions that are integrated with cataloging workflows, further improving the discoverability, accessibility, and overall effectiveness of the data
* Establish and configure integrated connections between multiple cataloging platforms to enable seamless data synchronization and automated metadata updates, reinforcing traceability and discoverability across systems.
**Qualifications / Requirements:**
***Required:***
* Masters/PhD in Lifesciences with master’s in computer science, Data Science, Information Systems (or equivalent degree)
* 7\+ years of experience in computational biology, automation, data cataloging (platforms such as TileDB, Collibra, Alation etc), business analysis, data science or related fields preferably within Life Sciences or a regulated industry.
* Familiarity with data engineering, automation, data management, data compliance, quality, governance \&amp; AI Solutions
* 6\+ years of hands\-on experience in python, SQL and other AI automation tools
* Strong python skills with API integration and backend development using FastAPI or Flask
* Experience with data cataloging platforms and metadata extraction via APIs
* Experience with databases(Snowflake, Postgres) \&amp; version control(GIT)
* Hands\-on experience building \&amp; deploying Gen AI
* Strong troubleshooting skills across pipelines, APIs and dataflows
* Strong stakeholder management skills with the ability to successfully drive solutions independently
* Strong people management skills with the ability to mentor and guide resources.
* Strong communication skills with ability to seamlessly work across technical and business teams
* Strong sense of ownership and accountability in managing critical tasks and responsibilities to ensure successful project outcomes.
***Preferred*****:**
* Experience in setting up automations and building intelligent solutions (machine\-readable metadata, profiling, validation rules, anomaly detection etc)
* Excellent attention to detail, data organization, and documentation skills
* Familiarity with automated metadata ingestion \&amp; catalog curation workflows.
* Ability to translate complex data concepts into clear, accessible documentation.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\#JNJDataScience \#JNJIMRND\-DS \#LI\-Hybrid
**Required Skills:**
**Preferred Skills:**
Advanced Analytics, Consulting, Critical Thinking, Data Analysis, Data Privacy Standards, Data Quality, Data Reporting, Data Savvy, Data Science, Data Visualization, Digital Fluency, Econometric Models, Mentorship, Strategic Thinking, Tactical Planning, Technical Credibility**The anticipated base pay range for this position is :**
The anticipated base pay range for this position is $137,000 to $235,750 USD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158">
      <c r="A158" t="inlineStr">
        <is>
          <t>in-a49a5b4cbbcf982c</t>
        </is>
      </c>
      <c r="B158" t="inlineStr">
        <is>
          <t>Data Scientist</t>
        </is>
      </c>
      <c r="C158" t="inlineStr">
        <is>
          <t>DarkStar Intelligence</t>
        </is>
      </c>
      <c r="D158" t="inlineStr">
        <is>
          <t>indeed</t>
        </is>
      </c>
      <c r="E158">
        <f>HYPERLINK("https://www.indeed.com/viewjob?jk=a49a5b4cbbcf982c", "https://www.indeed.com/viewjob?jk=a49a5b4cbbcf982c")</f>
        <v/>
      </c>
      <c r="F158">
        <f>HYPERLINK("https://darkstarintelligencellc.applytojob.com/apply/4bBMftHoj5/Data-Scientist?source=INDE&amp;~", "https://darkstarintelligencellc.applytojob.com/apply/4bBMftHoj5/Data-Scientist?source=INDE&amp;~")</f>
        <v/>
      </c>
      <c r="G158" t="inlineStr">
        <is>
          <t>San Antonio, TX, US</t>
        </is>
      </c>
      <c r="H158" s="3" t="n">
        <v>46029</v>
      </c>
      <c r="I158" t="inlineStr">
        <is>
          <t>**Data Scientist**  
**Location:** San Antonio, TX **\| Type:** Full\-Time **\| Clearance:** TS/SCI  
**Overview**
We are seeking a Data Scientist in San Antonio, TX!  
**Responsibilities**
* Assess existing data landscape and recommend improvements in data collection, storage, and processing methodologies.
* Develop and implement data preprocessing and cleaning techniques to ensure data quality and consistency.
* Design, develop, and apply advanced statistical and machine learning models to derive insights and support data\-driven decision\-making.
* Visualize and communicate complex data analyses, trends, and patterns to depa1tment stakeholders through interactive dashboards and rep01ts.
* Collaborate with subject matter expe1ts to identify and prioritize data analysis projects based on department objectives and available resources.
* Ensure compliance with federal government data privacy and security requirements, including FISMA and GDPR, when working with sensitive datasets.
* Continuously monitor and evaluate the performance of data models, recommending and implementing enhancements as needed.
* Stay current with emerging trends and best practices in data science and apply these learnings to improve processes and outcomes
### **Minimum Qualifications**
**Clearance**: Active TS/SCI
* Bachelor's degree in computer science, statistics, mathematics, or a related field and a minimum of 7 years' experience in data science, analytics, or a related field, with a focus on federal government environments
* Certified Data Scientist (CDS) or Professional Data Engineer (PDE)
* Proficiency in programming languages such as Python, R, or Java, and experience with data manipulation and analysis libraries (e.g., pandas, NumPy, or TensorFlow).
* Expertise in statistical and machine learning techniques, including regression, clustering, and classification algorithms.
* Strong data visualization skills, including experience with tools such as Tableau, Power BI, or D3\.js.
* Excellent communication, collaboration, and problem\-solving skills.
* Experience working with cloud\-based data processing and analysis tools.
* Experience working with data visualization tools such as Tableau or Power BI.
* Active TS/SCI clearance required
### **Compensation \&amp; Benefits**
**Salary Range**:  
Final compensation will depend on experience, qualifications, internal equity, and market data. DarkStar provides a competitive and comprehensive benefits package for full\-time employees.
### **Additional Details**
**Travel**: Minimal  
**Work Environment**: On\-site
### **Security Note**
All applicants must be U.S. citizens and maintain eligibility for a U.S. government security clearance.
**About DarkStar Intelligence**
DarkStar Intelligence is a Service\-Disabled Veteran\-Owned Small Business (SDVOSB) committed to advancing national security through mission support and tradecraft development. We prioritize both client satisfaction and employee retention, delivering high\-quality, intelligence\-based solutions grounded in our **“Core Four”** values:
* **Humility:** We place mission success above personal recognition.
* **Passion:** We bring enthusiasm and dedication to every challenge.
* **Agility:** We adapt quickly to evolving operational needs.
* **Ownership:** We hold ourselves accountable for results and uphold the highest standards of excellence.
We are mission\-driven and results\-oriented, striving to make our country safer through every task we undertake.
**Equal Employment Opportunity (EEO) Commitment**
At DarkStar Intelligence LLC, we are committed to maintaining a professional and legally compliant work environment where individuals are treated with respect and fairness. We adhere strictly to all applicable Equal Employment Opportunity (EEO) laws and regulations.
Employment decisions at DarkStar are made solely on the basis of individual qualifications, performance, and business needs. We prohibit discrimination in all aspects of employment—including hiring, compensation, promotion, training, discipline, and termination—on the basis of: Race or color, Religion, Sex (including pregnancy, sexual orientation, and gender identity), National origin, Age, Disability, Genetic information, Veteran status. Or any other status protected by applicable federal, state, or local law
Our EEO standards are embedded in all employment practices to ensure compliance, fairness, and accountability. We enforce a zero\-tolerance policy for unlawful discrimination or harassment and encourage employees to report concerns without fear of retaliation.
**EEO Flyer:** shorturl.at/abpNX
**Employee Benefits**
DarkStar Intelligence provides a competitive and comprehensive benefits package to support the health, financial stability, and personal well\-being of our team members.
**Core Benefits for employees:**
* **Health Coverage:** Medical, dental, and vision plans
* **Income Protection:** Life insurance, short\-term disability, and long\-term disability
* **Retirement Planning:** 401(k) plan with employer contributions
* **Work\-Life Support**: Employee Assistance Program (EAP) and legal services
* **Paid Leave:** Generous PTO, 11 paid federal holidays, and one floating holiday
**Voluntary Benefits:**
* **Legal \&amp; Identity Protection:** LegalShield and IDShield
* **Additional Insurance:** Whole life, accident, and critical care coverage
We believe in recognizing and supporting the professionals who make our mission possible. Your well\-being is an investment in our collective success.
4bBMftHoj5</t>
        </is>
      </c>
    </row>
    <row r="159">
      <c r="A159" t="inlineStr">
        <is>
          <t>in-dc48d6a925737c36</t>
        </is>
      </c>
      <c r="B159" t="inlineStr">
        <is>
          <t>Applied Scientist, Skill Builder, AWS Training and Certifications</t>
        </is>
      </c>
      <c r="C159" t="inlineStr">
        <is>
          <t>Amazon Web Services</t>
        </is>
      </c>
      <c r="D159" t="inlineStr">
        <is>
          <t>indeed</t>
        </is>
      </c>
      <c r="E159">
        <f>HYPERLINK("https://www.indeed.com/viewjob?jk=dc48d6a925737c36", "https://www.indeed.com/viewjob?jk=dc48d6a925737c36")</f>
        <v/>
      </c>
      <c r="F159">
        <f>HYPERLINK("https://www.amazon.jobs/jobs/3140583/applied-scientist-skill-builder-aws-training-and-certifications?cmpid=DA_INAD200785B", "https://www.amazon.jobs/jobs/3140583/applied-scientist-skill-builder-aws-training-and-certifications?cmpid=DA_INAD200785B")</f>
        <v/>
      </c>
      <c r="G159" t="inlineStr">
        <is>
          <t>Bellevue, WA, US</t>
        </is>
      </c>
      <c r="H159" s="3" t="n">
        <v>46000</v>
      </c>
      <c r="I1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in-f2fa83fb964beeb3</t>
        </is>
      </c>
      <c r="B160" t="inlineStr">
        <is>
          <t>Applied Scientist, Skill Builder, AWS Training and Certifications</t>
        </is>
      </c>
      <c r="C160" t="inlineStr">
        <is>
          <t>Amazon Web Services</t>
        </is>
      </c>
      <c r="D160" t="inlineStr">
        <is>
          <t>indeed</t>
        </is>
      </c>
      <c r="E160">
        <f>HYPERLINK("https://www.indeed.com/viewjob?jk=f2fa83fb964beeb3", "https://www.indeed.com/viewjob?jk=f2fa83fb964beeb3")</f>
        <v/>
      </c>
      <c r="F160">
        <f>HYPERLINK("https://www.amazon.jobs/jobs/3140583/applied-scientist-skill-builder-aws-training-and-certifications?cmpid=DA_INAD200785B", "https://www.amazon.jobs/jobs/3140583/applied-scientist-skill-builder-aws-training-and-certifications?cmpid=DA_INAD200785B")</f>
        <v/>
      </c>
      <c r="G160" t="inlineStr">
        <is>
          <t>Arlington, VA, US</t>
        </is>
      </c>
      <c r="H160" s="3" t="n">
        <v>46000</v>
      </c>
      <c r="I16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in-85e41d2c83a3dd46</t>
        </is>
      </c>
      <c r="B161" t="inlineStr">
        <is>
          <t>Applied Scientist, Skill Builder, AWS Training and Certifications</t>
        </is>
      </c>
      <c r="C161" t="inlineStr">
        <is>
          <t>Amazon Web Services</t>
        </is>
      </c>
      <c r="D161" t="inlineStr">
        <is>
          <t>indeed</t>
        </is>
      </c>
      <c r="E161">
        <f>HYPERLINK("https://www.indeed.com/viewjob?jk=85e41d2c83a3dd46", "https://www.indeed.com/viewjob?jk=85e41d2c83a3dd46")</f>
        <v/>
      </c>
      <c r="F161">
        <f>HYPERLINK("https://www.amazon.jobs/jobs/3140583/applied-scientist-skill-builder-aws-training-and-certifications?cmpid=DA_INAD200785B", "https://www.amazon.jobs/jobs/3140583/applied-scientist-skill-builder-aws-training-and-certifications?cmpid=DA_INAD200785B")</f>
        <v/>
      </c>
      <c r="G161" t="inlineStr">
        <is>
          <t>Seattle, WA, US</t>
        </is>
      </c>
      <c r="H161" s="3" t="n">
        <v>46000</v>
      </c>
      <c r="I16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in-a65b83b2643fba67</t>
        </is>
      </c>
      <c r="B162" t="inlineStr">
        <is>
          <t>Senior Data Scientist, Revenue Management Systems</t>
        </is>
      </c>
      <c r="C162" t="inlineStr">
        <is>
          <t>Viking Cruises</t>
        </is>
      </c>
      <c r="D162" t="inlineStr">
        <is>
          <t>indeed</t>
        </is>
      </c>
      <c r="E162">
        <f>HYPERLINK("https://www.indeed.com/viewjob?jk=a65b83b2643fba67", "https://www.indeed.com/viewjob?jk=a65b83b2643fba67")</f>
        <v/>
      </c>
      <c r="F162">
        <f>HYPERLINK("https://vikingcruises.recruiterbox.com/jobs/fk0zfkq?fjb_hash=ezLpq610", "https://vikingcruises.recruiterbox.com/jobs/fk0zfkq?fjb_hash=ezLpq610")</f>
        <v/>
      </c>
      <c r="G162" t="inlineStr">
        <is>
          <t>Los Angeles, CA, US</t>
        </is>
      </c>
      <c r="H162" s="3" t="n">
        <v>46030</v>
      </c>
      <c r="I162" t="inlineStr">
        <is>
          <t>**Senior Data Scientist, Revenue Management Systems**
**Job Summary****:**
Viking is scaling its Revenue Management System (RMS) from a successful MVP to full inventory coverage and sustained yield uplift. This role serves as the hands‑on technical lead for the RMS analytics engine owning the suite of machine‑learning models, setting methodological direction, and making pragmatic decisions about when to use (or not use) ML.
The Lead Data Scientist sits embedded with the Yield team (business) while partnering daily with Technology (data engineering, front‑end, MLOps) to ensure the RMS remains stable, fast, explainable, and tightly aligned with business needs.
This is a hybrid position based in our Woodland Hills, CA office. You will be required to adhere to our hybrid work policy, working from our office Monday and Thursday plus one additional weekday on a weekly basis.
**Job Responsibilities****:**
* **Own the RMS analytics engine end‑to‑end:** demand forecasting, cancellations, price optimization, and recommendation logic—including data prep, training, validation, deployment, monitoring, documentation, and on‑time retrains.
* **Improve reliability, coherence, and trust:** by refining constraints, features, guardrails, and business rules; reducing edge‑case behaviors; strengthening monitoring, drift detection, and recovery playbooks; and improving model response times.
* **Drive adoption and business impact:** by partnering with Yield and Front‑End to expand RMS‑managed sailing coverage, ensure outputs are actionable in the tool, and track yield uplift versus control.
* **Lead high‑value experimentation:** by defining hypotheses, offline evaluation frameworks (IPS/DR), shadow tests, guardrails, and safe on‑policy trials; promote winning changes to production with rollback plans.
* **Embed with Yield stakeholders:** to translate pricing and inventory strategy into model logic and constraints, explain drivers of recommendations, and present results in clear business terms.
* **Ensure strong production hygiene \&amp; MLOps:** in partnership with Data Engineering/DevOps, including CI/CD, pipeline health, retraining orchestration, versioning, and feature‑store usage.
* **Champion pragmatic, right‑sized solutions:** using rules, SQL, or heuristics where signal, latency, governance, or explainability make ML unsuitable.
* **Strengthen explainability \&amp; documentation:** by upgrading care‑and‑feeding guides, methodology docs, and analyst manuals, lead knowledge transfer as external support tapers.
**Success Metrics:**
* **Coverage:** Increasing percentage of sailings price‑managed by RMS quarter‑over‑quarter.
* **Yield Uplift:** Stable, measurable uplift vs. control groups with well‑documented drivers and explainers.
* **Quality \&amp; Speed:** Reduction in edge‑case incidents, improved model response times, increased analyst trust and recommendation acceptance rates.
* **Operational Hygiene:** On‑time retrains, green pipeline SLAs, and zero critical incidents attributable to model logic.
**Job Requirements****:**
* 6\+ years of experience delivering production‑grade, commercially impactful ML solutions.
* Preferred experience in pricing, forecasting, or inventory optimization within travel or hospitality.
* Expert proficiency in Python, SQL, Spark, Databricks, and production ML practices (versioning, feature stores, monitoring, CI/CD).
* Strong foundation in constrained optimization, experimental design, time‑series modeling, causal inference, and interpretable ML techniques.
* Demonstrated success shipping ML features into user‑facing tools and collaborating with business owners.
* Exceptional communication skills with the ability to explain complex concepts simply and defend methodological choices.
**What We Offer You****:**
* Highly competitive compensation plan.
* + Salary range $200,000\-$220,000 annually determined by a myriad of factors including, but not limited to, years of experience, depth of experience, and other relevant business considerations.
	+ Employees are eligible for annual discretionary bonus.
	+ 401(k) plan with company match.
	+ Employee Share Purchase Plan (ESPP) Viking full\-time regular employees working in the United States can purchase Viking shares through payroll deductions.
* Full benefits including medical, dental, vision, life and disability insurance at a highly subsidized rate (some plans are fully paid by Viking).
* Accrue 15 paid vacation days, sick time accrual by state, and 6 paid holidays per year.
* Opportunity to take a free and/or discounted cruise.
* Highly subsidized gym membership.
* Discounts on theatres, theme parks, movie tickets, travel discounts through IATA membership and too many more discounts to name.
***Viking is a certified Great Place to Work company. This certification is a result of our commitment to excellence, integrity and our teams’ outstanding contributions.***
**About Viking**
Viking was founded in 1997 and provides destination\-focused voyages on oceans, rivers and lakes around the world. Designed for experienced travelers with interests in science, history, culture and cuisine, Chairman Torstein Hagen often says Viking offers experiences for The Thinking Person®.
Viking has more than 250 awards to its name, including being rated \#1 for Rivers, \#1 for Oceans and \#1 for Expeditions by *Condé Nast Traveler* and voted at the top of its categories by *Travel \+ Leisure*. No other cruise line has ever received these same honors by both publications at the same time.</t>
        </is>
      </c>
    </row>
    <row r="163">
      <c r="A163" t="inlineStr">
        <is>
          <t>in-88dbdc6ea2f4af19</t>
        </is>
      </c>
      <c r="B163" t="inlineStr">
        <is>
          <t>Data Scientist</t>
        </is>
      </c>
      <c r="C163" t="inlineStr">
        <is>
          <t>United Way of the Blue Mountains</t>
        </is>
      </c>
      <c r="D163" t="inlineStr">
        <is>
          <t>indeed</t>
        </is>
      </c>
      <c r="E163">
        <f>HYPERLINK("https://www.indeed.com/viewjob?jk=88dbdc6ea2f4af19", "https://www.indeed.com/viewjob?jk=88dbdc6ea2f4af19")</f>
        <v/>
      </c>
      <c r="F163">
        <f>HYPERLINK("http://www.indeed.com/job/data-scientist-88dbdc6ea2f4af19", "http://www.indeed.com/job/data-scientist-88dbdc6ea2f4af19")</f>
        <v/>
      </c>
      <c r="G163" t="inlineStr">
        <is>
          <t>Walla Walla, WA, US</t>
        </is>
      </c>
      <c r="H163" s="3" t="n">
        <v>46030</v>
      </c>
      <c r="I163" t="inlineStr">
        <is>
          <t>BACKGROUND
Elevate Postsecondary Partnership (“the Partnership”) is a dynamic, cross\-sector collaboration facilitated by the United Way of the Blue Mountains. Together, we work to strengthen the educational pipeline from cradle to career, ensuring every student in the Blue Mountain region has the opportunity to reach their full potential.
Through the Horizons Regional Grant, the Partnership is implementing a multi\-year strategy to increase postsecondary enrollment and success. This work has revealed a critical need: a coordinated, regional data system that integrates administrative, intervention\-level, and postsecondary data to support real\-time decision\-making and longitudinal studies.
To meet this need, the Partnership is collaborating with the Ed\-Fi Alliance, Education Analytics, and the Washington School Information Processing Cooperative (WSIPC) to build a standards\-based Operational Data Store (ODS) and relational data warehouse. The Data Scientist will lead the development, integration, and use of this system to drive research, inform programmatic decisions, and build long\-term regional data capacity.
POSITION SUMMARY
The Data Scientist will work for the United Way of the Blue Mountains and will play a central role in building the Elevate region’s data infrastructure and supporting partners’ use of data to improve high school\-to\-postsecondary outcomes. This position combines advanced technical expertise, research design, data engineering, visualization, and strategic leadership.
The Data Scientist will work closely with Elevate staff, consultants, WSIPC, Ed\-Fi, Education Analytics, and local school district partners to build a sustainable data system; answer key research questions; develop dashboards and reports; support data governance; and build data literacy across the region. This role also provides hands\-on technical assistance, professional learning, and coaching to K–12, postsecondary, and community partners.
KEY RESPONSIBILITIES
1\. Data System Development \&amp; Integration
* Collaborate with WSIPC, Ed\-Fi, and Education Analytics to design and implement an Ed\-Fi–enabled ODS and relational data warehouse.
* Integrate administrative data from multiple districts with locally held intervention\-level data (e.g., College \&amp; Career Readiness Advisor tracker, senior exit surveys).
* Support and adapt College \&amp; Career Readiness Advisor tracker in Airtable.
* Build and maintain data pipelines, data standards, and documentation to ensure consistent, high\-quality data across the region, including systematizing for sustainability.
* Support FOYOST implementation by facilitating NSC data sharing and supporting district participation.
* Assist partners in aligning local data systems with Ed\-Fi standards to support interoperability.
* Conduct data cleaning, verification, processing, and standardization across multiple sources.
* Ensure compliance with FERPA, COPPA, CEDARS, ERDC, and other state and federal regulations and reporting.
* Identify challenges and areas for improvement.
2\. Research, Analysis \&amp; Reporting
* Design and conduct quantitative and qualitative analyses to answer the Partnership’s priority research questions.
* Build dashboards, visualizations, and reports using data visualization tools such as Tableau, Power BI, Podium, Rally, or similar platforms.
* Produce infographics, communication products, and data stories for diverse audiences.
* Coordinate survey administration and analysis to gather qualitative insights from partners and students.
* Support the Local Measurement, Learning, and Evaluation (LMLE) partner in analyzing intervention effectiveness and dosage.
* Prepare reports and presentations for the Partnership, school boards, funders, elected officials, and community stakeholders.
3\. Partner Technical Assistance
* Provide hands\-on support to K–12, postsecondary, and regional partners in using data to guide strategies and improve outcomes.
* Facilitate data\-informed conversations to interpret findings, set goals, and develop action plans.
* Coach partners in aligning data use with targeted universalism and continuous improvement frameworks.
* Support partners in adopting data governance protocols and best practices.
* Assist partners in aligning local data collection and reporting processes with Ed\-Fi standards.
* Support exploration and responsible use of AI tools that integrate with Ed\-Fi standards.
* Translate complex technical concepts into accessible, actionable insights for non\-technical audiences.
4\. Professional Learning \&amp; Capacity Building
* Design and deliver professional learning sessions, workshops, and toolkits on data literacy, visualization, and data\-informed decision\-making.
* Train partners on how to use visualization tools (e.g., Tableau, Power BI, Excel, Podium, Rally) and interpretation of postsecondary readiness metrics.
* Provide ongoing technical assistance to small and rural districts with limited data capacity.
5\. Governance, Security \&amp; Collaboration
* Collaborate with Partnership and partners on ongoing data literacy, capacity, and use, including attending all Partnership meetings and providing data updates.
* Support development of governance structures, including MOUs, data sharing agreements, and common data definitions.
* Collaborate with WSIPC and legal partners to ensure data security, privacy, and compliance.
* Participate in statewide conversations about Ed\-Fi implementation and share lessons learned with other regions.
* Contribute to the emerging statewide Research Practice Partnership by modeling effective use of Ed\-Fi standards.
* Work collaboratively and flexibly with internal teams and external partners to align data and improvement efforts with regional strategic goals.
REQUIRED QUALIFICATIONS
* Bachelor’s degree in Data Science, Statistics, Education Research, Public Policy, Computer Science, or a related field.
* Minimum five years of experience in data analysis, research, or data systems development, preferably in education or public sector settings.
* Strong understanding of Washington State and national K–12 data systems (CEDARS, SIS platforms, ERDC, National Student Clearinghouse).
* Demonstrated experience with quantitative and qualitative research methods.
* Knowledge of basic database design and build principles like data modeling and extact\-transform\-load (“ETL”) processes.
* Proficiency with SQL, Python, R, or similar analytical tools.
* Experience with data visualization tools (Tableau, Power BI, Excel).
* Experience coordinating surveys and analyzing qualitative data.
* Ability to translate technical concepts for non\-technical audiences.
* Strong facilitation, communication, and relationship\-building skills.
* Demonstrated ability to manage multiple priorities and complex projects.
* Familiarity with Ed\-Fi, or other education data standards.
* Commitment to equity, data ethics, and supporting rural and underserved communities.
PREFERRED QUALIFICATIONS
* Master’s degree in Data Science, Statistics, Education Research, Public Policy, Computer Science, or a related field.
* Experience designing or leading professional learning on data literacy or decision\-making.
* Experience with Education Analytics’ EDU/Stadium platform.
* Experience with Airtable.
* Knowledge of continuous improvement frameworks and targeted universalism.
* Understanding of data governance, sharing, privacy, and security principles.
* Experience coaching organizations through interoperability transitions.
OTHER
This is a full\-time, year\-round position based in the Blue Mountain region. Some travel to school districts, partner meetings, and statewide convenings is required. Occasional evening or weekend availability may be needed for presentations or community events.
COMPENSATION
Total compensation will range from $95,000 to $110,000, depending on qualifications, experience, and benefit selections and will include:
* Sick, vacation, and holiday pay
* Retirement contribution
* Mileage reimbursement
* Contribution towards insurance plan
HOW TO APPLY
* Please submit the following materials to amy@uwbluemt.org with the subject line “DATA SCIENTIST APPLICATION”:
* Cover letter
* Resume
Applications will be reviewed on a rolling basis until the position is filled. United Way is an equal employment opportunity employer. All qualified applicants will receive consideration for employment without regard to race, color, religion, sex, sexual orientation, gender identity, national origin, disability status, protected veteran status, or any other characteristic protected by law.
Pay: $95,000\.00 \- $110,000\.00 per year
Benefits:
* Paid time off
* Retirement plan
Work Location: Hybrid remote in Walla Walla, WA 99362</t>
        </is>
      </c>
    </row>
    <row r="164">
      <c r="A164" t="inlineStr">
        <is>
          <t>in-41ea7c5c31276b30</t>
        </is>
      </c>
      <c r="B164" t="inlineStr">
        <is>
          <t>Data Scientist</t>
        </is>
      </c>
      <c r="C164" t="inlineStr">
        <is>
          <t>FANCY CREATIONS</t>
        </is>
      </c>
      <c r="D164" t="inlineStr">
        <is>
          <t>indeed</t>
        </is>
      </c>
      <c r="E164">
        <f>HYPERLINK("https://www.indeed.com/viewjob?jk=41ea7c5c31276b30", "https://www.indeed.com/viewjob?jk=41ea7c5c31276b30")</f>
        <v/>
      </c>
      <c r="F164">
        <f>HYPERLINK("http://www.indeed.com/job/data-scientist-41ea7c5c31276b30", "http://www.indeed.com/job/data-scientist-41ea7c5c31276b30")</f>
        <v/>
      </c>
      <c r="G164" t="inlineStr">
        <is>
          <t>Los Angeles, CA, US</t>
        </is>
      </c>
      <c r="H164" s="3" t="n">
        <v>46030</v>
      </c>
      <c r="I164" t="inlineStr">
        <is>
          <t>**Job Summary**  
We are seeking a skilled Data Scientist to join our diamond jewelry company. The ideal candidate will leverage advanced data analysis, machine learning, and computer science techniques to extract actionable insights from sales, inventory, and operations data. This role involves designing predictive models, building reports and dashboards, and collaborating across departments to support strategic business decisions.
**Responsibilities**
* Develop and optimize machine learning models to support sales, inventory, pricing, and business operations
* Analyze large datasets to identify trends, patterns, and actionable insights
* Design and maintain ETL pipelines and scalable data workflows for accurate data processing
* Use programming and analytics tools such as Python, SQL, R, or similar for data analysis and automation
* Create reports and dashboards to help management make data\-driven decisions
* Stay updated on emerging analytics and machine learning techniques to apply best practices
**Skills** 
* Bachelor’s or Master’s in Computer Science, Data Science, or related field
* Proficiency in Python, R, SQL, and similar programming languages
* Knowledge of machine learning, statistics, and algorithms
* Experience with databases, ETL processes, and data pipelines
* Strong analytical and problem\-solving skills
Job Type: Full\-time
Pay: $75,000\.00 \- $85,000\.00 per year
Benefits:
* Flexible schedule
* Paid time off
Work Location: In person</t>
        </is>
      </c>
    </row>
    <row r="165">
      <c r="A165" t="inlineStr">
        <is>
          <t>in-f51f8d279c6b8dcb</t>
        </is>
      </c>
      <c r="B165" t="inlineStr">
        <is>
          <t>Data Scientist</t>
        </is>
      </c>
      <c r="C165" t="inlineStr">
        <is>
          <t>Leidos</t>
        </is>
      </c>
      <c r="D165" t="inlineStr">
        <is>
          <t>indeed</t>
        </is>
      </c>
      <c r="E165">
        <f>HYPERLINK("https://www.indeed.com/viewjob?jk=f51f8d279c6b8dcb", "https://www.indeed.com/viewjob?jk=f51f8d279c6b8dcb")</f>
        <v/>
      </c>
      <c r="F165">
        <f>HYPERLINK("https://careers.leidos.com/jobs/17201853-data-scientist?tm_job=R-00173268&amp;tm_event=view&amp;tm_company=2502", "https://careers.leidos.com/jobs/17201853-data-scientist?tm_job=R-00173268&amp;tm_event=view&amp;tm_company=2502")</f>
        <v/>
      </c>
      <c r="G165" t="inlineStr">
        <is>
          <t>Odenton, MD, US</t>
        </is>
      </c>
      <c r="H165" s="3" t="n">
        <v>46029</v>
      </c>
      <c r="I165" t="inlineStr">
        <is>
          <t>**Description**
**Leidos** has new and exciting opportunities for experienced a **Data Scientists** in our **Intelligence Sector, Cyber \&amp; Analytics Business Area (CABA)**. The work focuses on applying your AI/ML experience to assess large datasets to support development and improvement of CNO Community capabilities with analytics and tools for CNE, Malware Analysis, and sensor improvement. You will have the opportunity to apply your knowledge of data modeling, large language models (LLM), and qualitative and quantitative techniques to normalize, analyze, and visualize RF, PERFORMA, and other SIGINT data in a large\-scale data processing environment using technologies such as Spark, cloud data platforms, Python, and SQL.
**What will you do in this role?**
* Devise strategies for extracting meaning and value from large datasets and answer analytic questions into technical requirements providing principled conclusions from the data using elements of mathematics, statistics, computer science, AI/ML, and domain specific knowledge.
* Characterize, explore, and assess large datasets in various states of organization, cleanliness, and structure inherent in Intelligence data holdings for mission needs.
* Make informed recommendations regarding competing technical solutions by maintaining awareness of the constantly shifting intelligence collection, processing, storage and analytic capabilities and limitations.
**Minimum Requirements Include:**
* ***To qualify for work in this environment, you must currently hold a Top Secret/SCI clearance.***
* **Bachelor's Degree** in areas such as Computer Science, Mathematics, Statistics, Artificial Intelligence/Machine Learning, Data Science, and Operations Research and **10 years of relevant experience**.
	+ An Associate's degree plus 12 years of relevant experience may be considered for individuals with in\-depth experience that is clearly related to the position.
	+ A degree in other technical fields if you have a coursework concentrating in advanced mathematics, probability and statistics, artificial intelligence/machine learning, computer science, and/or data mining.
	+ A broader range of degrees will be considered if accompanied by certificate in areas such as Data Science and AI/ML.
* Skill in at least one high\-level language such as Python and at least one language such as C/C\+\+ and experience developing data visualization using Tableau, Power BI, or Python libraries.
* Ability to translate complex data into strategic insights and automated analytics workflow development and effectively communicate complex technical information to non\-technical audiences and collaborate effectively.
* Experience in Intelligence or cyber operations and analysis with target knowledge or experience is a plus.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66">
      <c r="A166" t="inlineStr">
        <is>
          <t>in-666579691a446be0</t>
        </is>
      </c>
      <c r="B166" t="inlineStr">
        <is>
          <t>Data Scientist Lead</t>
        </is>
      </c>
      <c r="C166" t="inlineStr">
        <is>
          <t>Progressive</t>
        </is>
      </c>
      <c r="D166" t="inlineStr">
        <is>
          <t>indeed</t>
        </is>
      </c>
      <c r="E166">
        <f>HYPERLINK("https://www.indeed.com/viewjob?jk=666579691a446be0", "https://www.indeed.com/viewjob?jk=666579691a446be0")</f>
        <v/>
      </c>
      <c r="F166">
        <f>HYPERLINK("https://careers.progressive.com/en/jobs/17202210-data-scientist-lead?tm_job=257662&amp;tm_event=view&amp;tm_company=90779", "https://careers.progressive.com/en/jobs/17202210-data-scientist-lead?tm_job=257662&amp;tm_event=view&amp;tm_company=90779")</f>
        <v/>
      </c>
      <c r="G166" t="inlineStr">
        <is>
          <t>Remote, US</t>
        </is>
      </c>
      <c r="H166" s="3" t="n">
        <v>46029</v>
      </c>
      <c r="I166" t="inlineStr">
        <is>
          <t>Progressive is dedicated to helping employees move forward and live fully in their careers. Your journey has already begun. Apply today and take the first step to Destination: Progress.  
As a **lead data scientis**t on the CRM Acquisition Experience organization, you'll work on Real Time Decisioning (RTD) AI/ML projects that drive personalization in the Quote flow. In this role, you'll design, build, and deploy traditional AI models that create high\-quality experiences for our prospective customers through coverage recommendations, additional offers, and more. You'll also be a driving force in our emerging Generative and Agentic AI strategic efforts, including virtual assistants, search experiences, and other related initiatives.  
**This is a remote position for U.S.\- based work only, requiring occasional travel for meetings and/or training.**  
**Must\-have qualifications*** A minimum of 6 years of relevant experience in Statistical/Quantitative Modeling and/or Machine Learning tools and in using various database tools processing large volumes of structured and unstructured data.
* {OR} Bachelor's degree with quantitative focus in Econometrics, Statistics, Operations Research, Computer Science or related field (e.g. Mathematics) and a minimum of 3 years of relevant experience in Statistical/Quantitative Modeling and/or Machine Learning tools (R, Python, etc.) and in using various database tools (e.g. Hadoop, SQL) processing large volumes of structured and unstructured data.
* {OR} Master's degree or higher with quantitative focus in Econometrics, Statistics, Operations Research, Computer Science or related field (e.g. Mathematics) and a minimum of 1 year of relevant experience in Statistical/Quantitative Modeling and/or Machine Learning tools (R, Python, etc) and in using various database tools (e.g. Hadoop, SQL) processing large volumes of structured and unstructured data.
**Preferred skills*** Proven track record of successfully creating, deploying, and evaluating statistical and machine learning models in a high\-volume and/or real\-time environment
* Strong proficiency in Python and SQL (Snowflake, SQL Server) to collect and manipulate data
* Familiarity with Large Language Models (LLMs), such as OpenAI ChatGPT, to enhance products, and a proficiency in the Linux operating system, shell scripting, and command line usage
* Experience with AWS Machine Learning and support services (S3, EC2, Lambda, SageMaker, Cloudwatch) and MLOps frameworks (GitHub Actions, Jenkins)
* Excellent communication and collaboration skills, with the ability to convey complex technical concepts to non\-technical collaborators
**Compensation*** $115,400 \- $164,800 per year
* Gainshare annual cash incentive payment up to 40% of your eligible earnings based on company performance
**Benefits***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2025 Top Workplace for: Innovation, Purposes \&amp; Values, Work\-Life Flexibility, Compensation \&amp; Benefits, and Leadership.  
Equal Opportunity Employer  
Applicants must be authorized to work for any employer in the U.S. without the need or potential need, of current or future sponsorship for employment. Progressive does not hire candidates with (e.g., F\-1 CPT, OPT, or STEM OPT, H\-1B, O\-1, E\-3, TN) statuses for this role.
For ideas about how you might be able to protect yourself from job scams, visit our scam\-awareness page at https://www.progressive.com/careers/how\-we\-hire/faq/job\-scams/
\#LI\-Remote</t>
        </is>
      </c>
    </row>
    <row r="167">
      <c r="A167" t="inlineStr">
        <is>
          <t>in-851e422b986abb16</t>
        </is>
      </c>
      <c r="B167" t="inlineStr">
        <is>
          <t>Principal Data Scientist</t>
        </is>
      </c>
      <c r="C167" t="inlineStr">
        <is>
          <t>Johnson &amp; Johnson</t>
        </is>
      </c>
      <c r="D167" t="inlineStr">
        <is>
          <t>indeed</t>
        </is>
      </c>
      <c r="E167">
        <f>HYPERLINK("https://www.indeed.com/viewjob?jk=851e422b986abb16", "https://www.indeed.com/viewjob?jk=851e422b986abb16")</f>
        <v/>
      </c>
      <c r="F167">
        <f>HYPERLINK("https://www.careers.jnj.com/en/jobs/r-050146/principal-data-scientist/", "https://www.careers.jnj.com/en/jobs/r-050146/principal-data-scientist/")</f>
        <v/>
      </c>
      <c r="G167" t="inlineStr">
        <is>
          <t>Titusville, FL, US</t>
        </is>
      </c>
      <c r="H167" s="3" t="n">
        <v>46029</v>
      </c>
      <c r="I16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Science**Job Category:**
Scientific/Technology**All Job Posting Locations:**
Titusville, New Jersey, United States of America**Job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**We are searching for the best talent for Principal Data Scientist.**
**Purpose:**
The Commercial Data Science team within J\&amp;J Innovative Medicine Technology organization is looking for an extraordinary Principal Data Scientist who is passionate about crafting, developing, and fielding data science solutions that drive impact for patients and for J\&amp;J. There are many ways to explore and analyze data, and this powers the excitement and passion of data scientists at J\&amp;J as many business units are eager to use the data to build business value.
**You will be responsible for:**
In this role you will be someone who stays on the cutting edge of Machine Learning, Artificial Intelligence, and Data Science. You will conduct research through novel project execution and development of algorithms that influence decisions at various levels in the organization. The role requires both a broad knowledge of NLP techniques, Machine Learning and AI, and the creativity to invent and customize when necessary. As a Principal Data Scientist, you will be a key player in advancing our data science capabilities and driving impactful decision\-making across the organization. You will take charge of complex projects from conception to delivery, ensuring the highest quality and alignment with business objectives. You will provide mentorship and guidance to junior data scientists, fostering their growth and development within a dynamic, accomplished organization that supports multiple therapeutic areas and commercial functions.
**Qualifications / Requirements:**
* Masters with 5\+ or PhD with 2\+ years of industry experience in Data Science, Computer Sciences, Statistics, Machine Learning \&amp; Artificial Intelligence, or a related discipline.
* Strong working knowledge of machine learning platforms/environments.
* Strong working knowledge of machine learning techniques such as regression, decision trees, probability networks, association rules, clustering, neural networks, and/or Bayesian models.
* Proficiency with one or more programming language such as Python, R, SQL.
* Experience delivering on data science projects using predictive technologies, data mining and/or text mining.
* Strong communication skills and ability to communicate complex methods and results to diverse audiences.
* Working knowledge of commercially available healthcare data sets.
**Preferred Qualifications:**
* Strong working knowledge of machine learning platforms/environments and experience implementing AI driven solutions.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\#JNJDataScience \#JNJIMCommercial\-DS \#LI\-Hybrid
**Required Skills:**
**Preferred Skills:**
Advanced Analytics, Coaching, Critical Thinking, Data Analysis, Data Privacy Standards, Data Quality, Data Reporting, Data Savvy, Data Science, Data Visualization, Digital Fluency, Econometric Models, Organizing, Process Improvements, Strategic Thinking, Technical Credibility, Workflow Analysis**The anticipated base pay range for this position is :**
The anticipated base pay range for this position is $115,000 to $197,800 USD.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168">
      <c r="A168" t="inlineStr">
        <is>
          <t>in-afaa54405bc60f9b</t>
        </is>
      </c>
      <c r="B168" t="inlineStr">
        <is>
          <t>Data Scientist / Developer</t>
        </is>
      </c>
      <c r="C168" t="inlineStr">
        <is>
          <t>Peraton</t>
        </is>
      </c>
      <c r="D168" t="inlineStr">
        <is>
          <t>indeed</t>
        </is>
      </c>
      <c r="E168">
        <f>HYPERLINK("https://www.indeed.com/viewjob?jk=afaa54405bc60f9b", "https://www.indeed.com/viewjob?jk=afaa54405bc60f9b")</f>
        <v/>
      </c>
      <c r="F168">
        <f>HYPERLINK("https://www.careers.peraton.com/jobs/data-scientist-developer-arlington-virginia-162590-jobs--cms-scientific-research-analysis--", "https://www.careers.peraton.com/jobs/data-scientist-developer-arlington-virginia-162590-jobs--cms-scientific-research-analysis--")</f>
        <v/>
      </c>
      <c r="G168" t="inlineStr">
        <is>
          <t>Arlington, VA, US</t>
        </is>
      </c>
      <c r="H168" s="3" t="n">
        <v>46029</v>
      </c>
      <c r="I16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currently seeking to hire an experienced **Data Scientist / Developer** to join our Federal Strategic Cyber program.  
**Location: Arlington, VA. Hybrid telework/remote work environment. Must be able to come on\-site as needed.**  
**Position Description:**  
* Design, build, and maintain Extract, Transform, and Load (ETL) pipelines using industry best practices.
* Work with data management teams to design transform scripts in languages like Python to convert raw data to standardized data schemas.
* Implement and manage containerization strategies using OpenShift/Kubernetes.
* Collaborate with development teams to integrate CI/CD pipelines into the software development lifecycle.
* Monitor and optimize system performance, reliability, and availability.
* Automate infrastructure and application deployment processes.
* Ensure security best practices are implemented throughout all DevOps procedures.
* Troubleshoot and resolve issues in development, test, and production environments.
**Qualifications**  
**Required:**  
* Bachelor's degree and a minimum of 8 years related technical experience required.
* An additional 4 years of experience may be substituted in lieu of a degree.
* **Proficiency in scripting and automation (Bash, Python, etc.).**
* **Proven experience with OpenShift and Kubernetes in production environments.**
* **Strong understanding of containerization principles (Docker, Podman, etc.).**
* Ability to work independently and collaboratively in a team environment.
* **Experience with Openshift/Kubernetes and other container\-based platforms.**
* Experience interfacing with clients, technical support personnel, and other technical professionals to ensure efficient and effective service.
* U.S. Citizenship is required.
* Ability to obtain a Top Secret security clearance with SCI eligibility required.
* In addition, selected candidate must be able to obtain and maintain a favorably adjudicated DHS background investigation to start and for continued employment.
**Preferred:**  
* **Experience with the Databricks Data and AI platform.**
* **Experience implementing and utilizing AI models to explore and refine data.**
* **Experience training task specific AI models for normalization and alerting.**
* Experience with SAFe Agile testing environments.
* Experience using OpenShift to run microservice architectures designed to manage scale of data transformation processes.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9">
      <c r="A169" t="inlineStr">
        <is>
          <t>in-331f5ebbba04fb30</t>
        </is>
      </c>
      <c r="B169" t="inlineStr">
        <is>
          <t>Data Scientist</t>
        </is>
      </c>
      <c r="C169" t="inlineStr">
        <is>
          <t>Peraton</t>
        </is>
      </c>
      <c r="D169" t="inlineStr">
        <is>
          <t>indeed</t>
        </is>
      </c>
      <c r="E169">
        <f>HYPERLINK("https://www.indeed.com/viewjob?jk=331f5ebbba04fb30", "https://www.indeed.com/viewjob?jk=331f5ebbba04fb30")</f>
        <v/>
      </c>
      <c r="F169">
        <f>HYPERLINK("https://www.careers.peraton.com/jobs/data-scientist-washington-d-c-162591-jobs--cms-scientific-research-analysis--", "https://www.careers.peraton.com/jobs/data-scientist-washington-d-c-162591-jobs--cms-scientific-research-analysis--")</f>
        <v/>
      </c>
      <c r="G169" t="inlineStr">
        <is>
          <t>Washington, DC, US</t>
        </is>
      </c>
      <c r="H169" s="3" t="n">
        <v>46029</v>
      </c>
      <c r="I16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Data Scientist with strong experience in ServiceNow and JavaScript to support mission\-critical programs in a cleared environment. This role focuses on leveraging advanced analytics, automation, and platform integrations within the ServiceNow ecosystem to deliver actionable insights for government and intelligence stakeholders. The ideal candidate will possess an active TS/SCI clearance with polygraph and a minimum of 5 years of hands\-on data science experience.  
Key Responsibilities  
* Design, develop, and deploy advanced data models, predictive analytics, and machine learning solutions in a classified environment
* Build and integrate data science solutions within the ServiceNow platform, including Performance Analytics, custom applications, and workflow automation
* Develop and maintain JavaScript code, including ServiceNow scripting (Business Rules, Script Includes, UI Policies, REST/SOAP APIs)
* Analyze large, complex datasets to identify trends, anomalies, and mission\-relevant insights
* Collaborate with government, intelligence, and internal technical teams to translate mission requirements into scalable analytics solutions
* Create dashboards, reports, and data visualizations to support operational and strategic decision\-making
* Ensure compliance with data security, governance, and classified handling requirements
* Provide technical leadership and mentorship to junior team members**Qualifications**
**Required Qualifications**  
* Bachelor's degree in Data Science, Computer Science, Statistics, Mathematics, or a related field (Master's preferred)
* 5\+ years of professional experience in data science, analytics, or a related technical role
* Active TS/SCI clearance with polygraph; or Active TS/SCI with ability to pass a polygraph
* Demonstrated experience with ServiceNow, including integrations, Performance Analytics, and/or custom application development
* Strong proficiency in JavaScript, particularly within the ServiceNow platform
* Experience with statistical analysis, machine learning algorithms, and predictive modeling techniques
* Strong SQL skills and experience working with large, complex datasets
* Ability to work effectively in a classified, on\-site environment
**Preferred Qualifications**  
* ServiceNow certifications (CSA, CAD, CIS, or Performance Analytics)
* Proficiency in Python or R for advanced analytics and model development
* Experience supporting DoD, IC, or other federal government customers
* Familiarity with cloud or hybrid environments in cleared settings
* Experience working in Agile/Scrum development environments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70">
      <c r="A170" t="inlineStr">
        <is>
          <t>in-b9d71d85f72adc43</t>
        </is>
      </c>
      <c r="B170" t="inlineStr">
        <is>
          <t>Data Scientist- Customer Modeling</t>
        </is>
      </c>
      <c r="C170" t="inlineStr">
        <is>
          <t>Holiday Inn Club Vacations</t>
        </is>
      </c>
      <c r="D170" t="inlineStr">
        <is>
          <t>indeed</t>
        </is>
      </c>
      <c r="E170">
        <f>HYPERLINK("https://www.indeed.com/viewjob?jk=b9d71d85f72adc43", "https://www.indeed.com/viewjob?jk=b9d71d85f72adc43")</f>
        <v/>
      </c>
      <c r="F170">
        <f>HYPERLINK("https://recruiting.ultipro.com/ORA1000OLCC/JobBoard/17560d62-b19a-4c09-9909-fe2b9c713df3/OpportunityDetail?opportunityId=b81ca355-3778-44e9-bbf2-cf109c65177e&amp;postingId=d4f98598-857c-4b66-b4b1-dc7e48f7c85f", "https://recruiting.ultipro.com/ORA1000OLCC/JobBoard/17560d62-b19a-4c09-9909-fe2b9c713df3/OpportunityDetail?opportunityId=b81ca355-3778-44e9-bbf2-cf109c65177e&amp;postingId=d4f98598-857c-4b66-b4b1-dc7e48f7c85f")</f>
        <v/>
      </c>
      <c r="G170" t="inlineStr">
        <is>
          <t>Orlando, FL, US</t>
        </is>
      </c>
      <c r="H170" s="3" t="n">
        <v>46029</v>
      </c>
      <c r="I170" t="inlineStr">
        <is>
          <t>At Holiday Inn Club Vacations, we believe in strengthening families. And we look for people who exhibit the courage, caring and creativity to help us become the most loved brand in family travel. We’re committed to growing our people, memberships, resorts and guest love. That’s why we need individuals who are passionate in life and bring those qualities to work every day. Do you instill confidence, trust and respect in those around you? Do you encourage success and build relationships? If so, we’re looking for you.
POSITION DESCRIPTION:
The Data Scientist, Customer Modeling is a core builder of our enterprise customer data and predictive analytics capability. This role transforms customer, behavioral, and performance data into predictive intelligence that drives activation, retention, optimized channel engagement, and long\-term customer value.
Partnering closely with Performance Marketing, Analytics, Audience Strategy, and Technology, this role will lead the development of a suite of predictive and propensity models and ensures they are aligned to business priorities, validated in\-market, and driving measurable ROI. The Data Scientist also provides leadership to an analyst who supports model development, validation, and exploratory analytics.
ESSENTIAL DUTIES AND TASKS (up to five):
% of Time (equals 100%)
* Lead predictive model development end\-to\-end
	+ Design, build, validate, deploy, and maintain a suite of propensity, attrition, LTV, and channel models that directly influence activation, retention, and ROI. (**30%)**
* Translate strategic business needs into modeling requirements
	+ Lead partnership with cross\-functional stakeholders to define outcomes, prioritize development, and ensure models reflect business rules, funnel dynamics, and performance drivers. **(20%)**
* Conduct deep data exploration and guide data engineering requirements
	+ Support the assessment of data quality, understand transformations, define feature needs, partner with Technology identifying gaps in EDW, data capture, and documentation that impact modeling integrity. **(25%)**
* Establish rigorous measurement and testing frameworks
	+ Including holdouts, back\-testing and lifecycle validation; continuously monitor model drift, re\-score, re\-train, and ensure KPIs (activation, usage, conversion, engagement, margin impact, etc) are accurately measured and communicated. **(15%)**
* Lead, mentor, and elevate analytical capability by overseeing an analyst supporting model development and validation, defining modeling best practices, and ensuring model outputs are understood, leveraged, and integrated into performance optimization across teams. **(10%)**
This job description in no way states or implies that these are the only duties to be performed by the employee in this position. It is not intended to give all details or a step\-by\-step account of the way each procedure or task is performed. The incumbent is expected to perform other duties necessary for the effective operation of the department.
SUPERVISORY RESPONSIBILITIES
Provides day\-to\-day leadership and oversight of 1\-2 analysts supporting modeling and validation efforts. Responsible for coaching, workload management, and establishing analytical standards for model development.
EDUCATION and/or EXPERIENCE
* BA/BS or MS in Data Science, Statistics, Computer Science, Applied Mathematics, or related quantitative field.
* 3–5\+ years of hands\-on predictive modeling experience (marketing, CRM, or revenue optimization preferred).
* Demonstrated expertise in Python, R, Azure ML machine learning frameworks, and SQL.
* Experience working with large\-scale data environments, customer lifecycle data, and marketing/test design frameworks.
* Experience collaborating with Data Engineering and Technology teams to define data requirements and pipelines.
CERTIFICATES, LICENSES, REGISTRATIONS
Valid driver’s license and reliable transportation (required). This role may include on\-site content capture at resorts and other properties.
QUALIFICATIONS
* Deep knowledge of statistical modeling, machine learning algorithms, and feature engineering.
* Ability to translate complex analytical findings into clear, actionable insights for non\-technical leaders.
* Strong critical\-thinking and problem\-solving skills grounded in business outcomes and operational feasibility.
* Skilled in managing long\-cycle testing and validating performance across upstream and downstream funnel metrics.
* Confident communicator able to influence stakeholders, guide interpretation of predictive outputs, and recommend actions.
* Self\-starter who thrives in fast\-paced, evolving environments and champions a culture of data\-driven decision\-making.
* High attention to detail and ability to move work forward quickly in a fast\-paced environment.
PHYSICAL DEMANDS
While performing the duties of this job, the employee may be required to sit or stand for extended periods of time, bend, twist, reach, push, pull, and operate office machinery. Must be able to lift up to thirty pounds.
WORKING CONDITIONS
The majority of work will be performed in a climate\-controlled office environment at the Corporate Headquarters in Orlando, Florida. Occasional travel to resorts and locations for content gathering may be required. Employee may be exposed to inclement weather and varying degrees of temperature while on property.
WORK SCHEDULE/HOURS
This is a hybrid role: four days per week in the Orlando corporate office, one day remote. Schedules may vary depending on business needs and may include occasional nights, weekends, and holidays.
Equal Opportunity Employer  
This employer is required to notify all applicants of their rights pursuant to federal employment laws. For further information, please review the Know Your Rights notice from the Department of Labor.</t>
        </is>
      </c>
    </row>
    <row r="171">
      <c r="A171" t="inlineStr">
        <is>
          <t>in-89a0b988227596a0</t>
        </is>
      </c>
      <c r="B171" t="inlineStr">
        <is>
          <t>Principal Applied Scientist - LLM Agents</t>
        </is>
      </c>
      <c r="C171" t="inlineStr">
        <is>
          <t>Oracle</t>
        </is>
      </c>
      <c r="D171" t="inlineStr">
        <is>
          <t>indeed</t>
        </is>
      </c>
      <c r="E171">
        <f>HYPERLINK("https://www.indeed.com/viewjob?jk=89a0b988227596a0", "https://www.indeed.com/viewjob?jk=89a0b988227596a0")</f>
        <v/>
      </c>
      <c r="F171">
        <f>HYPERLINK("https://eeho.fa.us2.oraclecloud.com/hcmUI/CandidateExperience/en/sites/CX_1/job/319268", "https://eeho.fa.us2.oraclecloud.com/hcmUI/CandidateExperience/en/sites/CX_1/job/319268")</f>
        <v/>
      </c>
      <c r="G171" t="inlineStr">
        <is>
          <t>US</t>
        </is>
      </c>
      <c r="H171" s="3" t="n">
        <v>46029</v>
      </c>
      <c r="I171" t="inlineStr">
        <is>
          <t>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t>
        </is>
      </c>
    </row>
    <row r="172">
      <c r="A172" t="inlineStr">
        <is>
          <t>in-77f009382b572020</t>
        </is>
      </c>
      <c r="B172" t="inlineStr">
        <is>
          <t>Health Data Scientist - AI &amp; Clinical Data (ARPA-H)</t>
        </is>
      </c>
      <c r="C172" t="inlineStr">
        <is>
          <t>Ripple Effect</t>
        </is>
      </c>
      <c r="D172" t="inlineStr">
        <is>
          <t>indeed</t>
        </is>
      </c>
      <c r="E172">
        <f>HYPERLINK("https://www.indeed.com/viewjob?jk=77f009382b572020", "https://www.indeed.com/viewjob?jk=77f009382b572020")</f>
        <v/>
      </c>
      <c r="F172">
        <f>HYPERLINK("https://apply.workable.com/j/FEB45FD4D6", "https://apply.workable.com/j/FEB45FD4D6")</f>
        <v/>
      </c>
      <c r="G172" t="inlineStr">
        <is>
          <t>Washington, DC, US</t>
        </is>
      </c>
      <c r="H172" s="3" t="n">
        <v>46029</v>
      </c>
      <c r="I172" t="inlineStr">
        <is>
          <t>**General Information**
* Job Code: SHR\-DM\-05T
* Location: On Site (Washington, D.C.)
* Employee Type: Exempt, Full\-Time Regular
* Telework: Ad hoc as determined by client
* Salary Range: $129,985\.76 \- $149,483\.62 per year (how we pay and promote)
* Citizenship: U.S. Citizen as required by client
**Position Overview**
**Are you passionate about turning complex data into actionable insights?**
As a Health Data Scientist focused on AI \&amp; Clinical Data supporting our client, you will play a pivotal role in shaping our success. This is a Science and Engineering and Technical Advisor (SETA) role in the Proactive Health Mission Office at the Advanced Research Projects Agency for Health (ARPA\-H) responsible for providing technical leadership in data design, evaluation strategy, and clinical realism for a multi\-stakeholder program advancing AI diagnostics for rare diseases. Successful candidates will operate at the intersection of health data, AI evaluation, and clinical practice, providing expert guidance to program leadership and external performers. You will ensure that datasets, benchmarks, and evaluation methods are scientifically rigorous, clinically grounded, and aligned with real\-world use so that technical progress translates into meaningful clinical insight and patient impact.
**Primary Responsibilities**
While not an exhaustive list, the key duties for the position include:
* Lead and advise on the design, preparation, and validation of healthcare datasets used across the program, including EHR, genomic, and multimodal data.
* Define and assess evaluation strategies and benchmarks that are clinically realistic, methodologically sound, and resistant to shortcut learning or leakage.
* Review technical proposals, model submissions, and evaluation results from external teams, providing expert feedback on validity, risks, and interpretability.
* Assess data quality, representativeness, and bias, and advise on mitigation strategies appropriate to rare disease contexts.
* Evaluate alignment between technical performance metrics and clinical decision\-making needs, working closely with clinical SMEs.
* Identify gaps between benchmark performance and real\-world applicability, and advise on corrective actions.
* Serve as a technical bridge between AI developers, clinical experts, and program leadership.
* Support the program manager with technical assessments, recommendations, and decision support related to data and evaluation.
* Track progress of external partners and identify data\- or evaluation\-related risks that could impact program outcomes.
* Produce high\-quality written reports, analyses, and presentations that communicate technical findings to diverse audiences.
**Requirements**
**Minimum Education and Experience:**
* PhD in Biomedical Informatics, Data Science, Biostatistics, or a related field.
* 7\+ years of relevant professional experience with
* + 5\+ years of experience working with healthcare or biomedical data in applied or evaluative roles.
**Basic Requirements:**
* Hands\-on experience with EHR, genomic, or multimodal healthcare datasets.
* Deep understanding of AI/ML evaluation methods, including benchmarking, robustness, and sources of bias or leakage.
* Demonstrated ability to critically review and assess technical work across health data and AI domains.
* Strong understanding of data governance, privacy, and compliance in healthcare contexts.
* Excellent written and verbal communication skills, with experience producing high\-quality technical materials.
* Intermediate experience with Microsoft Office productivity software and collaboration tools such as Microsoft Teams and SharePoint.
**Skills That Set You Apart:**
* Domain expertise in rare disease, diagnostics, or clinical decision support.
* Prior experience in technical advisory, evaluation, or SETA\-style roles.
* Experience collaborating closely with clinicians and healthcare stakeholders.
* Experience working in fast\-paced, multi\-stakeholder, or early\-stage environments.
**About Ripple Effect**
Ripple Effect is an award\-winning women\-owned, 200\-person company of communicators, scientists, researchers, and analysts. Established in 2003, and named as one of the “Best and Brightest Companies to Work For” since 2020, Ripple Effect has earned acclaim for delivering unparalleled consulting services and top\-tier talent across federal, private, and non\-profit sectors.
**Benefits**
At Ripple Effect, we reward our employees for their contributions to our mission. Our comprehensive total rewards package includes competitive pay, exceptional benefits, and a range of programs that support your work/life balance and personalized preferences.
Learn more about our benefits and culture here.</t>
        </is>
      </c>
    </row>
    <row r="173">
      <c r="A173" t="inlineStr">
        <is>
          <t>in-bc76bfed2445cd52</t>
        </is>
      </c>
      <c r="B173" t="inlineStr">
        <is>
          <t>Manager, Data Scientist - Alternate Data Strategy</t>
        </is>
      </c>
      <c r="C173" t="inlineStr">
        <is>
          <t>Information Technology Senior Management Forum</t>
        </is>
      </c>
      <c r="D173" t="inlineStr">
        <is>
          <t>indeed</t>
        </is>
      </c>
      <c r="E173">
        <f>HYPERLINK("https://www.indeed.com/viewjob?jk=bc76bfed2445cd52", "https://www.indeed.com/viewjob?jk=bc76bfed2445cd52")</f>
        <v/>
      </c>
      <c r="F173">
        <f>HYPERLINK("https://jobs.itsmfleaders.org/job/y9dw5h/manager-data-scientist-alternate-data-strategy/new-york/ny", "https://jobs.itsmfleaders.org/job/y9dw5h/manager-data-scientist-alternate-data-strategy/new-york/ny")</f>
        <v/>
      </c>
      <c r="G173" t="inlineStr">
        <is>
          <t>New York, NY, US</t>
        </is>
      </c>
      <c r="H173" s="3" t="n">
        <v>46029</v>
      </c>
      <c r="I173" t="inlineStr">
        <is>
          <t>Posted Date
1/08/2026
Description
Manager, Data Scientist \- Alternate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Alternate Data Strategy team works on bringing new innovative data for underwriting and decisioning. This role in the Alternative Data Strategy team, focuses on developing innovative and reliable solutions for evaluating alternative datasets, engineering features, ensuring data integrity, and enabling impact. The scope includes feature engineering, designing scalable systems for data processing and monitoring, and building challenger models to enhance existing ones across US Card using new data and involves cross\-functional collaboration and various learning opportunities.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Manager, Data Scientist \- Alternate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Alternate Data Strategy team works on bringing new innovative data for underwriting and decisioning. This role in the Alternative Data Strategy team, focuses on developing innovative and reliable solutions for evaluating alternative datasets, engineering features, ensuring data integrity, and enabling impact. The scope includes feature engineering, designing scalable systems for data processing and monitoring, and building challenger models to enhance existing ones across US Card using new data and involves cross\-functional collaboration and various learning opportunities.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197,300\.00 \- 225,100\.00 Annual
Type
Full\-time</t>
        </is>
      </c>
    </row>
    <row r="174">
      <c r="A174" t="inlineStr">
        <is>
          <t>in-674040a433d4bcdb</t>
        </is>
      </c>
      <c r="B174" t="inlineStr">
        <is>
          <t>Senior Associate, Data Scientist - Model Risk Office</t>
        </is>
      </c>
      <c r="C174" t="inlineStr">
        <is>
          <t>Information Technology Senior Management Forum</t>
        </is>
      </c>
      <c r="D174" t="inlineStr">
        <is>
          <t>indeed</t>
        </is>
      </c>
      <c r="E174">
        <f>HYPERLINK("https://www.indeed.com/viewjob?jk=674040a433d4bcdb", "https://www.indeed.com/viewjob?jk=674040a433d4bcdb")</f>
        <v/>
      </c>
      <c r="F174">
        <f>HYPERLINK("https://jobs.itsmfleaders.org/job/3swmzk/senior-associate-data-scientist-model-risk-office/chicago/il", "https://jobs.itsmfleaders.org/job/3swmzk/senior-associate-data-scientist-model-risk-office/chicago/il")</f>
        <v/>
      </c>
      <c r="G174" t="inlineStr">
        <is>
          <t>Chicago, IL, US</t>
        </is>
      </c>
      <c r="H174" s="3" t="n">
        <v>46029</v>
      </c>
      <c r="I174" t="inlineStr">
        <is>
          <t>Posted Date
1/08/2026
Description
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New York, NY: $148,000 \- $168,900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New York, NY: $148,000 \- $168,900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123,300\.00 \- 140,700\.00 Annual
Type
Full\-time</t>
        </is>
      </c>
    </row>
    <row r="175">
      <c r="A175" t="inlineStr">
        <is>
          <t>in-9c1d5947d6192580</t>
        </is>
      </c>
      <c r="B175" t="inlineStr">
        <is>
          <t>Data Scientist</t>
        </is>
      </c>
      <c r="C175" t="inlineStr">
        <is>
          <t>Central Health</t>
        </is>
      </c>
      <c r="D175" t="inlineStr">
        <is>
          <t>indeed</t>
        </is>
      </c>
      <c r="E175">
        <f>HYPERLINK("https://www.indeed.com/viewjob?jk=9c1d5947d6192580", "https://www.indeed.com/viewjob?jk=9c1d5947d6192580")</f>
        <v/>
      </c>
      <c r="F175">
        <f>HYPERLINK("https://careers-centralhealth.icims.com/jobs/10382/job?utm_source=indeed_integration&amp;iis=Job%20Board&amp;iisn=Indeed&amp;indeed-apply-token=73a2d2b2a8d6d5c0a62696875eaebd669103652d3f0c2cd5445d3e66b1592b0f", "https://careers-centralhealth.icims.com/jobs/10382/job?utm_source=indeed_integration&amp;iis=Job%20Board&amp;iisn=Indeed&amp;indeed-apply-token=73a2d2b2a8d6d5c0a62696875eaebd669103652d3f0c2cd5445d3e66b1592b0f")</f>
        <v/>
      </c>
      <c r="G175" t="inlineStr">
        <is>
          <t>Austin, TX, US</t>
        </is>
      </c>
      <c r="H175" s="3" t="n">
        <v>46029</v>
      </c>
      <c r="I175" t="inlineStr">
        <is>
          <t>Overview:
The Data Scientist supports Central Health’s mission to improve access to quality care for Travis County residents living at or below 200% of the Federal Poverty Income Level. Working under the guidance of the Principal Data Scientist, this position will help shape and advance the organization’s data science and AI ecosystem, building scalable, ethical, and high\-performing models on Central Health’s modern Azure–Snowflake data platform. The Data Scientist will collaborate closely with the Principal Data Scientist, Snowflake Engineer, Snowflake Architect, clinicians, operators and business teams to design, develop, and optimize a data platform that enables advanced analytics, predictive modeling, and AI applications across the enterprise.
Responsibilities:
Partner with the Principal Data Scientist to develop and implement data science and AI models that address clinical, operational, and population health challenges.  
Collaborate with the Snowflake Engineer and Architect to ensure that the data environment is optimized for analytics, machine learning, and model deployment.  
Design and execute experiments, model training, and validation pipelines using large\-scale healthcare data from Epic (Clarity/Caboodle), public health datasets, and other internal/external sources.  
Apply advanced statistical and machine learning techniques to identify patterns, forecast trends, and provide actionable insights that improve care delivery and health equity.  
Collaborate with analytics, data engineering, and IT teams to ensure reproducibility, scalability, and compliance with data governance, security, and privacy standards (HIPAA, 42 CFR Part 2, etc.).  
Contribute to the development of MLOps and AI governance practices to ensure responsible and transparent model lifecycle management.  
Communicate analytical findings to technical and non\-technical stakeholders through data storytelling, dashboards, and reports.  
Mentor analysts and assist with data science literacy efforts across the organization.  
Become a data subject matter expert (SME) and understand various sources and applications of Central Health data.  
Performs other duties as assigned.
Qualifications:
**MINIMUM EDUCATION:*** Doctoral or professional degree in Data Science, Statistics,  
Computer Science, Mathematics, Engineering, or a related quantitative field
**Work Experience:*** 3 years Applied experience in data science, statistical modeling, or machine learning (may include doctoral research). Required  
And  
1 year Experience working with large, complex healthcare datasets (EHR, claims, population health, or social determinants of health data). Required  
And  
2 years Demonstrated experience developing and deploying models in a cloud\-based environment (Azure, Snowflake preferred). Required  
And  
3 years Strong proficiency in Python, SQL, and common ML libraries (scikit\-learn, TensorFlow, PyTorch, etc.). Required And  
3 years Experience with Snowflake, Azure Machine Learning, Databricks, or similar modern data platforms. Required And Experience with Office 365 Suite \- Outlook, Excel,  
Word Preferred</t>
        </is>
      </c>
    </row>
    <row r="176">
      <c r="A176" t="inlineStr">
        <is>
          <t>in-a296e3cf07bf1942</t>
        </is>
      </c>
      <c r="B176" t="inlineStr">
        <is>
          <t>Data Scientist - Quantitative Research</t>
        </is>
      </c>
      <c r="C176" t="inlineStr">
        <is>
          <t>Blueprint Technologies</t>
        </is>
      </c>
      <c r="D176" t="inlineStr">
        <is>
          <t>indeed</t>
        </is>
      </c>
      <c r="E176">
        <f>HYPERLINK("https://www.indeed.com/viewjob?jk=a296e3cf07bf1942", "https://www.indeed.com/viewjob?jk=a296e3cf07bf1942")</f>
        <v/>
      </c>
      <c r="F176">
        <f>HYPERLINK("https://grnh.se/x2xpoaov1us", "https://grnh.se/x2xpoaov1us")</f>
        <v/>
      </c>
      <c r="G176" t="inlineStr">
        <is>
          <t>Seattle, WA, US</t>
        </is>
      </c>
      <c r="H176" s="3" t="n">
        <v>46029</v>
      </c>
      <c r="I176"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serve as a senior quantitative researcher, designing and analyzing large\-scale studies to inform product, design, and operational decisions that impact employee experience. You will act as an internal research partner, applying rigorous statistical and experimental methods to understand behavior, measure outcomes, and generate actionable insights. This role emphasizes survey research, inferential statistics, and close collaboration with cross\-functional stakeholders to improve tools, services, and environments used at scale.
**Responsibilities**
* Design, execute, and analyze large\-scale quantitative studies, including surveys, experiments, and observational research
* Apply inferential statistical methods such as regression analysis, hypothesis testing, and multivariate techniques to answer complex research questions
* Develop and implement sampling strategies, weighting approaches, and data quality checks to ensure statistical rigor and validity
* Analyze complex datasets using statistical programming languages and translate results into clear, actionable insights
* Communicate findings effectively to cross\-functional partners, including product, design, and research stakeholders
* Translate quantitative insights into practical recommendations that inform strategy, design decisions, and product improvements
* Collaborate with researchers and designers to refine research questions, measurement approaches, and success metrics
* Document methodologies, assumptions, limitations, and analytical decisions to support transparency and reproducibility
* Contribute to ongoing research programs through standardized metrics, dashboards, and analytical frameworks where appropriate
**Qualifications**
* Master's degree in a quantitative field such as statistics, psychology, economics, data science, sociology, or a related discipline
* 5–7 years of professional experience conducting quantitative analysis or research, ideally in a product, UX, or applied research environment
* Strong foundation in inferential statistics and applied quantitative methods
* Demonstrated experience designing and analyzing surveys or large\-scale quantitative studies
* Proficiency in statistical programming using tools such as Python or R
* Experience working with survey data, including questionnaire design, sampling, and weighting
* Ability to clearly explain complex analyses and findings to non\-technical audiences
* Strong analytical thinking, attention to detail, and problem\-solving skills
* Proven ability to collaborate effectively in cross\-functional, interdisciplinary teams
**Preferred Qualifications**
* Advanced degree (PhD preferred) in a quantitative or behavioral science discipline
* Background in quantitative psychology, behavioral science, or applied research methods
* Experience conducting UX, product, or behavioral research
* Familiarity with experimental design, A/B testing, or causal inference techniques
* Experience translating quantitative research findings into concrete design or product decisions
* Comfort supporting standardized metrics, dashboards, or longitudinal research programs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**$93,000 to $103,000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believes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100% Remote**</t>
        </is>
      </c>
    </row>
    <row r="177">
      <c r="A177" t="inlineStr">
        <is>
          <t>in-51577be8cd7a078a</t>
        </is>
      </c>
      <c r="B177" t="inlineStr">
        <is>
          <t>Data Scientist, Demand Forecasting</t>
        </is>
      </c>
      <c r="C177" t="inlineStr">
        <is>
          <t>Barnes &amp; Noble</t>
        </is>
      </c>
      <c r="D177" t="inlineStr">
        <is>
          <t>indeed</t>
        </is>
      </c>
      <c r="E177">
        <f>HYPERLINK("https://www.indeed.com/viewjob?jk=51577be8cd7a078a", "https://www.indeed.com/viewjob?jk=51577be8cd7a078a")</f>
        <v/>
      </c>
      <c r="F177">
        <f>HYPERLINK("https://careers.barnesandnoble.com/job/Data-Scientist,-Demand-Forecasting-88815BR", "https://careers.barnesandnoble.com/job/Data-Scientist,-Demand-Forecasting-88815BR")</f>
        <v/>
      </c>
      <c r="G177" t="inlineStr">
        <is>
          <t>New York, NY, US</t>
        </is>
      </c>
      <c r="H177" s="3" t="n">
        <v>46029</v>
      </c>
      <c r="I177" t="inlineStr">
        <is>
          <t>Title: Data Scientist, Demand Forecasting
Category: Merchandising \&amp; Product Development
EmploymentType: Full\-Time
Location: NY\-New York (Union Square)
LocationType: corporate
JobLocation: New York, New York 10003
JobSummary: We're seeking a highly skilled Data Scientist to join our team, with a focus on demand forecasting and supply planning. In this role, you will train and implement demand forecasting algorithms using modern machine learning techniques, driving measurable improvements in forecast accuracy. These demand forecasts will be used to support buying and replenishment decisions for all products in our stores and distribution centers. This is a critical role in driving business success. By developing and deploying advanced analytics solutions to inform inventory purchasing decisions, you will help ensure high stock availability while reducing our inventory investment.  
This is a hybrid position requiring 2\-3 days in our NY office.  
An employee in this position can expect an annual starting rate between $100,000 \- $120,000 depending on experience, seniority, geographic locations, and other factors permitted by law.
WhatYouDo:
The Data Scientist, Demand Forecasting role supports our buying teams with the key tools and information needed to run the business. You are instrumental in advancing our Demand Planning, analytical capability, data quality, and forecasting tools used by multiple internal B\&amp;N partners. This role will have a direct impact on our ability to improve forecast accuracy and drive business growth with optimized inventory levels. Day to day you will:  
* Develop and deploy demand forecasting models using machine learning and statistical techniques
* Collaborate with IT to implement models in production, ensuring seamless integration with existing systems
* Guide data engineering efforts to improve analytical capabilities, including data governance, quality, architecture, and tooling
* Analyze large datasets to inform business decisions, identifying trends, opportunities, and challenges
* Communicate complex technical concepts to non\-technical stakeholders, providing actionable insights and recommendations
* Stay up to date on changes in the field of forecasting, including the use of AI, to improve and scale forecasting capabilities
Knowledge\&amp;Experience:
Success in this role requires high attention to detail, excellent analytical abilities, and strong business acumen. We’re seeking someone with:  
* A degree in Computer Science, Statistics, Mathematics, or related field
* 3\-5 years of experience in data science, with a focus on time\-series analysis, regression analysis and machine learning
* Strong technical skills in programming languages such as Python, R, and SQL
* Experience with machine learning frameworks such as TensorFlow, PyTorch, or scikit\-learn
* Excellent leadership and collaboration skills, with experience working with cross\-functional teams
* Strong communication and presentation skills, with ability to distill complex concepts into actionable insights
* Experience with cloud\-based technologies and data engineering tools such as Databricks and Azure
* Familiarity with agile development methodologies and DevOps practices
* Knowledge of retail operations, merchandising and supply chain processes
* Must be able to work our of our NY office 2 \- 3 days/week
EeoStatement: Barnes \&amp; Noble is an equal opportunity and affirmative action employer. All qualified applicants will receive consideration for employment without regard to age, race, color, ancestry, national origin, citizenship status, military or veteran status, religion, creed, disability, sex, sexual orientation, marital status, medical condition as defined by applicable law, genetic information, gender, gender identity, gender expression, hairstyle, pregnancy, childbirth and related medical conditions, reproductive health decisions, or any other characteristic protected by applicable federal, state, or local laws and ordinances.</t>
        </is>
      </c>
    </row>
    <row r="178">
      <c r="A178" t="inlineStr">
        <is>
          <t>in-3a50efae4cd9f3de</t>
        </is>
      </c>
      <c r="B178" t="inlineStr">
        <is>
          <t>Data Scientist</t>
        </is>
      </c>
      <c r="C178" t="inlineStr">
        <is>
          <t>Red Arch Solutions</t>
        </is>
      </c>
      <c r="D178" t="inlineStr">
        <is>
          <t>indeed</t>
        </is>
      </c>
      <c r="E178">
        <f>HYPERLINK("https://www.indeed.com/viewjob?jk=3a50efae4cd9f3de", "https://www.indeed.com/viewjob?jk=3a50efae4cd9f3de")</f>
        <v/>
      </c>
      <c r="F178">
        <f>HYPERLINK("https://redarchsolutions.applytojob.com/apply/Mc6qU0JICj/Data-Scientist?source=INDE&amp;~", "https://redarchsolutions.applytojob.com/apply/Mc6qU0JICj/Data-Scientist?source=INDE&amp;~")</f>
        <v/>
      </c>
      <c r="G178" t="inlineStr">
        <is>
          <t>Reston, VA, US</t>
        </is>
      </c>
      <c r="H178" s="3" t="n">
        <v>46029</v>
      </c>
      <c r="I178" t="inlineStr">
        <is>
          <t>**Active TS/S****CI with Polygraph (required)**
===============================================
**Summary:**
------------
Red Arch Solutions is seeking a Data Scientist to join a small, dynamic team working with a federal agency in the Washington DC Metro area.  
**Position Details:**
* The candidate will lead metadata management efforts, including stakeholder engagement, user support, Standard Operating Procedures (SOP) development, requirements analysis, and oversight of catalog content. This entails monitoring enterprise metadata management activities by leading cataloging efforts, refining data governance processes, and ensuring compliance with evolving IC policy.
* Developing requirements based on needs obtained from users.
* DIA, DoD, and IC infrastructure, policies, and practices.
* Cross\-agency data governance working groups to align metadata practices.
**Specific skills and experience:*** Microsoft 365 Office Suite (Word, Excel, SharePoint, Teams, OneDrive), Google Suite,
* Adobe, ArcGIS, Collibra, Confluence/Jira, Miro, and IC\-Spaces.
* Knowledge Management
* Data Governance
**Required Skills and Experience:*** Interfaces with the user agencies. Performs conceptual and logical modeling of the data. Supports the definition of the data input \&amp; outputs
* **12 years experience. Experience working with users to help define their database use, data analytics, and the data user experience.** (BS degree can be used in lieu of 4 years of experience, Masters degree can be used in lieu of 6 years of experience) \#CJ
***The Red Arch Solutions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**Red Arch Solutions Benefits Snapshot:**
* 100% paid employee healthcare premiums. CareFirst Advantage Best in Class Benefits.
* HaloScripts Concierge prescription medication service
* Generous PTO.
* 10 % 401K 6% match vested day one and up to 4% profit sharing contribution.
* Annualized bonus compensation.
* Spot bonuses for hard work.
* Tuition reimbursement.
* 529 College Saving Plan.
* College Loan Pay Back Program.
* 11 Paid Federal Holidays
* Generous Referral Bonuses.
*Red Arch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Have more questions about Red Arch? Email us at Careers@RedArchSolutions.com
Mc6qU0JICj</t>
        </is>
      </c>
    </row>
    <row r="179">
      <c r="A179" t="inlineStr">
        <is>
          <t>in-fa416c488bb51542</t>
        </is>
      </c>
      <c r="B179" t="inlineStr">
        <is>
          <t>Marketing Applied Scientist</t>
        </is>
      </c>
      <c r="C179" t="inlineStr">
        <is>
          <t>Uber</t>
        </is>
      </c>
      <c r="D179" t="inlineStr">
        <is>
          <t>indeed</t>
        </is>
      </c>
      <c r="E179">
        <f>HYPERLINK("https://www.indeed.com/viewjob?jk=fa416c488bb51542", "https://www.indeed.com/viewjob?jk=fa416c488bb51542")</f>
        <v/>
      </c>
      <c r="F179">
        <f>HYPERLINK("https://tnl2.jometer.com/v2/job?jz=5wqzscf6c10efd19d8f8017afcdfe317bf6c8KIAAKAAAAABQ&amp;iis=Job%20Board%20-%20Recruitment%20Marketing&amp;iisn=Indeed%20Organic", "https://tnl2.jometer.com/v2/job?jz=5wqzscf6c10efd19d8f8017afcdfe317bf6c8KIAAKAAAAABQ&amp;iis=Job%20Board%20-%20Recruitment%20Marketing&amp;iisn=Indeed%20Organic")</f>
        <v/>
      </c>
      <c r="G179" t="inlineStr">
        <is>
          <t>San Francisco, CA, US</t>
        </is>
      </c>
      <c r="H179" s="3" t="n">
        <v>46029</v>
      </c>
      <c r="I179" t="inlineStr">
        <is>
          <t>**About the Role**
We are looking for an Applied Scientist to join our team to solve interesting and impactful business problems in the domain of marketing analytics and ad tech. Ideal candidates need to have strong curiosity on data, and demonstrable ability to successfully apply rigorous scientific methods with proficiency in data analytics knowledge and technical capabilities. This is a unique opportunity to apply your skills and have a direct impact on global business.
**What the Candidate Will Do**  
* Strong expertise in experimentation design and causal inference methodology, accountable for the end\-to\-end Paid channel incrementality and optimization testings
* Build production grade models on large\-scale datasets to optimize marketing performance by utilizing advanced statistical modeling, machine learning, and optimization modeling etc
* Use models to address key growth challenges and provide meaningful insights on problems in Channel Optimization including user value modeling, bidding optimization, targeting optimization etc
* Work with cross\-functional teams to implement and deploy models and improve analytical solutions by providing data\-driven recommendations.
* Use large scale data processing such as Spark, Hive, and Uber's proprietary machine learning platform, and more
Collaborate with marketing leadership, product and engineering teams. Participate in project planning/prioritization meetings, partner meetings, data prioritization meetings, etc  
* 
**\- Basic Qualifications \-**  
* Master's degree in Statistics, Operations Research, Math, or another quantitative field.
* Relevant experience in machine learning, optimization and advanced analytics
* Expertise with Python
Advanced SQL skills \- comfortable working with very large data sets  
* 
**\- Preferred Qualifications \-**  
* Experience with big data using technologies like Hadoop, Hive, and Spark a plus
* Previous experience in advertising tech (e.g. market response modeling, forecasting, attribution, targeting, 3rd party data integration, and etc) is a plus
* Great communication skills, organized, able to multitask, and be a great teammate
* Ability to balance attention to detail with swift execution
Hunger and drive to learn complex topics  
*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0">
      <c r="A180" t="inlineStr">
        <is>
          <t>in-b063e2fe64c1974b</t>
        </is>
      </c>
      <c r="B180" t="inlineStr">
        <is>
          <t>Marketing Applied Scientist</t>
        </is>
      </c>
      <c r="C180" t="inlineStr">
        <is>
          <t>Uber</t>
        </is>
      </c>
      <c r="D180" t="inlineStr">
        <is>
          <t>indeed</t>
        </is>
      </c>
      <c r="E180">
        <f>HYPERLINK("https://www.indeed.com/viewjob?jk=b063e2fe64c1974b", "https://www.indeed.com/viewjob?jk=b063e2fe64c1974b")</f>
        <v/>
      </c>
      <c r="F180">
        <f>HYPERLINK("https://tnl2.jometer.com/v2/job?jz=5wqzsa5c289ba04c91272c5e9285013f3e7deKIAAKAAAAABQ&amp;iis=Job%20Board%20-%20Recruitment%20Marketing&amp;iisn=Indeed%20Organic", "https://tnl2.jometer.com/v2/job?jz=5wqzsa5c289ba04c91272c5e9285013f3e7deKIAAKAAAAABQ&amp;iis=Job%20Board%20-%20Recruitment%20Marketing&amp;iisn=Indeed%20Organic")</f>
        <v/>
      </c>
      <c r="G180" t="inlineStr">
        <is>
          <t>New York, NY, US</t>
        </is>
      </c>
      <c r="H180" s="3" t="n">
        <v>46029</v>
      </c>
      <c r="I180" t="inlineStr">
        <is>
          <t>**About the Role**
We are looking for an Applied Scientist to join our team to solve interesting and impactful business problems in the domain of marketing analytics and ad tech. Ideal candidates need to have strong curiosity on data, and demonstrable ability to successfully apply rigorous scientific methods with proficiency in data analytics knowledge and technical capabilities. This is a unique opportunity to apply your skills and have a direct impact on global business.
**What the Candidate Will Do**  
* Strong expertise in experimentation design and causal inference methodology, accountable for the end\-to\-end Paid channel incrementality and optimization testings
* Build production grade models on large\-scale datasets to optimize marketing performance by utilizing advanced statistical modeling, machine learning, and optimization modeling etc
* Use models to address key growth challenges and provide meaningful insights on problems in Channel Optimization including user value modeling, bidding optimization, targeting optimization etc
* Work with cross\-functional teams to implement and deploy models and improve analytical solutions by providing data\-driven recommendations.
* Use large scale data processing such as Spark, Hive, and Uber's proprietary machine learning platform, and more
Collaborate with marketing leadership, product and engineering teams. Participate in project planning/prioritization meetings, partner meetings, data prioritization meetings, etc  
* 
**\- Basic Qualifications \-**  
* Master's degree in Statistics, Operations Research, Math, or another quantitative field.
* Relevant experience in machine learning, optimization and advanced analytics
* Expertise with Python
Advanced SQL skills \- comfortable working with very large data sets  
* 
**\- Preferred Qualifications \-**  
* Experience with big data using technologies like Hadoop, Hive, and Spark a plus
* Previous experience in advertising tech (e.g. market response modeling, forecasting, attribution, targeting, 3rd party data integration, and etc) is a plus
* Great communication skills, organized, able to multitask, and be a great teammate
* Ability to balance attention to detail with swift execution
Hunger and drive to learn complex topics  
*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1">
      <c r="A181" t="inlineStr">
        <is>
          <t>in-8afd7bc1877afe45</t>
        </is>
      </c>
      <c r="B181" t="inlineStr">
        <is>
          <t>Data Scientist - Mobile Growth</t>
        </is>
      </c>
      <c r="C181" t="inlineStr">
        <is>
          <t>Electronic Arts</t>
        </is>
      </c>
      <c r="D181" t="inlineStr">
        <is>
          <t>indeed</t>
        </is>
      </c>
      <c r="E181">
        <f>HYPERLINK("https://www.indeed.com/viewjob?jk=8afd7bc1877afe45", "https://www.indeed.com/viewjob?jk=8afd7bc1877afe45")</f>
        <v/>
      </c>
      <c r="F181">
        <f>HYPERLINK("https://jobs.ea.com/en_US/careers/JobDetail/Data-Scientist-Mobile-Growth/211632", "https://jobs.ea.com/en_US/careers/JobDetail/Data-Scientist-Mobile-Growth/211632")</f>
        <v/>
      </c>
      <c r="G181" t="inlineStr">
        <is>
          <t>Kirkland, WA, US</t>
        </is>
      </c>
      <c r="H181" s="3" t="n">
        <v>46029</v>
      </c>
      <c r="I181" t="inlineStr">
        <is>
          <t>### **General Information**
**Locations**: Kirkland, Washington, United States of America
* Location: Kirkland
* Country: United States of America
* Location: Los Angeles \- Del Rey
* Country: United States of America
* Location: Austin
* Country: United States of America
* Location: Orlando
* Country: United States of America
Role ID
211632
Worker Type
Regular Employee
Studio/Department
CT \- Data \&amp; Insights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82">
      <c r="A182" t="inlineStr">
        <is>
          <t>in-5ba62bdeba1550c3</t>
        </is>
      </c>
      <c r="B182" t="inlineStr">
        <is>
          <t>Applied Scientist, Artificial General Intelligence</t>
        </is>
      </c>
      <c r="C182" t="inlineStr">
        <is>
          <t>Amazon.com</t>
        </is>
      </c>
      <c r="D182" t="inlineStr">
        <is>
          <t>indeed</t>
        </is>
      </c>
      <c r="E182">
        <f>HYPERLINK("https://www.indeed.com/viewjob?jk=5ba62bdeba1550c3", "https://www.indeed.com/viewjob?jk=5ba62bdeba1550c3")</f>
        <v/>
      </c>
      <c r="F182">
        <f>HYPERLINK("https://www.amazon.jobs/jobs/3104517/applied-scientist-artificial-general-intelligence?cmpid=DA_INAD200785B", "https://www.amazon.jobs/jobs/3104517/applied-scientist-artificial-general-intelligence?cmpid=DA_INAD200785B")</f>
        <v/>
      </c>
      <c r="G182" t="inlineStr">
        <is>
          <t>Bellevue, WA, US</t>
        </is>
      </c>
      <c r="H182" s="3" t="n">
        <v>45937</v>
      </c>
      <c r="I1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in-8cef9d0694f1a141</t>
        </is>
      </c>
      <c r="B183" t="inlineStr">
        <is>
          <t>Applied Scientist, Artificial General Intelligence</t>
        </is>
      </c>
      <c r="C183" t="inlineStr">
        <is>
          <t>Amazon.com</t>
        </is>
      </c>
      <c r="D183" t="inlineStr">
        <is>
          <t>indeed</t>
        </is>
      </c>
      <c r="E183">
        <f>HYPERLINK("https://www.indeed.com/viewjob?jk=8cef9d0694f1a141", "https://www.indeed.com/viewjob?jk=8cef9d0694f1a141")</f>
        <v/>
      </c>
      <c r="F183">
        <f>HYPERLINK("https://www.amazon.jobs/jobs/3104517/applied-scientist-artificial-general-intelligence?cmpid=DA_INAD200785B", "https://www.amazon.jobs/jobs/3104517/applied-scientist-artificial-general-intelligence?cmpid=DA_INAD200785B")</f>
        <v/>
      </c>
      <c r="G183" t="inlineStr">
        <is>
          <t>New York, NY, US</t>
        </is>
      </c>
      <c r="H183" s="3" t="n">
        <v>45937</v>
      </c>
      <c r="I1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in-56d00136be146c86</t>
        </is>
      </c>
      <c r="B184" t="inlineStr">
        <is>
          <t>Applied Scientist, Artificial General Intelligence</t>
        </is>
      </c>
      <c r="C184" t="inlineStr">
        <is>
          <t>Amazon.com</t>
        </is>
      </c>
      <c r="D184" t="inlineStr">
        <is>
          <t>indeed</t>
        </is>
      </c>
      <c r="E184">
        <f>HYPERLINK("https://www.indeed.com/viewjob?jk=56d00136be146c86", "https://www.indeed.com/viewjob?jk=56d00136be146c86")</f>
        <v/>
      </c>
      <c r="F184">
        <f>HYPERLINK("https://www.amazon.jobs/jobs/3104517/applied-scientist-artificial-general-intelligence?cmpid=DA_INAD200785B", "https://www.amazon.jobs/jobs/3104517/applied-scientist-artificial-general-intelligence?cmpid=DA_INAD200785B")</f>
        <v/>
      </c>
      <c r="G184" t="inlineStr">
        <is>
          <t>Seattle, WA, US</t>
        </is>
      </c>
      <c r="H184" s="3" t="n">
        <v>45937</v>
      </c>
      <c r="I1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in-2b9fe950295ca682</t>
        </is>
      </c>
      <c r="B185" t="inlineStr">
        <is>
          <t>Applied Scientist, Artificial General Intelligence</t>
        </is>
      </c>
      <c r="C185" t="inlineStr">
        <is>
          <t>Amazon.com</t>
        </is>
      </c>
      <c r="D185" t="inlineStr">
        <is>
          <t>indeed</t>
        </is>
      </c>
      <c r="E185">
        <f>HYPERLINK("https://www.indeed.com/viewjob?jk=2b9fe950295ca682", "https://www.indeed.com/viewjob?jk=2b9fe950295ca682")</f>
        <v/>
      </c>
      <c r="F185">
        <f>HYPERLINK("https://www.amazon.jobs/jobs/3104517/applied-scientist-artificial-general-intelligence?cmpid=DA_INAD200785B", "https://www.amazon.jobs/jobs/3104517/applied-scientist-artificial-general-intelligence?cmpid=DA_INAD200785B")</f>
        <v/>
      </c>
      <c r="G185" t="inlineStr">
        <is>
          <t>Sunnyvale, CA, US</t>
        </is>
      </c>
      <c r="H185" s="3" t="n">
        <v>45937</v>
      </c>
      <c r="I1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in-a245f66bf52476f7</t>
        </is>
      </c>
      <c r="B186" t="inlineStr">
        <is>
          <t>Applied Scientist II, Prime Video - Personalization and Discovery Science, Personalization and Discovery Science</t>
        </is>
      </c>
      <c r="C186" t="inlineStr">
        <is>
          <t>Amazon.com</t>
        </is>
      </c>
      <c r="D186" t="inlineStr">
        <is>
          <t>indeed</t>
        </is>
      </c>
      <c r="E186">
        <f>HYPERLINK("https://www.indeed.com/viewjob?jk=a245f66bf52476f7", "https://www.indeed.com/viewjob?jk=a245f66bf52476f7")</f>
        <v/>
      </c>
      <c r="F18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6" t="inlineStr">
        <is>
          <t>New York, NY, US</t>
        </is>
      </c>
      <c r="H186" s="3"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in-9eb976b39496a894</t>
        </is>
      </c>
      <c r="B187" t="inlineStr">
        <is>
          <t>Applied Scientist II, Prime Video - Personalization and Discovery Science, Personalization and Discovery Science</t>
        </is>
      </c>
      <c r="C187" t="inlineStr">
        <is>
          <t>Amazon.com</t>
        </is>
      </c>
      <c r="D187" t="inlineStr">
        <is>
          <t>indeed</t>
        </is>
      </c>
      <c r="E187">
        <f>HYPERLINK("https://www.indeed.com/viewjob?jk=9eb976b39496a894", "https://www.indeed.com/viewjob?jk=9eb976b39496a894")</f>
        <v/>
      </c>
      <c r="F18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7" t="inlineStr">
        <is>
          <t>Sunnyvale, CA, US</t>
        </is>
      </c>
      <c r="H187" s="3" t="n">
        <v>45930</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in-227318ba35adddce</t>
        </is>
      </c>
      <c r="B188" t="inlineStr">
        <is>
          <t>Applied Scientist II, Prime Video - Personalization and Discovery Science, Personalization and Discovery Science</t>
        </is>
      </c>
      <c r="C188" t="inlineStr">
        <is>
          <t>Amazon.com</t>
        </is>
      </c>
      <c r="D188" t="inlineStr">
        <is>
          <t>indeed</t>
        </is>
      </c>
      <c r="E188">
        <f>HYPERLINK("https://www.indeed.com/viewjob?jk=227318ba35adddce", "https://www.indeed.com/viewjob?jk=227318ba35adddce")</f>
        <v/>
      </c>
      <c r="F18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8" t="inlineStr">
        <is>
          <t>Seattle, WA, US</t>
        </is>
      </c>
      <c r="H188" s="3"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in-f5635232e8d0421e</t>
        </is>
      </c>
      <c r="B189" t="inlineStr">
        <is>
          <t>Principal Applied Scientist, Artificial General Intelligence</t>
        </is>
      </c>
      <c r="C189" t="inlineStr">
        <is>
          <t>Amazon.com</t>
        </is>
      </c>
      <c r="D189" t="inlineStr">
        <is>
          <t>indeed</t>
        </is>
      </c>
      <c r="E189">
        <f>HYPERLINK("https://www.indeed.com/viewjob?jk=f5635232e8d0421e", "https://www.indeed.com/viewjob?jk=f5635232e8d0421e")</f>
        <v/>
      </c>
      <c r="F189">
        <f>HYPERLINK("https://www.amazon.jobs/jobs/3092462/principal-applied-scientist-artificial-general-intelligence?cmpid=DA_INAD200785B", "https://www.amazon.jobs/jobs/3092462/principal-applied-scientist-artificial-general-intelligence?cmpid=DA_INAD200785B")</f>
        <v/>
      </c>
      <c r="G189" t="inlineStr">
        <is>
          <t>New York, NY, US</t>
        </is>
      </c>
      <c r="H189" s="3" t="n">
        <v>45923</v>
      </c>
      <c r="I1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in-95f59cfcb03fcb94</t>
        </is>
      </c>
      <c r="B190" t="inlineStr">
        <is>
          <t>Principal Applied Scientist, Artificial General Intelligence</t>
        </is>
      </c>
      <c r="C190" t="inlineStr">
        <is>
          <t>Amazon.com</t>
        </is>
      </c>
      <c r="D190" t="inlineStr">
        <is>
          <t>indeed</t>
        </is>
      </c>
      <c r="E190">
        <f>HYPERLINK("https://www.indeed.com/viewjob?jk=95f59cfcb03fcb94", "https://www.indeed.com/viewjob?jk=95f59cfcb03fcb94")</f>
        <v/>
      </c>
      <c r="F190">
        <f>HYPERLINK("https://www.amazon.jobs/jobs/3092462/principal-applied-scientist-artificial-general-intelligence?cmpid=DA_INAD200785B", "https://www.amazon.jobs/jobs/3092462/principal-applied-scientist-artificial-general-intelligence?cmpid=DA_INAD200785B")</f>
        <v/>
      </c>
      <c r="G190" t="inlineStr">
        <is>
          <t>Sunnyvale, CA, US</t>
        </is>
      </c>
      <c r="H190" s="3" t="n">
        <v>45923</v>
      </c>
      <c r="I1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in-db0b0148e7482518</t>
        </is>
      </c>
      <c r="B191" t="inlineStr">
        <is>
          <t>Principal Applied Scientist, Artificial General Intelligence</t>
        </is>
      </c>
      <c r="C191" t="inlineStr">
        <is>
          <t>Amazon.com</t>
        </is>
      </c>
      <c r="D191" t="inlineStr">
        <is>
          <t>indeed</t>
        </is>
      </c>
      <c r="E191">
        <f>HYPERLINK("https://www.indeed.com/viewjob?jk=db0b0148e7482518", "https://www.indeed.com/viewjob?jk=db0b0148e7482518")</f>
        <v/>
      </c>
      <c r="F191">
        <f>HYPERLINK("https://www.amazon.jobs/jobs/3092462/principal-applied-scientist-artificial-general-intelligence?cmpid=DA_INAD200785B", "https://www.amazon.jobs/jobs/3092462/principal-applied-scientist-artificial-general-intelligence?cmpid=DA_INAD200785B")</f>
        <v/>
      </c>
      <c r="G191" t="inlineStr">
        <is>
          <t>Bellevue, WA, US</t>
        </is>
      </c>
      <c r="H191" s="3" t="n">
        <v>45923</v>
      </c>
      <c r="I1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in-ed223c44508320ca</t>
        </is>
      </c>
      <c r="B192" t="inlineStr">
        <is>
          <t>Principal Applied Scientist, Artificial General Intelligence</t>
        </is>
      </c>
      <c r="C192" t="inlineStr">
        <is>
          <t>Amazon.com</t>
        </is>
      </c>
      <c r="D192" t="inlineStr">
        <is>
          <t>indeed</t>
        </is>
      </c>
      <c r="E192">
        <f>HYPERLINK("https://www.indeed.com/viewjob?jk=ed223c44508320ca", "https://www.indeed.com/viewjob?jk=ed223c44508320ca")</f>
        <v/>
      </c>
      <c r="F192">
        <f>HYPERLINK("https://www.amazon.jobs/jobs/3092462/principal-applied-scientist-artificial-general-intelligence?cmpid=DA_INAD200785B", "https://www.amazon.jobs/jobs/3092462/principal-applied-scientist-artificial-general-intelligence?cmpid=DA_INAD200785B")</f>
        <v/>
      </c>
      <c r="G192" t="inlineStr">
        <is>
          <t>Boston, MA, US</t>
        </is>
      </c>
      <c r="H192" s="3" t="n">
        <v>45923</v>
      </c>
      <c r="I1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in-46c9a3c9567fe2fd</t>
        </is>
      </c>
      <c r="B193" t="inlineStr">
        <is>
          <t>Senior Applied Scientist, Artificial General Intelligence</t>
        </is>
      </c>
      <c r="C193" t="inlineStr">
        <is>
          <t>Amazon.com</t>
        </is>
      </c>
      <c r="D193" t="inlineStr">
        <is>
          <t>indeed</t>
        </is>
      </c>
      <c r="E193">
        <f>HYPERLINK("https://www.indeed.com/viewjob?jk=46c9a3c9567fe2fd", "https://www.indeed.com/viewjob?jk=46c9a3c9567fe2fd")</f>
        <v/>
      </c>
      <c r="F193">
        <f>HYPERLINK("https://www.amazon.jobs/jobs/3091494/senior-applied-scientist-artificial-general-intelligence?cmpid=DA_INAD200785B", "https://www.amazon.jobs/jobs/3091494/senior-applied-scientist-artificial-general-intelligence?cmpid=DA_INAD200785B")</f>
        <v/>
      </c>
      <c r="G193" t="inlineStr">
        <is>
          <t>Sunnyvale, CA, US</t>
        </is>
      </c>
      <c r="H193" s="3" t="n">
        <v>45922</v>
      </c>
      <c r="I1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in-b22921a2ae09fc04</t>
        </is>
      </c>
      <c r="B194" t="inlineStr">
        <is>
          <t>Senior Applied Scientist, Artificial General Intelligence</t>
        </is>
      </c>
      <c r="C194" t="inlineStr">
        <is>
          <t>Amazon.com</t>
        </is>
      </c>
      <c r="D194" t="inlineStr">
        <is>
          <t>indeed</t>
        </is>
      </c>
      <c r="E194">
        <f>HYPERLINK("https://www.indeed.com/viewjob?jk=b22921a2ae09fc04", "https://www.indeed.com/viewjob?jk=b22921a2ae09fc04")</f>
        <v/>
      </c>
      <c r="F194">
        <f>HYPERLINK("https://www.amazon.jobs/jobs/3091494/senior-applied-scientist-artificial-general-intelligence?cmpid=DA_INAD200785B", "https://www.amazon.jobs/jobs/3091494/senior-applied-scientist-artificial-general-intelligence?cmpid=DA_INAD200785B")</f>
        <v/>
      </c>
      <c r="G194" t="inlineStr">
        <is>
          <t>Seattle, WA, US</t>
        </is>
      </c>
      <c r="H194" s="3" t="n">
        <v>45922</v>
      </c>
      <c r="I1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in-518820d8bb4d07f7</t>
        </is>
      </c>
      <c r="B195" t="inlineStr">
        <is>
          <t>Senior Applied Scientist, Artificial General Intelligence</t>
        </is>
      </c>
      <c r="C195" t="inlineStr">
        <is>
          <t>Amazon.com</t>
        </is>
      </c>
      <c r="D195" t="inlineStr">
        <is>
          <t>indeed</t>
        </is>
      </c>
      <c r="E195">
        <f>HYPERLINK("https://www.indeed.com/viewjob?jk=518820d8bb4d07f7", "https://www.indeed.com/viewjob?jk=518820d8bb4d07f7")</f>
        <v/>
      </c>
      <c r="F195">
        <f>HYPERLINK("https://www.amazon.jobs/jobs/3091494/senior-applied-scientist-artificial-general-intelligence?cmpid=DA_INAD200785B", "https://www.amazon.jobs/jobs/3091494/senior-applied-scientist-artificial-general-intelligence?cmpid=DA_INAD200785B")</f>
        <v/>
      </c>
      <c r="G195" t="inlineStr">
        <is>
          <t>Boston, MA, US</t>
        </is>
      </c>
      <c r="H195" s="3" t="n">
        <v>45922</v>
      </c>
      <c r="I1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in-3228d0e6085f95e0</t>
        </is>
      </c>
      <c r="B196" t="inlineStr">
        <is>
          <t>Applied Scientist, Artificial General Intelligence</t>
        </is>
      </c>
      <c r="C196" t="inlineStr">
        <is>
          <t>Amazon.com</t>
        </is>
      </c>
      <c r="D196" t="inlineStr">
        <is>
          <t>indeed</t>
        </is>
      </c>
      <c r="E196">
        <f>HYPERLINK("https://www.indeed.com/viewjob?jk=3228d0e6085f95e0", "https://www.indeed.com/viewjob?jk=3228d0e6085f95e0")</f>
        <v/>
      </c>
      <c r="F196">
        <f>HYPERLINK("https://www.amazon.jobs/jobs/3090846/applied-scientist-artificial-general-intelligence?cmpid=DA_INAD200785B", "https://www.amazon.jobs/jobs/3090846/applied-scientist-artificial-general-intelligence?cmpid=DA_INAD200785B")</f>
        <v/>
      </c>
      <c r="G196" t="inlineStr">
        <is>
          <t>Seattle, WA, US</t>
        </is>
      </c>
      <c r="H196" s="3" t="n">
        <v>45921</v>
      </c>
      <c r="I1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in-efc7ea22d96c931f</t>
        </is>
      </c>
      <c r="B197" t="inlineStr">
        <is>
          <t>Applied Scientist, Artificial General Intelligence</t>
        </is>
      </c>
      <c r="C197" t="inlineStr">
        <is>
          <t>Amazon.com</t>
        </is>
      </c>
      <c r="D197" t="inlineStr">
        <is>
          <t>indeed</t>
        </is>
      </c>
      <c r="E197">
        <f>HYPERLINK("https://www.indeed.com/viewjob?jk=efc7ea22d96c931f", "https://www.indeed.com/viewjob?jk=efc7ea22d96c931f")</f>
        <v/>
      </c>
      <c r="F197">
        <f>HYPERLINK("https://www.amazon.jobs/jobs/3090846/applied-scientist-artificial-general-intelligence?cmpid=DA_INAD200785B", "https://www.amazon.jobs/jobs/3090846/applied-scientist-artificial-general-intelligence?cmpid=DA_INAD200785B")</f>
        <v/>
      </c>
      <c r="G197" t="inlineStr">
        <is>
          <t>Bellevue, WA, US</t>
        </is>
      </c>
      <c r="H197" s="3" t="n">
        <v>45921</v>
      </c>
      <c r="I1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in-672997cf8f779815</t>
        </is>
      </c>
      <c r="B198" t="inlineStr">
        <is>
          <t>Applied Scientist, Artificial General Intelligence</t>
        </is>
      </c>
      <c r="C198" t="inlineStr">
        <is>
          <t>Amazon.com</t>
        </is>
      </c>
      <c r="D198" t="inlineStr">
        <is>
          <t>indeed</t>
        </is>
      </c>
      <c r="E198">
        <f>HYPERLINK("https://www.indeed.com/viewjob?jk=672997cf8f779815", "https://www.indeed.com/viewjob?jk=672997cf8f779815")</f>
        <v/>
      </c>
      <c r="F198">
        <f>HYPERLINK("https://www.amazon.jobs/jobs/3090846/applied-scientist-artificial-general-intelligence?cmpid=DA_INAD200785B", "https://www.amazon.jobs/jobs/3090846/applied-scientist-artificial-general-intelligence?cmpid=DA_INAD200785B")</f>
        <v/>
      </c>
      <c r="G198" t="inlineStr">
        <is>
          <t>Boston, MA, US</t>
        </is>
      </c>
      <c r="H198" s="3" t="n">
        <v>45921</v>
      </c>
      <c r="I1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in-e03d7694bba2f403</t>
        </is>
      </c>
      <c r="B199" t="inlineStr">
        <is>
          <t>Applied Scientist, Artificial General Intelligence</t>
        </is>
      </c>
      <c r="C199" t="inlineStr">
        <is>
          <t>Amazon.com</t>
        </is>
      </c>
      <c r="D199" t="inlineStr">
        <is>
          <t>indeed</t>
        </is>
      </c>
      <c r="E199">
        <f>HYPERLINK("https://www.indeed.com/viewjob?jk=e03d7694bba2f403", "https://www.indeed.com/viewjob?jk=e03d7694bba2f403")</f>
        <v/>
      </c>
      <c r="F199">
        <f>HYPERLINK("https://www.amazon.jobs/jobs/3090846/applied-scientist-artificial-general-intelligence?cmpid=DA_INAD200785B", "https://www.amazon.jobs/jobs/3090846/applied-scientist-artificial-general-intelligence?cmpid=DA_INAD200785B")</f>
        <v/>
      </c>
      <c r="G199" t="inlineStr">
        <is>
          <t>New York, NY, US</t>
        </is>
      </c>
      <c r="H199" s="3" t="n">
        <v>45921</v>
      </c>
      <c r="I1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in-7a2ffc319c11f956</t>
        </is>
      </c>
      <c r="B200" t="inlineStr">
        <is>
          <t>Applied Scientist II, Prime Video - Personalization and Discovery Science</t>
        </is>
      </c>
      <c r="C200" t="inlineStr">
        <is>
          <t>Amazon.com</t>
        </is>
      </c>
      <c r="D200" t="inlineStr">
        <is>
          <t>indeed</t>
        </is>
      </c>
      <c r="E200">
        <f>HYPERLINK("https://www.indeed.com/viewjob?jk=7a2ffc319c11f956", "https://www.indeed.com/viewjob?jk=7a2ffc319c11f956")</f>
        <v/>
      </c>
      <c r="F200">
        <f>HYPERLINK("https://www.amazon.jobs/jobs/3086060/applied-scientist-ii-prime-video--personalization-and-discovery-science?cmpid=DA_INAD200785B", "https://www.amazon.jobs/jobs/3086060/applied-scientist-ii-prime-video--personalization-and-discovery-science?cmpid=DA_INAD200785B")</f>
        <v/>
      </c>
      <c r="G200" t="inlineStr">
        <is>
          <t>Sunnyvale, CA, US</t>
        </is>
      </c>
      <c r="H200" s="3" t="n">
        <v>45915</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in-ebe0283fffab2912</t>
        </is>
      </c>
      <c r="B201" t="inlineStr">
        <is>
          <t>Applied Scientist II, Prime Video - Personalization and Discovery Science</t>
        </is>
      </c>
      <c r="C201" t="inlineStr">
        <is>
          <t>Amazon.com</t>
        </is>
      </c>
      <c r="D201" t="inlineStr">
        <is>
          <t>indeed</t>
        </is>
      </c>
      <c r="E201">
        <f>HYPERLINK("https://www.indeed.com/viewjob?jk=ebe0283fffab2912", "https://www.indeed.com/viewjob?jk=ebe0283fffab2912")</f>
        <v/>
      </c>
      <c r="F201">
        <f>HYPERLINK("https://www.amazon.jobs/jobs/3086060/applied-scientist-ii-prime-video--personalization-and-discovery-science?cmpid=DA_INAD200785B", "https://www.amazon.jobs/jobs/3086060/applied-scientist-ii-prime-video--personalization-and-discovery-science?cmpid=DA_INAD200785B")</f>
        <v/>
      </c>
      <c r="G201" t="inlineStr">
        <is>
          <t>Seattle, WA, US</t>
        </is>
      </c>
      <c r="H201" s="3" t="n">
        <v>45915</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in-6d98e79106ffb3a3</t>
        </is>
      </c>
      <c r="B202" t="inlineStr">
        <is>
          <t>Applied Scientist II, Prime Video - Personalization and Discovery Science</t>
        </is>
      </c>
      <c r="C202" t="inlineStr">
        <is>
          <t>Amazon.com</t>
        </is>
      </c>
      <c r="D202" t="inlineStr">
        <is>
          <t>indeed</t>
        </is>
      </c>
      <c r="E202">
        <f>HYPERLINK("https://www.indeed.com/viewjob?jk=6d98e79106ffb3a3", "https://www.indeed.com/viewjob?jk=6d98e79106ffb3a3")</f>
        <v/>
      </c>
      <c r="F202">
        <f>HYPERLINK("https://www.amazon.jobs/jobs/3086060/applied-scientist-ii-prime-video--personalization-and-discovery-science?cmpid=DA_INAD200785B", "https://www.amazon.jobs/jobs/3086060/applied-scientist-ii-prime-video--personalization-and-discovery-science?cmpid=DA_INAD200785B")</f>
        <v/>
      </c>
      <c r="G202" t="inlineStr">
        <is>
          <t>New York, NY, US</t>
        </is>
      </c>
      <c r="H202" s="3" t="n">
        <v>45915</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in-093318034e30de81</t>
        </is>
      </c>
      <c r="B203" t="inlineStr">
        <is>
          <t>Sr. Applied Scientist, Prime Video - Personalization and Discovery Science</t>
        </is>
      </c>
      <c r="C203" t="inlineStr">
        <is>
          <t>Amazon.com</t>
        </is>
      </c>
      <c r="D203" t="inlineStr">
        <is>
          <t>indeed</t>
        </is>
      </c>
      <c r="E203">
        <f>HYPERLINK("https://www.indeed.com/viewjob?jk=093318034e30de81", "https://www.indeed.com/viewjob?jk=093318034e30de81")</f>
        <v/>
      </c>
      <c r="F203">
        <f>HYPERLINK("https://www.amazon.jobs/jobs/3083564/sr-applied-scientist-prime-video--personalization-and-discovery-science?cmpid=DA_INAD200785B", "https://www.amazon.jobs/jobs/3083564/sr-applied-scientist-prime-video--personalization-and-discovery-science?cmpid=DA_INAD200785B")</f>
        <v/>
      </c>
      <c r="G203" t="inlineStr">
        <is>
          <t>New York, NY, US</t>
        </is>
      </c>
      <c r="H203" s="3" t="n">
        <v>45914</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in-73912b49f8cee510</t>
        </is>
      </c>
      <c r="B204" t="inlineStr">
        <is>
          <t>Sr. Applied Scientist, Prime Video - Personalization and Discovery Science</t>
        </is>
      </c>
      <c r="C204" t="inlineStr">
        <is>
          <t>Amazon.com</t>
        </is>
      </c>
      <c r="D204" t="inlineStr">
        <is>
          <t>indeed</t>
        </is>
      </c>
      <c r="E204">
        <f>HYPERLINK("https://www.indeed.com/viewjob?jk=73912b49f8cee510", "https://www.indeed.com/viewjob?jk=73912b49f8cee510")</f>
        <v/>
      </c>
      <c r="F204">
        <f>HYPERLINK("https://www.amazon.jobs/jobs/3083564/sr-applied-scientist-prime-video--personalization-and-discovery-science?cmpid=DA_INAD200785B", "https://www.amazon.jobs/jobs/3083564/sr-applied-scientist-prime-video--personalization-and-discovery-science?cmpid=DA_INAD200785B")</f>
        <v/>
      </c>
      <c r="G204" t="inlineStr">
        <is>
          <t>Sunnyvale, CA, US</t>
        </is>
      </c>
      <c r="H204" s="3" t="n">
        <v>45914</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in-aa7fbe28ebb8f61b</t>
        </is>
      </c>
      <c r="B205" t="inlineStr">
        <is>
          <t>Sr. Applied Scientist, Prime Video - Personalization and Discovery Science</t>
        </is>
      </c>
      <c r="C205" t="inlineStr">
        <is>
          <t>Amazon.com</t>
        </is>
      </c>
      <c r="D205" t="inlineStr">
        <is>
          <t>indeed</t>
        </is>
      </c>
      <c r="E205">
        <f>HYPERLINK("https://www.indeed.com/viewjob?jk=aa7fbe28ebb8f61b", "https://www.indeed.com/viewjob?jk=aa7fbe28ebb8f61b")</f>
        <v/>
      </c>
      <c r="F205">
        <f>HYPERLINK("https://www.amazon.jobs/jobs/3083564/sr-applied-scientist-prime-video--personalization-and-discovery-science?cmpid=DA_INAD200785B", "https://www.amazon.jobs/jobs/3083564/sr-applied-scientist-prime-video--personalization-and-discovery-science?cmpid=DA_INAD200785B")</f>
        <v/>
      </c>
      <c r="G205" t="inlineStr">
        <is>
          <t>Seattle, WA, US</t>
        </is>
      </c>
      <c r="H205" s="3" t="n">
        <v>45914</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in-516ddee32772bf0c</t>
        </is>
      </c>
      <c r="B206" t="inlineStr">
        <is>
          <t>Senior Applied Scientist, Model Customization, Generative AI Innovation Center</t>
        </is>
      </c>
      <c r="C206" t="inlineStr">
        <is>
          <t>Amazon Web Services</t>
        </is>
      </c>
      <c r="D206" t="inlineStr">
        <is>
          <t>indeed</t>
        </is>
      </c>
      <c r="E206">
        <f>HYPERLINK("https://www.indeed.com/viewjob?jk=516ddee32772bf0c", "https://www.indeed.com/viewjob?jk=516ddee32772bf0c")</f>
        <v/>
      </c>
      <c r="F206">
        <f>HYPERLINK("https://www.amazon.jobs/jobs/3088254/senior-applied-scientist-model-customization-generative-ai-innovation-center?cmpid=DA_INAD200785B", "https://www.amazon.jobs/jobs/3088254/senior-applied-scientist-model-customization-generative-ai-innovation-center?cmpid=DA_INAD200785B")</f>
        <v/>
      </c>
      <c r="G206" t="inlineStr">
        <is>
          <t>Seattle, WA, US</t>
        </is>
      </c>
      <c r="H206" s="3" t="n">
        <v>45908</v>
      </c>
      <c r="I20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in-384cb804d11453a5</t>
        </is>
      </c>
      <c r="B207" t="inlineStr">
        <is>
          <t>Senior Applied Scientist, Model Customization, Generative AI Innovation Center</t>
        </is>
      </c>
      <c r="C207" t="inlineStr">
        <is>
          <t>Amazon Web Services</t>
        </is>
      </c>
      <c r="D207" t="inlineStr">
        <is>
          <t>indeed</t>
        </is>
      </c>
      <c r="E207">
        <f>HYPERLINK("https://www.indeed.com/viewjob?jk=384cb804d11453a5", "https://www.indeed.com/viewjob?jk=384cb804d11453a5")</f>
        <v/>
      </c>
      <c r="F207">
        <f>HYPERLINK("https://www.amazon.jobs/jobs/3088254/senior-applied-scientist-model-customization-generative-ai-innovation-center?cmpid=DA_INAD200785B", "https://www.amazon.jobs/jobs/3088254/senior-applied-scientist-model-customization-generative-ai-innovation-center?cmpid=DA_INAD200785B")</f>
        <v/>
      </c>
      <c r="G207" t="inlineStr">
        <is>
          <t>Bellevue, WA, US</t>
        </is>
      </c>
      <c r="H207" s="3" t="n">
        <v>45908</v>
      </c>
      <c r="I20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in-3a91c448c9a4fc85</t>
        </is>
      </c>
      <c r="B208" t="inlineStr">
        <is>
          <t>Senior Applied Scientist, Model Customization, Generative AI Innovation Center</t>
        </is>
      </c>
      <c r="C208" t="inlineStr">
        <is>
          <t>Amazon Web Services</t>
        </is>
      </c>
      <c r="D208" t="inlineStr">
        <is>
          <t>indeed</t>
        </is>
      </c>
      <c r="E208">
        <f>HYPERLINK("https://www.indeed.com/viewjob?jk=3a91c448c9a4fc85", "https://www.indeed.com/viewjob?jk=3a91c448c9a4fc85")</f>
        <v/>
      </c>
      <c r="F208">
        <f>HYPERLINK("https://www.amazon.jobs/jobs/3088254/senior-applied-scientist-model-customization-generative-ai-innovation-center?cmpid=DA_INAD200785B", "https://www.amazon.jobs/jobs/3088254/senior-applied-scientist-model-customization-generative-ai-innovation-center?cmpid=DA_INAD200785B")</f>
        <v/>
      </c>
      <c r="G208" t="inlineStr">
        <is>
          <t>Arlington, VA, US</t>
        </is>
      </c>
      <c r="H208" s="3" t="n">
        <v>45908</v>
      </c>
      <c r="I20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in-4a28c4c589c789e0</t>
        </is>
      </c>
      <c r="B209" t="inlineStr">
        <is>
          <t>Senior Applied Scientist, Model Customization, Generative AI Innovation Center</t>
        </is>
      </c>
      <c r="C209" t="inlineStr">
        <is>
          <t>Amazon Web Services</t>
        </is>
      </c>
      <c r="D209" t="inlineStr">
        <is>
          <t>indeed</t>
        </is>
      </c>
      <c r="E209">
        <f>HYPERLINK("https://www.indeed.com/viewjob?jk=4a28c4c589c789e0", "https://www.indeed.com/viewjob?jk=4a28c4c589c789e0")</f>
        <v/>
      </c>
      <c r="F209">
        <f>HYPERLINK("https://www.amazon.jobs/jobs/3088254/senior-applied-scientist-model-customization-generative-ai-innovation-center?cmpid=DA_INAD200785B", "https://www.amazon.jobs/jobs/3088254/senior-applied-scientist-model-customization-generative-ai-innovation-center?cmpid=DA_INAD200785B")</f>
        <v/>
      </c>
      <c r="G209" t="inlineStr">
        <is>
          <t>New York, NY, US</t>
        </is>
      </c>
      <c r="H209" s="3" t="n">
        <v>45908</v>
      </c>
      <c r="I20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in-08d871e4d3a964be</t>
        </is>
      </c>
      <c r="B210" t="inlineStr">
        <is>
          <t>Senior Applied Scientist, Artificial General Intelligence</t>
        </is>
      </c>
      <c r="C210" t="inlineStr">
        <is>
          <t>Amazon.com</t>
        </is>
      </c>
      <c r="D210" t="inlineStr">
        <is>
          <t>indeed</t>
        </is>
      </c>
      <c r="E210">
        <f>HYPERLINK("https://www.indeed.com/viewjob?jk=08d871e4d3a964be", "https://www.indeed.com/viewjob?jk=08d871e4d3a964be")</f>
        <v/>
      </c>
      <c r="F210">
        <f>HYPERLINK("https://www.amazon.jobs/jobs/3078169/senior-applied-scientist-artificial-general-intelligence?cmpid=DA_INAD200785B", "https://www.amazon.jobs/jobs/3078169/senior-applied-scientist-artificial-general-intelligence?cmpid=DA_INAD200785B")</f>
        <v/>
      </c>
      <c r="G210" t="inlineStr">
        <is>
          <t>Sunnyvale, CA, US</t>
        </is>
      </c>
      <c r="H210" s="3" t="n">
        <v>45907</v>
      </c>
      <c r="I2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in-a6d8c120aa3bcf95</t>
        </is>
      </c>
      <c r="B211" t="inlineStr">
        <is>
          <t>Senior Applied Scientist, Artificial General Intelligence</t>
        </is>
      </c>
      <c r="C211" t="inlineStr">
        <is>
          <t>Amazon.com</t>
        </is>
      </c>
      <c r="D211" t="inlineStr">
        <is>
          <t>indeed</t>
        </is>
      </c>
      <c r="E211">
        <f>HYPERLINK("https://www.indeed.com/viewjob?jk=a6d8c120aa3bcf95", "https://www.indeed.com/viewjob?jk=a6d8c120aa3bcf95")</f>
        <v/>
      </c>
      <c r="F211">
        <f>HYPERLINK("https://www.amazon.jobs/jobs/3078169/senior-applied-scientist-artificial-general-intelligence?cmpid=DA_INAD200785B", "https://www.amazon.jobs/jobs/3078169/senior-applied-scientist-artificial-general-intelligence?cmpid=DA_INAD200785B")</f>
        <v/>
      </c>
      <c r="G211" t="inlineStr">
        <is>
          <t>Bellevue, WA, US</t>
        </is>
      </c>
      <c r="H211" s="3" t="n">
        <v>45907</v>
      </c>
      <c r="I2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in-5c9dbc4017ecb1e6</t>
        </is>
      </c>
      <c r="B212" t="inlineStr">
        <is>
          <t>Senior Applied Scientist, Artificial General Intelligence</t>
        </is>
      </c>
      <c r="C212" t="inlineStr">
        <is>
          <t>Amazon.com</t>
        </is>
      </c>
      <c r="D212" t="inlineStr">
        <is>
          <t>indeed</t>
        </is>
      </c>
      <c r="E212">
        <f>HYPERLINK("https://www.indeed.com/viewjob?jk=5c9dbc4017ecb1e6", "https://www.indeed.com/viewjob?jk=5c9dbc4017ecb1e6")</f>
        <v/>
      </c>
      <c r="F212">
        <f>HYPERLINK("https://www.amazon.jobs/jobs/3078169/senior-applied-scientist-artificial-general-intelligence?cmpid=DA_INAD200785B", "https://www.amazon.jobs/jobs/3078169/senior-applied-scientist-artificial-general-intelligence?cmpid=DA_INAD200785B")</f>
        <v/>
      </c>
      <c r="G212" t="inlineStr">
        <is>
          <t>New York, NY, US</t>
        </is>
      </c>
      <c r="H212" s="3" t="n">
        <v>45907</v>
      </c>
      <c r="I2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in-d31cddb5adbfbea1</t>
        </is>
      </c>
      <c r="B213" t="inlineStr">
        <is>
          <t>Senior Applied Scientist, Artificial General Intelligence</t>
        </is>
      </c>
      <c r="C213" t="inlineStr">
        <is>
          <t>Amazon.com</t>
        </is>
      </c>
      <c r="D213" t="inlineStr">
        <is>
          <t>indeed</t>
        </is>
      </c>
      <c r="E213">
        <f>HYPERLINK("https://www.indeed.com/viewjob?jk=d31cddb5adbfbea1", "https://www.indeed.com/viewjob?jk=d31cddb5adbfbea1")</f>
        <v/>
      </c>
      <c r="F213">
        <f>HYPERLINK("https://www.amazon.jobs/jobs/3078169/senior-applied-scientist-artificial-general-intelligence?cmpid=DA_INAD200785B", "https://www.amazon.jobs/jobs/3078169/senior-applied-scientist-artificial-general-intelligence?cmpid=DA_INAD200785B")</f>
        <v/>
      </c>
      <c r="G213" t="inlineStr">
        <is>
          <t>Seattle, WA, US</t>
        </is>
      </c>
      <c r="H213" s="3" t="n">
        <v>45907</v>
      </c>
      <c r="I21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in-7ef30c1a0b1c10b2</t>
        </is>
      </c>
      <c r="B214" t="inlineStr">
        <is>
          <t>Sr. Applied Scientist, Prime Video - Personalization and Discovery Science</t>
        </is>
      </c>
      <c r="C214" t="inlineStr">
        <is>
          <t>Amazon.com</t>
        </is>
      </c>
      <c r="D214" t="inlineStr">
        <is>
          <t>indeed</t>
        </is>
      </c>
      <c r="E214">
        <f>HYPERLINK("https://www.indeed.com/viewjob?jk=7ef30c1a0b1c10b2", "https://www.indeed.com/viewjob?jk=7ef30c1a0b1c10b2")</f>
        <v/>
      </c>
      <c r="F214">
        <f>HYPERLINK("https://www.amazon.jobs/jobs/3084479/sr-applied-scientist-prime-video--personalization-and-discovery-science?cmpid=DA_INAD200785B", "https://www.amazon.jobs/jobs/3084479/sr-applied-scientist-prime-video--personalization-and-discovery-science?cmpid=DA_INAD200785B")</f>
        <v/>
      </c>
      <c r="G214" t="inlineStr">
        <is>
          <t>New York, NY, US</t>
        </is>
      </c>
      <c r="H214" s="3" t="n">
        <v>45896</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in-f6fe61fcee79fc54</t>
        </is>
      </c>
      <c r="B215" t="inlineStr">
        <is>
          <t>Sr. Applied Scientist, Prime Video - Personalization and Discovery Science</t>
        </is>
      </c>
      <c r="C215" t="inlineStr">
        <is>
          <t>Amazon.com</t>
        </is>
      </c>
      <c r="D215" t="inlineStr">
        <is>
          <t>indeed</t>
        </is>
      </c>
      <c r="E215">
        <f>HYPERLINK("https://www.indeed.com/viewjob?jk=f6fe61fcee79fc54", "https://www.indeed.com/viewjob?jk=f6fe61fcee79fc54")</f>
        <v/>
      </c>
      <c r="F215">
        <f>HYPERLINK("https://www.amazon.jobs/jobs/3084479/sr-applied-scientist-prime-video--personalization-and-discovery-science?cmpid=DA_INAD200785B", "https://www.amazon.jobs/jobs/3084479/sr-applied-scientist-prime-video--personalization-and-discovery-science?cmpid=DA_INAD200785B")</f>
        <v/>
      </c>
      <c r="G215" t="inlineStr">
        <is>
          <t>Sunnyvale, CA, US</t>
        </is>
      </c>
      <c r="H215" s="3" t="n">
        <v>45896</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in-9c55fdfdad490b1a</t>
        </is>
      </c>
      <c r="B216" t="inlineStr">
        <is>
          <t>Sr. Applied Scientist, Recommendations and Search</t>
        </is>
      </c>
      <c r="C216" t="inlineStr">
        <is>
          <t>Amazon.com</t>
        </is>
      </c>
      <c r="D216" t="inlineStr">
        <is>
          <t>indeed</t>
        </is>
      </c>
      <c r="E216">
        <f>HYPERLINK("https://www.indeed.com/viewjob?jk=9c55fdfdad490b1a", "https://www.indeed.com/viewjob?jk=9c55fdfdad490b1a")</f>
        <v/>
      </c>
      <c r="F216">
        <f>HYPERLINK("https://www.amazon.jobs/jobs/3062562/sr-applied-scientist-recommendations-and-search?cmpid=DA_INAD200785B", "https://www.amazon.jobs/jobs/3062562/sr-applied-scientist-recommendations-and-search?cmpid=DA_INAD200785B")</f>
        <v/>
      </c>
      <c r="G216" t="inlineStr">
        <is>
          <t>New York, NY, US</t>
        </is>
      </c>
      <c r="H216" s="3" t="n">
        <v>45888</v>
      </c>
      <c r="I2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in-a9881605d52487e8</t>
        </is>
      </c>
      <c r="B217" t="inlineStr">
        <is>
          <t>Sr. Applied Scientist, Recommendations and Search</t>
        </is>
      </c>
      <c r="C217" t="inlineStr">
        <is>
          <t>Amazon.com</t>
        </is>
      </c>
      <c r="D217" t="inlineStr">
        <is>
          <t>indeed</t>
        </is>
      </c>
      <c r="E217">
        <f>HYPERLINK("https://www.indeed.com/viewjob?jk=a9881605d52487e8", "https://www.indeed.com/viewjob?jk=a9881605d52487e8")</f>
        <v/>
      </c>
      <c r="F217">
        <f>HYPERLINK("https://www.amazon.jobs/jobs/3062562/sr-applied-scientist-recommendations-and-search?cmpid=DA_INAD200785B", "https://www.amazon.jobs/jobs/3062562/sr-applied-scientist-recommendations-and-search?cmpid=DA_INAD200785B")</f>
        <v/>
      </c>
      <c r="G217" t="inlineStr">
        <is>
          <t>Seattle, WA, US</t>
        </is>
      </c>
      <c r="H217" s="3" t="n">
        <v>45888</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in-ccc44d7b128e03a7</t>
        </is>
      </c>
      <c r="B218" t="inlineStr">
        <is>
          <t>Sr. Applied Scientist, Recommendations and Search</t>
        </is>
      </c>
      <c r="C218" t="inlineStr">
        <is>
          <t>Amazon.com</t>
        </is>
      </c>
      <c r="D218" t="inlineStr">
        <is>
          <t>indeed</t>
        </is>
      </c>
      <c r="E218">
        <f>HYPERLINK("https://www.indeed.com/viewjob?jk=ccc44d7b128e03a7", "https://www.indeed.com/viewjob?jk=ccc44d7b128e03a7")</f>
        <v/>
      </c>
      <c r="F218">
        <f>HYPERLINK("https://www.amazon.jobs/jobs/3062562/sr-applied-scientist-recommendations-and-search?cmpid=DA_INAD200785B", "https://www.amazon.jobs/jobs/3062562/sr-applied-scientist-recommendations-and-search?cmpid=DA_INAD200785B")</f>
        <v/>
      </c>
      <c r="G218" t="inlineStr">
        <is>
          <t>Sunnyvale, CA, US</t>
        </is>
      </c>
      <c r="H218" s="3" t="n">
        <v>45888</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in-63a96aeb7b2158c8</t>
        </is>
      </c>
      <c r="B219" t="inlineStr">
        <is>
          <t>Applied Scientist II, Prime Video - Personalization and Discovery Science, Personalization and Discovery Science</t>
        </is>
      </c>
      <c r="C219" t="inlineStr">
        <is>
          <t>Amazon.com</t>
        </is>
      </c>
      <c r="D219" t="inlineStr">
        <is>
          <t>indeed</t>
        </is>
      </c>
      <c r="E219">
        <f>HYPERLINK("https://www.indeed.com/viewjob?jk=63a96aeb7b2158c8", "https://www.indeed.com/viewjob?jk=63a96aeb7b2158c8")</f>
        <v/>
      </c>
      <c r="F21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19" t="inlineStr">
        <is>
          <t>Sunnyvale, CA, US</t>
        </is>
      </c>
      <c r="H219" s="3" t="n">
        <v>45886</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in-295f7574cce91674</t>
        </is>
      </c>
      <c r="B220" t="inlineStr">
        <is>
          <t>Sr. Applied Scientist, Prime Video - Personalization and Discovery Science</t>
        </is>
      </c>
      <c r="C220" t="inlineStr">
        <is>
          <t>Amazon.com</t>
        </is>
      </c>
      <c r="D220" t="inlineStr">
        <is>
          <t>indeed</t>
        </is>
      </c>
      <c r="E220">
        <f>HYPERLINK("https://www.indeed.com/viewjob?jk=295f7574cce91674", "https://www.indeed.com/viewjob?jk=295f7574cce91674")</f>
        <v/>
      </c>
      <c r="F220">
        <f>HYPERLINK("https://www.amazon.jobs/jobs/3061266/sr-applied-scientist-prime-video--personalization-and-discovery-science?cmpid=DA_INAD200785B", "https://www.amazon.jobs/jobs/3061266/sr-applied-scientist-prime-video--personalization-and-discovery-science?cmpid=DA_INAD200785B")</f>
        <v/>
      </c>
      <c r="G220" t="inlineStr">
        <is>
          <t>New York, NY, US</t>
        </is>
      </c>
      <c r="H220" s="3" t="n">
        <v>45886</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in-e0a5360aa36c095b</t>
        </is>
      </c>
      <c r="B221" t="inlineStr">
        <is>
          <t>Applied Scientist II, Prime Video - Personalization and Discovery Science, Personalization and Discovery Science</t>
        </is>
      </c>
      <c r="C221" t="inlineStr">
        <is>
          <t>Amazon.com</t>
        </is>
      </c>
      <c r="D221" t="inlineStr">
        <is>
          <t>indeed</t>
        </is>
      </c>
      <c r="E221">
        <f>HYPERLINK("https://www.indeed.com/viewjob?jk=e0a5360aa36c095b", "https://www.indeed.com/viewjob?jk=e0a5360aa36c095b")</f>
        <v/>
      </c>
      <c r="F221">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1" t="inlineStr">
        <is>
          <t>New York, NY, US</t>
        </is>
      </c>
      <c r="H221" s="3" t="n">
        <v>45886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in-2b4eeaeaa3fb8b4f</t>
        </is>
      </c>
      <c r="B222" t="inlineStr">
        <is>
          <t>Sr. Applied Scientist, Prime Video - Personalization and Discovery Science</t>
        </is>
      </c>
      <c r="C222" t="inlineStr">
        <is>
          <t>Amazon.com</t>
        </is>
      </c>
      <c r="D222" t="inlineStr">
        <is>
          <t>indeed</t>
        </is>
      </c>
      <c r="E222">
        <f>HYPERLINK("https://www.indeed.com/viewjob?jk=2b4eeaeaa3fb8b4f", "https://www.indeed.com/viewjob?jk=2b4eeaeaa3fb8b4f")</f>
        <v/>
      </c>
      <c r="F222">
        <f>HYPERLINK("https://www.amazon.jobs/jobs/3061266/sr-applied-scientist-prime-video--personalization-and-discovery-science?cmpid=DA_INAD200785B", "https://www.amazon.jobs/jobs/3061266/sr-applied-scientist-prime-video--personalization-and-discovery-science?cmpid=DA_INAD200785B")</f>
        <v/>
      </c>
      <c r="G222" t="inlineStr">
        <is>
          <t>Seattle, WA, US</t>
        </is>
      </c>
      <c r="H222" s="3" t="n">
        <v>45886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in-49e4b045316be808</t>
        </is>
      </c>
      <c r="B223" t="inlineStr">
        <is>
          <t>Applied Scientist II, Prime Video - Personalization and Discovery Science, Personalization and Discovery Science</t>
        </is>
      </c>
      <c r="C223" t="inlineStr">
        <is>
          <t>Amazon.com</t>
        </is>
      </c>
      <c r="D223" t="inlineStr">
        <is>
          <t>indeed</t>
        </is>
      </c>
      <c r="E223">
        <f>HYPERLINK("https://www.indeed.com/viewjob?jk=49e4b045316be808", "https://www.indeed.com/viewjob?jk=49e4b045316be808")</f>
        <v/>
      </c>
      <c r="F223">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3" t="inlineStr">
        <is>
          <t>Seattle, WA, US</t>
        </is>
      </c>
      <c r="H223" s="3" t="n">
        <v>45886</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in-ea7eeff3814c8c9b</t>
        </is>
      </c>
      <c r="B224" t="inlineStr">
        <is>
          <t>Sr. Applied Scientist, Prime Video - Personalization and Discovery Science</t>
        </is>
      </c>
      <c r="C224" t="inlineStr">
        <is>
          <t>Amazon.com</t>
        </is>
      </c>
      <c r="D224" t="inlineStr">
        <is>
          <t>indeed</t>
        </is>
      </c>
      <c r="E224">
        <f>HYPERLINK("https://www.indeed.com/viewjob?jk=ea7eeff3814c8c9b", "https://www.indeed.com/viewjob?jk=ea7eeff3814c8c9b")</f>
        <v/>
      </c>
      <c r="F224">
        <f>HYPERLINK("https://www.amazon.jobs/jobs/3061266/sr-applied-scientist-prime-video--personalization-and-discovery-science?cmpid=DA_INAD200785B", "https://www.amazon.jobs/jobs/3061266/sr-applied-scientist-prime-video--personalization-and-discovery-science?cmpid=DA_INAD200785B")</f>
        <v/>
      </c>
      <c r="G224" t="inlineStr">
        <is>
          <t>Sunnyvale, CA, US</t>
        </is>
      </c>
      <c r="H224" s="3" t="n">
        <v>45886</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in-d272a6b67227197d</t>
        </is>
      </c>
      <c r="B225" t="inlineStr">
        <is>
          <t>Applied Scientist II, Prime Video - Personalization and Discovery Science</t>
        </is>
      </c>
      <c r="C225" t="inlineStr">
        <is>
          <t>Amazon.com</t>
        </is>
      </c>
      <c r="D225" t="inlineStr">
        <is>
          <t>indeed</t>
        </is>
      </c>
      <c r="E225">
        <f>HYPERLINK("https://www.indeed.com/viewjob?jk=d272a6b67227197d", "https://www.indeed.com/viewjob?jk=d272a6b67227197d")</f>
        <v/>
      </c>
      <c r="F225">
        <f>HYPERLINK("https://www.amazon.jobs/jobs/3059253/applied-scientist-ii-prime-video--personalization-and-discovery-science?cmpid=DA_INAD200785B", "https://www.amazon.jobs/jobs/3059253/applied-scientist-ii-prime-video--personalization-and-discovery-science?cmpid=DA_INAD200785B")</f>
        <v/>
      </c>
      <c r="G225" t="inlineStr">
        <is>
          <t>Sunnyvale, CA, US</t>
        </is>
      </c>
      <c r="H225" s="3" t="n">
        <v>45881</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in-3c795f93cf8fdd60</t>
        </is>
      </c>
      <c r="B226" t="inlineStr">
        <is>
          <t>Sr. Applied Scientist, Prime Video - Personalization and Discovery Science</t>
        </is>
      </c>
      <c r="C226" t="inlineStr">
        <is>
          <t>Amazon.com</t>
        </is>
      </c>
      <c r="D226" t="inlineStr">
        <is>
          <t>indeed</t>
        </is>
      </c>
      <c r="E226">
        <f>HYPERLINK("https://www.indeed.com/viewjob?jk=3c795f93cf8fdd60", "https://www.indeed.com/viewjob?jk=3c795f93cf8fdd60")</f>
        <v/>
      </c>
      <c r="F226">
        <f>HYPERLINK("https://www.amazon.jobs/jobs/3059256/sr-applied-scientist-prime-video--personalization-and-discovery-science?cmpid=DA_INAD200785B", "https://www.amazon.jobs/jobs/3059256/sr-applied-scientist-prime-video--personalization-and-discovery-science?cmpid=DA_INAD200785B")</f>
        <v/>
      </c>
      <c r="G226" t="inlineStr">
        <is>
          <t>New York, NY, US</t>
        </is>
      </c>
      <c r="H226" s="3" t="n">
        <v>45881</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in-b79fd3c92afab75b</t>
        </is>
      </c>
      <c r="B227" t="inlineStr">
        <is>
          <t>Applied Scientist II, Prime Video - Personalization and Discovery Science</t>
        </is>
      </c>
      <c r="C227" t="inlineStr">
        <is>
          <t>Amazon.com</t>
        </is>
      </c>
      <c r="D227" t="inlineStr">
        <is>
          <t>indeed</t>
        </is>
      </c>
      <c r="E227">
        <f>HYPERLINK("https://www.indeed.com/viewjob?jk=b79fd3c92afab75b", "https://www.indeed.com/viewjob?jk=b79fd3c92afab75b")</f>
        <v/>
      </c>
      <c r="F227">
        <f>HYPERLINK("https://www.amazon.jobs/jobs/3059253/applied-scientist-ii-prime-video--personalization-and-discovery-science?cmpid=DA_INAD200785B", "https://www.amazon.jobs/jobs/3059253/applied-scientist-ii-prime-video--personalization-and-discovery-science?cmpid=DA_INAD200785B")</f>
        <v/>
      </c>
      <c r="G227" t="inlineStr">
        <is>
          <t>New York, NY, US</t>
        </is>
      </c>
      <c r="H227" s="3" t="n">
        <v>45881</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in-9f2ad32faa2f1c9a</t>
        </is>
      </c>
      <c r="B228" t="inlineStr">
        <is>
          <t>Applied Scientist II, Prime Video - Personalization and Discovery Science</t>
        </is>
      </c>
      <c r="C228" t="inlineStr">
        <is>
          <t>Amazon.com</t>
        </is>
      </c>
      <c r="D228" t="inlineStr">
        <is>
          <t>indeed</t>
        </is>
      </c>
      <c r="E228">
        <f>HYPERLINK("https://www.indeed.com/viewjob?jk=9f2ad32faa2f1c9a", "https://www.indeed.com/viewjob?jk=9f2ad32faa2f1c9a")</f>
        <v/>
      </c>
      <c r="F228">
        <f>HYPERLINK("https://www.amazon.jobs/jobs/3059253/applied-scientist-ii-prime-video--personalization-and-discovery-science?cmpid=DA_INAD200785B", "https://www.amazon.jobs/jobs/3059253/applied-scientist-ii-prime-video--personalization-and-discovery-science?cmpid=DA_INAD200785B")</f>
        <v/>
      </c>
      <c r="G228" t="inlineStr">
        <is>
          <t>Seattle, WA, US</t>
        </is>
      </c>
      <c r="H228" s="3" t="n">
        <v>45881</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in-4ceb4d7b8eff6226</t>
        </is>
      </c>
      <c r="B229" t="inlineStr">
        <is>
          <t>Sr. Applied Scientist, Prime Video - Personalization and Discovery Science</t>
        </is>
      </c>
      <c r="C229" t="inlineStr">
        <is>
          <t>Amazon.com</t>
        </is>
      </c>
      <c r="D229" t="inlineStr">
        <is>
          <t>indeed</t>
        </is>
      </c>
      <c r="E229">
        <f>HYPERLINK("https://www.indeed.com/viewjob?jk=4ceb4d7b8eff6226", "https://www.indeed.com/viewjob?jk=4ceb4d7b8eff6226")</f>
        <v/>
      </c>
      <c r="F229">
        <f>HYPERLINK("https://www.amazon.jobs/jobs/3059256/sr-applied-scientist-prime-video--personalization-and-discovery-science?cmpid=DA_INAD200785B", "https://www.amazon.jobs/jobs/3059256/sr-applied-scientist-prime-video--personalization-and-discovery-science?cmpid=DA_INAD200785B")</f>
        <v/>
      </c>
      <c r="G229" t="inlineStr">
        <is>
          <t>Seattle, WA, US</t>
        </is>
      </c>
      <c r="H229" s="3" t="n">
        <v>45881</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in-9dbd8812199784cf</t>
        </is>
      </c>
      <c r="B230" t="inlineStr">
        <is>
          <t>Sr. Applied Scientist, Prime Video - Personalization and Discovery Science</t>
        </is>
      </c>
      <c r="C230" t="inlineStr">
        <is>
          <t>Amazon.com</t>
        </is>
      </c>
      <c r="D230" t="inlineStr">
        <is>
          <t>indeed</t>
        </is>
      </c>
      <c r="E230">
        <f>HYPERLINK("https://www.indeed.com/viewjob?jk=9dbd8812199784cf", "https://www.indeed.com/viewjob?jk=9dbd8812199784cf")</f>
        <v/>
      </c>
      <c r="F230">
        <f>HYPERLINK("https://www.amazon.jobs/jobs/3059256/sr-applied-scientist-prime-video--personalization-and-discovery-science?cmpid=DA_INAD200785B", "https://www.amazon.jobs/jobs/3059256/sr-applied-scientist-prime-video--personalization-and-discovery-science?cmpid=DA_INAD200785B")</f>
        <v/>
      </c>
      <c r="G230" t="inlineStr">
        <is>
          <t>Sunnyvale, CA, US</t>
        </is>
      </c>
      <c r="H230" s="3" t="n">
        <v>45881</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in-c708c088cdfd49d6</t>
        </is>
      </c>
      <c r="B231" t="inlineStr">
        <is>
          <t>Senior Data Scientist, Data and Machine Learning, WWPS US Federal</t>
        </is>
      </c>
      <c r="C231" t="inlineStr">
        <is>
          <t>Amazon Web Services</t>
        </is>
      </c>
      <c r="D231" t="inlineStr">
        <is>
          <t>indeed</t>
        </is>
      </c>
      <c r="E231">
        <f>HYPERLINK("https://www.indeed.com/viewjob?jk=c708c088cdfd49d6", "https://www.indeed.com/viewjob?jk=c708c088cdfd49d6")</f>
        <v/>
      </c>
      <c r="F231">
        <f>HYPERLINK("https://www.amazon.jobs/jobs/3054883/senior-data-scientist-data-and-machine-learning-wwps-us-federal?cmpid=DA_INAD200785B", "https://www.amazon.jobs/jobs/3054883/senior-data-scientist-data-and-machine-learning-wwps-us-federal?cmpid=DA_INAD200785B")</f>
        <v/>
      </c>
      <c r="G231" t="inlineStr">
        <is>
          <t>Jessup, MD, US</t>
        </is>
      </c>
      <c r="H231" s="3" t="n">
        <v>45872</v>
      </c>
      <c r="I23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in-54ac07096e3d5683</t>
        </is>
      </c>
      <c r="B232" t="inlineStr">
        <is>
          <t>Senior Data Scientist, Data and Machine Learning, WWPS US Federal</t>
        </is>
      </c>
      <c r="C232" t="inlineStr">
        <is>
          <t>Amazon Web Services</t>
        </is>
      </c>
      <c r="D232" t="inlineStr">
        <is>
          <t>indeed</t>
        </is>
      </c>
      <c r="E232">
        <f>HYPERLINK("https://www.indeed.com/viewjob?jk=54ac07096e3d5683", "https://www.indeed.com/viewjob?jk=54ac07096e3d5683")</f>
        <v/>
      </c>
      <c r="F232">
        <f>HYPERLINK("https://www.amazon.jobs/jobs/3054883/senior-data-scientist-data-and-machine-learning-wwps-us-federal?cmpid=DA_INAD200785B", "https://www.amazon.jobs/jobs/3054883/senior-data-scientist-data-and-machine-learning-wwps-us-federal?cmpid=DA_INAD200785B")</f>
        <v/>
      </c>
      <c r="G232" t="inlineStr">
        <is>
          <t>Herndon, VA, US</t>
        </is>
      </c>
      <c r="H232" s="3" t="n">
        <v>45872</v>
      </c>
      <c r="I23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in-eb5205e371918048</t>
        </is>
      </c>
      <c r="B233" t="inlineStr">
        <is>
          <t>Senior Data Scientist, Data and Machine Learning, WWPS US Federal</t>
        </is>
      </c>
      <c r="C233" t="inlineStr">
        <is>
          <t>Amazon Web Services</t>
        </is>
      </c>
      <c r="D233" t="inlineStr">
        <is>
          <t>indeed</t>
        </is>
      </c>
      <c r="E233">
        <f>HYPERLINK("https://www.indeed.com/viewjob?jk=eb5205e371918048", "https://www.indeed.com/viewjob?jk=eb5205e371918048")</f>
        <v/>
      </c>
      <c r="F233">
        <f>HYPERLINK("https://www.amazon.jobs/jobs/3054883/senior-data-scientist-data-and-machine-learning-wwps-us-federal?cmpid=DA_INAD200785B", "https://www.amazon.jobs/jobs/3054883/senior-data-scientist-data-and-machine-learning-wwps-us-federal?cmpid=DA_INAD200785B")</f>
        <v/>
      </c>
      <c r="G233" t="inlineStr">
        <is>
          <t>Arlington, VA, US</t>
        </is>
      </c>
      <c r="H233" s="3" t="n">
        <v>45872</v>
      </c>
      <c r="I23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in-a21c9309d6843c36</t>
        </is>
      </c>
      <c r="B234" t="inlineStr">
        <is>
          <t>Applied Scientist II, Prime Video Personalization and Discovery Science</t>
        </is>
      </c>
      <c r="C234" t="inlineStr">
        <is>
          <t>Amazon.com</t>
        </is>
      </c>
      <c r="D234" t="inlineStr">
        <is>
          <t>indeed</t>
        </is>
      </c>
      <c r="E234">
        <f>HYPERLINK("https://www.indeed.com/viewjob?jk=a21c9309d6843c36", "https://www.indeed.com/viewjob?jk=a21c9309d6843c36")</f>
        <v/>
      </c>
      <c r="F234">
        <f>HYPERLINK("https://www.amazon.jobs/jobs/3046662/applied-scientist-ii-prime-video-personalization-and-discovery-science?cmpid=DA_INAD200785B", "https://www.amazon.jobs/jobs/3046662/applied-scientist-ii-prime-video-personalization-and-discovery-science?cmpid=DA_INAD200785B")</f>
        <v/>
      </c>
      <c r="G234" t="inlineStr">
        <is>
          <t>New York, NY, US</t>
        </is>
      </c>
      <c r="H234" s="3" t="n">
        <v>45859</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in-2265f61c592ee5ff</t>
        </is>
      </c>
      <c r="B235" t="inlineStr">
        <is>
          <t>Principal Applied Scientist, AGI Foundations, AGI Foundations</t>
        </is>
      </c>
      <c r="C235" t="inlineStr">
        <is>
          <t>Amazon.com</t>
        </is>
      </c>
      <c r="D235" t="inlineStr">
        <is>
          <t>indeed</t>
        </is>
      </c>
      <c r="E235">
        <f>HYPERLINK("https://www.indeed.com/viewjob?jk=2265f61c592ee5ff", "https://www.indeed.com/viewjob?jk=2265f61c592ee5ff")</f>
        <v/>
      </c>
      <c r="F235">
        <f>HYPERLINK("https://www.amazon.jobs/jobs/3047563/principal-applied-scientist-agi-foundations-agi-foundations?cmpid=DA_INAD200785B", "https://www.amazon.jobs/jobs/3047563/principal-applied-scientist-agi-foundations-agi-foundations?cmpid=DA_INAD200785B")</f>
        <v/>
      </c>
      <c r="G235" t="inlineStr">
        <is>
          <t>New York, NY, US</t>
        </is>
      </c>
      <c r="H235" s="3" t="n">
        <v>45856</v>
      </c>
      <c r="I23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in-cc7f69d96ecc99fb</t>
        </is>
      </c>
      <c r="B236" t="inlineStr">
        <is>
          <t>Principal Applied Scientist, AGI Foundations, AGI Foundations</t>
        </is>
      </c>
      <c r="C236" t="inlineStr">
        <is>
          <t>Amazon.com</t>
        </is>
      </c>
      <c r="D236" t="inlineStr">
        <is>
          <t>indeed</t>
        </is>
      </c>
      <c r="E236">
        <f>HYPERLINK("https://www.indeed.com/viewjob?jk=cc7f69d96ecc99fb", "https://www.indeed.com/viewjob?jk=cc7f69d96ecc99fb")</f>
        <v/>
      </c>
      <c r="F236">
        <f>HYPERLINK("https://www.amazon.jobs/jobs/3047563/principal-applied-scientist-agi-foundations-agi-foundations?cmpid=DA_INAD200785B", "https://www.amazon.jobs/jobs/3047563/principal-applied-scientist-agi-foundations-agi-foundations?cmpid=DA_INAD200785B")</f>
        <v/>
      </c>
      <c r="G236" t="inlineStr">
        <is>
          <t>Sunnyvale, CA, US</t>
        </is>
      </c>
      <c r="H236" s="3" t="n">
        <v>45856</v>
      </c>
      <c r="I23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in-bdd94642cabaa65f</t>
        </is>
      </c>
      <c r="B237" t="inlineStr">
        <is>
          <t>Principal Applied Scientist, AGI Foundations, AGI Foundations</t>
        </is>
      </c>
      <c r="C237" t="inlineStr">
        <is>
          <t>Amazon.com</t>
        </is>
      </c>
      <c r="D237" t="inlineStr">
        <is>
          <t>indeed</t>
        </is>
      </c>
      <c r="E237">
        <f>HYPERLINK("https://www.indeed.com/viewjob?jk=bdd94642cabaa65f", "https://www.indeed.com/viewjob?jk=bdd94642cabaa65f")</f>
        <v/>
      </c>
      <c r="F237">
        <f>HYPERLINK("https://www.amazon.jobs/jobs/3047563/principal-applied-scientist-agi-foundations-agi-foundations?cmpid=DA_INAD200785B", "https://www.amazon.jobs/jobs/3047563/principal-applied-scientist-agi-foundations-agi-foundations?cmpid=DA_INAD200785B")</f>
        <v/>
      </c>
      <c r="G237" t="inlineStr">
        <is>
          <t>Boston, MA, US</t>
        </is>
      </c>
      <c r="H237" s="3" t="n">
        <v>45856</v>
      </c>
      <c r="I23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in-13dfe606d547eb64</t>
        </is>
      </c>
      <c r="B238" t="inlineStr">
        <is>
          <t>Principal Applied Scientist, AGI Foundations, AGI Foundations</t>
        </is>
      </c>
      <c r="C238" t="inlineStr">
        <is>
          <t>Amazon.com</t>
        </is>
      </c>
      <c r="D238" t="inlineStr">
        <is>
          <t>indeed</t>
        </is>
      </c>
      <c r="E238">
        <f>HYPERLINK("https://www.indeed.com/viewjob?jk=13dfe606d547eb64", "https://www.indeed.com/viewjob?jk=13dfe606d547eb64")</f>
        <v/>
      </c>
      <c r="F238">
        <f>HYPERLINK("https://www.amazon.jobs/jobs/3047563/principal-applied-scientist-agi-foundations-agi-foundations?cmpid=DA_INAD200785B", "https://www.amazon.jobs/jobs/3047563/principal-applied-scientist-agi-foundations-agi-foundations?cmpid=DA_INAD200785B")</f>
        <v/>
      </c>
      <c r="G238" t="inlineStr">
        <is>
          <t>Bellevue, WA, US</t>
        </is>
      </c>
      <c r="H238" s="3" t="n">
        <v>45856</v>
      </c>
      <c r="I23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in-e4a4171a261c972e</t>
        </is>
      </c>
      <c r="B239" t="inlineStr">
        <is>
          <t>Sr. Applied Scientist, Amazon Advertising</t>
        </is>
      </c>
      <c r="C239" t="inlineStr">
        <is>
          <t>Amazon.com</t>
        </is>
      </c>
      <c r="D239" t="inlineStr">
        <is>
          <t>indeed</t>
        </is>
      </c>
      <c r="E239">
        <f>HYPERLINK("https://www.indeed.com/viewjob?jk=e4a4171a261c972e", "https://www.indeed.com/viewjob?jk=e4a4171a261c972e")</f>
        <v/>
      </c>
      <c r="F239">
        <f>HYPERLINK("https://www.amazon.jobs/jobs/3035686/sr-applied-scientist-amazon-advertising?cmpid=DA_INAD200785B", "https://www.amazon.jobs/jobs/3035686/sr-applied-scientist-amazon-advertising?cmpid=DA_INAD200785B")</f>
        <v/>
      </c>
      <c r="G239" t="inlineStr">
        <is>
          <t>Palo Alto, CA, US</t>
        </is>
      </c>
      <c r="H239" s="3" t="n">
        <v>45851</v>
      </c>
      <c r="I2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in-e3640f413b615a52</t>
        </is>
      </c>
      <c r="B240" t="inlineStr">
        <is>
          <t>Sr. Applied Scientist, Amazon Advertising</t>
        </is>
      </c>
      <c r="C240" t="inlineStr">
        <is>
          <t>Amazon.com</t>
        </is>
      </c>
      <c r="D240" t="inlineStr">
        <is>
          <t>indeed</t>
        </is>
      </c>
      <c r="E240">
        <f>HYPERLINK("https://www.indeed.com/viewjob?jk=e3640f413b615a52", "https://www.indeed.com/viewjob?jk=e3640f413b615a52")</f>
        <v/>
      </c>
      <c r="F240">
        <f>HYPERLINK("https://www.amazon.jobs/jobs/3035686/sr-applied-scientist-amazon-advertising?cmpid=DA_INAD200785B", "https://www.amazon.jobs/jobs/3035686/sr-applied-scientist-amazon-advertising?cmpid=DA_INAD200785B")</f>
        <v/>
      </c>
      <c r="G240" t="inlineStr">
        <is>
          <t>New York, NY, US</t>
        </is>
      </c>
      <c r="H240" s="3" t="n">
        <v>45851</v>
      </c>
      <c r="I2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in-a016b5d47a52012c</t>
        </is>
      </c>
      <c r="B241" t="inlineStr">
        <is>
          <t>Sr. Applied Scientist, Amazon Advertising</t>
        </is>
      </c>
      <c r="C241" t="inlineStr">
        <is>
          <t>Amazon.com</t>
        </is>
      </c>
      <c r="D241" t="inlineStr">
        <is>
          <t>indeed</t>
        </is>
      </c>
      <c r="E241">
        <f>HYPERLINK("https://www.indeed.com/viewjob?jk=a016b5d47a52012c", "https://www.indeed.com/viewjob?jk=a016b5d47a52012c")</f>
        <v/>
      </c>
      <c r="F241">
        <f>HYPERLINK("https://www.amazon.jobs/jobs/3035686/sr-applied-scientist-amazon-advertising?cmpid=DA_INAD200785B", "https://www.amazon.jobs/jobs/3035686/sr-applied-scientist-amazon-advertising?cmpid=DA_INAD200785B")</f>
        <v/>
      </c>
      <c r="G241" t="inlineStr">
        <is>
          <t>Simi Valley, CA, US</t>
        </is>
      </c>
      <c r="H241" s="3" t="n">
        <v>45851</v>
      </c>
      <c r="I2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in-ee22d67457a7f23a</t>
        </is>
      </c>
      <c r="B242" t="inlineStr">
        <is>
          <t>Sr. Applied Scientist, Amazon Advertising</t>
        </is>
      </c>
      <c r="C242" t="inlineStr">
        <is>
          <t>Amazon.com</t>
        </is>
      </c>
      <c r="D242" t="inlineStr">
        <is>
          <t>indeed</t>
        </is>
      </c>
      <c r="E242">
        <f>HYPERLINK("https://www.indeed.com/viewjob?jk=ee22d67457a7f23a", "https://www.indeed.com/viewjob?jk=ee22d67457a7f23a")</f>
        <v/>
      </c>
      <c r="F242">
        <f>HYPERLINK("https://www.amazon.jobs/jobs/3035686/sr-applied-scientist-amazon-advertising?cmpid=DA_INAD200785B", "https://www.amazon.jobs/jobs/3035686/sr-applied-scientist-amazon-advertising?cmpid=DA_INAD200785B")</f>
        <v/>
      </c>
      <c r="G242" t="inlineStr">
        <is>
          <t>Los Angeles, CA, US</t>
        </is>
      </c>
      <c r="H242" s="3" t="n">
        <v>45851</v>
      </c>
      <c r="I2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in-3e4adae1de7fab1e</t>
        </is>
      </c>
      <c r="B243" t="inlineStr">
        <is>
          <t>Sr. Applied Scientist, Amazon Advertising</t>
        </is>
      </c>
      <c r="C243" t="inlineStr">
        <is>
          <t>Amazon.com</t>
        </is>
      </c>
      <c r="D243" t="inlineStr">
        <is>
          <t>indeed</t>
        </is>
      </c>
      <c r="E243">
        <f>HYPERLINK("https://www.indeed.com/viewjob?jk=3e4adae1de7fab1e", "https://www.indeed.com/viewjob?jk=3e4adae1de7fab1e")</f>
        <v/>
      </c>
      <c r="F243">
        <f>HYPERLINK("https://www.amazon.jobs/jobs/3035686/sr-applied-scientist-amazon-advertising?cmpid=DA_INAD200785B", "https://www.amazon.jobs/jobs/3035686/sr-applied-scientist-amazon-advertising?cmpid=DA_INAD200785B")</f>
        <v/>
      </c>
      <c r="G243" t="inlineStr">
        <is>
          <t>West Hollywood, CA, US</t>
        </is>
      </c>
      <c r="H243" s="3" t="n">
        <v>45851</v>
      </c>
      <c r="I2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in-e0432a8c858044d7</t>
        </is>
      </c>
      <c r="B244" t="inlineStr">
        <is>
          <t>Sr. Applied Scientist, Amazon Advertising</t>
        </is>
      </c>
      <c r="C244" t="inlineStr">
        <is>
          <t>Amazon.com</t>
        </is>
      </c>
      <c r="D244" t="inlineStr">
        <is>
          <t>indeed</t>
        </is>
      </c>
      <c r="E244">
        <f>HYPERLINK("https://www.indeed.com/viewjob?jk=e0432a8c858044d7", "https://www.indeed.com/viewjob?jk=e0432a8c858044d7")</f>
        <v/>
      </c>
      <c r="F244">
        <f>HYPERLINK("https://www.amazon.jobs/jobs/3035686/sr-applied-scientist-amazon-advertising?cmpid=DA_INAD200785B", "https://www.amazon.jobs/jobs/3035686/sr-applied-scientist-amazon-advertising?cmpid=DA_INAD200785B")</f>
        <v/>
      </c>
      <c r="G244" t="inlineStr">
        <is>
          <t>Arlington, VA, US</t>
        </is>
      </c>
      <c r="H244" s="3" t="n">
        <v>45851</v>
      </c>
      <c r="I2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in-b45ac9c04c3d0eac</t>
        </is>
      </c>
      <c r="B245" t="inlineStr">
        <is>
          <t>Sr. Applied Scientist, Amazon Advertising</t>
        </is>
      </c>
      <c r="C245" t="inlineStr">
        <is>
          <t>Amazon.com</t>
        </is>
      </c>
      <c r="D245" t="inlineStr">
        <is>
          <t>indeed</t>
        </is>
      </c>
      <c r="E245">
        <f>HYPERLINK("https://www.indeed.com/viewjob?jk=b45ac9c04c3d0eac", "https://www.indeed.com/viewjob?jk=b45ac9c04c3d0eac")</f>
        <v/>
      </c>
      <c r="F245">
        <f>HYPERLINK("https://www.amazon.jobs/jobs/3035686/sr-applied-scientist-amazon-advertising?cmpid=DA_INAD200785B", "https://www.amazon.jobs/jobs/3035686/sr-applied-scientist-amazon-advertising?cmpid=DA_INAD200785B")</f>
        <v/>
      </c>
      <c r="G245" t="inlineStr">
        <is>
          <t>Austin, TX, US</t>
        </is>
      </c>
      <c r="H245" s="3" t="n">
        <v>45851</v>
      </c>
      <c r="I2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in-dc45b03c70e17ea7</t>
        </is>
      </c>
      <c r="B246" t="inlineStr">
        <is>
          <t>Sr. Applied Scientist, Amazon Advertising</t>
        </is>
      </c>
      <c r="C246" t="inlineStr">
        <is>
          <t>Amazon.com</t>
        </is>
      </c>
      <c r="D246" t="inlineStr">
        <is>
          <t>indeed</t>
        </is>
      </c>
      <c r="E246">
        <f>HYPERLINK("https://www.indeed.com/viewjob?jk=dc45b03c70e17ea7", "https://www.indeed.com/viewjob?jk=dc45b03c70e17ea7")</f>
        <v/>
      </c>
      <c r="F246">
        <f>HYPERLINK("https://www.amazon.jobs/jobs/3035686/sr-applied-scientist-amazon-advertising?cmpid=DA_INAD200785B", "https://www.amazon.jobs/jobs/3035686/sr-applied-scientist-amazon-advertising?cmpid=DA_INAD200785B")</f>
        <v/>
      </c>
      <c r="G246" t="inlineStr">
        <is>
          <t>Seattle, WA, US</t>
        </is>
      </c>
      <c r="H246" s="3" t="n">
        <v>45851</v>
      </c>
      <c r="I2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in-fae63cd729b07732</t>
        </is>
      </c>
      <c r="B247" t="inlineStr">
        <is>
          <t>Senior Applied Scientist, Artificial General Intelligence</t>
        </is>
      </c>
      <c r="C247" t="inlineStr">
        <is>
          <t>Amazon.com</t>
        </is>
      </c>
      <c r="D247" t="inlineStr">
        <is>
          <t>indeed</t>
        </is>
      </c>
      <c r="E247">
        <f>HYPERLINK("https://www.indeed.com/viewjob?jk=fae63cd729b07732", "https://www.indeed.com/viewjob?jk=fae63cd729b07732")</f>
        <v/>
      </c>
      <c r="F247">
        <f>HYPERLINK("https://www.amazon.jobs/jobs/3029958/senior-applied-scientist-artificial-general-intelligence?cmpid=DA_INAD200785B", "https://www.amazon.jobs/jobs/3029958/senior-applied-scientist-artificial-general-intelligence?cmpid=DA_INAD200785B")</f>
        <v/>
      </c>
      <c r="G247" t="inlineStr">
        <is>
          <t>Sunnyvale, CA, US</t>
        </is>
      </c>
      <c r="H247" s="3" t="n">
        <v>45846</v>
      </c>
      <c r="I24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in-e3f3b4eb6602bcfe</t>
        </is>
      </c>
      <c r="B248" t="inlineStr">
        <is>
          <t>Senior Applied Scientist, Artificial General Intelligence</t>
        </is>
      </c>
      <c r="C248" t="inlineStr">
        <is>
          <t>Amazon.com</t>
        </is>
      </c>
      <c r="D248" t="inlineStr">
        <is>
          <t>indeed</t>
        </is>
      </c>
      <c r="E248">
        <f>HYPERLINK("https://www.indeed.com/viewjob?jk=e3f3b4eb6602bcfe", "https://www.indeed.com/viewjob?jk=e3f3b4eb6602bcfe")</f>
        <v/>
      </c>
      <c r="F248">
        <f>HYPERLINK("https://www.amazon.jobs/jobs/3029958/senior-applied-scientist-artificial-general-intelligence?cmpid=DA_INAD200785B", "https://www.amazon.jobs/jobs/3029958/senior-applied-scientist-artificial-general-intelligence?cmpid=DA_INAD200785B")</f>
        <v/>
      </c>
      <c r="G248" t="inlineStr">
        <is>
          <t>Seattle, WA, US</t>
        </is>
      </c>
      <c r="H248" s="3" t="n">
        <v>45846</v>
      </c>
      <c r="I24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in-bf498f040dbaf378</t>
        </is>
      </c>
      <c r="B249" t="inlineStr">
        <is>
          <t>Senior Applied Scientist, Artificial General Intelligence</t>
        </is>
      </c>
      <c r="C249" t="inlineStr">
        <is>
          <t>Amazon.com</t>
        </is>
      </c>
      <c r="D249" t="inlineStr">
        <is>
          <t>indeed</t>
        </is>
      </c>
      <c r="E249">
        <f>HYPERLINK("https://www.indeed.com/viewjob?jk=bf498f040dbaf378", "https://www.indeed.com/viewjob?jk=bf498f040dbaf378")</f>
        <v/>
      </c>
      <c r="F249">
        <f>HYPERLINK("https://www.amazon.jobs/jobs/3029958/senior-applied-scientist-artificial-general-intelligence?cmpid=DA_INAD200785B", "https://www.amazon.jobs/jobs/3029958/senior-applied-scientist-artificial-general-intelligence?cmpid=DA_INAD200785B")</f>
        <v/>
      </c>
      <c r="G249" t="inlineStr">
        <is>
          <t>Boston, MA, US</t>
        </is>
      </c>
      <c r="H249" s="3" t="n">
        <v>45846</v>
      </c>
      <c r="I24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in-8a6e3bd3463c3f26</t>
        </is>
      </c>
      <c r="B250" t="inlineStr">
        <is>
          <t>Applied Scientist, Prime Video - Personalization and Discovery Science</t>
        </is>
      </c>
      <c r="C250" t="inlineStr">
        <is>
          <t>Amazon.com</t>
        </is>
      </c>
      <c r="D250" t="inlineStr">
        <is>
          <t>indeed</t>
        </is>
      </c>
      <c r="E250">
        <f>HYPERLINK("https://www.indeed.com/viewjob?jk=8a6e3bd3463c3f26", "https://www.indeed.com/viewjob?jk=8a6e3bd3463c3f26")</f>
        <v/>
      </c>
      <c r="F250">
        <f>HYPERLINK("https://www.amazon.jobs/jobs/3033050/applied-scientist-prime-video--personalization-and-discovery-science?cmpid=DA_INAD200785B", "https://www.amazon.jobs/jobs/3033050/applied-scientist-prime-video--personalization-and-discovery-science?cmpid=DA_INAD200785B")</f>
        <v/>
      </c>
      <c r="G250" t="inlineStr">
        <is>
          <t>Seattle, WA, US</t>
        </is>
      </c>
      <c r="H250" s="3" t="n">
        <v>45845</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in-0b2b0bc7932b7da8</t>
        </is>
      </c>
      <c r="B251" t="inlineStr">
        <is>
          <t>Applied Scientist, Prime Video - Personalization and Discovery Science</t>
        </is>
      </c>
      <c r="C251" t="inlineStr">
        <is>
          <t>Amazon.com</t>
        </is>
      </c>
      <c r="D251" t="inlineStr">
        <is>
          <t>indeed</t>
        </is>
      </c>
      <c r="E251">
        <f>HYPERLINK("https://www.indeed.com/viewjob?jk=0b2b0bc7932b7da8", "https://www.indeed.com/viewjob?jk=0b2b0bc7932b7da8")</f>
        <v/>
      </c>
      <c r="F251">
        <f>HYPERLINK("https://www.amazon.jobs/jobs/3033050/applied-scientist-prime-video--personalization-and-discovery-science?cmpid=DA_INAD200785B", "https://www.amazon.jobs/jobs/3033050/applied-scientist-prime-video--personalization-and-discovery-science?cmpid=DA_INAD200785B")</f>
        <v/>
      </c>
      <c r="G251" t="inlineStr">
        <is>
          <t>New York, NY, US</t>
        </is>
      </c>
      <c r="H251" s="3" t="n">
        <v>45845</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in-2a63065c32bf2987</t>
        </is>
      </c>
      <c r="B252" t="inlineStr">
        <is>
          <t>Applied Scientist, Prime Video - Personalization and Discovery Science</t>
        </is>
      </c>
      <c r="C252" t="inlineStr">
        <is>
          <t>Amazon.com</t>
        </is>
      </c>
      <c r="D252" t="inlineStr">
        <is>
          <t>indeed</t>
        </is>
      </c>
      <c r="E252">
        <f>HYPERLINK("https://www.indeed.com/viewjob?jk=2a63065c32bf2987", "https://www.indeed.com/viewjob?jk=2a63065c32bf2987")</f>
        <v/>
      </c>
      <c r="F252">
        <f>HYPERLINK("https://www.amazon.jobs/jobs/3033050/applied-scientist-prime-video--personalization-and-discovery-science?cmpid=DA_INAD200785B", "https://www.amazon.jobs/jobs/3033050/applied-scientist-prime-video--personalization-and-discovery-science?cmpid=DA_INAD200785B")</f>
        <v/>
      </c>
      <c r="G252" t="inlineStr">
        <is>
          <t>Sunnyvale, CA, US</t>
        </is>
      </c>
      <c r="H252" s="3" t="n">
        <v>45845</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in-b251ae9eb166fbeb</t>
        </is>
      </c>
      <c r="B253" t="inlineStr">
        <is>
          <t>Sr. Applied Scientist, Prime Video - Personalization and Discovery Science</t>
        </is>
      </c>
      <c r="C253" t="inlineStr">
        <is>
          <t>Amazon.com</t>
        </is>
      </c>
      <c r="D253" t="inlineStr">
        <is>
          <t>indeed</t>
        </is>
      </c>
      <c r="E253">
        <f>HYPERLINK("https://www.indeed.com/viewjob?jk=b251ae9eb166fbeb", "https://www.indeed.com/viewjob?jk=b251ae9eb166fbeb")</f>
        <v/>
      </c>
      <c r="F253">
        <f>HYPERLINK("https://www.amazon.jobs/jobs/3011754/sr-applied-scientist-prime-video--personalization-and-discovery-science?cmpid=DA_INAD200785B", "https://www.amazon.jobs/jobs/3011754/sr-applied-scientist-prime-video--personalization-and-discovery-science?cmpid=DA_INAD200785B")</f>
        <v/>
      </c>
      <c r="G253" t="inlineStr">
        <is>
          <t>Sunnyvale, CA, US</t>
        </is>
      </c>
      <c r="H253" s="3" t="n">
        <v>45819</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in-243d53ad5ba39f86</t>
        </is>
      </c>
      <c r="B254" t="inlineStr">
        <is>
          <t>Sr. Applied Scientist, Prime Video - Personalization and Discovery Science</t>
        </is>
      </c>
      <c r="C254" t="inlineStr">
        <is>
          <t>Amazon.com</t>
        </is>
      </c>
      <c r="D254" t="inlineStr">
        <is>
          <t>indeed</t>
        </is>
      </c>
      <c r="E254">
        <f>HYPERLINK("https://www.indeed.com/viewjob?jk=243d53ad5ba39f86", "https://www.indeed.com/viewjob?jk=243d53ad5ba39f86")</f>
        <v/>
      </c>
      <c r="F254">
        <f>HYPERLINK("https://www.amazon.jobs/jobs/3011754/sr-applied-scientist-prime-video--personalization-and-discovery-science?cmpid=DA_INAD200785B", "https://www.amazon.jobs/jobs/3011754/sr-applied-scientist-prime-video--personalization-and-discovery-science?cmpid=DA_INAD200785B")</f>
        <v/>
      </c>
      <c r="G254" t="inlineStr">
        <is>
          <t>Seattle, WA, US</t>
        </is>
      </c>
      <c r="H254" s="3" t="n">
        <v>45819</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in-440e4e251ab4553e</t>
        </is>
      </c>
      <c r="B255" t="inlineStr">
        <is>
          <t>Principal Applied Scientist, FAR (Frontier AI &amp; Robotics)</t>
        </is>
      </c>
      <c r="C255" t="inlineStr">
        <is>
          <t>Amazon.com</t>
        </is>
      </c>
      <c r="D255" t="inlineStr">
        <is>
          <t>indeed</t>
        </is>
      </c>
      <c r="E255">
        <f>HYPERLINK("https://www.indeed.com/viewjob?jk=440e4e251ab4553e", "https://www.indeed.com/viewjob?jk=440e4e251ab4553e")</f>
        <v/>
      </c>
      <c r="F255">
        <f>HYPERLINK("https://www.amazon.jobs/jobs/2938625/principal-applied-scientist-far-frontier-ai--robotics?cmpid=DA_INAD200785B", "https://www.amazon.jobs/jobs/2938625/principal-applied-scientist-far-frontier-ai--robotics?cmpid=DA_INAD200785B")</f>
        <v/>
      </c>
      <c r="G255" t="inlineStr">
        <is>
          <t>Seattle, WA, US</t>
        </is>
      </c>
      <c r="H255" s="3" t="n">
        <v>45740</v>
      </c>
      <c r="I25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in-34730eb2f29afa94</t>
        </is>
      </c>
      <c r="B256" t="inlineStr">
        <is>
          <t>Principal Applied Scientist, FAR (Frontier AI &amp; Robotics)</t>
        </is>
      </c>
      <c r="C256" t="inlineStr">
        <is>
          <t>Amazon.com</t>
        </is>
      </c>
      <c r="D256" t="inlineStr">
        <is>
          <t>indeed</t>
        </is>
      </c>
      <c r="E256">
        <f>HYPERLINK("https://www.indeed.com/viewjob?jk=34730eb2f29afa94", "https://www.indeed.com/viewjob?jk=34730eb2f29afa94")</f>
        <v/>
      </c>
      <c r="F256">
        <f>HYPERLINK("https://www.amazon.jobs/jobs/2938625/principal-applied-scientist-far-frontier-ai--robotics?cmpid=DA_INAD200785B", "https://www.amazon.jobs/jobs/2938625/principal-applied-scientist-far-frontier-ai--robotics?cmpid=DA_INAD200785B")</f>
        <v/>
      </c>
      <c r="G256" t="inlineStr">
        <is>
          <t>San Francisco, CA, US</t>
        </is>
      </c>
      <c r="H256" s="3" t="n">
        <v>45740</v>
      </c>
      <c r="I25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li-4314450021</t>
        </is>
      </c>
      <c r="B2" t="inlineStr">
        <is>
          <t>Marketing Data Scientist - Remote</t>
        </is>
      </c>
      <c r="C2" t="inlineStr">
        <is>
          <t>Harbor Freight Tools</t>
        </is>
      </c>
      <c r="D2" t="inlineStr">
        <is>
          <t>linkedin</t>
        </is>
      </c>
      <c r="E2" t="inlineStr"/>
      <c r="F2" t="inlineStr"/>
      <c r="G2" t="inlineStr">
        <is>
          <t>Calabasas, CA</t>
        </is>
      </c>
      <c r="H2" t="inlineStr"/>
      <c r="I2" t="inlineStr">
        <is>
          <t>We are looking for a highly skilled and motivated Data Scientist to join our Marketing Analytics team. This role is crucial in leveraging our vast customer, sales, and campaign data to generate actionable insights that optimize marketing spend, personalize customer experiences, and drive profitable. The ideal candidate will have a good understanding of data science and AI techniques applicable in a marketing environment. The ideal candidate will also be able to understand and communicate how the work they do fits into the business context and business goals.
**Duties And Responsibilities**
* Develop, validate, and maintain a core set of Marketing models, including customer lifetime value, churn prediction and retention modeling, next best offer recommendations, and customer segmentation.
* Apply advanced analytics, causal inference, experimentation, machine learning and AI techniques for given business problems related to customer behavior and marketing personalization.
* Support the design, analysis, and interpretation of marketing campaign tests, including A/B tests, controlled experiments, and geo\-tests.
* Proactively perform data exploration on customer behaviors to discover future opportunities.
* Collaborate with Data Engineering and IT teams to ensure data quality, accessibility, and the implementation of models into production environments.
* Cultivate strong partnerships with cross\-functional stakeholders from marketing, merchandising, and IT
* Translate complex analytical findings into clear, concise, and compelling narratives for non\-technical stakeholders, including marketing leaders and executive teams.
**Scope**
* Staff supervision and development: No
* Decision making:
* Provides data for decision making
* Travel: Up to 5%
* Flex Designation: Anywhere
**RequirementsEducation And Experience**
* Bachelor’s degree, preferably in a technical or quantitative field.
* 4\-6 years industry experience developing marketing or related machine learning models
* 4\-6 years experience in marketing analytics or another related analytics role
**Skills**
* Experience with a wide variety of machine learning techniques (e.g., regression, classification, clustering, deep learning).
* Familiarity with causal inference methods, time series analysis, and forecasting techniques.
* Ability to assess model robustness by selecting, interpreting, and comparing appropriate performance metrics (e.g., accuracy, precision, recall, F1, AUC)
* Strong foundational knowledge of core marketing concepts (e.g., CPA, ROAS, LTV, attribution, segmentation).
* Demonstrated ability to apply data science to solve real\-world marketing or business challenges.
* Strong technical skills including SQL and either Python or R.
* Familiarity with common AI tools and frameworks such as HuggingFace, transformers, pytorch, RAG, etc.
* Ability to communicate clearly with both technical and non\-technical audiences
**Physical Requirements**
**General Office Environment Requiring Ability To**
* Stand, walk, sit for extended periods of time .
* Speak and listen to others in person and over the phone and video conferencing.
* Use keyboard and read from computer screen and reports.
* The ability to lift up to 15 lbs.
**Safety**
 Must be able to perform this job safely in accordance with standard operating procedures and good manufacturing practices, without endangering the health or safety of self or others.</t>
        </is>
      </c>
    </row>
    <row r="3">
      <c r="A3" t="inlineStr">
        <is>
          <t>li-4358982814</t>
        </is>
      </c>
      <c r="B3" t="inlineStr">
        <is>
          <t>Senior Data Scientist- Gen AI</t>
        </is>
      </c>
      <c r="C3" t="inlineStr">
        <is>
          <t>Tiger Analytics</t>
        </is>
      </c>
      <c r="D3" t="inlineStr">
        <is>
          <t>linkedin</t>
        </is>
      </c>
      <c r="E3" t="inlineStr"/>
      <c r="F3" t="inlineStr"/>
      <c r="G3" t="inlineStr">
        <is>
          <t>Charlotte, NC</t>
        </is>
      </c>
      <c r="H3" t="inlineStr"/>
      <c r="I3"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Strong Problem\-Solving Skills: Demonstrated ability to approach complex business and technical challenges using data science methodologies and statistical techniques
* Proficiency in Python and SQL: Hands\-on experience in writing production\-grade code, data manipulation, and querying large databases
* Expertise in NLP: Proven experience working with text and transcription data, including preprocessing, feature engineering, and model development
* Generative AI Knowledge: Solid understanding of latest\-generation AI concepts including LLMs, prompt engineering, retrieval\-augmented generation (RAG), and other contemporary generative AI applications
* Curiosity and Continuous Learning: Passionate about staying current with emerging trends, research papers, and advancements in NLP and AI
* Strategic Alignment: Ability to understand organizational vision and strategy, translating it into data\-driven initiatives that create positive business impact
* Strong Communication: Ability to articulate complex technical concepts to both technical and non\-technical audiences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4">
      <c r="A4" t="inlineStr">
        <is>
          <t>li-4331022364</t>
        </is>
      </c>
      <c r="B4" t="inlineStr">
        <is>
          <t>Data Scientist</t>
        </is>
      </c>
      <c r="C4" t="inlineStr">
        <is>
          <t>Brooksource</t>
        </is>
      </c>
      <c r="D4" t="inlineStr">
        <is>
          <t>linkedin</t>
        </is>
      </c>
      <c r="E4" t="inlineStr"/>
      <c r="F4" t="inlineStr"/>
      <c r="G4" t="inlineStr">
        <is>
          <t>Miami, FL</t>
        </is>
      </c>
      <c r="H4" t="inlineStr"/>
      <c r="I4" t="inlineStr">
        <is>
          <t>**Data Scientist** 
**Data Analytics \&amp; AI Team** 
**POSITION SUMMARY** 
* We are seeking a Data Science Contractor to support our centralized Data Analytics \&amp; AI team. This role focuses on designing, building, and validating datasets that power analytics, reporting, and machine learning solutions across the company.
* You will work closely with Data Scientists, Analysts, and technical partners to:
* Bring together data from multiple systems
* Build reliable, analytics\-ready datasets and tables
* Create repeatable data preparation workflows
* Improve data quality, consistency, and documentation
* Success in this role will be measured by the quality, usability, and business impact of the datasets and data assets you help deliver.
**ABOUT THE TEAM** 
* The Data Analytics \&amp; AI (Data Science \&amp; Analytics) team drives innovation through advanced analytics, AI, and data\-informed decision\-making. We:
* Build and maintain the data foundations that power analytics and AI solutions
* Deliver data\-driven insights for key strategic and operational initiatives
* Design reusable data models, standardized metrics, and scalable analytics assets
* Partner with teams across the organization to make data easier to access, understand, and use
* As a Data Science Contractor focused on analytics and data foundations, you will help create high\-quality datasets that support real\-world business problems impacting millions of vacationers worldwide.
**KEY RESPONSIBILITIES** 
 1\. Data Foundations \&amp; Dataset Design
 Partner with Data Scientists, Analysts, and business stakeholders to understand requirements and translate them into well\-structured, analytics\-ready datasets.
 Use SQL and Python (or similar languages) to extract, transform, and load data from multiple sources (databases, APIs, files, third\-party systems).
 Design and implement data transformations (joins, aggregations, feature creation, reshaping) to support reporting, analytics, experimentation, and modeling.
 Help standardize business definitions, metrics, and dimensions across datasets to ensure consistency and reusability.
 2\. Pipelines, Data Quality, and Governance
 Build and maintain repeatable data preparation workflows to feed curated tables, views, and data marts.
 Implement data quality checks and validation rules to ensure completeness, accuracy, and timeliness.
 Investigate and resolve data issues, discrepancies, and anomalies in partnership with source system owners and downstream users.
 Document lineage, schemas, and transformation logic, aligning with internal governance standards.
 3\. Analytics \&amp; Data Enablement
 Ensure datasets are designed to support key business KPIs, dashboards, and analytic use cases.
 Provide Data Scientists with clean, structured input datasets for modeling and experimentation.
 Support Analysts and business users in understanding table structures, field definitions, and best practices for querying data.
 Assist in developing or refining semantic layers and reusable queries that simplify access to complex data.
 4\. Documentation \&amp; Knowledge Sharing
 Create and maintain data dictionaries, schema documentation, and transformation specifications.
 Clearly document assumptions, business rules, and known data limitations.
 Contribute to internal best practices for dataset design, reproducibility, and code organization.
 Participate in team meetings, code reviews, and technical discussions with Data Scientists, Engineers, and business partners.
**REQUIRED QUALIFICATIONS** 
* Bachelor’s degree in Data Science, Computer Science, Statistics, Mathematics, Information Systems, Engineering, or a related quantitative field; or equivalent practical experience.
* 2\+ years of hands\-on experience in data\-focused roles (e.g., data science, analytics, BI, or similar), with significant work building and transforming datasets.
* Technical skills:
* Strong proficiency in SQL, including complex joins, aggregations, window functions, and performance\-aware query design.
* Proficiency in Python (or R) for data wrangling, scripting, and automation; experience with libraries such as pandas, NumPy or equivalent.
* Experience creating repeatable ETL/ELT\-style workflows or scripted data preparation processes.
* Experience working with relational databases and/or modern cloud data warehouses.
* Ability to work with large, messy, real\-world datasets, including cleaning, reshaping, and validating data.
* General skills:
* Strong analytical and quantitative problem\-solving skills.
* Ability to clearly explain data structures, assumptions, and trade\-offs to both technical and non\-technical stakeholders.
* Proven ability to manage multiple tasks and priorities in a fast\-paced environment.
**PREFERRED QUALIFICATIONS** 
* Experience with dimensional data modeling (e.g., star/snowflake schemas) and designing analytics data marts.
* Hands\-on experience with cloud platforms (Azure, AWS, or GCP) and cloud data warehouses (e.g., Snowflake, Redshift, BigQuery, Azure Synapse).
* Familiarity with big data or distributed processing frameworks (e.g., Spark, Databricks).
* Exposure to workflow orchestration and transformation tools (e.g., Airflow, dbt, Azure Data Factory, AWS Glue).
* Experience with version control (Git, GitHub/GitLab/Bitbucket) and collaborative development workflows.
* Experience supporting data science or machine learning teams, including building feature\-ready datasets.
* Experience developing dashboards or reports with tools such as Tableau, Power BI, or similar.
* Background working in Agile or iterative development environments.
**KNOWLEDGE, SKILLS, AND ATTRIBUTES** 
* Demonstrates a strong capacity for learning new tools, methods, and technologies in data and analytics.
* Curious, detail\-oriented, and passionate about improving data quality and usability.
* Comfortable working independently while collaborating closely with cross\-functional teams.
* Strong communication skills, both written and verbal.
* Passionate about using data to improve customer experiences, drive innovation, and create business value.
* Interest in travel, hospitality, and/or the cruise industry is a plus.
**EQUAL OPPORTUNITY STATEMENT** 
* Eight Eleven Group, LLC ensures equal employment and promotion opportunities without discrimination or harassment based on any protected characteristic under law.</t>
        </is>
      </c>
    </row>
    <row r="5">
      <c r="A5" t="inlineStr">
        <is>
          <t>li-4351744741</t>
        </is>
      </c>
      <c r="B5" t="inlineStr">
        <is>
          <t>Data Scientist</t>
        </is>
      </c>
      <c r="C5" t="inlineStr">
        <is>
          <t>Underdog.io -Apply to top tech jobs in 60 seconds. A place where companies apply to you</t>
        </is>
      </c>
      <c r="D5" t="inlineStr">
        <is>
          <t>linkedin</t>
        </is>
      </c>
      <c r="E5" t="inlineStr"/>
      <c r="F5" t="inlineStr"/>
      <c r="G5" t="inlineStr"/>
      <c r="H5" t="inlineStr"/>
      <c r="I5"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6">
      <c r="A6" t="inlineStr">
        <is>
          <t>li-4354377836</t>
        </is>
      </c>
      <c r="B6" t="inlineStr">
        <is>
          <t>Data Scientist</t>
        </is>
      </c>
      <c r="C6" t="inlineStr">
        <is>
          <t>Venteon</t>
        </is>
      </c>
      <c r="D6" t="inlineStr">
        <is>
          <t>linkedin</t>
        </is>
      </c>
      <c r="E6" t="inlineStr"/>
      <c r="F6" t="inlineStr"/>
      <c r="G6" t="inlineStr"/>
      <c r="H6" t="inlineStr"/>
      <c r="I6"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7">
      <c r="A7" t="inlineStr">
        <is>
          <t>li-4358616424</t>
        </is>
      </c>
      <c r="B7" t="inlineStr">
        <is>
          <t>Senior Data Scientist</t>
        </is>
      </c>
      <c r="C7" t="inlineStr">
        <is>
          <t>Capgemini</t>
        </is>
      </c>
      <c r="D7" t="inlineStr">
        <is>
          <t>linkedin</t>
        </is>
      </c>
      <c r="E7" t="inlineStr"/>
      <c r="F7" t="inlineStr"/>
      <c r="G7" t="inlineStr">
        <is>
          <t>Washington, DC</t>
        </is>
      </c>
      <c r="H7" t="inlineStr"/>
      <c r="I7" t="inlineStr">
        <is>
          <t>Capgemini Government Solutions (CGS) LLC is seeking a highly motivated Senior Data Scientist to lead the development and deployment of models and methodologies that enable pattern analysis, predictive modeling, intelligent automation, and AI/ML solutions. The successful candidate will have the opportunity to conceive and deliver innovative data science solutions to the U.S. Public Sector to help address critical national and global challenges such as health, climate change, and national security. This individual will join our Data and AI practice in the DC Metro Area. As a part of the rapidly expanding CGS Data and AI practice, the candidate will also help our clients develop, deploy, and modernize their data science products and ecosystems.
 At Capgemini, we are committed to our staff’s professional development and offer a wide range of training and educational resources. In addition to our internal learning sites, we partnered with Coursera and Degreed to offer our staff the latest courses from academic institutions around the world. We provide education expense reimbursements as well as sponsor seminars, conferences, and certifications. Our practice leaders work with every team member to chart appropriate career paths and goals to ensure that we all stay innovative and transformative, which maximizes our ability to scale up our solutions, keep up with the cutting edge, and bring the art of what’s possible to the Federal Government.
**Job Responsibilities** 
 As a Senior Data Scientist you will:
* Provide subject matter expertise in matters of data science, machine learning, and artificial intelligence to an entrepreneurial and high performing team
* Drive data science and AI/ML\-related solutions based on evaluation of requirements, resources, and alternatives
* Lead exploratory data analysis to evaluate data pipelines and construct data stores (structured, semi\-structured, and unstructured) as needed to feed frameworks/models
* Manage development of custom algorithms, frameworks, and models or leverage available tools, libraries, and applications to solve complex problems
* Oversee deployment of data science and AI/ML solutions and develop methodologies to scale up
* Coordinate internal and external stakeholders to pattern analysis, predictive modeling, intelligent automation, GenAI, OCR, NLP, fraud detection, and other business cases for using data science, machine learning, and artificial intelligence
* Present and articulate findings and present solutions to clients and team members
* Maintain knowledge of advances of data science in industry and academia
* Contribute to the overall growth of the Data and AI practice
**Required Qualifications** 
* U.S. Citizenship is required
* Eligible to obtain and maintain a Government Security Clearance
* Be at client site full time in Washington, DC
* Bachelor’s degree or higher in data science, statistics, computer science, economics, mathematics, information systems, or similar field preferred
* Minimum of ten (10\) years of professional experience (relevant advanced degrees may substitute equivalent number of years) with data science, AI/ML, or deep learning delivery responsibilities such as:
+ Managing teams to deliver work products that comply with quality, time, and technical targets
+ Coordinating and influencing stakeholders, managing communications, and managing client expectations
+ Designing and developing data models and algorithms for multi\-objective optimization and decision making
+ Building and deploying predictive and prescriptive analytics
+ Conducting hypothesis testing, statistical and probability analyses
+ Applying appropriate methods to describe statistical relationships between variables
+ Performing multiple correspondence analysis (MCA), principal component analysis (PCA, and association rule mining
* Experience using tools such as Databricks; Azure’s Machine Learning and AI Services; AWS’s SageMaker and Bedrock
* Experience programming in languages such as Python, R, Scala, SQL, JavaScript, C/C\+\+, and Java
* Experience using libraries and frameworks such as TensorFlow, PyTorch, mpi4py, Spark ML/MLlib, Jupyter, h2o, keras, or mir
* Experience collecting in managing large data sets in cloud\-based databases, data lakes, and data warehouses such as Oracle EDW, SQL Server, or MS Access
* Ability to multi\-task and stay flexible in a dynamic work environment
**Preferred/Nice to Have Qualifications** 
* Active Government Security clearance
* Experience developing algorithms for High\-Performance Computing (HPC) environments using custom multi\-core desktop computers and MS MPI
* Experience with Deep Learning methods in NLP, sentiment analysis, topic modeling, and graph theory and databases
* Experience working with big data distributed programming languages and ecosystems such as Hadoop, MapReduce, Pig, or Kafka
* Experience working in an IT project team following SDLC and DevOps methodologies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
 Get The Future You Want \| www.capgemini.com
 **Disclaimer** 
 All qualified applicants will be considered for employment based on their skills, and merit.
 Please be aware that Capgemini may capture your image (video or screenshot) during the interview process and that image may be used for verification, including during the hiring and onboarding process.Applicants for employment in the US must have valid work authorization that does not now and/or will not in the future require sponsorship of a visa for employment authorization in the US by Capgemini.Capgemini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$120k \- $155k. This role may be eligible for other compensation including variable compensation, bonus, or commission. Full time regular employees are eligible for paid time off, medical/dental/vision insurance, 401(k), and any other benefits to eligible employees.Note: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8">
      <c r="A8" t="inlineStr">
        <is>
          <t>li-4330952305</t>
        </is>
      </c>
      <c r="B8" t="inlineStr">
        <is>
          <t>Healthcare Data Scientist Onsite at Dallas,TX/Chicago,IL</t>
        </is>
      </c>
      <c r="C8" t="inlineStr">
        <is>
          <t>Jobs via Dice</t>
        </is>
      </c>
      <c r="D8" t="inlineStr">
        <is>
          <t>linkedin</t>
        </is>
      </c>
      <c r="E8" t="inlineStr"/>
      <c r="F8" t="inlineStr"/>
      <c r="G8" t="inlineStr">
        <is>
          <t>Chicago, IL</t>
        </is>
      </c>
      <c r="H8" t="inlineStr"/>
      <c r="I8" t="inlineStr">
        <is>
          <t>Dice is the leading career destination for tech experts at every stage of their careers. Our client, E\-Solutions, Inc., is seeking the following. Apply via Dice today!
 Hi Professionals,
 Title: Healthcare Data Scientist Onsite at Dallas,TX/Chicago,IL
 Location: Dallas,TX/Chicago,IL(Onsite)
 Duration: Long Term
 JD:
 Mandatory skills
 Proficiency in Python and scripting languages for NLP and machine learning development. Strong understanding of clinical NLP techniques and experience with machine learning and deep learning models. Hands\-on experience with large language models and agentic workflow tools such as LangGraph. Expertise in SQL and big data technologies including AWS EMR and Spark/pySpark. Practical knowledge of AWS services, especially AWS Bedrock for generative AI applications. Experience with relational databases such as PostgreSQL or MySQL.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Healthcare Data Scientist Onsite at Dallas,TX/Chicago,IL1AWS,EMR,NLP,Data Scientist,health OR Healthcare,LLM,BedrockN/AC2CUnited States</t>
        </is>
      </c>
    </row>
    <row r="9">
      <c r="A9" t="inlineStr">
        <is>
          <t>li-4331080629</t>
        </is>
      </c>
      <c r="B9" t="inlineStr">
        <is>
          <t>Data Scientist</t>
        </is>
      </c>
      <c r="C9" t="inlineStr">
        <is>
          <t>Jobs via Dice</t>
        </is>
      </c>
      <c r="D9" t="inlineStr">
        <is>
          <t>linkedin</t>
        </is>
      </c>
      <c r="E9" t="inlineStr"/>
      <c r="F9" t="inlineStr"/>
      <c r="G9" t="inlineStr">
        <is>
          <t>Redmond, WA</t>
        </is>
      </c>
      <c r="H9" t="inlineStr"/>
      <c r="I9" t="inlineStr">
        <is>
          <t>Dice is the leading career destination for tech experts at every stage of their careers. Our client, Apex Systems, is seeking the following. Apply via Dice today!
**Job\#: 3016130**
**Job Description:**
**Minecraft Education Data Scientist**
 We are looking for a Data Scientist with a drive to achieve high impact, high quality results to join the Mojang Player Data and Insights team. In this role, you will be responsible for driving insights that inform the Minecraft Education strategy. You'll partner with product and engineering teams to ensure robust reporting on business metrics, make recommendations to optimize business performance, and evaluate impact of programs and initiatives on key metrics. You will develop and lead analysis that identify key drivers of acquisition, engagement, and retention.
**Responsibilities**
 Identify key learnings from analysis and synthesize them into recommendations for stakeholders.
 Manage partnerships with Product, Marketing, and other teams to integrate insights into product decisions.
 Collaborate with stakeholders to develop analyses that answer the 'why' behind the requests.
 Transform complex analyses into compelling, data\-driven stories that communicate impact, clarify business trends, and influence strategic decisions across product, marketing, and leadership teams.
 Be self\-driven and show ability to deliver on ambiguous projects with incomplete or dirty data.
 Work with the Engineering team to build and maintain reporting queries for monitoring business health.
 Maintain dashboards in PowerBI that enable stakeholders to understand the business and supporting onboarding to other self\-service tools
 Manipulate and analyze complex, high\-volume, high\-dimensionality data from varying sources using a variety of tools and data analysis techniques.
 7 years experience in data analysis, experience in dashboarding, strong stakeholder management skills. Looking for someone with deep analysis and casual inference skills who is used to working with telemetry data. Experience with advanced ML models is less important than statistical knowledge.
**Qualifications**
 5 years of experience in data analytics.
 5 years of experience with SQL, bonus if familiar with SparkSQL, Databricks, or Azure Data Explorer.
**2 Years Of Experience With Dashboarding Tools, PowerBI Preferred.**
 Proficient in Python, bonus if familiar with PySpark.
 Able to work in a collaborative, diverse and fast\-paced team.
 Excellent analytical, and problem\-solving skills and autonomy when faced with solving data problems.
 Excellent verbal, visual and written communication skills.
 Interest in games, bonus if experience in gaming industry.
 Local to Seattle area.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0">
      <c r="A10" t="inlineStr">
        <is>
          <t>li-4330934618</t>
        </is>
      </c>
      <c r="B10" t="inlineStr">
        <is>
          <t>Mobile Game Data Scientist</t>
        </is>
      </c>
      <c r="C10" t="inlineStr">
        <is>
          <t>QDStaff</t>
        </is>
      </c>
      <c r="D10" t="inlineStr">
        <is>
          <t>linkedin</t>
        </is>
      </c>
      <c r="E10" t="inlineStr"/>
      <c r="F10" t="inlineStr"/>
      <c r="G10" t="inlineStr">
        <is>
          <t>Boca Raton, FL</t>
        </is>
      </c>
      <c r="H10" t="inlineStr"/>
      <c r="I10" t="inlineStr">
        <is>
          <t>Join this fast growing game development company in
 **Boca Raton, Florida** 
 as a
 **Data Scientist** 
 . Their games are played in over 40 countries and consistently rank in the top 10 in some of the biggest markets due, in part, to their commitment to building data\-driven game features. This company has 4 game development studios in North America and over 150 employees.
**Purpose** 
 They are seeking an experienced data scientist to deliver insights from mobile casino game and audience data. The ideal team member will have mathematical, AI and statistical expertise to mine, interpret, and clean game and audience data with responsibility to ask questions, connect the dots, and uncover opportunities that lie hidden within the data. 
**Roles and Expectations** 
* Lead data\-driven and evidence\-based research to support the delivery of game metrics, KPIs, reporting
* Creation of Dashboards that will be used to drive business decisions.
* Communicate findings to all stakeholders
* Enable smarter business processes\&amp;mdash;and implement analytics for meaningful insights
* Keep current with technical and industry developments
* Translate data and insights into meaningful visualizations and stories to drive strategy, action, and decision\-making with internal team leads (Game Designers, Management and Game Intelligence leads)
* Further incorporate data\-driven decision\-making in operations and Game Design.
* Establish KPIs and Dashboard to measure the effectiveness of business decisions
* Nice to Have: Research and devise innovative statistical models for data analysis
* Nice to Have: Advanced and predictive analytics
**Qualifications / Education** 
* Bachelor’s degree in statistics, applied mathematics, or related discipline
* Experience with AB testing
* An aptitude for creativity and ability to formulate problems and solve them independently
* Preferred: 4\+ years of industry experience in predictive modeling, data science, ML and analysis
* Preferred: Experience with AI: Machine Learning: Deep Learning \&amp; Neural Networks, Predictive Analytics \&amp; Math models.
* Preferred: Master’s degree in stats, applied math, or related discipline (for senior position)
* Preferable experience with online gaming data sets (slot games).
**Skills** 
* Familiarity with data management / visualization /Statistics tools
	+ Excel, PowerPoint, Tableau, SQL, PowerBI and programming languages (i.e., Java/Python, SAS, R) and Snowflake.
* Preferred: Proficiency with data mining, mathematics, and statistical analysis
* Preferred: Advanced pattern recognition and predictive modeling experience
* Preferred: Experience with machine learning and AI
	+ Tensor Flow, Azure Machine Learning Studio or similar tools
**Benefits:** 
* All benefits begin and are vested immediately.
* Zero deductible health care coverage
* 30 days sick time
* 17 vacation days, 5 days off paid Christmas to New Year's and Federal holidays
* 4% 401k match
* Up to 25% bonus paid quarterly based personal and game team performance
**Location:** 
* This role is based is in Boca Raton, FL
* It is in\-office 5 days per week
* Relocation expenses are paid
**Applicants should expect to complete an Assessment Evaluation as part of the interview process.** 
**About the company:** 
 Join a team that values people and loves gaming.  No TPS reports, guaranteed!
 This three studio software engineering company is quickly becoming known as a leading creative developer of online mobile casino games.  With no legacy or corporate entity to serve, this company is embracing leading technologies to deliver new and innovative experiences.  Their customers are shifting work from other studios to them as their games are achieving faster market penetration, higher user satisfaction and superior quality.  They recruit for attitude and aptitude.  They believe the right people will employ their passion for gaming to create great product with minimal supervision/overhead which is the inspiration behind their small distributed studio approach to growth.  You owe it to yourself to see this amazing alternative to corporate and indie game development.</t>
        </is>
      </c>
    </row>
    <row r="11">
      <c r="A11" t="inlineStr">
        <is>
          <t>li-4358912761</t>
        </is>
      </c>
      <c r="B11" t="inlineStr">
        <is>
          <t>Data Scientist</t>
        </is>
      </c>
      <c r="C11" t="inlineStr">
        <is>
          <t>Hirenza</t>
        </is>
      </c>
      <c r="D11" t="inlineStr">
        <is>
          <t>linkedin</t>
        </is>
      </c>
      <c r="E11" t="inlineStr"/>
      <c r="F11" t="inlineStr"/>
      <c r="G11" t="inlineStr"/>
      <c r="H11" t="inlineStr"/>
      <c r="I11" t="inlineStr">
        <is>
          <t>**About The Company**
 Xperttech is a leading technology solutions provider dedicated to transforming manufacturing operations through innovative data\-driven strategies. With a strong focus on leveraging cutting\-edge AI and machine learning technologies, Xperttech partners with industrial organizations to optimize processes, improve quality, and enhance operational efficiency. Our commitment to excellence and continuous innovation has established us as a trusted leader in the manufacturing technology sector, serving clients worldwide with tailored solutions that drive measurable results.
**About The Role**
 We are seeking an experienced AI / Machine Learning Engineer to join our dynamic team at Xperttech. In this pivotal role, you will be responsible for spearheading data\-driven transformation initiatives across manufacturing operations. Your primary focus will be to collaborate with manufacturing, operations, and business teams to identify high\-impact use cases for AI and machine learning, and to develop comprehensive end\-to\-end solutions. This role offers an exciting opportunity to work with large\-scale manufacturing datasets, applying your technical expertise to improve product quality, operational efficiency, and decision\-making processes. You will play a key role in delivering innovative solutions that directly impact our clients' operational excellence and business growth.
**Qualifications**
 To succeed in this role, candidates should possess a minimum of three years of hands\-on experience in AI, machine learning, or data science, preferably within manufacturing or industrial environments. Proficiency in Python and related ML libraries such as scikit\-learn, TensorFlow, and PyTorch is essential. Strong SQL skills for data extraction and transformation are required, along with experience using data visualization tools like Power BI or Tableau. A foundational understanding of MLOps principles, including model deployment and lifecycle management, is highly desirable. Familiarity with manufacturing data sources such as MES, ERP, and IoT systems, as well as a good grasp of manufacturing challenges like quality control and predictive maintenance, will be advantageous. Candidates should demonstrate excellent analytical, problem\-solving, and communication skills, with the ability to collaborate effectively across diverse teams. Experience with cloud platforms such as AWS, Azure, or Google Cloud is a plus.
**Responsibilities**
 Identify \&amp; Groom AI/ML Use Cases: Collaborate with manufacturing, operations, and business stakeholders to uncover opportunities where AI and machine learning can address real\-world challenges, enhance efficiency, and generate measurable value. Define project scope, objectives, and success metrics to ensure alignment with organizational goals.
 End\-to\-End Machine Learning Delivery: Manage the entire lifecycle of machine learning initiatives—from ideation through to deployment and ongoing monitoring. This includes gathering and cleaning data, engineering features, developing and validating models, deploying solutions in production environments, and maintaining performance through continuous monitoring and updates.
 Programming \&amp; Data Engineering: Develop clean, scalable, and efficient code primarily using Python. Build robust data pipelines, automate analytical workflows, and support model training and deployment processes. Use SQL extensively for data extraction, transformation, and analysis tasks.
 Data Analysis \&amp; Modeling: Analyze complex manufacturing datasets derived from systems such as Manufacturing Execution Systems (MES), Enterprise Resource Planning (ERP), and IoT sensors. Identify patterns, engineer meaningful features, and develop predictive or prescriptive models aimed at quality improvement, predictive maintenance, and process optimization.
 Insight Communication \&amp; Stakeholder Engagement: Translate technical insights into clear, actionable recommendations for non\-technical stakeholders. Facilitate data\-driven decision\-making across the organization by effectively communicating complex analyses and potential impacts to cross\-functional teams, including senior leadership and plant operators.
**Benefits**
 Xperttech offers a competitive benefits package designed to support our employees' health, well\-being, and professional growth. Our benefits include comprehensive health insurance plans, retirement savings options, paid time off, and opportunities for continuous learning and development. We foster a collaborative and innovative work environment that encourages creativity, problem\-solving, and career advancement. Additionally, employees have access to cutting\-edge tools and technologies, and are empowered to contribute meaningfully to transformative projects that shape the future of manufacturing.
 Equal Opportunity
 Xperttech is an equal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characteristic. We believe that diverse teams foster innovation and drive better business outcomes, and we are dedicated to providing equal employment opportunities to all qualified candidates.</t>
        </is>
      </c>
    </row>
    <row r="12">
      <c r="A12" t="inlineStr">
        <is>
          <t>li-4358944023</t>
        </is>
      </c>
      <c r="B12" t="inlineStr">
        <is>
          <t>Data Scientist (Product)</t>
        </is>
      </c>
      <c r="C12" t="inlineStr">
        <is>
          <t>Owner.com</t>
        </is>
      </c>
      <c r="D12" t="inlineStr">
        <is>
          <t>linkedin</t>
        </is>
      </c>
      <c r="E12" t="inlineStr"/>
      <c r="F12" t="inlineStr"/>
      <c r="G12" t="inlineStr"/>
      <c r="H12" t="inlineStr"/>
      <c r="I12" t="inlineStr">
        <is>
          <t>**About The Company** 
 Owner.com is a pioneering AI\-driven growth system dedicated to empowering local restaurants and small businesses to thrive in the digital landscape. Our innovative platform leverages cutting\-edge artificial intelligence to enhance search engine optimization (SEO), marketing strategies, and online ordering capabilities, thereby increasing first\-party orders and customer engagement. Unlike traditional software solutions that require small business owners to master complex tools, Owner provides a proven, user\-friendly system operated by a team of experts, effectively acting as an extension of their business. Our mission is to democratize access to advanced technology, enabling independent restaurants to compete with larger chains by offering them the same level of engineering and marketing support. Since inception, Owner has generated tens of millions in revenue, processed over half a billion dollars in online orders, and helped more than 20,000 restaurant owners save nearly $200 million in fees. Headquartered in San Francisco with a global, remote\-first team, Owner is committed to scaling its impact across various local business sectors, aiming to support tens of millions of entrepreneurs worldwide in the digital age.
**About The Role** 
 We are seeking a highly skilled Risk \&amp; Payments Data Scientist to join our dynamic product analytics team. In this role, you will play a critical part in shaping the product roadmap by collaborating closely with Product Managers to establish key metrics, impact assessments, and experimentation frameworks. Your expertise will drive the development of models and signals that underpin our payments platform, particularly as we transition from Stripe Standard to Custom Connect / Adyen for Platforms. This transition expands our risk management scope to include merchant onboarding, fraud detection, dispute mitigation, reserves, and payout risk management. Your work will directly influence our ability to reduce losses, improve conversion rates, and enhance operational efficiency. You will design and implement machine learning models for merchant underwriting, transaction fraud detection, chargeback propensity, and payout risk, while building reusable frameworks for feature generation, model deployment, and monitoring. Additionally, you will own analytics related to payments, billing, and risk features, monitor critical KPIs, and identify revenue and risk opportunities across the payment funnel. This role offers a unique opportunity to influence product strategy, improve data integrity, and deliver business\-impacting insights in a fast\-paced, innovative environment.
**Qualifications** 
* 4–8\+ years of experience in applied machine learning or risk data science, preferably within fintech, payments, marketplace, or anti\-fraud domains
* Proficiency in Python, SQL, and ML libraries/frameworks such as MLflow or equivalent
* Experience deploying and maintaining production ML models that reduce losses or improve conversion rates
* Deep understanding of payments and risk concepts including KYC/KYB, underwriting, authorization, chargebacks, fraud detection, reserves, and payout processes
* Strong skills in feature engineering, especially with messy or imbalanced data, and rigorous evaluation techniques (ROC, PR curves, cost\-sensitive evaluation)
* Proven ability to translate model outputs into clear, actionable decisions and business impact
* Expertise in designing KPIs, metrics, and experiments for product and business analysis
* Experience building end\-to\-end data products and dashboards for monitoring and insights
* Excellent communication skills and ability to handle ambiguity in complex financial systems
* Prior experience in SaaS or startup environments is highly preferred; experience in the restaurant industry is an advantage
**Responsibilities** 
* Develop and maintain machine learning models for merchant underwriting, transaction fraud detection, chargeback prediction, and payout risk management
* Create risk scores and dynamic control mechanisms such as reserves and payout delays to support scalable growth of over 10,000 restaurants
* Build signals, alerts, and automation tools to empower Payments and Risk Operations teams, reducing manual review workload
* Define and monitor loss budgets, risk SLIs/SLOs, and develop dashboards that make risk tradeoffs explicit and measurable
* Partner with Product Managers to design and execute A/B tests and experiments related to payments UX, fraud detection, and risk workflows
* Collaborate with Engineering teams to ensure accurate event tracking, data integrity, and integration of third\-party signals like Stripe Radar and Adyen RevenueProtect
* Own analytics for payments, billing, and risk features, including monitoring KPIs such as success rates, fraud incidence, chargeback volume, and revenue leakage
* Identify revenue and risk opportunities across the payment funnel, from checkout to invoice collection, and recommend strategic improvements
* Design reusable frameworks for feature generation, model deployment, and monitoring to enable rapid iteration and scalability
* Work closely with Data \&amp; Analytics Engineers to establish a Single Source of Truth (SSOT) and improve data quality and integrity
* Provide merchant\-level insights, risk cohort analysis, and develop playbooks to guide operational decisions
**Benefits** 
* Competitive base salary ranging from $200,000 to $240,000, complemented by a pre\-IPO equity package
* Comprehensive health insurance coverage
* Unlimited paid time off (PTO) to promote work\-life balance
* Remote\-first work environment with flexibility to collaborate in person at our San Francisco headquarters or Toronto office
* Opportunities for professional growth and development within a fast\-growing company
* Participation in innovative projects that have a tangible impact on local businesses and communities
 Equal Opportunity
 Owner.com is an equal opportunity employer committed to fostering an inclusive and diverse workplace. All qualified applicants will receive consideration for employment without regard to race, color, sex, sexual orientation, gender identity or expression, religion, national origin or ancestry, age, disability, marital status, pregnancy, protected veteran status, genetic information, political affiliation, or any other characteristic protected by law.</t>
        </is>
      </c>
    </row>
    <row r="13">
      <c r="A13" t="inlineStr">
        <is>
          <t>li-4351969184</t>
        </is>
      </c>
      <c r="B13" t="inlineStr">
        <is>
          <t>Data Scientist</t>
        </is>
      </c>
      <c r="C13" t="inlineStr">
        <is>
          <t>Nexnovels LLC</t>
        </is>
      </c>
      <c r="D13" t="inlineStr">
        <is>
          <t>linkedin</t>
        </is>
      </c>
      <c r="E13" t="inlineStr"/>
      <c r="F13" t="inlineStr"/>
      <c r="G13" t="inlineStr">
        <is>
          <t>Austin, TX</t>
        </is>
      </c>
      <c r="H13" t="inlineStr"/>
      <c r="I13" t="inlineStr">
        <is>
          <t>We are seeking a motivated
 **Data Scientist** 
 to join our growing team and build data\-driven solutions for our
 **US\-based IT and staffing clients** 
 . In this role, you will work on real\-world datasets, develop predictive models, uncover insights, and collaborate closely with business and technical stakeholders to drive smarter decisions.
 This is an excellent opportunity for
 **international candidates (F1/OPT/STEM OPT/H\-1B)** 
 looking to gain hands\-on experience in a US work environment.
 🔍 Key Responsibilities
* Collect, clean, and preprocess structured and unstructured data from multiple sources (databases, APIs, cloud platforms).
* Build, evaluate, and deploy
 **statistical and machine\-learning models** 
 for forecasting, classification, and trend analysis.
* Perform
 **exploratory data analysis (EDA)** 
 to identify patterns, anomalies, and actionable insights.
* Collaborate with business teams (recruitment operations, client services, staffing analytics) to define
 **data science use cases and KPIs** 
 .
* Develop data visualizations and storytelling dashboards to communicate findings clearly.
* Optimize models and workflows for performance, scalability, and accuracy.
* Document methodologies, assumptions, and results to support data governance and reproducibility.
 🧠 Required Skills \&amp; Tools
* Strong proficiency in
 **Python** 
 (pandas, NumPy, scikit\-learn, matplotlib/seaborn).
* Solid foundation in
 **statistics, probability, and hypothesis testing** 
 .
* Experience with
 **SQL** 
 for data extraction and transformation.
* Familiarity with
 **machine learning algorithms** 
 (regression, classification, clustering, time\-series basics).
* Experience with data visualization tools such as
 **Tableau, Power BI, or Python\-based visualization** 
 .
* Exposure to
 **cloud platforms** 
 (AWS, GCP, Azure) and cloud data tools (BigQuery, Redshift, Snowflake preferred).
* Understanding of
 **ETL pipelines, feature engineering, and model evaluation techniques** 
 .
* Strong analytical thinking, problem\-solving ability, and communication skills.
 🎓 Qualifications
* Bachelor’s or Master’s degree in
 **Data Science, Computer Science, Statistics, Mathematics, Engineering, or related field** 
 .
* 0–3 years of experience (academic, internship, or professional experience accepted).
* **Bonus:** 
 Experience with staffing/recruitment data, workforce analytics, or visa/immigration datasets.
 💼 What We Offer
* Opportunity to work with
 **US\-based clients** 
 on real data science problems.
* Hands\-on mentorship and career growth (we
 **support visa\-sponsored hiring** 
 ).
* **Hybrid work model** 
 – limited onsite days in
 **Austin** 
 , remainder remote.
* Competitive compensation \+ benefits (discussed during interview).
 📩 How to Apply
 Please email your resume with
 **“Data Scientist”** 
 in the subject line to
 📧
 **sd9527881@gmail.com** 
 Include:
* Visa status (F\-1 OPT / STEM OPT / H\-1B, etc.)
* Relevant tools \&amp; technologies
* A
 **1\-page summary of a Data Science project** 
 (academic, personal, or professional)
* Applications are reviewed on a rolling basis. Shortlisted candidates will be contacted for a phone screening.
 🔖 Hashtags
 \#DataScientist \#DataScienceJobs \#USJobs \#HiringNow
 \#MachineLearning \#PythonJobs \#SQLJobs \#AnalyticsJobs
 \#F1OPTJobs \#H1BJobs \#STEMOPT \#USITJobs
 \#AustinJobs \#TechCareers \#ITStaffing</t>
        </is>
      </c>
    </row>
    <row r="14">
      <c r="A14" t="inlineStr">
        <is>
          <t>li-4344159179</t>
        </is>
      </c>
      <c r="B14" t="inlineStr">
        <is>
          <t>Data Scientist Lead</t>
        </is>
      </c>
      <c r="C14" t="inlineStr">
        <is>
          <t>AAA Auto Club Enterprises</t>
        </is>
      </c>
      <c r="D14" t="inlineStr">
        <is>
          <t>linkedin</t>
        </is>
      </c>
      <c r="E14" t="inlineStr"/>
      <c r="F14" t="inlineStr"/>
      <c r="G14" t="inlineStr">
        <is>
          <t>Independence, OH</t>
        </is>
      </c>
      <c r="H14" t="inlineStr"/>
      <c r="I14" t="inlineStr">
        <is>
          <t>As our Lead Data Scientist, you will act as an internal business consultant to help optimize every facet of this organization. You will solve problems and answer questions – using data – for other departments to help us reduce costs, reduce errors, and be a better organization for our 17 million members.
 What You’ll Do
* Every day, you will help solve business problems presented to us by stakeholders using data. You will get a scenario or problem, such as, “We need to reduce cycle times,” and then pull, analyze, and interpret data relevant to that scenario.
* You will pull data from SQL databases. You will analyze and interpret data using Python, R, or other tools. You will determine patterns or trends and their statistical significance to the problem. To visualize the data, you will use Tableau.
* 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Independence, OH office for regular collaboration days.
 What You’ll Need
*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 For pulling data, we use SQL so you must be proficient with this tool. To curate and analyze data, we use a variety of languages and programs: Python, R, and even Excel. You can choose whatever tool helps you best, but you must be proficient in either Python or R.
*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 You have worked previously with an Agile team or understand these concepts. You expect to participate in daily standup meetings, you’ll complete your projects or stories during our bimonthly sprints, and you’re ready to meet frequent deployment deadlines.
**Remarkable benefits:**
* Health coverage for medical, dental, vision
* 401(K) saving plan with company match AND Pension
* Tuition assistance
* PTO for community volunteer programs
* Wellness program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t>
        </is>
      </c>
    </row>
    <row r="15">
      <c r="A15" t="inlineStr">
        <is>
          <t>li-4330879030</t>
        </is>
      </c>
      <c r="B15" t="inlineStr">
        <is>
          <t>Data Scientist</t>
        </is>
      </c>
      <c r="C15" t="inlineStr">
        <is>
          <t>RemoteHunter</t>
        </is>
      </c>
      <c r="D15" t="inlineStr">
        <is>
          <t>linkedin</t>
        </is>
      </c>
      <c r="E15" t="inlineStr"/>
      <c r="F15" t="inlineStr"/>
      <c r="G15" t="inlineStr"/>
      <c r="H15" t="inlineStr"/>
      <c r="I15"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li-4334020798</t>
        </is>
      </c>
      <c r="B16" t="inlineStr">
        <is>
          <t>Senior Data Scientist - Model Strategy Management</t>
        </is>
      </c>
      <c r="C16" t="inlineStr">
        <is>
          <t>Block</t>
        </is>
      </c>
      <c r="D16" t="inlineStr">
        <is>
          <t>linkedin</t>
        </is>
      </c>
      <c r="E16" t="inlineStr"/>
      <c r="F16" t="inlineStr"/>
      <c r="G16" t="inlineStr"/>
      <c r="H16" t="inlineStr"/>
      <c r="I16"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Advanced Insights and Modeling (AIM) team is a high\-impact, business\-savvy group of builders—comprising machine learning engineers, data scientists, data engineers, and business strategists—who blend cutting\-edge machine learning with deep product and financial insight. Known for high standards, rapid execution, and full\-stack model ownership, they deliver scalable, high\-value solutions across domains. AIM thrives on curiosity, bold thinking, and collaboration, fostering a magnetic, non\-corporate culture. Trusted across the company, they are a go\-to partner for insight, speed, and transformative business impact.
 The AIM team plays a pivotal role in developing and scaling AI\-driven predictive metrics that inform strategic investment decisions and drive operational excellence across the company. These metrics such as revenue inflow and outflow, active customer counts, customer lifetime value, and sales prospect value are foundational to planning and execution across Finance, Marketing, Sales, Product, and Risk, enabling high\-confidence, data\-informed decisions at scale.
 We are seeking a Senior Data Scientist to support our ML Business Modeling team within the Advanced Insights \&amp; Modeling group. This role requires a strong sense of business strategy, Economic insight, data science expertise, Machine Learning modeling experience, as well as project and product management skills. A successful candidate will lead the development of business models, manage project timelines, and execute post\-development model performance testing framework. As a Data Scientist, you will be the liaison between Engineers and Business teams, translating business requirements into modelable exercises.
**You Will**
* Manage and participate in the development and implementation of advanced predictive models to support strategic business decisions.
* Manage project timelines and deliverables, ensuring the timely completion of data science initiatives.
* Prioritize model development efforts based on business impact and strategic objectives.
* Collaborate with machine learning engineering teams to build and maintain robust end\-to\-end data pipelines.
* Conduct early\-stage analysis to inform model development, leveraging business intuition to suggest key drivers and features.
* Own parallel modeling to ensure alignment with business expectations and reporting.
* Interface with business stakeholders to gather requirements and ensure models meet business needs.
* Explore improvements to business analytics using LLMs and other productivity tools.
**You Have**
* Bachelor’s with 8\+ or Master’s with 6\+ years of experience in finance, economic analysis, data science, or a related field, with a focus on applying analytic tools to business problems.
* Deep expertise in forecasting, predictive modeling, and value estimation, including statistical and ML\-based methods.
* Advanced proficiency in Python, and experience with libraries such as scikit\-learn, XGBoost, LightGBM, and pandas/numpy.
* Excellent communication skills, with the ability to convey complex technical concepts to both technical and non\-technical stakeholders.
* Demonstrated ability to work collaboratively across teams and functions.
**Technologies We Use and Teach**
* SQL
* Python (Streamlit, Sklearn, Prefect)
* GitHub
* Databricks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7">
      <c r="A17" t="inlineStr">
        <is>
          <t>li-4330879149</t>
        </is>
      </c>
      <c r="B17" t="inlineStr">
        <is>
          <t>Expert Data Scientist</t>
        </is>
      </c>
      <c r="C17" t="inlineStr">
        <is>
          <t>Pacific Gas and Electric Company</t>
        </is>
      </c>
      <c r="D17" t="inlineStr">
        <is>
          <t>linkedin</t>
        </is>
      </c>
      <c r="E17" t="inlineStr"/>
      <c r="F17" t="inlineStr"/>
      <c r="G17" t="inlineStr">
        <is>
          <t>Oakland, CA</t>
        </is>
      </c>
      <c r="H17" t="inlineStr"/>
      <c r="I17" t="inlineStr">
        <is>
          <t>Requisition ID \# 169815
 Job Category: Information Technology; Accounting / Finance; Engineering / Science
 Job Level: Individual Contributor
 Business Unit: Electric Engineering
 Work Type: Hybrid
 Job Location: Oakland
 Department Overview
 Electric T\&amp;D Engineering is responsible for the electric system engineering and planning, asset strategy, and risk management across transmission, distribution, and substation asset families. This centralized, risk\-informed approach allows PG\&amp;E to manage electric risk, asset and system health, interconnections, and performance by using consistent standards, work methods, prioritization, and program sponsorship, while leveraging lessons learned from inspections and asset data to inform asset management decisions. Accountable for asset planning and strategy, standards and work methods, and asset data management for Electric.
 Position Summary
 PG\&amp;E is seeking an experienced data science professional to join the Electric Compliance Assurance, Analysis \&amp; Intake (A\&amp;I) Team as a Data Scientist, Expert. This role will focus on developing advanced machine learning (ML) and predictive modeling solutions to improve electric and safety incident classification, reduce CPUC late reporting violations, predict compliance issues, and accelerate root cause evaluations.
 The position will design and implement models for automated incident classification, predictive violation risk, root\-cause clustering, and compliance monitoring. A strong candidate will be highly analytical, innovative, and collaborative, with expertise in data science techniques and a passion for applying AI/ML to real\-world compliance challenges.
 Headquarter location is PG\&amp;E Oakland General Office and may require occasional travel across PG\&amp;E’s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 Minimum Base Salary (Bay Area) $140,000\.00
* Mid Base Salary (Bay Area) $189,000\.00
* Maximum Base Salary (Bay Area) $238,000\.00
**Responsibilities**
* Automated Incident Classification: Develop NLP\-based and supervised learning models (e.g., logistic regression, Naive Bayes) to classify electric incidents as reportable vs. non\-reportable; implement multiclass classification to identify safety incident type, severity, and other attributes.
* Predictive Violation Risk: Build predictive models to assess risk of CPUC Notice of Violation (NOV) for new incidents; analyze historical violations and identify patterns by asset type, region, and reporting type; apply multi\-label classification to assign (CPUC General Order) GO rules to incidents.
* Root\-Cause Clustering \&amp; Archetypes: Use unsupervised learning to discover recurring incident archetypes that inform preventative programs and corrective actions; generate cluster profiles, stability scores, and mappings from clusters to corrective actions.
* Cause Evaluation Modeling: Apply decision trees, random forests, and gradient boosting to recommend evidence\-based root causes.
* Compliance Drift \&amp; Model Monitoring: Establish continuous monitoring for deployed models to detect input data drift, label shift, performance decay, and regulatory changes.
* Technical Development \&amp; Collaboration: Extract, transform, and load data from multiple PG\&amp;E systems for feature engineering; write modular, reusable Python code for data science workflows; partner with sponsor departments and subject matter experts to ensure models align with business needs; present findings and recommendations to senior leadership and act as peer reviewer for complex models.
* Active participation in the external data science/AI/ML community of practice (e.g., volunteering in professional organizations, conference presentations, publications, or similar activities).
* Competency with data science standards and processes (model evaluation, optimization, feature engineering) and best practices for implementation.
* Knowledge of industry trends and current issues in data science as demonstrated through peer\-reviewed publications, conference presentations, or open\-source contributions.
* Proficiency with commonly used data science and/or operations research programming languages, packages, and tools for building ML models and algorithms.
* Ability to explain technical concepts in breadth and depth, including statistical inference, ML algorithms, software engineering, and model deployment pipelines.
* Mastery in clearly communicating complex technical details and insights to colleagues and stakeholders.
* Strong foundation in mathematical and statistical principles underpinning data science.
* Ability to develop, coach, teach, and mentor others to meet both career and organizational goals.
**Qualifications**
 Minimum
* Bachelor’s Degree in Data Science, Machine Learning, Computer Science, Physics, Econometrics or Economics, Engineering, Mathematics, Applied Sciences, Statistics, or equivalent field.
* 6 years in Data Science (or no experience, if candidate possess a Doctoral Degree or higher)
 Desired
* Doctoral Degree or higher in Data Science, Machine Learning, Computer Science, Physics, Econometrics or Economics, Engineering, Mathematics, Applied Sciences, Statistics, or equivalent field.
* Relevant industry (electric or gas utility, renewable energy, analytics consulting, etc.) experience
* Proficiency in Python for data science (pandas, scikit\-learn, NLP libraries).
* Experience with supervised and unsupervised learning, classification, clustering, and predictive modeling.
* Strong understanding of feature engineering and model evaluation.
* Ability to work with large, complex datasets from multiple sources.
* Skilled in presenting technical findings to non\-technical audiences.</t>
        </is>
      </c>
    </row>
    <row r="18">
      <c r="A18" t="inlineStr">
        <is>
          <t>li-4326787294</t>
        </is>
      </c>
      <c r="B18" t="inlineStr">
        <is>
          <t>Data Scientist</t>
        </is>
      </c>
      <c r="C18" t="inlineStr">
        <is>
          <t>Sysco</t>
        </is>
      </c>
      <c r="D18" t="inlineStr">
        <is>
          <t>linkedin</t>
        </is>
      </c>
      <c r="E18" t="inlineStr"/>
      <c r="F18" t="inlineStr"/>
      <c r="G18" t="inlineStr">
        <is>
          <t>Houston, TX</t>
        </is>
      </c>
      <c r="H18" t="inlineStr"/>
      <c r="I18"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9">
      <c r="A19" t="inlineStr">
        <is>
          <t>li-4358536446</t>
        </is>
      </c>
      <c r="B19" t="inlineStr">
        <is>
          <t>Senior Data Scientist</t>
        </is>
      </c>
      <c r="C19" t="inlineStr">
        <is>
          <t>Nava</t>
        </is>
      </c>
      <c r="D19" t="inlineStr">
        <is>
          <t>linkedin</t>
        </is>
      </c>
      <c r="E19" t="inlineStr"/>
      <c r="F19" t="inlineStr"/>
      <c r="G19" t="inlineStr"/>
      <c r="H19" t="inlineStr"/>
      <c r="I19" t="inlineStr">
        <is>
          <t>**About Nava**
 Nava is a consultancy and public benefit corporation working to make government services simple and effective. Since 2015, federal, state, and local agencies have trusted Nava to help solve highly scrutinized technology modernization challenges.
 As a client services company, we guide agencies constrained by legacy systems to a future with sharp user experiences built on secure, reliable, fault\-tolerant cloud infrastructure. We bill for our time, offering our expertise and problem\-solving approach to help our government partners enhance their digital products and services. People are at the heart of our work, from members of the public who rely on benefit programs to government agency staff. Through human\-centered design and modern engineering best practices, we help our government partners understand user needs and deliver on their missions more effectively. This focus gives everyone at Nava the opportunity to do work that is meaningful, impactful, and deeply connected to public good.
**Position Summary**
 As a
 **Data Scientist** 
 , you will use data to generate insights, build predictive models, and inform decisions that improve program outcomes and public services.
**What You'll Do**
* Work with program, product, engineering, and policy teams to identify high\-impact questions and turn them into data\-driven analysis
* Build, evaluate, and deploy predictive models that help forecast trends, improve service delivery, and inform policy decisions
* Build and maintain data pipelines and models that support analytics and operational reporting
* Develop data workflows and algorithms for cleaning, transforming, and validating data from multiple sources
* Design metrics, dashboards, and experiments to measure outcomes and program performance
* Apply statistical and machine learning methods to analyze complex datasets and inform product and policy design
* Work closely with subject matter experts to understand data and perform quality control
**Required Skills**
* Experience with Python for data analysis, modeling, and visualization
* Strong SQL skills and familiarity with relational databases (e.g., Postgres, MySQL)
* Hands\-on experience developing predictive or statistical models using techniques such as regression, classification, clustering, or time\-series forecasting
* Experience building or maintaining ETL/ELT pipelines and working with messy, real\-world datasets
* Understanding of data validation, model evaluation, and experiment design
* Ability to translate data findings into actionable recommendations
* Awareness of privacy, security, and responsible data practices
**Desired Skills**
* Experience with LLMs and generative AI systems
**Other Requirements**
***All roles at Nava require the following:***
 Legal authorization to work in the United States
 Ability to meet any other requirements for government contracts for which candidates are hired
 Work authorization that doesn’t require visa sponsorship, now or in the future
 May be subject to a government background check or security clearance, depending on the contract
**Perks working with Nava**
**Health coverage** 
 — comprehensive medical, dental, and vision plans to support your overall health needs
**Insurance coverage** 
 — Nava provides disability, life, and accidental death insurance at no cost
**Time off** 
 — vacation, holidays (including Juneteenth), and floating holidays to rest and recharge
**Company holidays** 
 — enjoy 12 paid federal holidays each year on top of your regular PTO
**Annual bonus** 
 — when Nava meets its goals, eligible employees receive a performance\-based annual bonus
**Parental leave** 
 — paid time off for new parents, plus weekly meals delivered to your home
**Wellness program** 
 — full platform offering physical, mental, \&amp; emotional health resources \&amp; support tools
**Virtual care** 
 — see doctors online with no copay through UnitedHealthcare’s virtual visit program
**Sabbatical leave** 
 — earn extended unpaid leave after continuous service for personal growth or rest
**401(k) match** 
 — Nava matches 4% of your salary to support your retirement savings plan
**Flexible work** 
 — remote\-first environment with flexibility built around your schedule and responsibilities
**Home office setup** 
 — company laptop \&amp; setup assistance provided via Staples for remote work needs
**Utility support** 
 — monthly reimbursement to help offset eligible home office utility expenses
**Learning opportunities** 
 — internal training programs and resources to help grow your professional skills
**Development opportunities** 
 — LinkedIn Learning access \&amp; an annual allowance for courses, tuition, \&amp; certs
**Referral bonus** 
 — get rewarded when you refer great people who join the Nava team
**Commuter benefits** 
 — pre\-tax commuter programs to support in\-office travel when applicable
**Supportive culture** 
 — A collaborative and remote\-friendly team environment where people genuinely care
**Location**
 We have fully remote options if you reside in one of the following states:
 Alabama, Arizona, California, Colorado, DC, Delaware, Florida, Georgia, Illinois, Louisiana, Maine, Maryland, Massachusetts, Michigan, Minnesota, Missouri, Nevada, North Carolina, New Jersey, New York, Ohio, Oklahoma, Oregon, Pennsylvania, Rhode Island, South Carolina, Texas, Tennessee, Utah, Virginia, Washington, Wisconsin
* If you are not living in one of the states listed above, unfortunately, you will not be considered for a position at this time.
**Stay in touch**
 Sign up for our newsletter to find out about career opportunities, new partnerships, and news from the broader civic tech community.
 Please contact the recruiting team at recruiting@navapbc.com if you would like to request reasonable accommodation during the application or interviewing process.
*We participate in E\-Verify. Upon hire, we will provide the federal government with your Form I\-9 information to confirm that you are authorized to work in the U.S. This role requires you to work from the contiguous United States.*
**Equal Employment Opportunity**
 Nava is committed to providing equal employment opportunities without discrimination or harassment on the basis of race, gender and/or gender identity or expression, color, creed, religion, religious creed, age, national origin, ethnicity, disability, veteran or military status, sex, sexual orientation, reproductive health autonomy, pregnancy, childbirth, and medical conditions related to pregnancy or childbirth, genetic information, domestic violence victim status, marital status, citizenship status, or any other characteristic protected by law. Nava prohibits any such discrimination or harassment. This policy applies to all employees, applicants, contractors, and temporary workers of Nava.</t>
        </is>
      </c>
    </row>
    <row r="20">
      <c r="A20" t="inlineStr">
        <is>
          <t>li-4359333051</t>
        </is>
      </c>
      <c r="B20" t="inlineStr">
        <is>
          <t>Data Scientist - Commodities</t>
        </is>
      </c>
      <c r="C20" t="inlineStr">
        <is>
          <t>Q-TX</t>
        </is>
      </c>
      <c r="D20" t="inlineStr">
        <is>
          <t>linkedin</t>
        </is>
      </c>
      <c r="E20" t="inlineStr"/>
      <c r="F20" t="inlineStr"/>
      <c r="G20" t="inlineStr">
        <is>
          <t>Houston, TX</t>
        </is>
      </c>
      <c r="H20" t="inlineStr"/>
      <c r="I20" t="inlineStr">
        <is>
          <t>Q\-Tx LLC, based in Houston, Texas, is an independent commodities trading business, leveraging our passion for data, research, technology and trading expertise to deliver consistent and high\-quality returns for our investors.
 Q\-Tx is affiliated with Qube Research and Technologies, a global quantitative and systematic investment manager.
 We are looking for an exceptional Data Scientist to join the Data Search \&amp; Analytics team. In this role, you will work between the Research and Trading desks, and the Engineering team to ensure the successful leveraging of data at the firm.
**Your future role within Q\-Tx:** 
 This team is integral to the firm’s success. As such, your responsibilities will include:
* Collaborating with the trading desk to design and implement their data pipelines
* Collaborating with data engineers to onboard relevant datasets for the desk within Q\-Tx
* Implementing data transformations to produce high added\-value datasets used for investment decisions
* Prototyping and designing code to extract, clean, and aggregate data from a wide range of raw sources and formats
* Managing the end\-to\-end process of onboarding new datasets
* Proactively solving data related problems to minimise time to production
* Innovating and experimenting with novel data extraction methods to enhance the firm’s data onboarding toolkit
**Your present skillset:** 
* 3\+ years of experience as a Data Scientist (or similar position); experience in a buy\-side quantitative finance role is advantageous
* Postgraduate degree in a quantitative discipline such as Mathematics, Physics or Engineering
* Advanced programming experience in Python, including proficiency with data handling libraries such as Pandas and NumPy
* Demonstrable interest in financial markets and the application of data in its analysis and understanding
* Experience working with both traditional and alternative financial datasets
* Excellent communication skills, with the ability to effectively collaborate with all stakeholders, including researchers, traders, engineers, management, and external vendors
* Ability to work in a high\-performance, high\-velocity environment</t>
        </is>
      </c>
    </row>
    <row r="21">
      <c r="A21" t="inlineStr">
        <is>
          <t>li-4331022634</t>
        </is>
      </c>
      <c r="B21" t="inlineStr">
        <is>
          <t>Senior Data Scientist</t>
        </is>
      </c>
      <c r="C21" t="inlineStr">
        <is>
          <t>Vans</t>
        </is>
      </c>
      <c r="D21" t="inlineStr">
        <is>
          <t>linkedin</t>
        </is>
      </c>
      <c r="E21" t="inlineStr"/>
      <c r="F21" t="inlineStr"/>
      <c r="G21" t="inlineStr">
        <is>
          <t>Costa Mesa, CA</t>
        </is>
      </c>
      <c r="H21" t="inlineStr"/>
      <c r="I21" t="inlineStr">
        <is>
          <t>VF Corporation is looking for an exceptional Sr Data Scientist to join our Data \&amp; Analytics team based in Costa Mesa.
**Let’s talk about the role!**
 The ideal candidate will have 4\-5 years of experience in data science, with a strong focus on advanced forecasting. This role will involve developing and implementing advanced forecasting techniques, while working side\-by\-side with the business, to drive adoption of AI recommendations and support business trading optimization cycles
*Job Details*
* Develop next gen forecasting models to fuel our regional trading activities
* Optimize and fine\-tune AI models for performance, scalability, and accuracy.
* Work closely with data/ cloud Engineers, architect, devops and product owners, to promote cross functional team collaboration and co creation of value\-added analytics solutions
* Present findings and recommendations to senior business stakeholders in the regions. Embed capability and create AI trust in the business community
* Play as a organizational change agents, to support AI and Gen.AI transformation in the organization.
* Stay up\-to\-date with the latest advancements in AI and machine learning, and apply them to enhance our fashion products and services
**Skills For Success**
* Master's or Ph.D. in Computer Science, Data Science, Machine Learning, or Engineering
* Advanced Forecasting \&amp; Time Series Modelling: Extensive experience in time series forecasting using machine learning (XGBoost, LightGBM), deep learning frameworks (e.g., NeuralForecast, N\-BEATS), and zero shot models. Proficient in ensemble modelling, hierarchical and multivariate forecasting, as well as probabilistic and prediction intervals.
* Python Expertise: Strong programming skills in Python with deep knowledge of core scientific libraries such as pandas, numpy, scikit\-learn, and matplotlib, as well as specialized packages like neural forecast, stats models, prophet, xgboost, and lightgbm.
* Optimization Models: exposure to optimization techniques (e.g., linear/non\-linear programming, constrained optimization) for resource allocation and inventory management.
* Model Evaluation \&amp; Validation: Skilled in evaluating forecasting models using robust techniques such as time\-series cross\-validation and back\-testing. Strong grasp of key performance metrics including MAE, MAPE, RMSE, SMAPE, and prediction interval coverage.
* Data Management \&amp; SQL: Proficient in writing efficient SQL queries to extract, join, and transform data from large\-scale relational databases in support of modelling and analysis.
* Version Control \&amp; Collaboration: Experienced in using Git and GitHub for source control, code review, and collaborative model development in agile environments.
* Cloud Platforms \&amp; MLOps: Hands\-on experience with cloud environments including AWS or Azure for scalable data processing and model deployment. Proficient in using Databricks for collaborative development and Spark\-based pipelines. Familiar with MLflow for experiment
 VF is a global apparel company connecting people to the lifestyles they cherish through our family of iconic brands. At the heart of our journey lies our purpose: We power movements of sustainable and active lifestyles for the betterment of people and our planet. This is our purpose. It’s the reason we come to work every day. Our purpose unites us and leads us to pursue our goals, together. This is our calling. Learn more at vfc.com
**What’s In It For You**
 We’re in the business of unleashing human potential, driven by the ideas, energy and commitment of our people. That’s why we offer comprehensive benefits that encourage mental, physical and financial well\-being for all VF associates. When it comes to benefits, we’re the total package.
* A supportive feedback\-based culture where respect and integrity guide us in what we do
* An inclusive international environment where people of diverse backgrounds, lifestyles and nationalities love working together
* Be part of an iconic lifestyle brand in a multi brand, multi countries organization
* On site gym offering health and well\-being initiatives
* A discount card with 50% on all VF brands
* Break out areas offering complimentary hot drinks
**Free to Be, Inclusion \&amp; Diversity**
 As a purpose\-led, performance driven company, we strive to foster a culture of belonging based on respect, connection, openness and authenticity. We are committed to building and maintaining a workplace that celebrates the diversity of our associates, allowing them to bring their authentic selves to work every day.
 As an equal opportunity and affirmative action employer, VF is committed to support disadvantaged groups whilst providing equal opportunities for both VF associates and applicants alike.
 If you like what you have read and want to join our team then we would like to hear from you!
**Hiring Range:**
 $138,240\.00 USD \- $172,800\.00 USD annually
**Incentive Potential** 
 : This position is eligible for additional compensation awards that may include an annual incentive plan, sales incentive, or commission potential. Specific details of the additional compensation eligibility for this position will be provided during the recruiting and interview process.
**Benefits at VF Corporation** 
 : You can review a general overview of each benefit program offered, including this year's medical plan rates on www.MyVFbenefits.com and by clicking
 **Looking to Join VF?** 
 Detailed information on your benefits will be provided during the hiring process.
***P
 ***lease note, our hiring ranges are determined and built from market pay data.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require accommodations during the application process, please contact us at* 
*peopleservices@vfc.com* 
*. VF will provide reasonable accommodations for qualified individuals to the extent required by applicable law.*
*Pursuant to all applicable local Fair Chance Ordinance requirements, including but not limited to the San Francisco Fair Chance Ordinance, VF will consider for employment qualified applicants with arrest and conviction records.*</t>
        </is>
      </c>
    </row>
    <row r="22">
      <c r="A22" t="inlineStr">
        <is>
          <t>li-4358954082</t>
        </is>
      </c>
      <c r="B22" t="inlineStr">
        <is>
          <t>Data Scientist</t>
        </is>
      </c>
      <c r="C22" t="inlineStr">
        <is>
          <t>Capgemini</t>
        </is>
      </c>
      <c r="D22" t="inlineStr">
        <is>
          <t>linkedin</t>
        </is>
      </c>
      <c r="E22" t="inlineStr"/>
      <c r="F22" t="inlineStr"/>
      <c r="G22" t="inlineStr">
        <is>
          <t>Washington, DC</t>
        </is>
      </c>
      <c r="H22" t="inlineStr"/>
      <c r="I22" t="inlineStr">
        <is>
          <t>Capgemini Government Solutions (CGS) LLC is seeking a highly motivated Data Scientist to develop and deploy models and methodologies that enable pattern analysis, predictive modeling, intelligent automation, and AI/ML solutions. The successful candidate will have the opportunity to conceive and deliver innovative data science solutions to the U.S. Public Sector to help address critical national and global challenges such as health, climate change, and national security. This individual will join our Data and AI practice in the DC Metro Area. As a part of the rapidly expanding CGS Data and AI practice, the candidate will also help our clients develop, deploy, and modernize their data science products and ecosystems.
 At Capgemini, we are committed to our staff’s professional development and offer a wide range of training and educational resources. In addition to our internal learning sites, we partnered with Coursera and Degreed to offer our staff the latest courses from academic institutions around the world. We provide education expense reimbursements as well as sponsor seminars, conferences, and certifications. Our practice leaders work with every team member to chart appropriate career paths and goals to ensure that we all stay innovative and transformative, which maximizes our ability to scale up our solutions, keep up with the cutting edge, and bring the art of what’s possible to the Federal Government.
**Job Responsibilities** 
 As a Data Scientist you will:
* Conduct exploratory data analysis to evaluate data pipelines and construct data stores (structured, semi\-structured, and unstructured) as needed to feed frameworks/models
* Develop custom algorithms, frameworks, and models or leverage available tools, libraries, and applications to solve complex problems
* Deploy data science and AI/ML solutions and develop methodologies to scale up
* Present and articulate findings and present solutions to clients and team members
* Collaborate with internal and external stakeholders to pattern analysis, predictive modeling, intelligent automation, GenAI, OCR, NLP, fraud detection, and other business cases for using data science, machine learning, and artificial intelligence
* Maintain knowledge of advances of data science in industry and academia
* Contribute to the overall growth of the Data and AI practice
**Required Qualifications** 
* U.S. Citizenship is required
* Eligible to obtain and maintain a Government Security Clearance
* Be at client site full time in Washington, DC
* Bachelor’s degree or higher in data science, statistics, computer science, economics, mathematics, information systems, or similar field preferred
* Minimum of three (3\) years of professional experience (relevant advanced degrees may substitute equivalent number of years) with data science, AI/ML, or deep learning delivery responsibilities such as:
+ Designing and developing data models and algorithms for multi\-objective optimization and decision making
+ Building and deploying predictive and prescriptive analytics
+ Conducting hypothesis testing, statistical and probability analyses
+ Applying appropriate methods to describe statistical relationships between variables
+ Performing multiple correspondence analysis (MCA), principal component analysis (PCA, and association rule mining
* Experience using tools such as Databricks; Azure’s Machine Learning and AI Services; AWS’s SageMaker and Bedrock
* Experience programming in languages such as Python, R, Scala, SQL, JavaScript, C/C\+\+, and Java
* Experience using libraries and frameworks such as TensorFlow, PyTorch, mpi4py, Spark ML/MLlib, Jupyter, h2o, keras, or mir
* Experience collecting in managing large data sets in cloud\-based databases, data lakes, and data warehouses such as Oracle EDW, SQL Server, or MS Access
* Ability to multi\-task and stay flexible in a dynamic work environment
**Preferred/Nice to Have Qualifications** 
* Active Government Security clearance
* Experience developing algorithms for High\-Performance Computing (HPC) environments using custom multi\-core desktop computers and MS MPI
* Experience with Deep Learning methods in NLP, sentiment analysis, topic modeling, and graph theory and databases
* Experience working with big data distributed programming languages and ecosystems such as Hadoop, MapReduce, Pig, or Kafka
* Experience working in an IT project team following SDLC and DevOps methodologies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
 Get The Future You Want \| www.capgemini.com
 **Disclaimer** 
 All qualified applicants will be considered for employment based on their skills, and merit.
 Please be aware that Capgemini may capture your image (video or screenshot) during the interview process and that image may be used for verification, including during the hiring and onboarding process.Applicants for employment in the US must have valid work authorization that does not now and/or will not in the future require sponsorship of a visa for employment authorization in the US by Capgemini.Capgemini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$100k \- $120k. This role may be eligible for other compensation including variable compensation, bonus, or commission. Full time regular employees are eligible for paid time off, medical/dental/vision insurance, 401(k), and any other benefits to eligible employees.Note: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3">
      <c r="A23" t="inlineStr">
        <is>
          <t>li-4341955827</t>
        </is>
      </c>
      <c r="B23" t="inlineStr">
        <is>
          <t>Lead Data Scientist - Canada</t>
        </is>
      </c>
      <c r="C23" t="inlineStr">
        <is>
          <t>Very</t>
        </is>
      </c>
      <c r="D23" t="inlineStr">
        <is>
          <t>linkedin</t>
        </is>
      </c>
      <c r="E23" t="inlineStr"/>
      <c r="F23" t="inlineStr"/>
      <c r="G23" t="inlineStr"/>
      <c r="H23" t="inlineStr"/>
      <c r="I23" t="inlineStr">
        <is>
          <t>**About Very**
*(Remote \- Canada)*
 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As a Lead Data Scientist at Very, you will work with our Software, Hardware, and Product Design teams to build full\-service solutions for our clients. We focus on building end\-to\-end hardware and software solutions that meet our client's business needs, and reliable algorithms and machine learning systems are often a part of our offering. An ideal candidate will display technical expertise in algorithms, machine learning and data science, strong communication skills, and the ability to present ideas and results to audiences ranging in technical depth. Candidates should also have experience translating business problems into analytical solutions, working in interdisciplinary teams, and building models for production systems.
 A Lead at Very is an individual who operates with the highest degree of knowledge and accountability for the delivery of services to our customers. They provide excellent technical leadership and delivery skills, as it pertains to complex, multi\-faceted projects at Very. They have a strong executive presence, which gives major client stakeholders the confidence that we will deliver, and gives our team the confidence and accountability to do so.
 As a client services organization, travel may be required up to 10% of the time.
 What You’ll Be Working On
 At Very, there is a never\-ending supply of variety to the projects we work on. However, it is critical to note that almost all of these projects are production systems. As such, the only consistent research component of this position will revolve around establishing a pattern of delivery that allows the team to implement full\-scale applications leveraging data science in a fast, predictable manner.
 The exact nature of the projects you will be assigned to is unknown, however there is an immediate need for someone to lead projects related to machine vision on the edge. This includes running and fine\-tuning pretrained models such as YOLO on hardware ranging from RTOS on a NXP i.MX6 to Docker containers on a Jetson Orin NX. A strong understanding of managing the edge environment, the CI/CD pipeline and the related Azure or AWS infrastructure is also required.
 Lead engineers also regularly serve as a sales solutions engineer and are entrusted by the commercial team to be their main technical partner for closing high value contracts. They will travel onsite with clients, fine tune deliverables/staffing plans, and otherwise do what it takes to close these contracts with terms that are conducive to successful delivery.
 Our Current Tooling
 Our contracts typically involve building a full greenfield IoT data pipeline and MLOps lifecycles. This extends from the IoT sensors and/or actuators, through any local networks, into the cloud, to the user interface and back again. In the context of data science, we typically leverage the following.
* Git, GitHub, or GitHub Actions (CI/CD), pytest (TDD)
* The standard SciPy Stack (Numpy, SciPy, Pandas, Scikit\-Learn, Matplotlib)
* Tools such as SQL/Postgres, Docker, MLFlow, PySpark, PyTorch, TensorFlow and LangChain
* Jupyter notebooks for prototyping
 Often the data pipeline extends to the cloud where we leverage the following cloud resources.
* AWS: Lambda, ECR/ECS, RDS, DynamoDB, IoT Core, Greengrass, Sagemaker, Bedrock
* Azure: Functions, Container Registry/Instances, SQL Database, Machine Learning, IoT Hub
* 3rd party: Ultralytics, Tigerdata, Datadog, Peridio
* Terraform for Infrastructure\-as\-Code
 On our full\-service builds, we often reach for the following tools. Experience with them is not required, but any familiarity with these tools is a plus. Our build teams operate with a very high degree of collaboration, so you will definitely have run\-ins with the following stacks throughout your time here.
* Python web development frameworks (Django, Flask)
* React \&amp; React Native
 As an IoT technology company our data science pipelines include “Things”. This will require you to build pipelines and deploy analytical models to hardware on the edge in addition to the cloud. This requires a deep collaboration with the design, software and hardware teams in the following environments.
* Yocto, Linux and macOS development environments
* Embedded C and other lower level languages such as Rust
* CI/CD including hardware and end\-to\-end testing and verification
* Development Single\-Board Computers such as RPi, NVIDIA Jetson, NXP i.MX and Arduino Portenta
 We value well\-tested, reusable code and expect our engineers to be as good of practitioners as they are leaders and teachers.
**Responsibilities**
 Work with stakeholders (clients, sales, engineers \&amp; designers) to define Statements of Work (SoW)
* Communicate how Very can deliver value to the client
* Estimate quantity of work required to unlock this value for complex, multi\-disciplinary projects
* Identify related assumptions, risks and dependencies
 Take ownership of the data science components and related systems to ensure project success
* Architect, build and deploy reliable end\-to\-end data and ML pipelines into production
* Ensure the highest level of testing across the full data pipeline and operating envelope
* Execute and document all algorithm verification testing for certification
* Build strong relationships with clients and understand their perspective
* Guide clients through the data science value chain
* Facilitate complex conversations to achieve alignment to drive positive outcomes
 Continue to expand and evolve the Data Solutions (DS) practice at Very
* Provide technical guidance to DS and non\-DS team members
* Pairs with senior team members to develop their skills and deliver on projects
* Continually learn, share and refine your DS skills and knowledge
* Establish and enact DataOps and MLOps best practices
 Take on the responsibility of Technical Lead on complex multi\-disciplinary projects
* Build reliable product roadmaps with technical implementation strategies
* Monitor and optimize the technical implementation and coordination of the project
* Identify and mitigate risks and seek assistance when required
**Required Qualifications**
 Unfortunately, applicants who do not meet these criteria will NOT be considered.
**Experience**
* Master’s degree in Data Science related field
* 5\+ years of related experience
* Deployed statistical, ML or other analytical models to production on AWS
* Performed real\-time signal processing
* Lead teams with hardware and software engineers
* Worked directly with clients and partnered with sales and client success teams to secure new work
* Partnered with client success and senior executives ensure the success of current and future projects
* Strong written and spoken communication skills in English
* Expert\-level Python development skills related to Data Science including SciPy Stack, Scikit\-learn, Tensorflow or PyTorch
* Automated testing, code coverage, model building \&amp; evaluation
* GitHub CI/CD best practices including GitHub Actions and Terraform or CloudFormation
* Experience developing, compiling and deploying C, C\+\+ or Embedded C software
* Proficient developing in Linux including and light administration
 Nice\-to\-have
* 7\+ years of related experience including with connected devices
* Proficient in embedded real\-time signal processing
* Machine vision and automated speech recognition
* Deployment and monitoring of ML workflows to Nordic, NXP, NVIDIA or Intel hardware at the edge
* AWS Professional level certification
* Hands\-on experience with Single\-Board Computers such as RPi
 Location/Visa
* This position is open to candidates legally authorized to work in Canada on a permanent basis. (We do not offer visa sponsorship of work permit support)
* At this time, we are unable to consider applicants who reside in the province of Québec.
**Skills**
 In addition to experience, these are the critical skills we look for in all technical roles, and how they should be demonstrated at the Lead level.
* Communicates Effectively: Demonstrates expert\-level communication skills. Communicates to inform, engage and inspire. Negotiates for positive outcomes with clients on complex projects.
* Influences broad audiences and creates compelling narratives around their ideas and why they are important.
* Demonstrates an expert level of knowledge and experience and as a result instills confidence in technical ability by team and clients.
* Takes calculated risks and shows a commitment to innovation that improves the business and tech community.
* Accurately estimates full scale engagements for Statements of Work, as part of the sales process.
* Leads people through our toughest program scenarios toward successful outcomes. Provides quick redirection when needed.
**Compensation**
 CAD $164,000–$173,500 per year, commensurate with experience.
**Variable Compensation**
 Up to 15%.
* Note: This role is based in Canada, you must have a valid work permit.
 We do not sponsor work visas.
**Perks \&amp; Benefits**
* Group RRSP match (Employer contributes 4% of your annual income)
* Extended healthcare, dental, and vision insurance
* $150 USD/mo cell/internet stipend
* $600 USD/yr home office equipment stipend
* Continuing education stipend ($2,500 USD/yr after one year)
* Loaned MacBook Pro and other necessary equipment
 Why Work for Very
 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
 Interviewing for a new company is a serious time commitment for all parties involved. Please take the time to read this and thoughtfully consider if we would be a good fit for one another. No contractors or agencies. Seriously.</t>
        </is>
      </c>
    </row>
    <row r="24">
      <c r="A24" t="inlineStr">
        <is>
          <t>li-4331051851</t>
        </is>
      </c>
      <c r="B24" t="inlineStr">
        <is>
          <t>Senior Data Scientist</t>
        </is>
      </c>
      <c r="C24" t="inlineStr">
        <is>
          <t>John Deere</t>
        </is>
      </c>
      <c r="D24" t="inlineStr">
        <is>
          <t>linkedin</t>
        </is>
      </c>
      <c r="E24" t="inlineStr"/>
      <c r="F24" t="inlineStr"/>
      <c r="G24" t="inlineStr">
        <is>
          <t>Illinois, United States</t>
        </is>
      </c>
      <c r="H24" t="inlineStr"/>
      <c r="I24"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 
 Remote Position*
*This position is eligible for remote work at the present time. The arrangement may be delayed for training or other job acclimation purposes and remains subject to change.*
 Your Responsibilities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
 **Moline, IL** 
 ,
 **Chicago, IL** 
 , or
 **Austin, TX** 
 .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**Responsibilities**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25">
      <c r="A25" t="inlineStr">
        <is>
          <t>li-4358982812</t>
        </is>
      </c>
      <c r="B25" t="inlineStr">
        <is>
          <t>Senior Data Scientist- Gen AI</t>
        </is>
      </c>
      <c r="C25" t="inlineStr">
        <is>
          <t>Tiger Analytics</t>
        </is>
      </c>
      <c r="D25" t="inlineStr">
        <is>
          <t>linkedin</t>
        </is>
      </c>
      <c r="E25" t="inlineStr"/>
      <c r="F25" t="inlineStr"/>
      <c r="G25" t="inlineStr">
        <is>
          <t>Malvern, PA</t>
        </is>
      </c>
      <c r="H25" t="inlineStr"/>
      <c r="I25"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Strong Problem\-Solving Skills: Demonstrated ability to approach complex business and technical challenges using data science methodologies and statistical techniques
* Proficiency in Python and SQL: Hands\-on experience in writing production\-grade code, data manipulation, and querying large databases
* Expertise in NLP: Proven experience working with text and transcription data, including preprocessing, feature engineering, and model development
* Generative AI Knowledge: Solid understanding of latest\-generation AI concepts including LLMs, prompt engineering, retrieval\-augmented generation (RAG), and other contemporary generative AI applications
* Curiosity and Continuous Learning: Passionate about staying current with emerging trends, research papers, and advancements in NLP and AI
* Strategic Alignment: Ability to understand organizational vision and strategy, translating it into data\-driven initiatives that create positive business impact
* Strong Communication: Ability to articulate complex technical concepts to both technical and non\-technical audiences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26">
      <c r="A26" t="inlineStr">
        <is>
          <t>li-4331011997</t>
        </is>
      </c>
      <c r="B26" t="inlineStr">
        <is>
          <t>Senior Data Scientist</t>
        </is>
      </c>
      <c r="C26" t="inlineStr">
        <is>
          <t>John Deere</t>
        </is>
      </c>
      <c r="D26" t="inlineStr">
        <is>
          <t>linkedin</t>
        </is>
      </c>
      <c r="E26" t="inlineStr"/>
      <c r="F26" t="inlineStr"/>
      <c r="G26" t="inlineStr">
        <is>
          <t>Illinois, United States</t>
        </is>
      </c>
      <c r="H26" t="inlineStr"/>
      <c r="I2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 
 Remote Position*
*This position is eligible for remote work at the present time. The arrangement may be delayed for training or other job acclimation purposes and remains subject to change.*
 Your Responsibilities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
 **Moline, IL** 
 ,
 **Chicago, IL** 
 , or
 **Austin, TX** 
 .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**Responsibilities**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27">
      <c r="A27" t="inlineStr">
        <is>
          <t>li-4344304068</t>
        </is>
      </c>
      <c r="B27" t="inlineStr">
        <is>
          <t>Data Scientist-Member of Technical Staff</t>
        </is>
      </c>
      <c r="C27" t="inlineStr">
        <is>
          <t>Talent Stack</t>
        </is>
      </c>
      <c r="D27" t="inlineStr">
        <is>
          <t>linkedin</t>
        </is>
      </c>
      <c r="E27" t="inlineStr"/>
      <c r="F27" t="inlineStr"/>
      <c r="G27" t="inlineStr"/>
      <c r="H27" t="inlineStr"/>
      <c r="I27" t="inlineStr">
        <is>
          <t>**Job Title: Data Scientist\-Member of Technical Staff** 
**Location: Hybrid\-DMV/DC with travel as needed to SCIF's** 
**Clearance Required: Active and transferrable DOD Top Secret\- TS/SCI required.** 
**Salary: $150k\-$220k Based on skills and qualification and 5,000 Equity Shares** 
 This role is being managed by Talent Stack LLC, a woman\-owned recruiting firm specializing in cleared and technical placements. We are proud to represent a confidential, defense\-focused client committed to solving meaningful, mission\-critical challenges.
**About the Company** 
 Our confidential client is a
 **fast\-growing AI startup** 
 built on over a decade of cutting\-edge research. Their mission is to deliver
 **AI\-powered readiness applications** 
 that transform how organizations approach
 **maintenance, sustainment, and mission\-critical operations** 
 .
 The role offers career growth opportunities, with the option to advance into Lead Data Scientist or Team Manager positions.
**Responsibilities:** 
* Lead the design and deployment of machine learning models in production environments.
* Work with sensitive data in SCIFs, ensuring secure, reliable solutions.
* Write production\-ready Python code with strong software engineering practices.
* Apply advanced analytics to cybersecurity data (PCAP analysis, CVEs, vulnerabilities, network monitoring).
* Integrate with big data frameworks (Spark, Dask, Kafka, Snowpark) and orchestrators (Airflow, Celery, Prefect).
* Collaborate with cross\-functional teams to deliver mission\-ready applications.
**Qualifications:** 
**Seniority \&amp; Work Experience** 
* **4\+ years of Python\-based data engineering with proven ML deployments in security\-sensitive environments at a professional level OR graduate of a top CS program with applied data science experience.**
* **Bachelor's degree in Computer Science or related field.**
* 1\+ year of hands\-on ML model deployment in production.
* Experience leading end\-to\-end development efforts from within a SCIF.
* Experience with Computer Science, Machine Learning and Artificial Intelligence technologies and software languages.
**Hard Skills:** 
* 3\+ years writing production\-ready Python.
* 3\+ years with Python data ecosystem: pandas, numpy, sklearn, tensorflow, pytorch, matplotlib.
* Experience with Docker/Kubernetes, Git, SQL/NoSQL/Elasticsearch.
* Cyber analytics expertise: PCAP, CVEs, vulnerabilities, network monitoring.
* 1\+ year working with big data/streaming tools (Spark, Dask, Snowpark, Kafka) \&amp; workflow orchestration (Airflow, Celery, Prefect).
**Soft Skills:** 
* Exceptional problem\-solving and ownership mindset.
* Excellent written and verbal communication.
* Previous
**Clearance \&amp; Location:** 
* **Active Top Secret\- TS/SCI, TS, or Secret clearance required.**
* **Must be based in or near DMV area\-Washington DC/Northern Virginia to access SCIFs.**
* **U.S. Citizenship required (no visa sponsorship).**
**Interview Process:** 
1. **Initial Call** 
 with hiring manager
2. **Take\-Home Assignment**
3. **Second Technical Interview**
4. **Panel Interview** 
 – cultural \+ technical questions with product and engineering team members
**Benefits:** 
 The benefits for this role include a comprehensive benefits package with medical, dental, and vision coverage, as well as unlimited paid time off.
**Work Hours and Travel:** 
 40\-hour work week with flexible start/end times (core hours 10am\-4pm); we want to make sure candidates are willing to go to SCIFs in the DMVarea as much as needed (highly dependent on the work). Beyond that, there might be occasional travel to head quarters in Pasadena or other customer sites across the US.
**Active and transferable U.S. government–issued security clearance is required prior to start date. Candidates must currently hold an active Top Secret (TS) or TS/SCI clearance.** 
**U.S. citizenship is required, as only U.S. citizens are eligible for a security clearance.** 
**Recruitment Agencies Disclaimer:** 
 This position is posted for direct applicants only. We kindly request that external recruiters, staffing agencies, or search firms refrain from submitting candidates. Unsolicited resumes will be treated as direct applications, and no agency fees will be honored.
 Job Reference: P4</t>
        </is>
      </c>
    </row>
    <row r="28">
      <c r="A28" t="inlineStr">
        <is>
          <t>li-4344762977</t>
        </is>
      </c>
      <c r="B28" t="inlineStr">
        <is>
          <t>REMOTE - Program Integrity Data Scientist II - R11182</t>
        </is>
      </c>
      <c r="C28" t="inlineStr">
        <is>
          <t>CareSource</t>
        </is>
      </c>
      <c r="D28" t="inlineStr">
        <is>
          <t>linkedin</t>
        </is>
      </c>
      <c r="E28" t="inlineStr"/>
      <c r="F28" t="inlineStr"/>
      <c r="G28" t="inlineStr"/>
      <c r="H28" t="inlineStr"/>
      <c r="I28" t="inlineStr">
        <is>
          <t>**Job Summary**
 The Program Integrity Data Scientist II is responsible for developing, implementing, managing, and deploying in\-depth analyses that meet the information needs associated with payment accuracy, anomaly detection, and Fraud, Waste, and Abuse (FWA).
**Essential Functions**
* Build concepts as algorithms that identify claims for pre\- or post\-pay intervention based on probability of fraud, waste, and abuse. Algorithms are implemented into production workflows for action: medical record request and audit, downcode adjustment, denial and remittance communication, etc.
* Analyze and quantify claim payment issues and provide recommendations to mitigate identified program integrity risks.
* Identify trends and patterns using standard corporate, processes, tools, reports and databases as well as leveraging other processes and data sources.
* Conduct outcome analyses to determine impact and effectiveness of corporate program and payment integrity initiatives.
* Collaborate on the examination and explanation of complex data relationships to answer questions identified either within the department or by other departments as it relates to payment accuracy, anomaly detection, and FWA.
* Monitoring of and providing explanation of anomalies related to trends associated with the potential for Fraud Waste and Abuse across the corporate enterprise.
* Collaborate with the Legal Department, generating data and analyses to support Legal proceedings.
* Develop hypothesis tests and extrapolations on statistically valid samples to establish outlier behavior patterns and potential recoupment.
* Create, maintain, and communicate an analytical plan for each project.
* Mine and analyze large structured and unstructured datasets.
* Employ wide range of data sources to develop algorithms for predicting risk and understanding drivers, detecting outliers, etc.
* Develop visualizations that demonstrate the efficacy of developed algorithms.
* Provide statistical validation and analysis of outcomes associated with clinical programs and interventions.
* Collaborate with other teams to integrate with existing solutions.
* Communicate results and ideas to key stakeholders.
* Prepare code for operationalization of end\-to\-end model pipeline and deliverable for business consumption.
* Perform any other job related duties as requested.
**Education And Experience**
* Bachelor's degree in Data Science, Mathematics, Statistics, Engineering, Computer Science, or a related field required
* Equivalent years of relevant work experience may be accepted in lieu of required education
* Three (3\) years data analysis and/or analytic programming required
* Experience with cloud services (such as Azure, AWS or GCP) and modern data stack (such as Databricks or Snowflakes) preferred
* Healthcare experience required
**Competencies, Knowledge and Skills:**
* Proficient in SQL and at least one of the following programming languages: Python / R / RAT STAT
* Familiarity with SAS is preferred
* Preferred beginner level of knowledge of developing reports or dashboards in Power BI or other business intelligence applications
* Ability to perform advanced statistical analyses and techniques including t\-tests, ANOVAs, z\-tests, statistical extrapolations, non\-parametric significance testing, and sampling methodologies
* Working knowledge of predictive modeling and machine learning algorithms such as generalized linear models, non\-linear supervised learning models, clustering, decision trees, dimensionality reduction and natural language processing
* Proficient in feature engineering techniques and exploratory data analysis
* Familiarity with optimization techniques and artificial intelligence methods
* Ability to analyze large quantities of information and identify patterns, irregularities, and deficiencies
* Knowledge of healthcare coding and billing processes, including CPT4, HCPCS, ICD\-9, DRG and Revenue Codes preferred
* Proficient with MS office (Excel, PowerPoint, Word, Access)
* Demonstrated critical thinking, verbal communication, presentation and written communication skills
* Ability to work independently and within a cross\-functional team environment
**Licensure and Certification:**
**Working Conditions**
* General office environment; may be required to sit or stand for extended periods of time
* Up to 15% (occasional) travel to attend meetings, trainings, and conferences may be required
**Compensation Range**
 $83,000\.00 \- $132,800\.00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Salary
**Competencies**
* Fostering a Collaborative Workplace Culture \- Cultivate Partnerships \- Develop Self and Others \- Drive Execution \- Influence Others \- Pursue Personal Excellence \-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t>
        </is>
      </c>
    </row>
    <row r="29">
      <c r="A29" t="inlineStr">
        <is>
          <t>li-4312825620</t>
        </is>
      </c>
      <c r="B29" t="inlineStr">
        <is>
          <t>Senior AI/ML Applied Scientist - Generative AI</t>
        </is>
      </c>
      <c r="C29" t="inlineStr">
        <is>
          <t>SAP</t>
        </is>
      </c>
      <c r="D29" t="inlineStr">
        <is>
          <t>linkedin</t>
        </is>
      </c>
      <c r="E29" t="inlineStr"/>
      <c r="F29" t="inlineStr"/>
      <c r="G29" t="inlineStr">
        <is>
          <t>Newport Beach, CA</t>
        </is>
      </c>
      <c r="H29" t="inlineStr"/>
      <c r="I29"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129800 \-253800(USD)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424583 \| Work Area:Software\-Design and Development \| Expected Travel: 0 \- 10% \| Career Status: Professional \| Employment Type: Regular Full Time \| Additional Locations:</t>
        </is>
      </c>
    </row>
    <row r="30">
      <c r="A30" t="inlineStr">
        <is>
          <t>li-4330961081</t>
        </is>
      </c>
      <c r="B30" t="inlineStr">
        <is>
          <t>Senior Data Scientist</t>
        </is>
      </c>
      <c r="C30" t="inlineStr">
        <is>
          <t>RemoteHunter</t>
        </is>
      </c>
      <c r="D30" t="inlineStr">
        <is>
          <t>linkedin</t>
        </is>
      </c>
      <c r="E30" t="inlineStr"/>
      <c r="F30" t="inlineStr"/>
      <c r="G30" t="inlineStr"/>
      <c r="H30" t="inlineStr"/>
      <c r="I30"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li-4344322708</t>
        </is>
      </c>
      <c r="B31" t="inlineStr">
        <is>
          <t>Applied Scientist II</t>
        </is>
      </c>
      <c r="C31" t="inlineStr">
        <is>
          <t>Microsoft</t>
        </is>
      </c>
      <c r="D31" t="inlineStr">
        <is>
          <t>linkedin</t>
        </is>
      </c>
      <c r="E31" t="inlineStr"/>
      <c r="F31" t="inlineStr"/>
      <c r="G31" t="inlineStr">
        <is>
          <t>Redmond, WA</t>
        </is>
      </c>
      <c r="H31" t="inlineStr"/>
      <c r="I31" t="inlineStr">
        <is>
          <t>**Overview**
 As an Applied Scientist \- AI  for Business \&amp; Industry Copilot Foundations team, you will play a pivotal role in advancing Microsoft's mission.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in Artificial Inteligence (AI) and building an open architecture platform that empowers users with tailored AI for real\-world impact. We are seeking an Applied Scientist \- AI who combines expertise in AI and applied science, embraces a growth mindset, and demonstrates customer empathy to help shape the future of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graphs, multi architectures, as well as classical machine learning techniques.
* Fine\-tune foundation models using domain\-specific datasets.  Evaluate model behavior on relevance, bias, hallucination, and response quality via offline evaluations, shadow experiments, online experiments, and Retun On Investment(ROI) analysis.
* Build rapid AI solution prototypes, contribute to production deployment of these solutions, debug production code, support MLOps/AIOps.
* Ability to use data to identify gaps in AI quality, uncover insights and implement PoCs to show proof of concepts.
**Qualifications**
**Required Qualifications** 
* Bachelor's Degree in Statistics, Econometrics, Computer Science, Electrical or Computer Engineering, or related field AND 2\+ years related experience (e.g., statistics, predictive analytics, research)
*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working with generative artificial intelligence or large language model and machine learning algorithms.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of experience developing and deploying live production systems
* 2\+ years of experience working with Generative AI models and Machine Learning (ML) stacks
* 1\+ years experience creating publications (e.g., patents, peer\-reviewed academic papers).
* 1\+ years of experience conducting research in academic or industry settings
* Experience with MLOps Workflows, including CI/CD, monitoring, and retraining pipelines.
* Familiarity with modern LLMOps frameworks (e.g., LangChain, PromptFlow)
* Experience across the product lifecycle from ideation to shipping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li-4330992700</t>
        </is>
      </c>
      <c r="B32" t="inlineStr">
        <is>
          <t>Senior Data Scientist</t>
        </is>
      </c>
      <c r="C32" t="inlineStr">
        <is>
          <t>Strata Decision Technology</t>
        </is>
      </c>
      <c r="D32" t="inlineStr">
        <is>
          <t>linkedin</t>
        </is>
      </c>
      <c r="E32" t="inlineStr"/>
      <c r="F32" t="inlineStr"/>
      <c r="G32" t="inlineStr">
        <is>
          <t>Illinois, United States</t>
        </is>
      </c>
      <c r="H32" t="inlineStr"/>
      <c r="I32" t="inlineStr">
        <is>
          <t>**How you’ll make an impact:** 
 As a Senior Data Scientist, you will have the opportunity to work with many of the nation’s leading healthcare providers in utilizing their financial, operational, and clinical data to drive their mission of providing world\-class care while improving financial health. Your work will bring new insights to the healthcare industry by:
* Applying data mining techniques and statistical analysis to healthcare and financial data across our customer base
* Processing, cleansing and verifying the integrity of data used for analysis and modeling
* Becoming an expert in our data, conducting ad hoc analyses that support thought leadership and identifying opportunities to extend our data assets with third\-party sources of information when needed
* Developing, evaluating, deploying, monitoring, and maintaining models and algorithms that automate manual processes, enrich our existing data assets, produce deep insights, and yield new data products
* Collaborating closely with data engineering, software development, and product management to translate business problems into data science solutions which can be integrated into StrataJazz, our “Best in KLAS” enterprise SaaS solution
* Communicating complex technical concepts and analytical findings effectively to both technical and non\-technical audiences through visualizations, documentation, and presentations to drive decision making
* Contributing to a culture of collaboration, learning, technical excellence, and continuous improvement by sharing your knowledge, skills, and ideas with others
**What we’re looking for:** 
* 4\-6 years of experience in data science roles, preferably within the healthcare or financial services sectors
* Strong proficiency in computational programming languages such as Python and proficiency using command line, scripting, and environment management tools
* Strong proficiency in SQL with the ability to explore, cleanse, and analyze messy data in large and complex relational databases
* Demonstrated experience in data analysis and applied statistical modeling
* Demonstrated experience with machine learning techniques, models, algorithms, and frameworks (e.g. classification, regression, clustering, XGboost, scikit\-learn, etc.),
* Expertise in time series modeling and forecasting a strong plus!
* Strong problem\-solving skills and ability to translate strategic questions into tactical work plans and outputs that deliver meaningful business value
* Experience working with big data and cloud data warehousing technologies like Snowflake, and familiarity with ETL processes and frameworks like dbt
* Experience building analytical and data science products within a SaaS framework
* Excellent communication and interpersonal skills, with the ability to present findings to differing audiences (e.g. internal technical and non\-technical stakeholders, CFO, CEO, physicians, etc.)
* Data\-oriented personality
**Estimated Salary Range: $105,000 \- $135,000** 
 Actual salary will be determined based on factors including, but not limited to, skill set and level of experience. This salary range is a good faith estimate of base pay. Strata also provides discretionary variable pay programs based on role. In addition, Strata provides a comprehensive benefits package including retirement benefits, health and welfare benefits, paid time off, parental leave, life and accident insurance, and other voluntary and well\-being benefits.
 Find out more about Strata benefits
 here
 .
**How we work:** 
 The preferred location for this role is in Chicago, IL or St. Louis, MO. We value our people spending time together and have campuses hosting in\-person events located in both cities. We are truly a hybrid environment with all team members experiencing the flexibility to work from home.
**Thinking about applying?** 
 Research shows that women and underrepresented groups tend to apply to jobs only when they check every box on a job posting. If you’re currently reading this and hesitating to click “Apply” for that reason, we encourage you to go for it! A true passion and excitement for making an impact is just as important as work experience.
 Should you require a reasonable accommodation in completing this application, interviewing, completing any pre\-employment testing, or otherwise participating in the employee selection process, please reach out to careers@stratadecision.com.
**Here @ Strata…** 
 Our culture is driven by our people solving problems together. We embrace learning, collaboration, and continuous career growth. Together, we lift our customers, our products, our company, and our community.
 We believe that each of our team member’s unique perspectives and experiences is what drives innovation and positive change. Our individual differences are what make us a more forward\-thinking organization. We foster a culture of inclusion, equity and belonging, regardless of race, religion, disability, sex, sexual orientation, gender identity or national origin.
**Our Core Values:** 
 While we celebrate what makes each member of our team unique, our core values are what connect us. They set clear expectations for how we approach our work and how each of us can positively influence the experience of our team and our customers.
* We connect with positive intent.
* We are helpful.
* We own it.
* We get better every day.
* We are humble.</t>
        </is>
      </c>
    </row>
    <row r="33">
      <c r="A33" t="inlineStr">
        <is>
          <t>li-4269542841</t>
        </is>
      </c>
      <c r="B33" t="inlineStr">
        <is>
          <t>Senior Data Scientist - NLP/LLM Specialist</t>
        </is>
      </c>
      <c r="C33" t="inlineStr">
        <is>
          <t>Allison Worldwide</t>
        </is>
      </c>
      <c r="D33" t="inlineStr">
        <is>
          <t>linkedin</t>
        </is>
      </c>
      <c r="E33" t="inlineStr"/>
      <c r="F33" t="inlineStr"/>
      <c r="G33" t="inlineStr">
        <is>
          <t>New York, NY</t>
        </is>
      </c>
      <c r="H33" t="inlineStr"/>
      <c r="I33"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34">
      <c r="A34" t="inlineStr">
        <is>
          <t>li-4344740014</t>
        </is>
      </c>
      <c r="B34" t="inlineStr">
        <is>
          <t>Data Scientist (MSIC)</t>
        </is>
      </c>
      <c r="C34" t="inlineStr">
        <is>
          <t>COLSA</t>
        </is>
      </c>
      <c r="D34" t="inlineStr">
        <is>
          <t>linkedin</t>
        </is>
      </c>
      <c r="E34" t="inlineStr"/>
      <c r="F34" t="inlineStr"/>
      <c r="G34" t="inlineStr">
        <is>
          <t>Huntsville, AL</t>
        </is>
      </c>
      <c r="H34" t="inlineStr"/>
      <c r="I34" t="inlineStr">
        <is>
          <t>**Job Description**
 Develops and applies interdisciplinary methods, algorithms, statistics, and research techniques in the development of data driven solutions to extract knowledge, provide insights, and present information from data in various structures and unstructured forms.
**Principal Duties and Responsibilities (\*Essential functions)**
* Performs analysis of data systems, such as Big Data systems \*
* May perform statistical analysis and provide input for reports and dashboards
* Involved with the development of data products, reports, and dashboards or other display techniques\*
* Evaluates data, algorithms, and their interaction to improve algorithm performance\*
* May apply advanced statistics, including natural language processing and machine learning to create solutions.
* May assist in data modeling and data virtualization
* May write code to preprocess and clean data
*At COLSA, people are our most valuable resource and centered at our core value. We invite you to unite your talents with opportunity and be a part of our “Family of Professionals!” Learn about our employee\-centric culture and benefits*
**Requirements**
**Required Experience**
* Bachelors degree or higher in computer science, data science, engineering, math, statistics, operations research or related field or equivalent experience
* Minimum of 5 \- 7 years related experience
* U.S. Citizenship required
* Familiarity with advanced machine learning, data science techniques and mathematical approaches
* Working knowledge of current operating systems and programming languages
* Active DoD Top Secret security clearance with eligibility for DIA\-SCI access. Candidate selected must successfully pass a DIA CI polygraph within 60 days of hire
**Preferred Qualifications**
* Master's degree in Computer Science, Data Science, Engineering, Math, Statistics, Operations Research or related field or equivalent experience
* 2\+ years programming experience in Python, R, Julia, TensorFlow, CUDA, JavaScript, Scala, Java, Unix/Linux, C, C\+\+
* Proactive self\-starter capable of finding and solving problems with little guidance
* Experience implementing and utilizing Generative AI (such as large language models (LLMs))
* Experience designing, building, and maintaining scalable, reliable data pipelines (ETL/ELT workflows)
* Familiarity with MLOps best practices
* Knowledge of containerization (Docker, Podman)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35">
      <c r="A35" t="inlineStr">
        <is>
          <t>li-4329596530</t>
        </is>
      </c>
      <c r="B35" t="inlineStr">
        <is>
          <t>Staff Data Scientist</t>
        </is>
      </c>
      <c r="C35" t="inlineStr">
        <is>
          <t>Visa</t>
        </is>
      </c>
      <c r="D35" t="inlineStr">
        <is>
          <t>linkedin</t>
        </is>
      </c>
      <c r="E35" t="inlineStr"/>
      <c r="F35" t="inlineStr"/>
      <c r="G35" t="inlineStr">
        <is>
          <t>Bellevue, WA</t>
        </is>
      </c>
      <c r="H35" t="inlineStr"/>
      <c r="I3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highly technical and hands\-on
 **Staff Data Scientist** 
 to contribute to the development of AI\-driven data products across the Visa Acceptance Platform. In this role, you will work closely with engineering, product, and architecture partners to design, build, and deploy machine learning solutions that operate at global scale.
 This is an execution\-focused role for an experienced data scientist who thrives in production environments and enjoys solving complex data and modeling problems that directly impact customers.
 What You Will Do (Essential Functions)
* Design, develop, and deploy machine learning models and data solutions that support analytics, predictive insights, and AI\-powered platform features.
* Perform data exploration, feature engineering, modeling, and validation using large, complex datasets.
* Build, maintain, and improve data pipelines and model workflows in partnership with engineering teams.
* Apply appropriate metrics and evaluation techniques to measure model performance, reliability, and business impact.
* Collaborate with Product, Engineering, and Security partners to translate business requirements into scalable and secure data science solutions.
* Contribute to platform modernization efforts by improving data quality, performance, reliability, and observability.
* Support operational readiness through monitoring, troubleshooting, and continuous improvement of deployed models.
 This is a hybrid position. Expectation of days in the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2\+ years of experience building and deploying AI/ML models for analytics, predictions, or recommendations in production environments.
* 3\+ years of experience working with large\-scale data technologies such as Spark, Kafka, Hadoop, Hive, NoSQL, or relational databases.
* 2\+ years of experience designing and maintaining ETL or data pipelines.
* Experience working with big data, distributed systems, and batch or streaming data processing.
* Strong understanding of metrics design, experimentation, and model evaluation techniques.
* Proficiency in Python and SQL; experience with modern ML frameworks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145,300\.00 to 232,700\.00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6">
      <c r="A36" t="inlineStr">
        <is>
          <t>li-4329559254</t>
        </is>
      </c>
      <c r="B36" t="inlineStr">
        <is>
          <t>Senior Data Scientist IV</t>
        </is>
      </c>
      <c r="C36" t="inlineStr">
        <is>
          <t>Visa</t>
        </is>
      </c>
      <c r="D36" t="inlineStr">
        <is>
          <t>linkedin</t>
        </is>
      </c>
      <c r="E36" t="inlineStr"/>
      <c r="F36" t="inlineStr"/>
      <c r="G36" t="inlineStr">
        <is>
          <t>Bellevue, WA</t>
        </is>
      </c>
      <c r="H36" t="inlineStr"/>
      <c r="I3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Acceptance Platform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We are looking for a versatile, curious, and energetic Senior Data Scientist to join our team of passionate and dedicated data scientists and engineers. We are the backbone for innovative data science and artificial intelligence developments at Visa acceptance,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Provides technical expertise and mentors others to implement extensible, maintainable, and reusable data models and strategies and adheres to all security and privacy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Four (4\) years of experience solving data problems using data technologies (e.g., Hadoop, Hive, Kafka, Redis, NoSQL, RDBMS)
* Two (2\) years of experience designing, building/fine tuning ML/AI models around data insights, anomaly detection e.t.c
* Two (2\) years of experience in designing, building, evaluating metrics for model performance and business outcome
* Three (3\) years of experience building and pushing code into production.
* Expert in at least one of the following: Python, R, Java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7">
      <c r="A37" t="inlineStr">
        <is>
          <t>li-4340345003</t>
        </is>
      </c>
      <c r="B37" t="inlineStr">
        <is>
          <t>Associate Systems Engineer / Data Scientist</t>
        </is>
      </c>
      <c r="C37" t="inlineStr">
        <is>
          <t>MITRE</t>
        </is>
      </c>
      <c r="D37" t="inlineStr">
        <is>
          <t>linkedin</t>
        </is>
      </c>
      <c r="E37" t="inlineStr"/>
      <c r="F37" t="inlineStr"/>
      <c r="G37" t="inlineStr">
        <is>
          <t>McLean, VA</t>
        </is>
      </c>
      <c r="H37" t="inlineStr"/>
      <c r="I37"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38">
      <c r="A38" t="inlineStr">
        <is>
          <t>li-4329656312</t>
        </is>
      </c>
      <c r="B38" t="inlineStr">
        <is>
          <t>Lead Data Scientist</t>
        </is>
      </c>
      <c r="C38" t="inlineStr">
        <is>
          <t>Visa</t>
        </is>
      </c>
      <c r="D38" t="inlineStr">
        <is>
          <t>linkedin</t>
        </is>
      </c>
      <c r="E38" t="inlineStr"/>
      <c r="F38" t="inlineStr"/>
      <c r="G38" t="inlineStr">
        <is>
          <t>Bellevue, WA</t>
        </is>
      </c>
      <c r="H38" t="inlineStr"/>
      <c r="I38"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versatile, curious, and highly technical Lead Data Scientist to shape the future of AI and data products across the Visa Acceptance Platform. You will partner with engineers, product leaders, and AI researchers to design, deploy, and scale advanced machine learning solutions across a global ecosystem.
 In this role, you will:
* Define technical strategy for AI/ML models supporting global payments and next\-generation agentic commerce experiences.
* Mentor a high\-performing team and establish best\-in\-class practices for data science, MLOps, and model governance.
* Lead end‑to‑end development of large\-scale data solutions—from data extraction through modeling, deployment, and monitoring.
* Drive platform transformation initiatives that enhance delivery efficiency, improve model performance, and enable new product opportunities.
 What You Will Do (Essential Functions)
* Provide technical leadership in designing scalable, maintainable, and secure data science solutions; set standards for modeling, coding patterns, and MLOps.
* Lead efforts to improve data extraction, data quality, lineage, and governance, partnering with engineering teams across the platform.
* Develop strategies for wrangling, modeling, and leveraging high\-volume structured and unstructured data using modern AI/ML techniques.
* Guide conversations with Product, Cybersecurity, and Engineering to clarify complex business and technical requirements and ensure secure deployment.
* Identify emerging patterns across massive datasets to influence platform‑wide enhancements, roadmap decisions, and AI\-driven product improvements.
* Drive modernization opportunities including software upgrades, security patches, and infrastructure improvements.
 This is a hybrid position. Expectation of days in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years of relevant work experience with a Bachelor’s Degree in Computer Science or Data Science or at least 7 years of work experience with an Advanced degree (e.g. Masters, MBA, JD, MD) or 4 years of work experience with a PhD, OR 13\+ years of relevant work experience.
* 3\+ years building and deploying AI/ML models for predictive analytics or insights.
* 4\+ years working with large\-scale data technologies such as Hadoop, Hive, Kafka, Spark, Redis, NoSQL, or RDBMS.
* 2\+ years designing and maintaining ETL or data pipelines.
* Experience working with Big Data, distributed computing, and streaming/real\-time systems.
* Strong experience in metrics design, experimentation, and model evaluation.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180,000\.00 to 288,000\.00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9">
      <c r="A39" t="inlineStr">
        <is>
          <t>li-4344442346</t>
        </is>
      </c>
      <c r="B39" t="inlineStr">
        <is>
          <t>Senior Applied Scientist</t>
        </is>
      </c>
      <c r="C39" t="inlineStr">
        <is>
          <t>Microsoft</t>
        </is>
      </c>
      <c r="D39" t="inlineStr">
        <is>
          <t>linkedin</t>
        </is>
      </c>
      <c r="E39" t="inlineStr"/>
      <c r="F39" t="inlineStr"/>
      <c r="G39" t="inlineStr">
        <is>
          <t>Seattle, WA</t>
        </is>
      </c>
      <c r="H39" t="inlineStr"/>
      <c r="I39" t="inlineStr">
        <is>
          <t>**Overview**
 As a
 **Senior AI Applied Scientist** 
 for
 **Dynamics 365 Apps** 
 ,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Applied Scientist** 
 to join our team
 This role will combine AI knowledge with applied science expertise and demonstrate a growth mindset and customer empathy. Join us in shaping the future of AI agents.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of experience with generative AI OR LLM/ML algorithms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li-4330943275</t>
        </is>
      </c>
      <c r="B40" t="inlineStr">
        <is>
          <t>Lead Data Scientist - Director Level (IC)</t>
        </is>
      </c>
      <c r="C40" t="inlineStr">
        <is>
          <t>Visa</t>
        </is>
      </c>
      <c r="D40" t="inlineStr">
        <is>
          <t>linkedin</t>
        </is>
      </c>
      <c r="E40" t="inlineStr"/>
      <c r="F40" t="inlineStr"/>
      <c r="G40" t="inlineStr">
        <is>
          <t>Austin, TX</t>
        </is>
      </c>
      <c r="H40" t="inlineStr"/>
      <c r="I4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Lead Data Scientist, you will play a crucial role in building our data capabilities, collecting, analyzing, driving insights, and delivering machine learning and AI solutions that enhance our offerings. Your will play a pivotal role in building the organization’s “data muscle”, empowering teams to leverage data for smarter decisions, operational excellence and innovation. This is a unique opportunity to work in a fast\-paced and startup environment where your contributions will have a direct impact.
 This role represents an exciting opportunity to make key contributions to Visa's strategic vision as a world\-leading data\-driven company. The role requires a seasoned professional with deep expertise in data strategy, analytics, governance paired with a hands\-on and scrappy mindset to deliver impactful results. The successful candidate must have strong academic track record and demonstrate excellent software engineering skills. The successful candidate will be a self\-starter comfortable with ambiguity, with strong attention to detail, and excellent collaboration skills.
 To be successful in this position, you must be highly effective working both independently and in cross\-functional capacities.
 Essential Functions
* Formulate business problems as technical data problems while ensuring key business drivers are collected in collaboration product stakeholders.
* Work with product and engineering to ensure effective solutions. Deliver prototypes and production code based on need.
* Experiment with in\-house and third\-party data sets to test hypotheses on relevance and value of data to business problems.
* Build needed data transformations on structured and un\-structured data.
* Build and experiment with modeling and scoring algorithms. This includes development of custom algorithms as well as use of packaged tools based on machine learning, analytics, and statistical techniques.
* Devise and implement methods for efficiently monitoring model efficiency and performance in production.
* Devise and implement methods for automation of all parts of the predictive pipeline to minimize labor in development and production.
* Contribute to development and adoption of shared predictive analytics infrastructure.
* Data mining, processing and analyzing large datasets to generate insightful reports.
* Develop data modeling processes and algorithms to derive meaningful actionable insights from structured and unstructured big data
* Utilize statistical analysis, data visualization, and machine learning techniques to extract meaningful insights from datasets. Identify and interpret patterns, trends, and correlations within payment data.
* Generate comprehensive dashboards and reports for organizational leadership to use in a business setting.
 This is a hybrid position. Expectation of days in office will be confirmed by your hiring manager.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8\-10 years of experience with an Advanced Degree (e.g. Masters, MBA, JD, MD) or 6\+ years of work experience with a PhD
 •With a track record of successfully delivering complex software systems or services as Senior Data Scientist
 •Relevant coursework in modeling techniques such as logistic regression, Naïve Bayes, SVM, decision trees, or neural networks.
 •Ability to program in one or more scripting languages such as Perl or Python and one or more programming languages such as Java, C\+\+, or C\#.
 •Experience with one or more common statistical tools such SAS, R, KNIME, MATLAB.
 •Deep learning experience with TensorFlow is a plus.
 •Experience with Natural Language Processing is a plus.
 •Experience working with large datasets using tools like Hadoop, Spark, MapReduce, Pig, or Hive is a must.
 •Publications or presentation in recognized Machine Learning and Data Mining journals/conferences is a plus.
 •Proficiency working with agile methodologies, ceremonies.
 •Exceptional collaboration and partnership skills with the ability to work in a global environment, drive consensus in cross\-functional teams and comfortable operating in a matrix setup
 •Demonstrated communications and interpersonal skills to interface well with diverse customer audience executives, product, and technology stakeholders.
 •Solid business acumen, Strong customer centric mindset and Strategic thinker who can balance big picture strategy with tactical needs of day\-day execution.
 •Experience demonstrating strong leadership, self\-motivation and accountability
 •Fast learner on both technical and business side.
 •Proactive, demonstrate sense of urgency and can do attitude
 •Detail and results oriented, able to analyze data to justify product decisions and apply key learnings.
 •Ability to stay organized while managing competing priorities.
 •Shown leadership capabilities including significant thought leadership, effective decision making, and ability to work towards results.
 •Excellent social skills with a strong emphasis on emotional intelligence to establish relationships with internal Visa teams and clients
 •Excellent written and oral communication skills with a flair for getting people excited.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$180,000\.00 to $288,000\.00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1">
      <c r="A41" t="inlineStr">
        <is>
          <t>li-4331080627</t>
        </is>
      </c>
      <c r="B41" t="inlineStr">
        <is>
          <t>Data Scientist</t>
        </is>
      </c>
      <c r="C41" t="inlineStr">
        <is>
          <t>Jobs via Dice</t>
        </is>
      </c>
      <c r="D41" t="inlineStr">
        <is>
          <t>linkedin</t>
        </is>
      </c>
      <c r="E41" t="inlineStr"/>
      <c r="F41" t="inlineStr"/>
      <c r="G41" t="inlineStr">
        <is>
          <t>Greenwood Village, CO</t>
        </is>
      </c>
      <c r="H41" t="inlineStr"/>
      <c r="I41" t="inlineStr">
        <is>
          <t>Dice is the leading career destination for tech experts at every stage of their careers. Our client, Apex Systems, is seeking the following. Apply via Dice today!
**Job\#: 3015557**
**Job Description:**
**Required Qualifications**
* Develop and maintain ML models and pipelines.
* Aggregate and visualize model results for internal and external audiences.
* Conduct data exploration and ad hoc analyses using SQL and Python.
* Perform feature engineering and build ML models, including training and validation.
* Present insights and results to technical teams and senior leadership.
* Design, monitor, and test production ML workflows on AWS in collaboration with the MLOps team.
* Implement unit and integration tests to ensure production reliability and accuracy.
* Contribute to best practices in model deployment, data quality, and cloud resource management.
**Preferred Qualifications**
* Advanced proficiency in Python for data manipulation, feature creation, and analysis.
* Demonstrated expertise in building and validating machine learning models, especially in Python.
* Experience in big data technologies (e.g., Hadoop, Spark, Hive).
* Deep understanding of data source integration and working with complex, raw datasets.
* Excellent communication and cross\-functional collaboration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42">
      <c r="A42" t="inlineStr">
        <is>
          <t>li-4334100274</t>
        </is>
      </c>
      <c r="B42" t="inlineStr">
        <is>
          <t>Data Scientist - Model Strategy Management</t>
        </is>
      </c>
      <c r="C42" t="inlineStr">
        <is>
          <t>Block</t>
        </is>
      </c>
      <c r="D42" t="inlineStr">
        <is>
          <t>linkedin</t>
        </is>
      </c>
      <c r="E42" t="inlineStr"/>
      <c r="F42" t="inlineStr"/>
      <c r="G42" t="inlineStr"/>
      <c r="H42" t="inlineStr"/>
      <c r="I4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Advanced Insights and Modeling (AIM) team is a high\-impact, business\-savvy group of builders—comprising machine learning engineers, data scientists, data engineers, and business strategists—who blend cutting\-edge machine learning with deep product and financial insight. Known for high standards, rapid execution, and full\-stack model ownership, they deliver scalable, high\-value solutions across domains. AIM thrives on curiosity, bold thinking, and collaboration, fostering a magnetic, non\-corporate culture. Trusted across the company, they are a go\-to partner for insight, speed, and transformative business impact.
 The AIM team plays a pivotal role in developing and scaling AI\-driven predictive metrics that inform strategic investment decisions and drive operational excellence across the company. These metrics such as revenue inflow and outflow, active customer counts, customer lifetime value, and sales prospect value are foundational to planning and execution across Finance, Marketing, Sales, Product, and Risk, enabling high\-confidence, data\-informed decisions at scale.
 We are seeking a Data Scientist to support our ML Business Modeling team within the Advanced Insights \&amp; Modeling group. This role requires a strong sense of business strategy, Economic insight, data science expertise, and Machine Learning modeling experience. A successful candidate will lead the development of business models, manage project timelines, and execute post\-development model performance testing framework. As a Data Scientist, you will be the liaison between Engineers and Business teams, translating business requirements into modelable exercises.
**You Will**
* Participate in the development and implementation of advanced predictive models to support strategic business decisions.
* Manage project timelines and deliverables, ensuring the timely completion of data science initiatives.
* Prioritize model development efforts based on business impact and strategic objectives.
* Collaborate with machine learning engineering teams to build and maintain robust end\-to\-end data pipelines.
* Conduct early\-stage analysis to inform model development, leveraging business intuition to suggest key drivers and features.
* Own parallel modeling to ensure alignment with business expectations and reporting.
* Interface with business stakeholders to gather requirements and ensure models meet business needs.
* Explore improvements to business analytics using LLMs and other productivity tools.
**You Have**
* Bachelor’s with 5\+ or Master’s with 3\+ years of experience in finance, economic analysis, data science, or a related field, with a focus on applying analytic tools to business problems.
* Expertise in forecasting, predictive modeling, and value estimation, including statistical and ML\-based methods.
* Advanced proficiency in Python, and experience with libraries such as scikit\-learn, XGBoost, LightGBM, and pandas/numpy.
* Excellent communication skills, with the ability to convey complex technical concepts to both technical and non\-technical stakeholders.
* Demonstrated ability to work collaboratively across teams and functions.
**Technologies We Use and Teach**
* SQL
* Python (Streamlit, Sklearn, Prefect)
* GitHub
* Databricks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3">
      <c r="A43" t="inlineStr">
        <is>
          <t>li-4330934759</t>
        </is>
      </c>
      <c r="B43" t="inlineStr">
        <is>
          <t>Data Scientist</t>
        </is>
      </c>
      <c r="C43" t="inlineStr">
        <is>
          <t>Zest AI</t>
        </is>
      </c>
      <c r="D43" t="inlineStr">
        <is>
          <t>linkedin</t>
        </is>
      </c>
      <c r="E43" t="inlineStr"/>
      <c r="F43" t="inlineStr"/>
      <c r="G43" t="inlineStr"/>
      <c r="H43" t="inlineStr"/>
      <c r="I43" t="inlineStr">
        <is>
          <t>Founded in 2009, Zest AI has been pioneering innovative AI technology with a mission to expand credit access to create opportunities for more Americans to pursue their financial goals. Zest AI is transforming the
 $17 trillion US consumer credit market
 by delivering AI technology that helps lenders identify creditworthy borrowers overlooked by traditional methods, while leveling the playing field so financial institutions of all sizes can harness AI to provide better lending experiences.
 With over 50 issued and pending patents across automation, accuracy, performance, and model explainability, Zest AI is a leader in financial technology, providing financial institutions with AI tools that create a more resilient US financial system and a stronger U.S. economy. With over 600 active AI models, financial institutions rely on Zest AI's comprehensive suite of solutions spanning marketing, underwriting, fraud detection, lending intelligence, and more to make smarter lending decisions while improving profitability. This US\-based technology as a service company is headquartered in Los Angeles, California.
 Data Scientists at Zest AI use the power of machine learning (ML) and statistical analysis to build, test, deploy, and monitor financial underwriting models. These models are providing fairer and transparent access to credit and have already had a substantial impact \- scoring millions of Americans on over $180B in assets. By leveraging a combination of ML and vast amounts of data points, Zest seeks to challenge traditional credit scoring models, while expanding our proprietary AI\-explainability technology across the fintech industry.
**In this role you will:** 
* Translate unstructured business problems into well\-defined machine learning projects
* Collaborate with a cross\-functional team of Engineers, Product Managers, and Business Analysts to identify and manage high leverage opportunities for modeling work
* Design and implement highly generalizable models for predicting various outcomes. Incorporate and develop learnings back into the product for continuous improvement opportunities
* Build demos, guidance documentation, and assist with training to help others become more proficient
* Take responsibility for modeling implementation in real world settings–this may include creating experiments and developing prototypes, with the goal of returning practical value to our customers
**We are looking for:** 
* MS or PhD in a quantitative field (Computer Science, Engineering, Physics, etc.) with hands\-on experience–experience in financial services is a plus!
* Strong fundamentals in programming, statistics, mathematics, and ML algorithms (neural networks, tree\-based methods, optimizers, super/unsupervised learning, feature engineering, etc.)
* Expert experience designing, developing, and implementing machine learning models/algorithms
* Familiar with implementing and developing/extending ML/AI frameworks (TensorFlow, XGBoost, Scikit\-learn, etc.)
* Good development awareness regarding memory, disk I/O, and CPU/GPU management
* Experience with modular/modern software design practices strongly preferred, in addition to experience with Python
* Passionate about ML/AI and how it can improve on the world
**Perks and benefits:** 
*All Zestys experience:* 
* The opportunity to join a mission\-focused company
* People – the best part of Zest
* Robust medical, dental and vision insurance plans
* Annual bonus plan participation
* 401(k) with generous match
* Employee Awards and Recognition
* 11 company holidays
* Winter break (office closed between Christmas and New Year's Day)
* Unlimited vacation time
* Employee Resource Groups
* Generous family leave policy (12 week maternity leave / 6 week paternity leave)
* Phone, internet, wellness, and professional development allowances
* Employee gatherings, including Town Hall meetings
*Additionally, our Burbank, CA area, hybrid model Zestys enjoy:* 
* Beautiful, modern, dog\-friendly office with lounge areas, video games, and gigantic jigsaw puzzles
* Daily catered lunches from LA’s best restaurants and a fully stocked kitchen
* Complimentary manicures, pedicures, and mindfulness sessions
* Company happy hours, social events, outings, and much more!
**About Zest AI:** 
 Creating a diverse and inclusive culture where all are welcomed, valued, and empowered to achieve our full potential is important to who we are and where we’re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
 Our core values are Communication, Collaboration, Bias for Action, Client\-centricity, and Heart. Learn more at Zest.ai, follow us on LinkedIn (linkedin.com/company/zest\-ai/) or Twitter @Zest\_AI, or check out our Insights blog (https://www.zest.ai/cms/insights).</t>
        </is>
      </c>
    </row>
    <row r="44">
      <c r="A44" t="inlineStr">
        <is>
          <t>li-4352111223</t>
        </is>
      </c>
      <c r="B44" t="inlineStr">
        <is>
          <t>Data Scientist - GTM</t>
        </is>
      </c>
      <c r="C44" t="inlineStr">
        <is>
          <t>HartleyCo</t>
        </is>
      </c>
      <c r="D44" t="inlineStr">
        <is>
          <t>linkedin</t>
        </is>
      </c>
      <c r="E44" t="inlineStr"/>
      <c r="F44" t="inlineStr"/>
      <c r="G44" t="inlineStr"/>
      <c r="H44" t="inlineStr"/>
      <c r="I44" t="inlineStr">
        <is>
          <t>**Data Scientist, GTM \| YC\-backed AI Startup \| SF (In\-Office)** 
 One of the most ambitious YC\-backed startups I work with is hiring a
 **Data Scientist focused on Go\-To\-Market** 
 .
 This is not a dashboard role. This is a revenue role.
 You’ll sit at the intersection of
 **data, product, and growth** 
 , working directly with founders to turn raw signals into decisions that compound.
**Why this is interesting:** 
 An entire legacy industry is still human\-led, slow, and opaque. This team is building a
 **90%\+ AI\-led distribution engine** 
 , making something mandatory, complex, and painful become fast and computational. When distribution becomes computational, markets expand. That’s the bet here.
**What you’ll do:** 
* Own analytics that directly power growth, sales, and marketing
* Build
 **lead\-scoring models** 
 using signals others don’t have (conversation sentiment, engagement patterns, decision traces)
* Analyse thousands of AI\-driven sales conversations to uncover what actually closes deals
* Build
 **real multi\-touch attribution** 
 across voice, email, web, and referrals
* Evaluate and improve AI agents based on real business outcomes
* Design and run experiments with statistical rigor that inform strategy, not just reporting
 The line between
 **analytics and product** 
 is intentionally thin.
**What they’re looking for:** 
* A
 **full\-stack data scientist** 
 who pulls their own data, builds models, and ships
* Experience with GTM problems: lead scoring, attribution, revenue analytics
* Strong experimental mindset (you care about causation, not vibes)
* Comfortable explaining insights to founders and non\-technical stakeholders
* 2–5 years of experience \- sharp, hands\-on, and high\-agency
**Interview process:** 
* Short founder alignment call
* Technical deep dive (walk through real analysis you’ve done)
* On\-site with the team and the data
 Most data science roles are two steps removed from impact. This one isn’t. Your work will shape strategy, power production systems, and move revenue.
 If you’re someone who proves things rather than narrates them, drop me a message or apply directly.</t>
        </is>
      </c>
    </row>
    <row r="45">
      <c r="A45" t="inlineStr">
        <is>
          <t>li-4358903895</t>
        </is>
      </c>
      <c r="B45" t="inlineStr">
        <is>
          <t>Data Scientist</t>
        </is>
      </c>
      <c r="C45" t="inlineStr">
        <is>
          <t>Sedgwick</t>
        </is>
      </c>
      <c r="D45" t="inlineStr">
        <is>
          <t>linkedin</t>
        </is>
      </c>
      <c r="E45" t="inlineStr"/>
      <c r="F45" t="inlineStr"/>
      <c r="G45" t="inlineStr"/>
      <c r="H45" t="inlineStr"/>
      <c r="I45" t="inlineStr">
        <is>
          <t>**About The Company**
 Join Sedgwick, a global leader in risk and claims management, where our mission is to help clients navigate the unexpected with confidence. Recognized as one of America’s Greatest Workplaces by Newsweek and certified as a Great Place to Work®, Sedgwick is committed to fostering a caring culture that values diversity, innovation, and professional growth. With over 33,000 dedicated colleagues worldwide and a presence in more than 80 countries, we deliver comprehensive solutions in claims administration, loss adjusting, benefits management, and product recall. Our focus on leveraging advanced AI\-enabled technology enables us to provide unmatched service and insights, helping our clients thrive in an ever\-changing risk landscape.
**About The Role**
 We are seeking a Data Scientist to join our team remotely. In this role, you will be responsible for developing, managing, and deploying predictive models that provide actionable insights to drive strategic decision\-making. Your primary focus will be on executing data science projects, creating machine learning models, and communicating findings effectively to stakeholders. You will work closely with senior data scientists, leadership, and various departments to explore new data sources, build scalable data pipelines, and contribute to the continuous improvement of our analytical capabilities. This position offers an excellent opportunity to grow your career within a supportive environment that values innovation, collaboration, and data\-driven solutions.
**Qualifications**
* Minimum of one year of experience in predictive modeling, data science, and data analysis
* Proficiency in Python or R programming languages
* Experience with data visualization tools and libraries
* Strong skills in data exploration, wrangling, and feature engineering
* Knowledge of supervised and unsupervised machine learning techniques
* Understanding of insurance claims processes (preferred but not mandatory)
* Excellent communication skills to present complex findings clearly
* Ability to work independently and collaboratively in a remote environment
* Familiarity with building and deploying machine learning models in sandbox and production environments
**Responsibilities**
* Execute data science projects assigned by senior data scientists, leadership, and stakeholders
* Build, prototype, and deploy machine learning models in various environments
* Develop and maintain end\-to\-end ETL data pipelines to support analytics initiatives
* Identify and explore new internal data sources to enhance project outcomes
* Analyze data, perform feature engineering, and prepare datasets for modeling
* Communicate modeling challenges, insights, and results effectively to stakeholders
* Produce reports and dashboards to showcase key metrics and outcomes of interest
* Collaborate with cross\-functional teams to integrate models into operational processes
**Benefits**
* Career development and promotional growth opportunities
* Comprehensive benefits package including medical, dental, and vision insurance
* 401(k) retirement plan with company matching
* Paid time off (PTO) and holidays
* Flexible remote work environment
* Supportive and inclusive workplace culture
 Equal Opportunity
 Sedgwick is an Equal Opportunity Employer committed to creating an inclusive environment for all employees. We celebrate diversity and are dedicated to providing equal employment opportunities regardless of race, color, religion, gender, sexual orientation, gender identity or expression, age, disability, or any other protected status. We also maintain a drug\-free workplace and adhere to all applicable laws and regulations to ensure fair treatment for everyone.</t>
        </is>
      </c>
    </row>
    <row r="46">
      <c r="A46" t="inlineStr">
        <is>
          <t>li-4358983720</t>
        </is>
      </c>
      <c r="B46" t="inlineStr">
        <is>
          <t>Data Scientist II</t>
        </is>
      </c>
      <c r="C46" t="inlineStr">
        <is>
          <t>CLEAR</t>
        </is>
      </c>
      <c r="D46" t="inlineStr">
        <is>
          <t>linkedin</t>
        </is>
      </c>
      <c r="E46" t="inlineStr"/>
      <c r="F46" t="inlineStr"/>
      <c r="G46" t="inlineStr">
        <is>
          <t>New York, NY</t>
        </is>
      </c>
      <c r="H46" t="inlineStr"/>
      <c r="I46"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**Data Scientist** 
 to design, develop, and deploy advanced statistical and machine learning models that drive measurable business impact on our digital identity platform. This is a hands\-on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**Evolve CLEAR’s predictive modeling ecosystem:** 
 design, train, and optimize statistical and machine learning models for our digital identity platform that support product, risk, fraud, operations, and member experience teams.
* **Develop high\-quality production code** 
 including enhancements to feature engineering pipelines, model training workflows, and evaluation frameworks that meet reliability and performance standards.
* **Partner with Data Engineering and ML Platform teams** 
 to deploy models into production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***What You Bring:***
* 3\+ years of experience in data science, machine learning, or applied statistics within a modern cloud data environment like AWS Sagemaker.
* Advanced Python with deep experience in scientific libraries (e.g. pandas, NumPy, SciPy, matplotlib), machine learning frameworks (e.g. scikit\-learn, XGBoost, LightGBM, pytorch), and model evaluation tooling.
* SQL skills and experience working with cloud data warehouses (e.g. Snowflake, BigQuery, Redshift).
* Experience with modern ML workflow tools (e.g., Airflow, Dagster, MLflow, Vertex / SageMaker, Voxel 51\).
* Understanding of statistical methods, experiment design, data cleansing, feature engineering, and model interpretability.
* Experience deploying production models and maintaining them through their lifecycle (monitoring, retraining, performance management).
* Strong communication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Build cutting\-edge solutions while helping to guide best practices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47">
      <c r="A47" t="inlineStr">
        <is>
          <t>li-4339075439</t>
        </is>
      </c>
      <c r="B47" t="inlineStr">
        <is>
          <t>Senior Data Scientist, Growth Product</t>
        </is>
      </c>
      <c r="C47" t="inlineStr">
        <is>
          <t>Block</t>
        </is>
      </c>
      <c r="D47" t="inlineStr">
        <is>
          <t>linkedin</t>
        </is>
      </c>
      <c r="E47" t="inlineStr"/>
      <c r="F47" t="inlineStr"/>
      <c r="G47" t="inlineStr"/>
      <c r="H47" t="inlineStr"/>
      <c r="I47"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Growth Product Data Science team sits at the heart of Square's seller growth strategy within Block's broader AI and Data org. We partner deeply with product, design, and engineering to surface insights, design experiments, and influence product strategy and roadmap prioritization. We creatively use a diverse set of tactics across the 'full stack' of data tools to foster data\-driven decision making. Our work directly impacts seller outcomes—furthering Block's purpose of economic empowerment—while contributing to data science excellence and innovation across Block.
 Work from anywhere: This role can be performed from any location in the US with the flexibility to work from home
**You Will**
* Analyze large datasets using SQL \&amp; scripting languages to surface actionable insights \&amp; opportunities to the product team and other stakeholders, driving strategy and facilitating decision\-making for key business initiatives
* Approach problems from first principles, using a variety of statistical modeling techniques to research and understand customer behavior and business performance
* Design \&amp; analyze A/B tests and apply pseudo\-experimental methods such as DiD, synthetic controls, or related causal inference techniques
* Build, forecast, and report on metrics that inform strategy and facilitate decision\-making for key business initiatives: visualizing data in self\-serve dashboards for your partners
* Work with engineers to log new, useful data sources as we build new product features
* Write code to effectively process, cleanse, and combine data sources in scaled \&amp; useful ways, often resulting in curated ETL datasets that are easily used by the broader team
* Effectively communicate your work with team leads and cross\-functional stakeholders on a regular basis
* Expand your influence in the Block Data Science community by developing and evangelizing data solutions to improve analytics insightfulness and actionability.
**You Have**
* 8\+ years of related experience
* Fluency with SQL and Python
* Experience using AI tools to automate mundane tasks, accelerate development, and enhance solutions
* Experience with BI tools and data engineering fundamentals
* Familiarity with standard machine learning concepts and statistics concepts (including causal inference)
* Experience leading cross\-functional projects; influencing without authority
* Experience working with technical and non\-technical partners, including engineering, product, and business teams; particularly strong written communication skills
* Comfort with ambiguity and ability to define problems, not just solve them
**Technologies We Use and Teach**
* SQL and ETL: Snowflake, Airflow, Prefect
* Data Viz and BI: Looker, Tableau, Mode, Amplitude
* ML / Stats: Python (Databricks)
* Hypothesis testing: Growthbook, LaunchDarkly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8">
      <c r="A48" t="inlineStr">
        <is>
          <t>li-4358934151</t>
        </is>
      </c>
      <c r="B48" t="inlineStr">
        <is>
          <t>Data Scientist</t>
        </is>
      </c>
      <c r="C48" t="inlineStr">
        <is>
          <t>SteerBridge</t>
        </is>
      </c>
      <c r="D48" t="inlineStr">
        <is>
          <t>linkedin</t>
        </is>
      </c>
      <c r="E48" t="inlineStr"/>
      <c r="F48" t="inlineStr"/>
      <c r="G48" t="inlineStr"/>
      <c r="H48" t="inlineStr"/>
      <c r="I48" t="inlineStr">
        <is>
          <t>SteerBridge Strategies is a CVE\-Verified Service\-Disabled, Veteran\-Owned Small Business (SDVOSB) delivering a broad spectrum of professional services to the U.S. Government and private sector. Backed by decades of hands\-on experience in federal acquisition and procurement, we provide agile, best\-in\-class commercial solutions that drive mission success.
 Our strength lies in our people—especially the veterans whose leadership, discipline, and dedication shape everything we do. At SteerBridge, we don’t just hire talent—we empower it, creating meaningful career paths for those who have served and those who share our commitment to excellence.
 SteerBridge is looking for a Data Scientist to evaluate multi\-dimensional USMC C130 global supply
 chain and operational data to construct and maintain predictive models. Candidates must be
 familiar with multiple types of data models including, but not limited to, generalized linear
 and multilinear regression, logistic and multinomial regression, and time series analysis.
 Candidates must have hand\-on experience with supervised (classification, regression)
 and unsupervised learning (clustering, dimension reduction).
 The Data Scientist must be prepared to dive deep into disparate data from multiple sources in
 multiple formats in order to integrate and evaluate to determine the most appropriate modeling
 approach. The Data Scientist will be responsible for leading end\-to\-end analytical models and
 data science framing activities, including but not limited to working with partners to identify fields,
 data provenance and integration, data quality assessments, and documentation of data
 processes and models.
 The Data Scientist must be able to review and understand large sets of data while being able to
 highlight relevant trends and patterns. The ideal candidate is a quick learner, curious, innovative,
 results\-oriented and has strong interpersonal skills.
**Benefits** 
* Health insurance
* Dental insurance
* Vision insurance
* Life Insurance
* 401(k) Retirement Plan with matching
* Paid Time Off
* Paid Federal Holidays
**Qualifications** 
* Must be a U.S. Citizen.
* MSc or PhD degree in applied mathematics, statistics, or relevant work experience.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3\+ years of experience evaluating relationships in data using statistical modeling and leveraging analytics tools.
* 3\+ years of experience in advanced Classification and Regression modeling.
* 3\+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 Preferred:
* (Highly preferred) AWS or Google Cloud Professional or Specialty Certification or ability to obtain certification.
* Top Secret security clearance.
* Experience with supply chain management data systems and technology is desirable (e.g., ERP, Transportation Management and Warehouse Management systems).
* Experience supporting DoD and/or VA missions.
* Proficiency in integrating and interfacing with software development processes.
* Consulting experience.</t>
        </is>
      </c>
    </row>
    <row r="49">
      <c r="A49" t="inlineStr">
        <is>
          <t>li-4358964459</t>
        </is>
      </c>
      <c r="B49" t="inlineStr">
        <is>
          <t>Principal Data Scientist/ML Engineer</t>
        </is>
      </c>
      <c r="C49" t="inlineStr">
        <is>
          <t>Agero, Inc.</t>
        </is>
      </c>
      <c r="D49" t="inlineStr">
        <is>
          <t>linkedin</t>
        </is>
      </c>
      <c r="E49" t="inlineStr"/>
      <c r="F49" t="inlineStr"/>
      <c r="G49" t="inlineStr"/>
      <c r="H49" t="inlineStr"/>
      <c r="I49"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
 **For technical and other select roles, your first day will be spent at our HQ in Medford, MA to facilitate a smooth onboarding experience. Willingness to travel is required, as you may need to attend on\-site team meetings from time to time.**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DS/ML engineers; present findings to execs.
* Continuously improve: Instrument NPS / cost telemetry, identify failure modes, and iterate.
**Skills, Education, \&amp; Experience:** 
* 6 \+ yrs combined experience in Data Science and ML Engineering with ownership of production systems.
* Expert\-level Python.
* Hands\-on optimization (Mixed Integer Programming / Linear Optimization / Stochastic Optimization) and modern ML (XGBoost, PyTorch).
* Proven record designing cloud\-native pipelines on AWS, GCP or Azure (AWS).
* Strong SQL, feature\-store design, and data\-quality mindset.
* Ability to translate business objectives into mathematically rigorous experiments.
**Nice to Haves:** 
* Experience with dispatch, logistics, or  supply\-demand marketplaces.
* Familiarity with Monte\-Carlo tree search, multi\-agent simulation, or hierarchical RL.
* Prior work balancing short\-term incentives against long\-term KPIs (e.g., LTV, NPS).
**Sound like a fit? Reach out with a link to your GitHub or a brief project write\-up.** 
**Hiring In:** 
* **United States:  AZ, CA, FL, GA, NH, IL, KY, MA, MI, NC, NM, NY, TN, VA**
**The anticipated closing date to submit applications for this role is January 20, 2026**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USD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\*It is unlawful in Massachusetts to required or administer a lie detector test as a condition of employment or continued employment. An employer who violates this law shall be subject to criminal penalties and civil liability.</t>
        </is>
      </c>
    </row>
    <row r="50">
      <c r="A50" t="inlineStr">
        <is>
          <t>li-4331080419</t>
        </is>
      </c>
      <c r="B50" t="inlineStr">
        <is>
          <t>Data Scientist</t>
        </is>
      </c>
      <c r="C50" t="inlineStr">
        <is>
          <t>RemoteHunter</t>
        </is>
      </c>
      <c r="D50" t="inlineStr">
        <is>
          <t>linkedin</t>
        </is>
      </c>
      <c r="E50" t="inlineStr"/>
      <c r="F50" t="inlineStr"/>
      <c r="G50" t="inlineStr"/>
      <c r="H50" t="inlineStr"/>
      <c r="I50"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1">
      <c r="A51" t="inlineStr">
        <is>
          <t>li-4358429681</t>
        </is>
      </c>
      <c r="B51" t="inlineStr">
        <is>
          <t>Senior Data Scientist</t>
        </is>
      </c>
      <c r="C51" t="inlineStr">
        <is>
          <t>CLEAR</t>
        </is>
      </c>
      <c r="D51" t="inlineStr">
        <is>
          <t>linkedin</t>
        </is>
      </c>
      <c r="E51" t="inlineStr"/>
      <c r="F51" t="inlineStr"/>
      <c r="G51" t="inlineStr">
        <is>
          <t>New York, NY</t>
        </is>
      </c>
      <c r="H51" t="inlineStr"/>
      <c r="I51"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52">
      <c r="A52" t="inlineStr">
        <is>
          <t>li-4330943779</t>
        </is>
      </c>
      <c r="B52" t="inlineStr">
        <is>
          <t>Data Scientist - All Levels (Manager, Principal, Staff)</t>
        </is>
      </c>
      <c r="C52" t="inlineStr">
        <is>
          <t>Holistic Partners, Inc</t>
        </is>
      </c>
      <c r="D52" t="inlineStr">
        <is>
          <t>linkedin</t>
        </is>
      </c>
      <c r="E52" t="inlineStr"/>
      <c r="F52" t="inlineStr"/>
      <c r="G52" t="inlineStr">
        <is>
          <t>Sunnyvale, CA</t>
        </is>
      </c>
      <c r="H52" t="inlineStr"/>
      <c r="I52" t="inlineStr">
        <is>
          <t>**Job Title** 
 : Data Scientist \- All Levels (Manager, Principal, Staff)
**Locations** 
* Sunnyvale, CA
* Bentonville, AR (relocation package available only for Bentonville)
**Duration** 
 : Full Time
**IV Process** 
 :
* Pre\-screening
* Three virtual client rounds (plus an additional round for Manager level)
* Multiple interviews can be scheduled in one day
**Positions Available (Exclusive):** 
* 1 Manager of Data Science
* 1 Principal Engineer of Data Science
* 3 Staff Engineers of Data Science
**Core Must\-Have Skills Across All Levels** 
* Generative AI (Gen AI)
* Large Language Models (LLM, GPT, BERT, RAG)
* Time Series Modeling / Forecasting
* Prompting \&amp; Fine\-Tuning
* Managerial/leadership experience per level (Manager → mid\-size team, Principal → top of team, Staff → lead\-level experience)
**Role\-Specific Job Description** 
**Manager of Data Science** 
**Responsibilities:** 
* Lead a team of data scientists and ML engineers
* Build and deploy Gen AI and traditional ML applications for Walmart Finance
* Drive cross\-functional projects in NLP, LLM, timeseries forecasting, and recommendation systems
* Maintain technical and business knowledge, mentor team members
**Requirements:** 
* Experience managing mid\-size internal team of DS/MLEs
* Experience in NLP, LLMs, timeseries, traditional ML for retail/e\-commerce
* Strong organizational, interpersonal, and cross\-functional collaboration skills
**Principal Data Scientist** 
**Responsibilities:** 
* Develop LLM\-powered intelligent systems (Q\&amp;A, recommendations, autonomous agents)
* Collaborate cross\-functionally with DS, MLEs, UX, and product teams
* Deploy scalable AI/ML solutions, mentor junior DS
* Contribute to internal/external AI/ML research
**Requirements:** 
* Proven deployment of high\-risk NLP applications in production
* Strong ML foundations (statistics, optimization, DL)
* Advanced proficiency in Python, ML/DS libraries, deep learning frameworks
* Familiarity with ML infra (Kubeflow, MLflow, Airflow)
**Bonus Skills:** 
* Text\-to\-SQL/Text\-to\-Cypher, recommender systems, fine\-tuning LLMs, publications in top\-tier ML/NLP venues
**Staff Engineer of Data Science** 
**Responsibilities:** 
* Lead data\-driven projects for Finance using LLMs/Gen AI
* Build, deploy, and productionize AI/ML solutions for large\-scale applications
* Collaborate cross\-functionally with stakeholders and business owners
**Requirements:** 
* Master’s/PhD in Statistics, Analytics, CS, or related field with 5\+ years experience
* Hands\-on experience with LLMs, Gen AI ecosystems (GPT, LLaMA, Mistral, Claude, Gemini, AWS Sonnet)
* RAG, AI agent development, LangChain, LangGraph
* Strong solution architecture mindset and problem\-solving skills
**Nice\-to\-Have:** 
* Big Data/Spark experience, Cloud ML (GCP, Azure), GPU DL training
**Behavioral Qualifications:** 
* Adaptable, problem\-solver, technically strong, collaborative, able to manage multiple priorities</t>
        </is>
      </c>
    </row>
    <row r="53">
      <c r="A53" t="inlineStr">
        <is>
          <t>li-4352011390</t>
        </is>
      </c>
      <c r="B53" t="inlineStr">
        <is>
          <t>Data Scientist</t>
        </is>
      </c>
      <c r="C53" t="inlineStr">
        <is>
          <t>Jobot</t>
        </is>
      </c>
      <c r="D53" t="inlineStr">
        <is>
          <t>linkedin</t>
        </is>
      </c>
      <c r="E53" t="inlineStr"/>
      <c r="F53" t="inlineStr"/>
      <c r="G53" t="inlineStr">
        <is>
          <t>The Woodlands, TX</t>
        </is>
      </c>
      <c r="H53" t="inlineStr"/>
      <c r="I53" t="inlineStr">
        <is>
          <t>Want to learn more about this role and Jobot? Click our Jobot logo and follow our LinkedIn page!
 Job details
**Raw Data Wrangling \- Advance Analytics**
 This Jobot Job is hosted by Chuck Wirtz
 Are you a fit? Easy Apply now by clicking the "Easy Apply" button and sending us your resume.
 Salary $110,000 \- $125,000 per year
**A Bit About Us**
 As a leader in our industry, we serve 40\+ states nationwide. This role is a dedicated Data Scientist, onsite 4x/week in The Woodlands, Stock \+ Bonus.
****Why join us?****
 You will join an established, dedicated team led by experienced engineers. We are ingesting large volumes of data to drive enterprise\-level change, leveraging the latest in AI to optimize processes, improve decision\-making, and deliver measurable value.
**Job Details**
 Python
 Spark/PySpark
 SQL/MySQL/SparkSQL
 Tableau
 Databricks
 AWS Glue
 Linear Regression \- GLM \- Random Forrest
 GenAI/LLM
 No sponsorship or C2C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54">
      <c r="A54" t="inlineStr">
        <is>
          <t>li-4330881320</t>
        </is>
      </c>
      <c r="B54" t="inlineStr">
        <is>
          <t>Senior Data Scientist</t>
        </is>
      </c>
      <c r="C54" t="inlineStr">
        <is>
          <t>LexisNexis</t>
        </is>
      </c>
      <c r="D54" t="inlineStr">
        <is>
          <t>linkedin</t>
        </is>
      </c>
      <c r="E54" t="inlineStr"/>
      <c r="F54" t="inlineStr"/>
      <c r="G54" t="inlineStr"/>
      <c r="H54" t="inlineStr"/>
      <c r="I54" t="inlineStr">
        <is>
          <t>Join our team to help build state\-of\-the\-art research tools. Our Data Science teams focus on extracting key information such as entities mentioned, sentiment analysis, data enrichments, predictive insights, and more to build best in class data and news streams relied on by our global customer base. We are in the beginning stages of adding Generative AI across our portfolio of products while continuing to be committed to High Quality and trusted / citable information with everything we do. We are looking to grow our team with Passionate Data Scientist committed to defining scope of a project and execute that project independently. Individuals in this role are expected to support the development and training of junior staff. They develop best practices and are project leaders.
**Responsibilities:** 
* Working closely with other data scientists and engineers to design, develop, and deploy AI solutions.
* Leading the development of advanced AI and machine learning models to solve complex business problems.
* Analyzing large datasets to identify patterns and trends that can inform AI development.
* Collaborating with cross\-functional teams to ensure AI solutions are aligned with business goals and customer needs.
* Evaluating and creating new frameworks and defining methodologies and governance.
* Mentoring junior data scientists and provide guidance on AI and machine learning best practices.
* Working with product leaders to apply data science solutions. Leading small\- to medium\-sized teams (direct or indirect).
**Requirements** 
* Possess an advanced or Master's education in Computer Science, Mathematics, Statistics, or a related field.
* 5\+ years of experience using NLP tools and methods such as OpenNLP, Stanford NLP, LDA, Gensim, spaCy
* Be proficient in working with big data technologies and tools like Hadoop, Spark, or AWS.
* Possess advanced programming skills in Python, R, or other relevant languages for data analysis.
* Have experience working directly with large language models and transformer\-based architectures including BERT, RoBERTa, T5 etc.
* Be proficient in working with big data technologies and tools.
* Experience using Machine Learning and associated packages like scikit\-learn, pandas, NumPy.
* Have experience and knowledge of applying LLMs including ChatGPT, GPT 3\.5, Claude, Mistral, etc.
* Be a natural problem solver, able to lead and mentor junior data scientists, and collaborate with cross\-functional teams.
* Demonstrate proficient experience with machine learning algorithms, including deep learning, gradient boosting, and random forests.</t>
        </is>
      </c>
    </row>
    <row r="55">
      <c r="A55" t="inlineStr">
        <is>
          <t>li-4331040392</t>
        </is>
      </c>
      <c r="B55" t="inlineStr">
        <is>
          <t>Senior Research Data Scientist, Central Operations Analytics</t>
        </is>
      </c>
      <c r="C55" t="inlineStr">
        <is>
          <t>Google</t>
        </is>
      </c>
      <c r="D55" t="inlineStr">
        <is>
          <t>linkedin</t>
        </is>
      </c>
      <c r="E55" t="inlineStr"/>
      <c r="F55" t="inlineStr"/>
      <c r="G55" t="inlineStr">
        <is>
          <t>Mountain View, CA</t>
        </is>
      </c>
      <c r="H55" t="inlineStr"/>
      <c r="I55" t="inlineStr">
        <is>
          <t>**Minimum qualifications:**
* Master's degree in statistics, data science, mathematics, physics, economics, operations research, engineering, a related quantitative field, or equivalent practical experience.
* 5 years of work experience using analytics to solve product or business problems, coding (e.g., Python, R, SQL), querying databases or statistical analysis, or 3 years of work experience with a PhD degree.
* Experience using ETL tools.
* Experience conducting root cause analysis.
**Preferred qualifications:**
* 8 years of work experience using analytics to solve product or business problems, coding (e.g., Python, R, SQL), querying databases or statistical analysis, or 6 years of work experience with a PhD degree.
* Experience supporting manufacturing, supply chain, or quality analytics.
**About the job** 
 The Central Operations Analytics team's (COAT) mission is to improve quality and manufacturing through data\-driven decision making. The team focuses on governing quality return rates forecast through in\-house developed algorithms, owning the strategy and development of scalable data tools, prototyping GenAI and advanced dashboards, and leading analytics to solve critical business problems.The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Provide feedback to translate and refine business questions into tractable analysis, evaluation metrics, or mathematical models.
* Use custom data infrastructure or existing data models as appropriate. Design and evaluate models to mathematically express and solve defined problems with limited precedent.
* Develop specialized tools for root cause analysis, station diagnostics, and statistical process control (SPC) to enable continuous improvement.
* Own the process of gathering, extracting, and compiling data across sources via relevant tools (e.g., SQL, R, Python). Format, restructure, or validate data to ensure quality.
* Analyze telemetry data and customer sentiment to quantify its impact on quality and inform design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li-4359390451</t>
        </is>
      </c>
      <c r="B56" t="inlineStr">
        <is>
          <t>Principal Applied Scientist</t>
        </is>
      </c>
      <c r="C56" t="inlineStr">
        <is>
          <t>Microsoft</t>
        </is>
      </c>
      <c r="D56" t="inlineStr">
        <is>
          <t>linkedin</t>
        </is>
      </c>
      <c r="E56" t="inlineStr"/>
      <c r="F56" t="inlineStr"/>
      <c r="G56" t="inlineStr">
        <is>
          <t>Redmond, WA</t>
        </is>
      </c>
      <c r="H56" t="inlineStr"/>
      <c r="I56" t="inlineStr">
        <is>
          <t>**Overview**
 We are seeking a highly motivated and technically skilled
 **Applied Data Scientist** 
 to join the PAX team, driving innovation at the intersection of organizational intelligence, Generative AI, and Bizchat integration. This role will replace Qiang Gan and focus on building and evaluating intelligent experiences that empower users to query and understand organizational data through conversational interfaces.
 You will lead efforts in prompt engineering, SEVAL (Semantic Evaluation), and Bizchat integration, collaborating across engineering, product, and research teams to deliver high\-quality, scalable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Bizchat Integration
* Architect and implement data pipelines and APIs that connect PAX organizational datasets to Bizchat and Copilot experiences.
* Collaborate with platform teams to ensure seamless integration of PAX plugins and reasoning models into Bizchat workflows.
* Drive experimentation and tuning of Bizchat responses using PAX data, ensuring high answer rates and relevance across public and private attributes.
* Prompt Engineering
* Design, test, and optimize prompts for LLM\-powered agents and tools within Bizchat and Copilot Studio.
* Develop multi\-turn conversational flows and agentic reasoning chains to support complex organizational queries.
* Collaborate with product and UX teams to refine prompt strategies for clarity, safety, and user satisfaction.
* SEVAL \&amp; Evaluation Frameworks
* Build and maintain SEVAL pipelines to evaluate grounding, factuality, latency, and cost of AI responses.
* Lead efforts to expand SEVAL coverage for cross\-org queries, dynamic attributes, and custom columns.
* Partner with engineering to implement telemetry and feedback loops for continuous model improvement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Experience with SEVAL or similar semantic evaluation systems.
* Prior work on conversational AI, NLP, or organizational analytics.
* Proven ability to work cross\-functionally in fast\-paced, ambiguous environments.
* Solid communication skills and ability to influence across teams.
* 7\+ years of experience in applied data science, machine learning, or AI product development.
* Solid proficiency in ML frameworks.
* Hands\-on experience with LLMs, prompt engineering, and agentic workflows.
* Experience with evaluation frameworks and metrics\-driven experimentation.
* Familiarity with Microsoft stack: Azure ML, Copilot Studio, Power Platform, and Bizchat APIs.
 \#DPG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li-4359333329</t>
        </is>
      </c>
      <c r="B57" t="inlineStr">
        <is>
          <t>Senior Applied Scientist, Amazon Industrial Robotics</t>
        </is>
      </c>
      <c r="C57" t="inlineStr">
        <is>
          <t>Amazon</t>
        </is>
      </c>
      <c r="D57" t="inlineStr">
        <is>
          <t>linkedin</t>
        </is>
      </c>
      <c r="E57" t="inlineStr"/>
      <c r="F57" t="inlineStr"/>
      <c r="G57" t="inlineStr">
        <is>
          <t>Middlesex County, MA</t>
        </is>
      </c>
      <c r="H57" t="inlineStr"/>
      <c r="I57"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PhD, or Master's degree and 4\+ years of CS, CE, ML or related field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A3131920</t>
        </is>
      </c>
    </row>
    <row r="58">
      <c r="A58" t="inlineStr">
        <is>
          <t>li-4358488564</t>
        </is>
      </c>
      <c r="B58" t="inlineStr">
        <is>
          <t>Principal Applied Scientist</t>
        </is>
      </c>
      <c r="C58" t="inlineStr">
        <is>
          <t>Microsoft</t>
        </is>
      </c>
      <c r="D58" t="inlineStr">
        <is>
          <t>linkedin</t>
        </is>
      </c>
      <c r="E58" t="inlineStr"/>
      <c r="F58" t="inlineStr"/>
      <c r="G58" t="inlineStr">
        <is>
          <t>Redmond, WA</t>
        </is>
      </c>
      <c r="H58" t="inlineStr"/>
      <c r="I58" t="inlineStr">
        <is>
          <t>**Overview**
 Joining the CoreAI organization at Microsoft means becoming part of the team that builds the end\-to\-end AI stack powering Azure’s innovation. As a Principal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Computer Science, Electrical or Computer Engineering, or related field AND 5\+ year(s) related experience (e.g., statistics, predictive analytics, research) OR Master's Degree Computer Science, Electrical or Computer Engineering, or related field AND 7\+ years related experience (e.g., statistics, predictive analytics, research)
* 5\+ years of coding experience in Python and experience with ML frameworks such as PyTorch and Triton
* 3\+ years experience of large\-scale model training for LLMs, SLMs, and agentic models
* 3\+ years of proven ability to design and scale training infrastructure and pipelines in production environments
* Experience with agent training frameworks
* Leadership and influence with the ability to lead projects and influence others across teams and disciplines
* Hands\-on experience with large\-scale distributed training and/or serving with demonstrated ability to dive deep into complex systems, troubleshoot unconventional issues, and craft innovative solutions under real\-world constraints
* Extensive experience with large\-scale training, model inference, reinforcement learning, and reasoning models
* Demonstrated ability to work in cross\-functional teams and collaborate effectively with researchers, product managers, and other engineers to deliver complex ML solutions
* Startup\-style mindset: agile, solution\-oriented, and self\-driven
 \#coreai
 \#aiplatform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li-4359374587</t>
        </is>
      </c>
      <c r="B59" t="inlineStr">
        <is>
          <t>Data Scientist</t>
        </is>
      </c>
      <c r="C59" t="inlineStr">
        <is>
          <t>DarkStar Intelligence</t>
        </is>
      </c>
      <c r="D59" t="inlineStr">
        <is>
          <t>linkedin</t>
        </is>
      </c>
      <c r="E59" t="inlineStr"/>
      <c r="F59" t="inlineStr"/>
      <c r="G59" t="inlineStr">
        <is>
          <t>San Antonio, TX</t>
        </is>
      </c>
      <c r="H59" t="inlineStr"/>
      <c r="I59" t="inlineStr">
        <is>
          <t>**Location:** 
 San Antonio, TX
 **\| Type:** 
 Full\-Time
 **\| Clearance:** 
 TS/SCI
**Overview**
 We are seeking a Data Scientist in San Antonio, TX!
**Responsibilities**
* Assess existing data landscape and recommend improvements in data collection, storage, and processing methodologies
* Develop and implement data preprocessing and cleaning techniques to ensure data quality and consistency
* Design, develop, and apply advanced statistical and machine learning models to derive insights and support data\-driven decision\-making
* Visualize and communicate complex data analyses, trends, and patterns to depa1tment stakeholders through interactive dashboards and rep01ts
* Collaborate with subject matter expe1ts to identify and prioritize data analysis projects based on department objectives and available resources
* Ensure compliance with federal government data privacy and security requirements, including FISMA and GDPR, when working with sensitive datasets
* Continuously monitor and evaluate the performance of data models, recommending and implementing enhancements as needed
* Stay current with emerging trends and best practices in data science and apply these learnings to improve processes and outcomes
**Minimum Qualifications**
**Clearance** 
 : Active TS/SCI
* Bachelor's degree in computer science, statistics, mathematics, or a related field and a minimum of 7 years' experience in data science, analytics, or a related field, with a focus on federal government environments
* Certified Data Scientist (CDS) or Professional Data Engineer (PDE)
* Proficiency in programming languages such as Python, R, or Java, and experience with data manipulation and analysis libraries (e.g., pandas, NumPy, or TensorFlow)
* Expertise in statistical and machine learning techniques, including regression, clustering, and classification algorithms
* Strong data visualization skills, including experience with tools such as Tableau, Power BI, or D3\.js
* Excellent communication, collaboration, and problem\-solving skills
* Experience working with cloud\-based data processing and analysis tools
* Experience working with data visualization tools such as Tableau or Power BI
* Active TS/SCI clearance required
**Compensation \&amp; Benefits**
**Salary Range** 
 :
 Final compensation will depend on experience, qualifications, internal equity, and market data. DarkStar provides a competitive and comprehensive benefits package for full\-time employees.
**Additional Details**
**Travel** 
 : Minimal
**Work Environment** 
 : On\-site
**Security Note**
 All applicants must be U.S. citizens and maintain eligibility for a U.S. government security clearance.
**About DarkStar Intelligence**
 DarkStar Intelligence is a Service\-Disabled Veteran\-Owned Small Business (SDVOSB) committed to advancing national security through mission support and tradecraft development. We prioritize both client satisfaction and employee retention, delivering high\-quality, intelligence\-based solutions grounded in our
 **“Core Four”** 
 values:
* Humility: We place mission success above personal recognition
* Passion: We bring enthusiasm and dedication to every challenge
* Agility: We adapt quickly to evolving operational needs
* Ownership: We hold ourselves accountable for results and uphold the highest standards of excellence
 We are mission\-driven and results\-oriented, striving to make our country safer through every task we undertake.
**Equal Employment Opportunity (EEO) Commitment**
 At DarkStar Intelligence LLC, we are committed to maintaining a professional and legally compliant work environment where individuals are treated with respect and fairness. We adhere strictly to all applicable Equal Employment Opportunity (EEO) laws and regulations.
 Employment decisions at DarkStar are made solely on the basis of individual qualifications, performance, and business needs. We prohibit discrimination in all aspects of employment—including hiring, compensation, promotion, training, discipline, and termination—on the basis of: Race or color, Religion, Sex (including pregnancy, sexual orientation, and gender identity), National origin, Age, Disability, Genetic information, Veteran status. Or any other status protected by applicable federal, state, or local law
 Our EEO standards are embedded in all employment practices to ensure compliance, fairness, and accountability. We enforce a zero\-tolerance policy for unlawful discrimination or harassment and encourage employees to report concerns without fear of retaliation.
**EEO Flyer:** 
 shorturl.at/abpNX
**Employee Benefits**
 DarkStar Intelligence provides a competitive and comprehensive benefits package to support the health, financial stability, and personal well\-being of our team members.
**Core Benefits for employees:**
* Health Coverage: Medical, dental, and vision plans
* Income Protection: Life insurance, short\-term disability, and long\-term disability
* Retirement Planning: 401(k) plan with employer contributions
* Work\-Life Support: Employee Assistance Program (EAP) and legal services
* Paid Leave: Generous PTO, 11 paid federal holidays, and one floating holiday
**Voluntary Benefits:**
* Legal \&amp; Identity Protection: LegalShield and IDShield
* Additional Insurance: Whole life, accident, and critical care coverage
 We believe in recognizing and supporting the professionals who make our mission possible. Your well\-being is an investment in our collective success.
 Powered by JazzHR
 4bBMftHoj5</t>
        </is>
      </c>
    </row>
    <row r="60">
      <c r="A60" t="inlineStr">
        <is>
          <t>li-4358547509</t>
        </is>
      </c>
      <c r="B60" t="inlineStr">
        <is>
          <t>Data Scientist</t>
        </is>
      </c>
      <c r="C60" t="inlineStr">
        <is>
          <t>Stripe</t>
        </is>
      </c>
      <c r="D60" t="inlineStr">
        <is>
          <t>linkedin</t>
        </is>
      </c>
      <c r="E60" t="inlineStr"/>
      <c r="F60" t="inlineStr"/>
      <c r="G60" t="inlineStr">
        <is>
          <t>New York, United States</t>
        </is>
      </c>
      <c r="H60" t="inlineStr"/>
      <c r="I60"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Our Data Science team partners deeply with teams across Stripe to ensure that our users, our products, and our business have the models, data products, and insights needed to make decisions and grow responsibly. We’re looking for data scientists with a passion for analyzing data, building machine learning and statistical models, and running experiments to drive impact. Our work is broad and varied, influencing how our products work (e.g. understanding user needs, preventing fraud, or optimizing charge flows), how our business works (forecasting key outcomes, managing liquidity, quantifying risk exposure), how our go\-to\-market motions operate (designing growth experiments, optimizing marketing investments, refining sales processes, and estimating causal effects), and everything in between. We have a variety of Data Science roles and teams across Stripe and will seek to align you to the most relevant team based on your background.
 What you'll do
 We’re looking for a variety of Data Scientists to partner with the Product, Finance, Payments, Security, Risk, Growth and Go\-to\-Market teams. You’ll work closely with a specific part of the business, playing a crucial role in optimizing our systems and leveraging data to make strategic business decisions. As Data Scientists as Stripe, it’s our mission to ensure that the company strategy, products, and user interactions make smart use of our rich data, using techniques like machine learning, statistical modeling, causal inference, optimization, experimentation, and all forms of analytics.
 Who you are
 We’re looking for someone who meets the minimum requirements to be considered for the role. If you meet these requirements, you are encouraged to apply. The preferred qualifications are a bonus, not a requirement.
**Minimum Requirements**
* 3\-8\+ years of data science/quantitative modeling experience
* Proficiency in SQL and a computing language such as Python or R
* Strong knowledge and hands\-on experience in several of the following areas: machine learning, statistics, optimization, product analytics, causal inference, and/or experimentation
* Experience in working with cross\-functional teams to deliver results
* Ability to communicate results clearly and a focus on driving impact
* A demonstrated ability to manage and deliver on multiple projects with a high attention to detail
* Solid business acumen and experience in synthesizing complex analyses into actionable recommendations
* A builder's mindset with a willingness to question assumptions and conventional wisdom
**Preferred Qualifications**
* Experience deploying models in production and adjusting model thresholds to improve performance
* Experience designing, running, and analyzing complex experiments or leveraging causal inference designs
* Experience with distributed tools such as Spark, Hadoop, etc.
* A PhD or MS in a quantitative field (e.g., Statistics, Engineering, Mathematics, Economics, Quantitative Finance, Sciences, Operations Research)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$138,900 \- $261,800\.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1">
      <c r="A61" t="inlineStr">
        <is>
          <t>li-4358965026</t>
        </is>
      </c>
      <c r="B61" t="inlineStr">
        <is>
          <t>Data Scientist</t>
        </is>
      </c>
      <c r="C61" t="inlineStr">
        <is>
          <t>Stripe</t>
        </is>
      </c>
      <c r="D61" t="inlineStr">
        <is>
          <t>linkedin</t>
        </is>
      </c>
      <c r="E61" t="inlineStr"/>
      <c r="F61" t="inlineStr"/>
      <c r="G61" t="inlineStr">
        <is>
          <t>Chicago, IL</t>
        </is>
      </c>
      <c r="H61" t="inlineStr"/>
      <c r="I61"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Our Data Science team partners deeply with teams across Stripe to ensure that our users, our products, and our business have the models, data products, and insights needed to make decisions and grow responsibly. We’re looking for data scientists with a passion for analyzing data, building machine learning and statistical models, and running experiments to drive impact. Our work is broad and varied, influencing how our products work (e.g. understanding user needs, preventing fraud, or optimizing charge flows), how our business works (forecasting key outcomes, managing liquidity, quantifying risk exposure), how our go\-to\-market motions operate (designing growth experiments, optimizing marketing investments, refining sales processes, and estimating causal effects), and everything in between. We have a variety of Data Science roles and teams across Stripe and will seek to align you to the most relevant team based on your background.
 What you'll do
 We’re looking for a variety of Data Scientists to partner with the Product, Finance, Payments, Security, Risk, Growth and Go\-to\-Market teams. You’ll work closely with a specific part of the business, playing a crucial role in optimizing our systems and leveraging data to make strategic business decisions. As Data Scientists as Stripe, it’s our mission to ensure that the company strategy, products, and user interactions make smart use of our rich data, using techniques like machine learning, statistical modeling, causal inference, optimization, experimentation, and all forms of analytics.
 Who you are
 We’re looking for someone who meets the minimum requirements to be considered for the role. If you meet these requirements, you are encouraged to apply. The preferred qualifications are a bonus, not a requirement.
**Minimum Requirements**
* 3\-8\+ years of data science/quantitative modeling experience
* Proficiency in SQL and a computing language such as Python or R
* Strong knowledge and hands\-on experience in several of the following areas: machine learning, statistics, optimization, product analytics, causal inference, and/or experimentation
* Experience in working with cross\-functional teams to deliver results
* Ability to communicate results clearly and a focus on driving impact
* A demonstrated ability to manage and deliver on multiple projects with a high attention to detail
* Solid business acumen and experience in synthesizing complex analyses into actionable recommendations
* A builder's mindset with a willingness to question assumptions and conventional wisdom
**Preferred Qualifications**
* Experience deploying models in production and adjusting model thresholds to improve performance
* Experience designing, running, and analyzing complex experiments or leveraging causal inference designs
* Experience with distributed tools such as Spark, Hadoop, etc.
* A PhD or MS in a quantitative field (e.g., Statistics, Engineering, Mathematics, Economics, Quantitative Finance, Sciences, Operations Research)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$138,900 \- $261,800\.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2">
      <c r="A62" t="inlineStr">
        <is>
          <t>li-4359364808</t>
        </is>
      </c>
      <c r="B62" t="inlineStr">
        <is>
          <t>Data Scientist</t>
        </is>
      </c>
      <c r="C62" t="inlineStr">
        <is>
          <t>Stripe</t>
        </is>
      </c>
      <c r="D62" t="inlineStr">
        <is>
          <t>linkedin</t>
        </is>
      </c>
      <c r="E62" t="inlineStr"/>
      <c r="F62" t="inlineStr"/>
      <c r="G62" t="inlineStr">
        <is>
          <t>Atlanta, GA</t>
        </is>
      </c>
      <c r="H62" t="inlineStr"/>
      <c r="I62"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Our Data Science team partners deeply with teams across Stripe to ensure that our users, our products, and our business have the models, data products, and insights needed to make decisions and grow responsibly. We’re looking for data scientists with a passion for analyzing data, building machine learning and statistical models, and running experiments to drive impact. Our work is broad and varied, influencing how our products work (e.g. understanding user needs, preventing fraud, or optimizing charge flows), how our business works (forecasting key outcomes, managing liquidity, quantifying risk exposure), how our go\-to\-market motions operate (designing growth experiments, optimizing marketing investments, refining sales processes, and estimating causal effects), and everything in between. We have a variety of Data Science roles and teams across Stripe and will seek to align you to the most relevant team based on your background.
 What you'll do
 We’re looking for a variety of Data Scientists to partner with the Product, Finance, Payments, Security, Risk, Growth and Go\-to\-Market teams. You’ll work closely with a specific part of the business, playing a crucial role in optimizing our systems and leveraging data to make strategic business decisions. As Data Scientists as Stripe, it’s our mission to ensure that the company strategy, products, and user interactions make smart use of our rich data, using techniques like machine learning, statistical modeling, causal inference, optimization, experimentation, and all forms of analytics.
 Who you are
 We’re looking for someone who meets the minimum requirements to be considered for the role. If you meet these requirements, you are encouraged to apply. The preferred qualifications are a bonus, not a requirement.
**Minimum Requirements**
* 3\-8\+ years of data science/quantitative modeling experience
* Proficiency in SQL and a computing language such as Python or R
* Strong knowledge and hands\-on experience in several of the following areas: machine learning, statistics, optimization, product analytics, causal inference, and/or experimentation
* Experience in working with cross\-functional teams to deliver results
* Ability to communicate results clearly and a focus on driving impact
* A demonstrated ability to manage and deliver on multiple projects with a high attention to detail
* Solid business acumen and experience in synthesizing complex analyses into actionable recommendations
* A builder's mindset with a willingness to question assumptions and conventional wisdom
**Preferred Qualifications**
* Experience deploying models in production and adjusting model thresholds to improve performance
* Experience designing, running, and analyzing complex experiments or leveraging causal inference designs
* Experience with distributed tools such as Spark, Hadoop, etc.
* A PhD or MS in a quantitative field (e.g., Statistics, Engineering, Mathematics, Economics, Quantitative Finance, Sciences, Operations Research)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$138,900 \- $261,800\.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3">
      <c r="A63" t="inlineStr">
        <is>
          <t>li-4314820391</t>
        </is>
      </c>
      <c r="B63" t="inlineStr">
        <is>
          <t>Data Scientist - Credit</t>
        </is>
      </c>
      <c r="C63" t="inlineStr">
        <is>
          <t>Best Egg</t>
        </is>
      </c>
      <c r="D63" t="inlineStr">
        <is>
          <t>linkedin</t>
        </is>
      </c>
      <c r="E63" t="inlineStr"/>
      <c r="F63" t="inlineStr"/>
      <c r="G63" t="inlineStr"/>
      <c r="H63" t="inlineStr"/>
      <c r="I63"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**Put People First** 
 – We foster an inclusive, flexible, and fun workplace.
**Create Clarity** 
 – Open communication drives trust and results.
**Get Things Done** 
 – We focus, prioritize, and deliver with excellence.
**Deliver with Heart** 
 – We lead with kindness, humility, and strong teamwork.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**About The Role**
 This position is central to drive critical risk decisions through design and development of machine learning solutions. This role will focus on building and improving risk models that drive credit decisions, ranging from underwriting, pricing to loss forecasting. Your work will shape who we approve, how we price, and how we support customers throughout their financial journey.
 This role is a great for data scientists who is passionate about modeling, analytics, and problem\-solving — and who want to see their work directly drive critical business decisions.
**Duties \&amp; Responsibilities**
* Build high performance ML models that improve credit predictability and customer outcomes.
* Build end\-to\-end machine learning pipelines including data extraction, feature engineering, model building, performance evaluation, and implementation.
* Explore rich data assets to uncover trends, identify key risk drivers, and generate insights.
* Manage full modeling lifecycle: model design, data preparation and exploration, feature engineering, model development, evaluation, deployment, monitoring and documentation.
* Design experiments and challenger models to test new ideas and drive innovation.
* Help monitor model performance, including model stability, drift detection, and performance diagnostics.
* Contribute to audit\-ready documentation and support model validation and governance processes.
* Leverage modern AI technology and tools to improve workflow, enhance modeling performance, establish and promote best practices.
* Work cross\-functionally to ensure models are explainable, transparent, and aligned with business goals and regulatory expectations.
* Translate analytical findings into recommendations for Strategy, Pricing, and other business decisions.
**Requirements**
* A Master’s or PhD degree in a quantitative field (Statistics, Mathematics, Computer Science, Economics, Data Science, Engineering, etc.).
* 1\+ years of experience developing predictive models or performing advanced analytics.
* Strong understanding of statistical modeling and machine learning fundamentals.
* Proficiency in Python (e.g., pandas, numpy, scikit\-learn) and SQL.
* Experience working with large datasets.
* Ability to clearly communicate analytical findings to both technical and non\-technical audiences.
* Demonstrated ownership, curiosity, and ability to deliver high\-quality results.
**Nice to Have**
* Experience in credit risk, lending and financial services.
* Exposure to cloud environments and modern data tooling.
* Familiarity with model monitoring, validation, and model governance concepts.
* Interest in using AI tools (e.g., ChatGPT, Claude, Gemini) to accelerate modeling and analysis.
 $125,000 \- $145,000 a year
 This position is also eligible for an annual incentive bonus based on individual and company performance. Yearly incentive bonus target 20% of base salary.
**Employee Benefits**
 Best Egg offers many additional benefits for our employees, including (but not limited to):
* Pre\-tax and post\-tax retirement savings plans with a competitive company matching
 program
* Generous paid time\-off plans including vacation, personal/sick time, paid short\-\-
 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
 In compliance with the CCPA, Best Egg is fully committed to handling the personal information and data of employees and job applications responsibly with respect and due care. Review our CCPA Employee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li-4315026637</t>
        </is>
      </c>
      <c r="B64" t="inlineStr">
        <is>
          <t>AI Data Scientist</t>
        </is>
      </c>
      <c r="C64" t="inlineStr">
        <is>
          <t>The Kraft Group &amp; Affiliates</t>
        </is>
      </c>
      <c r="D64" t="inlineStr">
        <is>
          <t>linkedin</t>
        </is>
      </c>
      <c r="E64" t="inlineStr"/>
      <c r="F64" t="inlineStr"/>
      <c r="G64" t="inlineStr">
        <is>
          <t>Foxborough (Foxboro), MA</t>
        </is>
      </c>
      <c r="H64" t="inlineStr"/>
      <c r="I64" t="inlineStr">
        <is>
          <t>**Summary**
 The AI Data Scientist will use their expertise in machine learning, data analysis, and AI technologies to solve complex problems and extract insights from large datasets, to build AI\-drive models that drive data informed decision making to enhance business operations. Additionally, the Data Scientist will participate in consulting projects focused on delivering insights to customers that leverage advanced analytics and data science capabilities, in support of transformation across The Kraft Group including industries such as manufacturing and sports and entertainment.
**Duties And Responsibilities**
* Design, develop and deploy machine learning models and algorithms for predictive analytics, recommendation systems, and other AI applications.
* Analyze large and complex datasets to generate actionable insights for TKG various business units and functions.
* Collaborate with stakeholders to define business challenges and translate them into data science solutions.
* Build and maintain data pipelines, ensuring data integrity and accessibility for analysis.
* Utilize statistical methods and predictive modeling techniques to forecast trends and improve decision\-making.
* Design and implement A/B testing frameworks to evaluate business strategies and product enhancements.
* Work with IT and data engineering teams to optimize data storage, processing, and analytics infrastructure.
* Stay up\-to\-date with the latest advancements in AI, machine learning, and big data technologies to drive innovation at The Kraft Group.
* Ensure compliance with data governance, security, and privacy regulations.
* Perform data cleaning, preprocessing, feature engineering and exploratory data analysis to prepare data for modeling.
* Continuously improve model performance through testing, evaluation, and fine\-tuning of algorithms.
* Collaborate with business analysts, developers, and business stakeholders to understand requirements and deliver AI solutions that meet business objectives.
* Special projects and assignments as business dictates
* Responsible for the maintenance, creation and control of all personally identifiable information or any other information protected by any Confidentiality or Privacy Standards or Company Policies that you have access or knowledge of, including but not limited to any state or federal regulations including HIPAA
**Supervisory Responsibilities**
* This position has no supervisory responsibilities
**Skills And Qualifications**
* Bachelors Degree in Statistics, Economics, Mathematics, Computer Science, or quantitative discipline (Masters Degree is a plus)
* 4 to 6 years of experience in data science, machine learning, developing and testing advanced analytical models and ML models
* Experience in data mining with the ability to translate raw data into insights and recommendations
* Strong understanding of statistical analysis, predictive modeling, and data visualization.
* Interest in learning and applying statistical methodologies, techniques and processes to continuously deepen knowledge of advanced statistical analysis and modeling
* Ability to process, analyze and present complex data sets and analyses in ways that are easy to understand for both technical and non\-technical audiences
* Demonstrable experience with common data science toolkits, such as Python, R, NumPy, TensorFlow, Pandas, scikit\-learn, etc.
* Experience working with cloud platforms (AWS, Azure, or GCP) and big data technologies (Hadoop, Spark, Snowflake).
* Knowledge of data engineering principles, including ETL processes and database management.
* Expertise in natural language processing (NLP) and /or computer vision applications ia a plus.
* Understanding of MLOps practices and model deployment techniques.
* Strong problem\-solving skills with the ability to handle large\-scale, unstructured datasets.
* Ability to work collaboratively within a diverse team and serve a variety of stakeholders with different priorities
* Must have attention to detail and focused concentration
* Must be able to learn new tasks and complete tasks independently
* Must be able to make timely decisions in the context of the workflow
* Must possess strong organizational skills, ability to multi\-task and responsiveness
**PHYSICAL DEMANDS**
* Sitting for extended periods of time
* Dexterity of hands and fingers to operate a computer keyboard, mouse, and other computing equipment
* The employee frequently is required to talk or hear
* The employee is occasionally required to reach with hands and arms
* Specific vision abilities required by this job include close vision, distance vision, color vision, peripheral vision, depth perception, and ability to adjust focus
* Reasonable accommodations may be made to enable individuals with disabilities to perform the essential functions.
**WORK ENVIRONMENT**
* Fast\-paced office environment
* The noise level in the work environment is usually moderate.
* On\-call rotation and participation in special event coverage is required.
**CERTIFICATES, LICENSES, REGISTRATIONS**
* None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*This company is an equal opportunity employer. We evaluate qualified applicants without regard to race, color, religion, sex, sexual orientation, gender identity, national origin, disability, veteran status, and other legally protected characteristics.*</t>
        </is>
      </c>
    </row>
    <row r="65">
      <c r="A65" t="inlineStr">
        <is>
          <t>li-4358964553</t>
        </is>
      </c>
      <c r="B65" t="inlineStr">
        <is>
          <t>Data Scientist</t>
        </is>
      </c>
      <c r="C65" t="inlineStr">
        <is>
          <t>Hirenza</t>
        </is>
      </c>
      <c r="D65" t="inlineStr">
        <is>
          <t>linkedin</t>
        </is>
      </c>
      <c r="E65" t="inlineStr"/>
      <c r="F65" t="inlineStr"/>
      <c r="G65" t="inlineStr"/>
      <c r="H65" t="inlineStr"/>
      <c r="I65" t="inlineStr">
        <is>
          <t>**About The Company**
 Xperttech is a leading technology solutions provider dedicated to driving innovation and operational excellence across various industries. With a focus on leveraging cutting\-edge AI and machine learning technologies, Xperttech empowers organizations to optimize their processes, enhance product quality, and achieve sustainable growth. Our team of experts is committed to delivering tailored solutions that address complex business challenges, fostering a culture of continuous improvement and technological advancement.
**About The Role**
 We are seeking an experienced AI / Machine Learning Engineer to join our dynamic team at Xperttech. In this pivotal role, you will spearhead data\-driven transformation initiatives within manufacturing operations, collaborating closely with cross\-functional teams including manufacturing, operations, and business units. Your primary responsibility will be to identify high\-impact AI and ML use cases and develop comprehensive end\-to\-end solutions that enhance quality, operational efficiency, and decision\-making. This position offers an exciting opportunity to work with large\-scale manufacturing datasets, applying advanced analytics and machine learning techniques to solve real\-world industrial problems.
**Qualifications**
 The ideal candidate will possess a minimum of three years of hands\-on experience in AI, machine learning, or data science, with a strong preference for candidates who have worked within manufacturing, industrial, or operations\-focused environments. Proficiency in Python and related ML libraries such as scikit\-learn, TensorFlow, and PyTorch is essential. Candidates should have solid SQL skills for data extraction and transformation, along with experience using data visualization tools like Power BI or Tableau. A foundational understanding of MLOps principles, including model deployment and lifecycle management, is desirable. Familiarity with manufacturing data sources such as MES, ERP, and IoT systems, as well as cloud platforms like AWS, Azure, or Google Cloud, will be advantageous. Strong analytical, problem\-solving, and communication skills are critical for success in this role.
**Responsibilities**
 Identify \&amp; Groom AI/ML Use Cases: Collaborate with manufacturing, operations, and business stakeholders to pinpoint opportunities where AI and machine learning can address operational challenges, improve efficiency, and generate measurable value. Define project scope, objectives, success metrics, and develop strategic plans for implementation.
 End\-to\-End Machine Learning Delivery: Lead initiatives from conception through deployment, including data collection, cleaning, feature engineering, model development, validation, and deployment. Ensure continuous monitoring and maintenance of models in production environments to sustain performance and relevance.
 Programming \&amp; Data Engineering: Write clean, scalable, and efficient code primarily in Python. Develop data pipelines, automate analytical workflows, and support ML model training and deployment processes. Use SQL extensively for data extraction, transformation, and analysis to facilitate robust data management.
 Data Analysis \&amp; Modeling: Analyze large, complex manufacturing datasets obtained from systems such as MES, ERP, and IoT sensors. Detect patterns, engineer relevant features, and develop predictive or prescriptive models targeting quality improvement, predictive maintenance, and process optimization.
 Insight Communication \&amp; Stakeholder Engagement: Translate complex technical findings into clear, actionable insights and recommendations. Effectively communicate with non\-technical stakeholders, enabling data\-driven decision\-making and fostering a culture of analytical thinking across the organization.
**Benefits**
 Xperttech offers a comprehensive benefits package designed to support our employees' well\-being and professional growth. Employees enjoy competitive compensation, health insurance coverage, and retirement plan options. We promote a flexible work environment that encourages work\-life balance, along with opportunities for continuous learning and development. Our culture emphasizes innovation, collaboration, and recognition, providing a stimulating environment for career advancement. Additionally, employees have access to cutting\-edge tools and resources necessary to excel in their roles and contribute meaningfully to our mission of technological excellence.
 Equal Opportunity
 Xperttech is an equal opportunity employer committed to fostering an inclusive environment for all employees. We celebrate diversity and are dedicated to providing equal employment opportunities regardless of race, gender, age, religion, sexual orientation, disability, or any other characteristic protected by law. We believe that diverse teams drive innovation and success, and we are committed to creating a workplace where everyone feels valued and empowered to contribute their best.</t>
        </is>
      </c>
    </row>
    <row r="66">
      <c r="A66" t="inlineStr">
        <is>
          <t>li-4331220257</t>
        </is>
      </c>
      <c r="B66" t="inlineStr">
        <is>
          <t>Data Scientist</t>
        </is>
      </c>
      <c r="C66" t="inlineStr">
        <is>
          <t>Accion Labs</t>
        </is>
      </c>
      <c r="D66" t="inlineStr">
        <is>
          <t>linkedin</t>
        </is>
      </c>
      <c r="E66" t="inlineStr"/>
      <c r="F66" t="inlineStr"/>
      <c r="G66" t="inlineStr">
        <is>
          <t>Marietta, GA</t>
        </is>
      </c>
      <c r="H66" t="inlineStr"/>
      <c r="I66" t="inlineStr">
        <is>
          <t>The IT Data Senior Scientist will leverage advanced analytics, machine learning, and statistical methods to extract meaningful insights from complex datasets. In this role, they will develop and implement data models, conduct in\-depth analysis, and collaborate with cross\-functional teams to drive data\-driven decision\-making. They will work with large datasets to identify patterns, build predictive models, and provide actionable recommendations that support business strategies. This position offers the opportunity to work with cutting\-edge technologies and mission\-critical AI\-based business cases, and solve key challenges through data innovation.
**Must have skills:** 
 \-Machine Learning Model Development and Deployment
 \-Industrial Data Science and IoT/Time Series (Critical for working with sensor data from manufacturing sources (IoT/Industry 4\.0\)
 \-Computer Vision (CV): Specific experience with AI\-driven solutions like computer vision for automate product inspection and identifying defects, which requires technical familiarity with CV libraries like OpenCV and deep learning frameworks like TensorFlow/PyTorch.
 \-Working with "large datasets" and deploying cutting\-edge AI requires a scalable, cloud\-based infrastructure.
**Key Responsibilities** 
* Gather, preprocess, and clean data from various manufacturing sources (e.g., sensors, production systems) to ensure high\-quality, accurate datasets for analysis.
* Develop machine learning models to predict equipment failures, enabling proactive maintenance and minimizing downtime on the manufacturing floor.
* Implement AI\-driven solutions such as computer vision and statistical models to automate product inspection, identify defects, and maintain product quality.
* Analyze production processes to identify inefficiencies, bottlenecks, and opportunities for optimization, recommending data\-driven strategies to improve throughput and reduce costs.
* Use data analytics to optimize supply chain operations by forecasting demand, improving inventory management, and enhancing logistics to reduce lead times and costs.
* Build and refine predictive models to forecast production schedules, optimize resource allocation, and improve capacity planning based on historical data and trends.
* Design and deploy anomaly detection algorithms to monitor production systems, identifying unusual patterns or failures in real\-time to prevent costly errors.
* Work closely with production, engineering, and IT teams to understand business needs, develop solutions, and integrate data science tools into manufacturing workflows.
* Create dashboards, visualizations, and reports to effectively communicate insights and trends to stakeholders and support data\-driven decision\-making.
* Stay updated on emerging data science techniques and technologies, driving continuous improvements in manufacturing processes and introducing innovative solutions to enhance productivity.
**Required Education, Experience, and Skills** 
 Minimum Education Level: Bachelor's
 Specialized Degree: Software Engineering, Applied Computer Science, Statistics.
 Years of Experience: 5\-7 years
 Field of Expertise: Manufacturing, ioT, Industry 4\.0, Cybersecurity,
**Preferred Education, Experience, and Skills** 
 Minimum Education Level: Master's
 Certificates: GCP, AW, S, or Azure certified
 Years of Experience: 8\-11 years
 Preferred Field of Expertise: Manufacturing in Wire \&amp; Cable</t>
        </is>
      </c>
    </row>
    <row r="67">
      <c r="A67" t="inlineStr">
        <is>
          <t>li-4358903735</t>
        </is>
      </c>
      <c r="B67" t="inlineStr">
        <is>
          <t>Data Scientist</t>
        </is>
      </c>
      <c r="C67" t="inlineStr">
        <is>
          <t>IDR, Inc.</t>
        </is>
      </c>
      <c r="D67" t="inlineStr">
        <is>
          <t>linkedin</t>
        </is>
      </c>
      <c r="E67" t="inlineStr"/>
      <c r="F67" t="inlineStr"/>
      <c r="G67" t="inlineStr">
        <is>
          <t>Houston, TX</t>
        </is>
      </c>
      <c r="H67" t="inlineStr"/>
      <c r="I67" t="inlineStr">
        <is>
          <t>IDR is seeking a
 **Data Scientist** 
 to join one of our top clients for an opportunity in Houston, TX. This role supports a leading organization in the energy sector by leveraging advanced analytics and data modeling to drive strategic decision\-making and improve operational efficiency.
**Position Overview for the Data Scientist:** 
* Use a combination of technical and business skills to help achieve financial and strategic objectives.
* Perform hands\-on analytics and modeling using Python, PySpark, and Databricks.
* Develop models and dashboards to provide actionable insights.
* Collaborate with business partners to identify opportunities for increased profitability.
* Learn the role through practical experience in data analysis, modeling, and stakeholder engagement.
**Requirements for the Data Scientist:** 
* 2\+ years of experience in data analysis or related field.
* Master’s degree in a quantitative discipline or equivalent practical experience.
* Experience with statistical software and database languages.
* Proficiency in Python packages such as PySpark, NumPy, pandas, scikit\-learn, XGBoost, Matplotlib, and lifelines.
* Ability to collaborate effectively across functions with strong communication skills.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68">
      <c r="A68" t="inlineStr">
        <is>
          <t>li-4330993508</t>
        </is>
      </c>
      <c r="B68" t="inlineStr">
        <is>
          <t>Data Scientist</t>
        </is>
      </c>
      <c r="C68" t="inlineStr">
        <is>
          <t>Insight Global</t>
        </is>
      </c>
      <c r="D68" t="inlineStr">
        <is>
          <t>linkedin</t>
        </is>
      </c>
      <c r="E68" t="inlineStr"/>
      <c r="F68" t="inlineStr"/>
      <c r="G68" t="inlineStr"/>
      <c r="H68" t="inlineStr"/>
      <c r="I68" t="inlineStr">
        <is>
          <t>**Job Description: Data Scientist \- Santa Clara CA (Full\-Time Employment)** 
 We are seeking a talented and motivated Data Scientist to join our Machine Learning team. In this role, you will contribute to a wide range of data\-driven projects, from exploratory data analysis to building and deploying machine learning models for a variety of Security and Networking use\-cases. You will work closely with cross\-functional teams to uncover insights, solve complex problems, and drive data\-informed decision\-making.
**SKILLS AND EXPERIENCE** 
* Master’s degree in computer science/engineering.
* 4\+ years of experience in data science or a related field.
* Strong proficiency in Python programming language.
* Experience with data analysis and visualization tools (e.g., \-Pandas/Polars, NumPy, Matplotlib, Seaborn).
* Knowledge of machine learning algorithms and techniques.
* Familiarity with deep learning frameworks (e.g., TensorFlow, PyTorch).
* Experience with natural language processing (NLP) and large language models (LLMs) is a plus.
**NICE TO HAVE (NOT REQUIRED)** 
* Experience with Go/Rust programming language. Experience working with threat modeling and detection, anomaly detection or related fields is a bonus.
* Distributed training frameworks such as RAPIDS, Dask, Ray is preferable.
* Knowledge of cloud platforms (e.g., AWS, GCP, Azure).
* Experience with data version control and MLOps frameworks such as MLFlow/ClearML. Familiarity with cloud\-native DevOps such Docker, K8s, Helm, Terraform.
 The pay range for this position at commencement of employment in California is expected in the range of $200,000 \- $250,000\. A candidate’s specific pay within this range will depend on a variety of factors, including job\-related skills, training, location, experience, relevant education, certifications, and other business and organizational needs.</t>
        </is>
      </c>
    </row>
    <row r="69">
      <c r="A69" t="inlineStr">
        <is>
          <t>li-4331500429</t>
        </is>
      </c>
      <c r="B69" t="inlineStr">
        <is>
          <t>Data Scientist</t>
        </is>
      </c>
      <c r="C69" t="inlineStr">
        <is>
          <t>RemoteHunter</t>
        </is>
      </c>
      <c r="D69" t="inlineStr">
        <is>
          <t>linkedin</t>
        </is>
      </c>
      <c r="E69" t="inlineStr"/>
      <c r="F69" t="inlineStr"/>
      <c r="G69" t="inlineStr"/>
      <c r="H69" t="inlineStr"/>
      <c r="I69"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0">
      <c r="A70" t="inlineStr">
        <is>
          <t>li-4359354505</t>
        </is>
      </c>
      <c r="B70" t="inlineStr">
        <is>
          <t>Data Scientist</t>
        </is>
      </c>
      <c r="C70" t="inlineStr">
        <is>
          <t>Best Job Tool</t>
        </is>
      </c>
      <c r="D70" t="inlineStr">
        <is>
          <t>linkedin</t>
        </is>
      </c>
      <c r="E70" t="inlineStr"/>
      <c r="F70" t="inlineStr"/>
      <c r="G70" t="inlineStr"/>
      <c r="H70" t="inlineStr"/>
      <c r="I70" t="inlineStr">
        <is>
          <t>**About The Company**
 Bowhead / UIC Technical Services is a leading provider of innovative solutions and technical expertise to support critical government and defense projects. With a strong commitment to excellence, Bowhead specializes in delivering advanced technological services, engineering, and scientific research to enhance national security and operational effectiveness. Our dedicated team works closely with government agencies, including the Department of Defense, to develop cutting\-edge solutions that meet complex challenges in a dynamic environment.
**About The Role**
 We are seeking a highly skilled Data Scientist to join our team supporting the Naval Surface Warfare Center Dahlgren Division (NSWCDD), E Department. This position is integral to advancing our data analytics capabilities, focusing on trend analysis, predictive modeling, and machine learning to extract meaningful insights from complex datasets. The successful candidate will work onsite at either the Bowhead office or a Navy installation, collaborating closely with stakeholders to develop innovative data\-driven solutions that enhance decision\-making processes. The role involves designing and implementing software components, building testing tools, and communicating insights effectively across technical and non\-technical audiences to support national security objectives.
**Qualifications**
* Bachelor’s Degree in Physics, Data Science, Computer Science, or a related field, or equivalent professional experience.
* Minimum of 5\-8 years of experience in data analysis, modeling, and software development within a relevant domain.
* Strong analytical skills related to database management, development, and data warehousing.
* Proficiency in relational database management systems and SQL query writing and analysis.
* Experience in creating reports and dashboards for data visualization and decision support.
* Preferred experience with Virtual Machines, Artificial Intelligence, and coding/software development.
* Solid understanding of mathematical reasoning, statistical techniques, and predictive modeling.
* Excellent communication skills, both oral and written, for engaging with technical teams and senior government clients.
* Intermediate to advanced proficiency in Microsoft Office Suite – Word, Excel, PowerPoint, Outlook.
* Ability to maintain a security clearance at the Secret level; US citizenship is required.
* Physical ability to lift up to 25 pounds, stand and walk for extended periods, and perform periodic twisting, bending, and squatting.
**Responsibilities**
* Apply advanced mathematics, statistics, and machine learning techniques to analyze large, complex datasets, including numbers, symbols, text, sound, and images, to discover meaningful patterns and insights.
* Plan, design, develop, modify, verify, and document software components that deliver value to stakeholders, ensuring functionality and reliability.
* Create and refine tools for data testing, validation, and quality assurance to support robust analysis processes.
* Analyze high\-volume, high\-velocity data streams to develop real\-time, predictive insights that inform strategic decision\-making and operational automation.
* Develop models that forecast trends and behaviors, providing forward\-looking insights to enhance mission effectiveness.
* Present complex data findings and insights in clear, engaging formats suitable for diverse audiences, including technical teams and senior leadership.
* Identify, validate, and leverage both internal and external data sources generated from various processes to enrich analysis and support decision\-making.
* Manage data and information in all its forms, including logical analysis of taxonomies, data structures, and metadata, to optimize data utility and accessibility.
* Collaborate with cross\-functional teams to gather requirements, validate findings, and implement solutions aligned with project goals.
* Perform other duties as assigned to support project success and organizational objectives.
**Benefits**
* At Bowhead / UIC Technical Services, we offer a comprehensive benefits package designed to support our employees' well\-being and professional growth. Benefits include competitive health, dental, and vision insurance, retirement plans, paid time off, and opportunities for continuous learning and development. We foster a collaborative and inclusive work environment that values innovation, integrity, and excellence. Employees also have access to flexible work arrangements where applicable, and resources to support work\-life balance. Our commitment is to provide a rewarding career experience with opportunities for advancement in a dynamic and impactful field.
 Equal Opportunity
* Bowhead / UIC Technical Services is an equal opportunity employer. We are committed to fostering a diverse and inclusive workplace where all employees are valued and respected. We do not discriminate based on race, color, religion, sex, national origin, age, disability, veteran status, or any other protected characteristic. We promote equal employment opportunities and strive to create an environment that encourages diversity, equity, and inclusion at all levels of our organization.</t>
        </is>
      </c>
    </row>
    <row r="71">
      <c r="A71" t="inlineStr">
        <is>
          <t>li-4359334718</t>
        </is>
      </c>
      <c r="B71" t="inlineStr">
        <is>
          <t>Lead Data Scientist</t>
        </is>
      </c>
      <c r="C71" t="inlineStr">
        <is>
          <t>Bread</t>
        </is>
      </c>
      <c r="D71" t="inlineStr">
        <is>
          <t>linkedin</t>
        </is>
      </c>
      <c r="E71" t="inlineStr"/>
      <c r="F71" t="inlineStr"/>
      <c r="G71" t="inlineStr">
        <is>
          <t>Indiana, United States</t>
        </is>
      </c>
      <c r="H71" t="inlineStr"/>
      <c r="I71" t="inlineStr">
        <is>
          <t>**Job Description**
****Every career journey is personal. That's why we empower you with the tools and support to create your own success story.****
**Be challenged. Be heard. Be valued. Be you ... be here.**
**Job Summary**
 The Data Scientist role at Bread Financial is responsible for generating data\-driven insights to support enterprise data science needs within the organization. The Lead Data Scientist is pivotal in generating insights and supporting the enterprise's data science needs, as well as enhancing the team's industry competence through research in Artificial Intelligence (AI).
 The Data Science team, through this role, supports Marketing by developing predictive and prescriptive models that optimize campaign performance, enable targeted and personalized marketing, and provide actionable insights for acquisition, engagement, and retention strategies. They leverage advanced analytics, AI/ML tools, and secure data\-sharing environments to enhance decision\-making and drive measurable business outcomes.
**Essential Job Functions**
* Lead the design, build, deployment, and periodic maintenance of AI solutions. \- (30%)
* Build strong relationships with internal business partners to drive the delivery of enterprise solutions. \- (20%)
* Establishing and executing the framework for engaging enterprise partners to plan new AI solutions. \- (15%)
* Assisting with documentation, compliance, model governance, and maintenance of AI solutions. \- (15%)
* Research advanced modeling and AI techniques to improve predictive modeling and maintain business acumen in relevant industries. \- (10%)
* Training and mentoring to junior Data Scientists. Lead projects as needed or required \- (10%)
**Minimum Qualifications**
* Bachelor’s Degree in Statistics, Mathematics, Engineering, Data Science, Computer Science, or Economics
* 8\+ years experience in building sophisticated models using machine learning, segmentation, time series, and other advanced analytics methodologies.
**Preferred Qualifications**
* Master’s Degree or PhD in Statistics, Mathematics, Computer Science, Data Science, Engineering, Economics, or other quantitative fields
* Advanced machine learning modeling and/or technical expertise in developing market differentiation data science products.
* Experience in bank card/credit card business, consulting, retail, marketing, loyalty, and/or financial services.
**Skills**
* Data Manipulation
* Machine Learning
* Python (Programming Language)
* R Statistics
* Statistical Analysis
* Statistics
* Time Series Analysis
* Cloud Environment
* Agentic AI
* GenAI
* Presentation to Small and Large Groups
* Financial Analysis
* Choice\-Based Conjoint Design and survey techniques
**Reports To** 
 : Senior Manager and above
**Direct Reports** 
 : 0
**Work Environment**
* Normal office environment. (Remote or Hybrid), 3 to 4 days per month are required in office if within 60 miles of a posted Bread Financial location.
**Travel**
* Ability to travel up to 5% annually
**Physical And Mental Requirements**
 To perform this job successfully, an individual must be able to perform each essential job function satisfactorily and meet the physical, mental and work environment requirements. Reasonable accommodations may be made to enable qualified individuals with disabilities to perform essential job functions, absent undue hardship.
* Communicate/Hearing
* Communicate/Talking
* Stationary Position/Seated
* Typing/Writing
* Focus and complete tasks in situations that have a speed or productivity metric
* Maintain focus in high pressure or fast\-paced work environment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**Salary Range (unless Otherwise Noted Below)**
 $120,500\.00 \- $218,300\.00
**Full Salary Range For Position**
 California: $138,600\.00 \- $272,900\.00
 Colorado: $120,500\.00 \- $229,200\.00
 New York: $132,500\.00 \- $272,900\.00
 Washington: $126,500\.00 \- $251,100\.00
 Maryland: $126,500\.00 \- $240,200\.00
 Washington DC: $138,600\.00 \- $251,100\.00
 Illinois: $120,500\.00 \- $240,200\.00
 New Jersey: $138,600\.00 \- $251,100\.00
 Vermont: $120,500\.00 \- $218,300\.00
 Ohio: $120,500\.00 \- $218,300\.00
*The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that provides simple, personalized payment, lending and saving solutions to millions of U.S. consumers. Our payment solutions, including Bread Financial general purpose credit cards and savings products, empower our customers and their passions for a better life. Additionally, we deliver growth for some of the most recognized brands in travel \&amp; entertainment, health \&amp; beauty, jewelry and specialty apparel through our private label and co\-brand credit cards and pay\-over\-time products providing choice and value to our shared customers.
 Bread Financial proudly marks 30 years of success in 2026\. To learn more about our global associates, our performance and our sustainability progress, visit breadfinancial.com or follow us on Instagram and LinkedIn.
*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Data and Analytics
**Job Type**
 Regular</t>
        </is>
      </c>
    </row>
    <row r="72">
      <c r="A72" t="inlineStr">
        <is>
          <t>li-4358934699</t>
        </is>
      </c>
      <c r="B72" t="inlineStr">
        <is>
          <t>Senior Data Scientist</t>
        </is>
      </c>
      <c r="C72" t="inlineStr">
        <is>
          <t>Xsolis</t>
        </is>
      </c>
      <c r="D72" t="inlineStr">
        <is>
          <t>linkedin</t>
        </is>
      </c>
      <c r="E72" t="inlineStr"/>
      <c r="F72" t="inlineStr"/>
      <c r="G72" t="inlineStr"/>
      <c r="H72" t="inlineStr"/>
      <c r="I72" t="inlineStr">
        <is>
          <t>**Brief Description**
 The Senior Data Scientist at XSOLIS is responsible for developing, evaluating, and deploying scalable machine learning and AI solutions using large\-scale healthcare data. This role blends traditional machine learning, data quality and risk modeling, and modern Generative AI techniques to support real\-time clinical and operational decision\-making.
 The Senior Data Scientist works on moderately complex initiatives, collaborates closely with product and engineering teams, and contributes to responsible, high\-quality, and production\-ready AI systems.
**Requirements**
**Essential Duties \&amp; Responsibilities**
 The essential functions include, but are not limited to the following:
* 
+ Develop and deploy traditional machine learning models, including bias modeling, risk mitigation, and predictive analytics
+ Build scalable ML models and end\-to\-end ML pipelines suitable for production environments
+ Perform advanced data quality assessments, validation checks, and feature identification and analysis
+ Evaluate bias in training data and recommend mitigation strategies aligned with responsible AI practices
+ Design and implement intermediate models for risk scoring and predictive insights
+ Apply Generative AI techniques, including prompt engineering, retrieval\-augmented generation (RAG), and deployment of GenAI models
+ Utilize and contribute to LLM evaluation frameworks to assess performance, accuracy, and reliability
+ Collaborate closely with Product, Engineering, and Business teams to identify, refine, and deliver high\-impact AI use cases
+ Prepare trained models for production, including documentation, testing, and environment replication
+ Monitor model performance and participate in ongoing model optimization and observability efforts
+ Communicate complex analyses and results to technical and non\-technical stakeholders
+ Maintain thorough documentation and participate in continuous learning and knowledge sharing across the Data Science team
**Education**
**Minimum Qualifications (Knowledge, Skills, and Abilities)**
* Bachelor’s degree in Statistics, Mathematics, Computer Science, Economics, or similar quantitative field; Master’s degree preferred
**Experience** 
* 
+ Strong analytical thinking and problem\-solving skills
+ Ability to collaborate cross\-functionally with product\-focused teams
+ Clear written and verbal communication skills
+ Commitment to ethical, responsible, and high\-quality AI development
+ Big data querying experience using major cloud providers
+ Data processing, cleaning, feature extraction, and exploratory data analysis
+ Strong experience with machine learning and deep learning techniques and algorithms
+ Generative AI experience, including:
- Prompt engineering and prompt optimization
- RAG vs. non\-RAG architectures
- LLM evaluation methodologies
+ Experience with AI agents, agentic AI systems, and multi\-agent orchestration
+ Model training, containerization, deployment, and performance monitoring
+ Automation, observability, and lifecycle management of ML pipelines (MLDC / MLOps)
+ Proficiency in Python and common ML libraries (e.g., scikit\-learn, PyTorch, TensorFlow)
+ Experience working with relational databases and large\-scale structured and unstructured datasets
**Supervisory Responsibilities**
 This role does not have any direct reports and is a single contributor role.
**Working Environment And Travel Requirements**
 Work is typically in a normal office administrative environment involving minimal exposure to physical risks. Position requires little to moderate physical activity. Mostly sedentary work exerting up to 10 pounds of force occasionally or a negligible amount of force to lift, carry, push, pull, or otherwise move objects. Work involves sitting most of the time, but may involve walking or standing for brief periods of time. No significant stooping is usually required.
**Summary**
**About Us**
 Xsolis is an AI\-driven technology company with a human\-centered approach, fostering collaboration between healthcare providers and payers through real\-time transparency, objective data for increased accuracy and alignment of medical necessity decisions, and more efficient outcomes. Dragonfly®, its AI\-driven proprietary platform, is the first and only solution to use real\-time predictive analytics to continuously assign an objective medical necessity score and assess the anticipated level of care for every patient, enabling more efficiency across the healthcare system. Xsolis is headquartered in Franklin, Tennessee.
**Our Values**
* Team First
* Client Passionate
* Always Curious
* Deliver Excellence
 Xsolis has been ranked on the Inc. 5000 and Deloitte Technology Fast 500 lists in both 2022 and 2023 as a fastest\-growing private company, and was named 2022 Best in Business among private companies by the Nashville Business Journal. Xsolis executives have been featured in Becker's Hospital Review, Becker's Payer Issues, Chief Healthcare Executive, CIO Review, Managed Healthcare Executive, Medical Economics, HIT Consultant, Healthcare IT Today, among other leading publications.
 For more information, visit www.xsolis.com.
**Where We’ll Go Together**
 Our company will become the new standard for utilization management. You’ll be a core part of realizing that goal and a valued contributor to the culture and climate we wish to create. Our wins are your wins, and we’re dedicated to making you feel your work matters (it truly does).
 If any of this speaks to you, let’s get in touch.
**Candidates must successfully pass a background check and drug screen prior to beginning employment with XSOLIS.**
**XSOLIS is an equal opportunity employer that is committed to hiring based upon merit, skills, experience, and qualifications. We recognize the importance of an inclusive and diverse workforce that celebrates all individuals from all walks of life. We encourage everyone to apply regardless of gender identity, race, veteran status, age, sexual orientation, or any other protected class.**
**All employees of XSOLIS fall under the same security role, which includes access to sensitive information, including proprietary data and PHI.**
 All official communications from our recruitment team come from emails ending in @xsolis.com or @echo.newtonsoftware.com. Job offers are only extended after a formal interview process, and any offer will come through official channels. You can verify postings on our official careers page: https://www.xsolis.com/about/careers.</t>
        </is>
      </c>
    </row>
    <row r="73">
      <c r="A73" t="inlineStr">
        <is>
          <t>li-4351994970</t>
        </is>
      </c>
      <c r="B73" t="inlineStr">
        <is>
          <t>Data Scientist - Mobile Growth</t>
        </is>
      </c>
      <c r="C73" t="inlineStr">
        <is>
          <t>Electronic Arts (EA)</t>
        </is>
      </c>
      <c r="D73" t="inlineStr">
        <is>
          <t>linkedin</t>
        </is>
      </c>
      <c r="E73" t="inlineStr"/>
      <c r="F73" t="inlineStr"/>
      <c r="G73" t="inlineStr">
        <is>
          <t>Orlando, FL</t>
        </is>
      </c>
      <c r="H73" t="inlineStr"/>
      <c r="I73"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74">
      <c r="A74" t="inlineStr">
        <is>
          <t>li-4330924606</t>
        </is>
      </c>
      <c r="B74" t="inlineStr">
        <is>
          <t>Senior Data Scientist</t>
        </is>
      </c>
      <c r="C74" t="inlineStr">
        <is>
          <t>John Deere</t>
        </is>
      </c>
      <c r="D74" t="inlineStr">
        <is>
          <t>linkedin</t>
        </is>
      </c>
      <c r="E74" t="inlineStr"/>
      <c r="F74" t="inlineStr"/>
      <c r="G74" t="inlineStr">
        <is>
          <t>Illinois, United States</t>
        </is>
      </c>
      <c r="H74" t="inlineStr"/>
      <c r="I74"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**Function:** 
 Data and Analytics (CA)
**Title:** 
 Senior Data Scientist \- 117391*
***Onsite/Remote:** 
 Remote Position*
*This position is eligible for remote work at the present time. The arrangement may be delayed for training or other job acclimation purposes and remains subject to change.*
 Your Responsibilities
 As a
 **Senior Data Scientist** 
 for
 **SaaS Advanced Analytics** 
 you will focus on the SaaS customer, working cross\-functionally to develop insights and predictive models.
 The position is open to remote work arrangements, per hiring manager discretion, the ideal candidate can be located in
 **Johnston, IA** 
 ,
 **Moline, IL** 
 ,
 **Chicago, IL** 
 , or
 **Austin, TX** 
 . This is subject to change in the future dependent on enterprise requirements and individual performance in a remote work setting. All candidates should expect to have working hours overlap a minimum of 6hrs per day with US CST hours of 8AM \- 4PM with occasional flex to work more closely with counterparts and stakeholders.
**Responsibilities**
 The SaaS Advanced Analytics team is a fast\-paced, highly innovative analytics team. Responsible for the data, insights, and analytics to support SaaS, the team is a driving force in assuring that John Deere can win with a new business model. The team currently has an opening for a Data Scientist position who will primarily focus on SaaS Customer Insights and Predictive Modeling efforts and share responsibility for:
* Working with data sets and performing appropriate analytical methodology. Provide insights and decision modeling to support customer centric strategies and risk evaluations in line with overall SaaS strategy and goals including those focused on actions and incentives.
* Apply analytical techniques to dive deep into the SaaS customer journey including cohort and segment analyses as well as customer state views.
* Create and implement algorithms which manage the data to enable it to be analyzed in an efficient and reproducible manner.
* Support the identification of the required data sources and work with Data Engineers and/or IT teams to implement methodologies to retrieve and use this data.
**VISA Sponsorship is NOT available for this position**
**What Skills You Need**
* 4 or more years \- Familiarity with programming for data analysis; coding proficiency (Python/PySpark preferred) demonstrating strong technical acumen.
* 4 or more years \- Robust analytical and problem\-solving abilities; application of a variety of data science techniques, both computational and statistically based, including but not limited to machine learning, deep learning, regression, and classification.
* 4 or more years \- Ability to break down and understand complex business problems, define a solution and implement it using advanced quantitative methods.
* 2 or more years \- Basic knowledge of software development principles and architecture.
* 2 or more years \- Knowledge of and experience working with Cloud technologies such as AWS, Databricks, and Spark.
* Ability to identify and retrieve structured and unstructured data from new, complex, or messy data sources.
* Team player with a strong sense of self\-motivation able to thrive as part of a distributed, highly diverse and primarily remote team that operates in a fast paced, innovative environment using AGILE principles.
* Strong communication skills, especially around analytical concepts and methods, necessary to enable working directly with end users and business stakeholders across departments and geographies to evaluate the needs of the business.
**What Makes You Stand Out**
* Proven experience as a Data Scientist in a customer\-related, e\-commerce, or recurring revenue area.
* Demonstrated ability to productionize analytical models.
* Demonstrated ability to thrive in a remote, virtual environment working inclusively across multiple time zones with highly diverse teams
* Great work ethic and intellectual curiosity.
* Experience with multiple statistical programming languages such as R, SAS, Python, SQL.
* Experience with ML/DevOps techniques like continuous integration, unit testing, monitoring models in production.
* Experience working with software version control platforms such as Github and working in a team environment with branches, pull request, merges etc.
* Strong documentation skills and adherence to coding best practices.
* Strong math skills (e.g., statistics, algebra)
* Analytical mind with strong business acumen and the ability to think strategically.
* Excellent communication and presentation skills.
**Education**
 Ideally you will have a degree or equivalent related work experience in the following:
* Bachelor’s degree or higher in a technical or analytics related discipline, or equivalent work experience in an analytics role demonstrating proficiency in the required skills.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$107,136\.00 \- $160,704\.00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75">
      <c r="A75" t="inlineStr">
        <is>
          <t>li-4351994344</t>
        </is>
      </c>
      <c r="B75" t="inlineStr">
        <is>
          <t>Lead Data Scientist - Computer Vision</t>
        </is>
      </c>
      <c r="C75" t="inlineStr">
        <is>
          <t>Galent</t>
        </is>
      </c>
      <c r="D75" t="inlineStr">
        <is>
          <t>linkedin</t>
        </is>
      </c>
      <c r="E75" t="inlineStr"/>
      <c r="F75" t="inlineStr"/>
      <c r="G75" t="inlineStr">
        <is>
          <t>Santa Clara, CA</t>
        </is>
      </c>
      <c r="H75" t="inlineStr"/>
      <c r="I75" t="inlineStr">
        <is>
          <t>**Job Summary:** 
* Solid knowledge of computer vision programs and image processing techniques: Filtering, Binary Morphology, Perspective/Affine Transformation, Edge Detection
* 7\+ years of experience as Data Scientist
* Strong understanding of machine learning: Regression, Supervised and Unsupervised Learning
* Proficiency in Python and libraries such as OpenCV, NumPy, scikit\-learn, TensorFlow/PyTorch.
* Familiarity with version control (Git) and collaborative development practices</t>
        </is>
      </c>
    </row>
    <row r="76">
      <c r="A76" t="inlineStr">
        <is>
          <t>li-4359315243</t>
        </is>
      </c>
      <c r="B76" t="inlineStr">
        <is>
          <t>HR Data Scientist (People Analytics)</t>
        </is>
      </c>
      <c r="C76" t="inlineStr">
        <is>
          <t>General Motors</t>
        </is>
      </c>
      <c r="D76" t="inlineStr">
        <is>
          <t>linkedin</t>
        </is>
      </c>
      <c r="E76" t="inlineStr"/>
      <c r="F76" t="inlineStr"/>
      <c r="G76" t="inlineStr"/>
      <c r="H76" t="inlineStr"/>
      <c r="I76" t="inlineStr">
        <is>
          <t>**Job Description**
**HR Data Scientist (People Analytics)**
**The Role**
 We’re looking for an HR
 **Data Scientist** 
 to join our People Analytics Center of Excellence. In this role, you’ll leverage your expertise in machine learning, AI, and HR data to design and deploy predictive models that inform strategic workforce decisions, from talent acquisition to retention and mobility. You’ll work hands\-on in Databricks, using scalable data science workflows to turn complex people data into actionable insights that shape how we attract, develop, and retain talent.
**What’s In It For You**
* You will lead the development of AI\-driven insights that directly influence talent and workforce strategy.
* You will work with cutting\-edge tools such as Databricks, Workday, and Azure to operationalize ML models in production.
* You will collaborate with a multidisciplinary team of data scientists, engineers, People Analytics Consultants, and HR partners.
* You will be part of a forward\-thinking People Analytics team that values innovation, transparency, and responsible AI.
* You will grow your impact at the intersection of data science and human behavior, shaping the future of work.
**Key Outcomes**
**You will deliver:**
* Production\-grade People Analytics projects such as attrition prediction, hiring funnel analytics, , and skills inference.
* A scalable, secure Workday\-integrated Databricks data model that supports advanced analytics and predictive modeling.
* Reliable ML and analytics models that deliver actionable insights across HR.
**Your Responsibilities**
**Model Development and Advanced Analytics**
* Design, develop, and deploy production\-ready ML and statistical models using Python (pandas, scikit\-learn, PySpark, GPBoost, XGBoost, among others) within Databricks and tracked through MLflow.
* Apply techniques such as classification, regression, NLP, clustering, and forecasting to address workforce challenges.
* Perform model evaluation, monitoring, and explainability to ensure responsible use of AI in HR contexts.
* Partner with data engineers to ensure reliable HR datasets across Workday and other systems.
**Insight Generation and Storytelling**
* Translate model outputs into clear, actionable insights for HR and business leaders.
* Collaborate with People Analytics teams to visualize and communicate findings effectively.
* Document methodologies and promote a culture of data transparency and continuous learning.
**Who You Are**
 You are an analytical storyteller who thrives at the intersection of data, technology, and people.
 You are passionate about uncovering insights that improve employee experience and business performance, and you are as comfortable building production\-grade ML pipelines as you are explaining results to executives.
**Qualifications**
**Required**
* 5\+ years in data engineering or analytics, with demonstrated delivery of data platforms or ML/AI solutions.
* Proficiency in SQL
* Proficiency in Python (pandas, scikit\-learn, PySpark, TensorFlow, XGBoost, GPBoost, among others) with experience managing experiments and deployments through MLflow
* Strong understanding of data privacy and ethical AI principles
**Preferred**
* Proficiency in Databricks
* Experience in People Analytics or HR technology environments.
* Strong understanding of HR data and employee lifecycle processes (recruiting, development, engagement, workforce planning).
* Degree in quantitative field (Mathematics, Statistics, Computer Science) or equivalent experience.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$106,600 \- $163,400\.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7">
      <c r="A77" t="inlineStr">
        <is>
          <t>li-4358934003</t>
        </is>
      </c>
      <c r="B77" t="inlineStr">
        <is>
          <t>Sr Data Scientist-Promo Analytics</t>
        </is>
      </c>
      <c r="C77" t="inlineStr">
        <is>
          <t>Milwaukee Tool</t>
        </is>
      </c>
      <c r="D77" t="inlineStr">
        <is>
          <t>linkedin</t>
        </is>
      </c>
      <c r="E77" t="inlineStr"/>
      <c r="F77" t="inlineStr"/>
      <c r="G77" t="inlineStr">
        <is>
          <t>Menomonee Falls, WI</t>
        </is>
      </c>
      <c r="H77" t="inlineStr"/>
      <c r="I77" t="inlineStr">
        <is>
          <t>**Job Description**
**Senior Data Scientist – Promo Analytics**
* Applicants must be authorized to work in the U.S.; Sponsorship is not available for this position.
**INNOVATE without boundaries!** 
 At Milwaukee Tool we firmly believe that our People and our Culture are the secrets to our success—so we give you unlimited access to everything you need to provide support to your business unit. Behind our doors you'll be empowered every day to own it, drive it, and do what it takes to support the biggest breakthroughs in the industry. Meanwhile, you'll have the support and resources of the fastest\-growing brand in the construction industry to make it happen.
**Your Role On Our Team**
 As a
 **Senior Data Scientist – Promo Analytics** 
 , you will deliver innovative analytics solutions that enable Milwaukee Tool to make fast, data\-driven decisions about promotional strategies. Working closely with business partners and the Promo Analytics pod, you will design, build, and support the core systems that power our promo analytics capabilities. You will develop scalable machine learning models and forecasting tools to optimize promotions, ensuring trusted and actionable insights across the organization. You’ll build deep expertise in our promotional data and drive advanced analytics initiatives. Success in this role requires curiosity, a passion for experimentation, and the ability to operate independently while effectively engaging with stakeholders to elevate our team and deliver value to our customers.
**You’ll be DISRUPTIVE through these duties and responsibilities:** 
* Design and build machine learning and forecasting models to optimize promotional strategies and deliver measurable business value.
* Develop, validate, and deploy advanced statistical and ML models for pricing, promotion, and revenue management.
* Translate business needs into actionable data science projects and deliverables within the promo analytics domain.
* Apply best practices in model development, experimentation, and continuous improvement to ensure analytics excellence.
* Analyze large, complex datasets using Databricks, Azure, and other modern data platforms to uncover actionable insights.
* Build and maintain analytics tools and templates to support team productivity and solution delivery.
* Conduct root cause analysis for promo analytics issues and contribute to long\-term remediation and reliability improvements.
* Collaborate with Data Engineers, Product Owners, Business Intelligence Engineers, and other technical team members in a pod structure.
* Work directly with marketing and sales teams to understand business challenges and deliver impactful analytics solutions.
* Perform other duties as assigned.
**The TOOLS You’ll Bring With You**
* Bachelor’s degree in Statistics, Mathematics, Computer Science, Data Science, or a related field, or equivalent experience.
* 5 or more years of experience in data science, advanced analytics, or a closely related technical field.
* Advanced proficiency in statistical modeling, machine learning, and analytics techniques.
* Proficiency in at least one programming language used for data science (Python preferred)
* Hands\-on experience building, validating, and deploying machine learning and forecasting models in production environments.
* Experience with cloud\-based data science platforms (Databricks, Azure Machine Learning, or similar).
* Demonstrated ability to develop and implement statistical and ML models for business impact, ideally in pricing, promotion, or revenue management.
* Knowledge of experimental design, A/B testing, and model evaluation best practices.
* Ability to work independently and collaboratively within cross\-functional teams.
* Strong problem\-solving, debugging, and analytical skills, especially in complex, multi\-system environments.
* Ability to thrive in agile, dynamic, and collaborative teams, and to communicate complex analytics clearly to technical and non\-technical audiences.
**Other TOOLS We Prefer You To Have**
* Experience with advanced machine learning techniques (e.g., time series forecasting, causal inference, uplift modeling, optimization, or reinforcement learning).
* Familiarity with promo, pricing, or revenue management analytics.
* Experience with Databricks, Azure Machine Learning, or similar cloud\-based data science platforms.
* Experience with experimentation frameworks (A/B testing, multivariate testing).
* Knowledge of data visualization tools (e.g., Power BI, Tableau, matplotlib, or similar).
* Experience working with large, complex datasets in a business context.
* Experience collaborating in Agile, cross\-functional teams.
* Strong communication skills for presenting complex analytics to technical and non\-technical audiences.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Frequently required to stand, walk, bend, stretch, reach, and effectively communicate with others in the workplace
* Sitting for prolonged periods of time
* Prolonged exposure to computer screens
* Repetitive use of hands and fingers to operate office equipment, machinery, hand tools and/or power tools
* Specific vision abilities required by this job include close vision, color vision, peripheral vision, depth perception, and ability to adjust focus
* May require to wear personal protective equipment which includes, but is not limited to, safety glasses, gloves, and hearing protection
* May work in laboratories and/or controlled, enclosed, restricted areas
* Noise levels range from moderate to loud
* Must be able to lift up to 50 pounds at a time
* May require travel dependent on company needs
**We provide these great perks and benefits:** 
* Robust health, dental and vision insurance plans
* Generous 401 (K) savings plan
* Education assistance
* On\-site wellness, fitness center, food, and coffee service
* And many more, check out our benefits site HERE.
*Milwaukee Tool is an equal opportunity employer.*</t>
        </is>
      </c>
    </row>
    <row r="78">
      <c r="A78" t="inlineStr">
        <is>
          <t>li-4351969565</t>
        </is>
      </c>
      <c r="B78" t="inlineStr">
        <is>
          <t>Applied Scientist, Special Projects</t>
        </is>
      </c>
      <c r="C78" t="inlineStr">
        <is>
          <t>myGwork - LGBTQ+ Business Community</t>
        </is>
      </c>
      <c r="D78" t="inlineStr">
        <is>
          <t>linkedin</t>
        </is>
      </c>
      <c r="E78" t="inlineStr"/>
      <c r="F78" t="inlineStr"/>
      <c r="G78" t="inlineStr">
        <is>
          <t>Seattle, WA</t>
        </is>
      </c>
      <c r="H78" t="inlineStr"/>
      <c r="I78" t="inlineStr">
        <is>
          <t>**This job is with Amazon, an inclusive employer and a member of myGwork – the largest global platform for the LGBTQ\+ business community. Please do not contact the recruiter directly.**
**Description**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PhD in computer science, machine learning, engineering, or related fields
* Experience with programming languages such as Python, Java, C\+\+
* Expert knowledge of machine learning and deep learning; experience in applying ML to protein biology.
**Preferred Qualifications**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79">
      <c r="A79" t="inlineStr">
        <is>
          <t>li-4358734946</t>
        </is>
      </c>
      <c r="B79" t="inlineStr">
        <is>
          <t>Vice President, Data Scientist</t>
        </is>
      </c>
      <c r="C79" t="inlineStr">
        <is>
          <t>BNY</t>
        </is>
      </c>
      <c r="D79" t="inlineStr">
        <is>
          <t>linkedin</t>
        </is>
      </c>
      <c r="E79" t="inlineStr"/>
      <c r="F79" t="inlineStr"/>
      <c r="G79" t="inlineStr">
        <is>
          <t>Pittsburgh, PA</t>
        </is>
      </c>
      <c r="H79" t="inlineStr"/>
      <c r="I79" t="inlineStr">
        <is>
          <t>**Job Description**
 Vice President, Data Scientist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Data Scientist to join our Financial Crimes Compliance team. This role is in Lake Mary or Pittsburgh.
 In this role, you’ll make an impact in the following ways:
* Development, testing and tuning of financial crimes compliance detection rules/models for AML transaction monitoring, sanctions screening, customer risk rating etc.
* Analyze and interpret data to facilitate statistical analysis for development, testing or tuning of financial crimes compliance detection rules. Perform ad hoc analysis used for statistical analysis as required.
* Conduct complex mathematical analysis utilizing various statistical methods or techniques including machine learning, GenAI, logistic regression and various other ensemble techniques (e.g., XGBoost, LightGBM)
* Interprets findings from statistical analyses performed for communication to senior and executive level management in written and verbal form.
* Ability to understand and use various programming languages like python to identify, investigate and resolve data and programming issues
 To be successful in this role, we’re seeking the following:
* Graduate degree in a quantitative discipline, e.g. Engineering, Computer Science, Mathematics, Operations Research, Data Science, and 7\+ years of relevant experience.
* Strong critical thinking and data analysis skills. Experienced in collecting, organizing, and evaluating business data
* Ability to pay attention to details
* Ability to report research results in a comprehensive, concise manner and to develop and present precise and clear metrics
* Skilled in coordinating and multi\-tasking for various projects
* Understands databases (Oracle or Snowflake); good technical skills in querying and analyzing data (SQL or equivalent)
* Ability to manage issues and influence others to remediate
* Ability to communicate effectively, both orally and in writing. Communicates and collaborates with all levels of team\-mates
* Good organizational and project management skills, as well as attention to detail
* Multitasks, prioritizes and meets deadlines in timely manner
* Experience working in Global Financial Crimes Technology with Anti Money Laundering and Economic Sanctions knowledge a plus.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row>
    <row r="80">
      <c r="A80" t="inlineStr">
        <is>
          <t>li-4331920139</t>
        </is>
      </c>
      <c r="B80" t="inlineStr">
        <is>
          <t>Lead Data Scientist</t>
        </is>
      </c>
      <c r="C80" t="inlineStr">
        <is>
          <t>RemoteHunter</t>
        </is>
      </c>
      <c r="D80" t="inlineStr">
        <is>
          <t>linkedin</t>
        </is>
      </c>
      <c r="E80" t="inlineStr"/>
      <c r="F80" t="inlineStr"/>
      <c r="G80" t="inlineStr"/>
      <c r="H80" t="inlineStr"/>
      <c r="I80" t="inlineStr">
        <is>
          <t>About the Opportunity:
 This team within the Data and Analytics division focuses on understanding the features that influence vehicle pricing and predicting future vehicle values, delivering critical insights for the automotive sector. The data science team is responsible for producing accurate, transparent, and industry\-leading analytics. The role offers the opportunity to utilize modern technologies to solve complex problems, develop machine learning processes from scratch, and deploy them into production within a collaborative and experienced data science environment.
 Responsibilities:
 • Work daily with automotive industry data
 • Participate in strategic planning and decision\-making for data science initiatives
 • Create presentations to translate technical predictions into automotive industry context
 • Document machine learning processes
 • Perform advanced feature engineering and AI/ML model building
 • Develop and consult on SQL, Python, Advanced Excel, and frameworks such as AWS SageMaker or Palantir Data Science Integrations
 • Collaborate with technology and engineering teams to improve and build processes
 • Partner with product teams to develop analytics for new products
 • Lead Program Increment planning for upcoming quarter activities with limited supervision
 • Create visual reports summarizing findings for internal and external clients
 • Work within a team environment promoting idea sharing to build predictive algorithms
 • Conduct ad\-hoc data analysis and reporting
 Requirements:
 • Expertise in data analytics and statistical concepts including regression, logistic regression, time\-series modeling, Bayesian statistics, machine learning, data mining, simulation, optimization, and forecasting
 • Ability to communicate technical processes to non\-technical audiences
 • Presentation experience
 • Strong problem\-solving skills with data
 • 8\+ years of professional experience working with large datasets
 • 8\+ years of experience and fluency with statistical programming software such as Python and Spark
 • 8\+ years of experience with database software including RedShift, Hive, SQL, MYSQL, with full mastery of at least one SQL dialect
 • Master’s Degree in Statistics, Data Science, Economics, or related technical field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1">
      <c r="A81" t="inlineStr">
        <is>
          <t>li-4359401494</t>
        </is>
      </c>
      <c r="B81" t="inlineStr">
        <is>
          <t>Senior Applied Scientist</t>
        </is>
      </c>
      <c r="C81" t="inlineStr">
        <is>
          <t>Microsoft</t>
        </is>
      </c>
      <c r="D81" t="inlineStr">
        <is>
          <t>linkedin</t>
        </is>
      </c>
      <c r="E81" t="inlineStr"/>
      <c r="F81" t="inlineStr"/>
      <c r="G81" t="inlineStr">
        <is>
          <t>Redmond, WA</t>
        </is>
      </c>
      <c r="H81" t="inlineStr"/>
      <c r="I81" t="inlineStr">
        <is>
          <t>**Overview**
 Core Search and AI team (Bing) is looking for people who want to build the next generation of search using advanced AI technologies, especially large language models, at scale. We are responsible for the largest machine learning models at Microsoft by volume and take pride in being the first in the world to solve many practical AI at Scale challenges. Our work spans a very large scope of scenarios including delivering high quality search results from a massive document corpus, query and document understanding, summarization to generate document snippets for representation and ranking, and AI search grounding, etc.
 As a team, we leverage the diverse backgrounds and experiences of passionate engineers, scientists, and program managers to help us realize our goal of making the world smarter and more productive. We believe great products are built by inclusive teams of customer\-obsessed individuals who trust each other and work together closely.  We collaborate regularly across the company to find technological breakthroughs from groups like Microsoft Research to infusing AI into the rest of Microsoft products like Office and Azure.
 Microsoft's mission is to empower every person and every organization on the planet to achieve more, and we believe that artificial intelligence will play a critical role in accomplishing that mission. The Core Search and AI team is the leading applied machine learning team at Microsoft responsible for delivering the highest\-quality search experience to over 500M\+ monthly active users around the world in Microsoft’s search engine, Bing and other dependent search engines such as Yahoo, DuckDuckGo, and new startups like Neeva.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Advance the state\-of\-the\-art machine learning and NLP algorithms, especially apply LLM models to real\-world large\-scale search and grounding systems.
* Work on the full lifecycle of machine learning development including training data collection, feature engineering, model training, offline and online experimentation, and deployment and maintenance.
* Mentor and grow junior engineers in the team.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of experience coding in Python, C\+\+, C\#, C or Java.
* 4\+ years of experience coding in Python, C\+\+, C\#, C or Java.
* 3\+ year of industry experiences applying Machine Learning techniques.
* Experience building and improving large scale Machine Learning system for search, ads, and recommendation, adopting LLM.
* Research background on Machine Learning, LLM and NLP.
* Proficient problem solver: ability to identify and solve problems that the world has not solved before.\#MicrosoftAI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2">
      <c r="A82" t="inlineStr">
        <is>
          <t>li-4330954696</t>
        </is>
      </c>
      <c r="B82" t="inlineStr">
        <is>
          <t>Data Scientist with AWS Sagemaker Specifically Expertise in RAY &amp; Dask</t>
        </is>
      </c>
      <c r="C82" t="inlineStr">
        <is>
          <t>Jobs via Dice</t>
        </is>
      </c>
      <c r="D82" t="inlineStr">
        <is>
          <t>linkedin</t>
        </is>
      </c>
      <c r="E82" t="inlineStr"/>
      <c r="F82" t="inlineStr"/>
      <c r="G82" t="inlineStr">
        <is>
          <t>Berkeley Heights, NJ</t>
        </is>
      </c>
      <c r="H82" t="inlineStr"/>
      <c r="I82" t="inlineStr">
        <is>
          <t>Dice is the leading career destination for tech experts at every stage of their careers. Our client, SumasEdge Corporation, is seeking the following. Apply via Dice today!
**Job Description:**
 We're seeking a highly skilled Fullstack Data Scientist to join our team in Berkeley Heights, NJ. As a Fullstack Data Scientist, you will work on two distinct modules, with a primary focus on payment optimization. Your expertise in data science, machine learning, and payment processing will be crucial in developing and implementing models that optimize payment routing and payload.
 Key Responsibilities:
* Payment Optimization Module:
* Develop and implement machine learning models for payment routing optimization and payload optimization.
* Work with large datasets to identify trends, patterns, and insights that inform payment optimization strategies.
* Collaborate with cross\-functional teams to integrate payment optimization models into existing systems.
* Technical Expertise:
* Design, develop, and deploy machine learning models using languages such as Python, R, or Julia.
* Utilize data science and machine learning techniques to drive business outcomes and improve payment processing efficiency.
* Stay up\-to\-date with industry trends and advancements in payment processing, machine learning, and data science.
* Data Engineering:
* Work with data engineers to design and implement data pipelines for payment processing data.
* Ensure data quality, integrity, and security in compliance with industry regulations.
 Requirements:
* Technical Skills:
* 6\+ years of experience in data science, machine learning, or a related field.
* Proficiency in languages such as Python, R, or Julia.
* Experience with machine learning frameworks and libraries (e.g., scikit\-learn, TensorFlow, PyTorch).
* Strong understanding of data structures, algorithms, and software design patterns.
* Payment Processing Experience:
* Experience working with payment processing systems, protocols, and technologies (e.g., debit/credit cards, e\-payments, ACH).
* Knowledge of payment routing optimization and payload optimization techniques.
* Banking and Financial Experience:
* Experience working in the banking or financial industry, or with financial datasets.
* Understanding of financial regulations and industry standards (e.g., PCI\-DSS).
 Nice to Have:
* Experience with Cloud Platforms: AWS, Azure, or Google Cloud.
* Familiarity with Agile Development Methodologies.
* Experience with Version Control Systems: Git, SVN.</t>
        </is>
      </c>
    </row>
    <row r="83">
      <c r="A83" t="inlineStr">
        <is>
          <t>li-4359601110</t>
        </is>
      </c>
      <c r="B83" t="inlineStr">
        <is>
          <t>Data Scientist</t>
        </is>
      </c>
      <c r="C83" t="inlineStr">
        <is>
          <t>Luma AI</t>
        </is>
      </c>
      <c r="D83" t="inlineStr">
        <is>
          <t>linkedin</t>
        </is>
      </c>
      <c r="E83">
        <f>HYPERLINK("https://www.linkedin.com/jobs/view/4359601110", "https://www.linkedin.com/jobs/view/4359601110")</f>
        <v/>
      </c>
      <c r="F83">
        <f>HYPERLINK("https://jobs.gem.com/lumalabs-ai/am9icG9zdDp8GhvCHBdQ1rVCLu4z68bE?src=LinkedIn+Paid&amp;urlHash=sPH_", "https://jobs.gem.com/lumalabs-ai/am9icG9zdDp8GhvCHBdQ1rVCLu4z68bE?src=LinkedIn+Paid&amp;urlHash=sPH_")</f>
        <v/>
      </c>
      <c r="G83" t="inlineStr">
        <is>
          <t>Palo Alto, CA</t>
        </is>
      </c>
      <c r="H83" t="inlineStr"/>
      <c r="I83" t="inlineStr">
        <is>
          <t>**Where You Come In**
 This is a foundational, zero\-to\-one opportunity to build Luma's entire data science discipline from the ground up. As our first Data Scientist, you will be the architect of our data\-driven culture, defining the north\-star metrics that guide our strategy and building the source\-of\-truth systems that empower the entire company. This is not a role for running queries; you will be a strategic partner across product, growth, and research, uncovering the critical insights that will shape the future of our creative AI platform.
**What You'll Do**
* Architect and Build our data science and data engineering infrastructure and source\-of\-truth dashboards from scratch, creating a self\-serve platform that empowers the entire company.
* Define and Champion the north\-star metrics that guide our product, growth, and research initiatives, establishing a data\-driven culture from the ground up.
* Design and Analyze the key experiments that measure the impact of product changes, growth initiatives, and new model deployments on our users.
* Partner Directly with leadership and embed across product, growth, and research teams to uncover and deliver the actionable insights that drive our strategy.
* Translate complex data into clear, compelling narratives that drive alignment and decision\-making across the organization.
**Who You Are**
* You have 7\+ years of experience in data science, ideally as a founding or lead data scientist or data engineer at a high\-growth product or technology company.
* You are a hands\-on builder with experience creating and maintaining a modern data stack (e.g., ETL, data warehousing, visualization tools).
* You are a proactive, first\-principles thinker who is driven to define and implement core metrics and experimentation frameworks in an ambiguous environment.
* You have a deep understanding of product analytics, growth metrics, and A/B testing methodologies.
* You are an exceptional communicator and a natural collaborator, with a proven ability to build strong relationships and influence decision\-making across all levels of an organization.
**What Sets You Apart (Bonus Points)**
* Experience working with data from generative AI, creative tools, or media\-rich products.
* Familiarity with the data infrastructure required to support large\-scale ML systems.
* A strong portfolio of public\-facing analyses, data visualizations, or open\-source contributions.
* Experience setting up a data science function from zero at a previous startup.</t>
        </is>
      </c>
    </row>
    <row r="84">
      <c r="A84" t="inlineStr">
        <is>
          <t>li-4331291215</t>
        </is>
      </c>
      <c r="B84" t="inlineStr">
        <is>
          <t>Data Scientist– Quantitative Research</t>
        </is>
      </c>
      <c r="C84" t="inlineStr">
        <is>
          <t>Blueprint</t>
        </is>
      </c>
      <c r="D84" t="inlineStr">
        <is>
          <t>linkedin</t>
        </is>
      </c>
      <c r="E84">
        <f>HYPERLINK("https://www.linkedin.com/jobs/view/4331291215", "https://www.linkedin.com/jobs/view/4331291215")</f>
        <v/>
      </c>
      <c r="F84" t="inlineStr"/>
      <c r="G84" t="inlineStr"/>
      <c r="H84" t="inlineStr"/>
      <c r="I84"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partner closely with research, design, and product stakeholders to transform ambiguous questions into clear, statistically rigorous analyses that inform product and business decisions. You will work hands\-on with survey and behavioral data, applying sound quantitative methods to evaluate hypotheses, uncover patterns, and generate actionable insights.
 You will contribute across the full research lifecycle — from shaping research questions and refining study designs to analyzing results and communicating findings. The role balances independent analytical work with frequent collaboration, ensuring insights are both methodologically sound and directly relevant to product strategy. Your work will influence high\-impact, user\-facing products used at global scale.
**Key Responsibilities** 
**Quantitative Research \&amp; Analysis** 
* Translate open\-ended product or research questions into well\-defined, testable analytical problems
* Design and analyze surveys and large\-scale quantitative studies, including defining sampling strategies and success metrics
* Clean, prepare, and validate survey or behavioral datasets for analysis
* Apply inferential statistical techniques to test hypotheses and explore relationships in data
* Evaluate assumptions, identify sources of bias, and assess limitations in study design and results
**Insight Generation \&amp; Communication** 
* Interpret analytical results with a strong focus on statistical validity and real\-world implications
* Document methodologies, assumptions, and findings clearly and transparently
* Create charts, summaries, and written narratives to communicate insights to non\-technical audiences
* Translate quantitative findings into clear, actionable recommendations for product and research partners
* Deliver research outputs on time and aligned with agreed milestones
**Collaboration \&amp; Stakeholder Partnership** 
* Partner with researchers, designers, and product stakeholders to refine research questions and metrics
* Review findings with cross\-functional teams and iterate on analyses based on feedback
* Contribute meaningfully to working sessions, reviews, and research discussions
* Help stakeholders understand what conclusions the data does — and does not — support
**Independence \&amp; Professional Effectiveness** 
* Manage multiple analyses or studies concurrently with minimal oversight
* Prioritize work effectively in a dynamic, fast\-paced environment
* Proactively identify analytical risks, gaps, or opportunities and raise them with project partners
* Maintain high standards for analytical rigor, reproducibility, and transparency
**Required Qualifications** 
* 5\+ years of experience applying inferential statistics and quantitative research methods in a professional setting
* Strong foundation in statistical concepts, including hypothesis testing, sampling, and experimental or quasi\-experimental design
* Demonstrated experience designing, executing, and analyzing surveys or large\-scale quantitative studies
* Proficiency in statistical programming using R, Python, or similar tools for data analysis
* Ability to work with ambiguous problem statements and translate them into structured analytical approaches
* Experience communicating quantitative findings to both technical and non\-technical audiences
* Proven ability to collaborate effectively with cross\-functional partners
**Preferred Qualifications** 
* Master’s degree or PhD in quantitative psychology, behavioral science, statistics, social science, or a related field
* Experience working with behavioral or user research data in product\-focused environments
* Familiarity with best practices for research documentation, reproducibility, and analytical transparency
* Experience supporting high\-impact, user\-facing products at scale
* Comfort operating autonomously as an individual contributor while maintaining strong stakeholder alignment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**$100,000 to $105,000 USD annually**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t>
        </is>
      </c>
    </row>
    <row r="85">
      <c r="A85" t="inlineStr">
        <is>
          <t>li-4359412965</t>
        </is>
      </c>
      <c r="B85" t="inlineStr">
        <is>
          <t>Lead Data Scientist- IBM Watson</t>
        </is>
      </c>
      <c r="C85" t="inlineStr">
        <is>
          <t>Fusemachines</t>
        </is>
      </c>
      <c r="D85" t="inlineStr">
        <is>
          <t>linkedin</t>
        </is>
      </c>
      <c r="E85">
        <f>HYPERLINK("https://www.linkedin.com/jobs/view/4359412965", "https://www.linkedin.com/jobs/view/4359412965")</f>
        <v/>
      </c>
      <c r="F85" t="inlineStr"/>
      <c r="G85" t="inlineStr">
        <is>
          <t>New York, NY</t>
        </is>
      </c>
      <c r="H85" t="inlineStr"/>
      <c r="I85"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seeks to bring its global expertise in AI to transform companies around the world.
**About The Role**
 A Lead Data Scientist is responsible for designing and implementing data\-driven solutions to complex business problems. The role requires extensive experience in data analysis, agentic AI, statistical modeling, machine learning, and data visualization, as well as the ability to lead a team of data scientists and collaborate with cross\-functional teams.
**Responsibilities**
* Team Leadership: Lead a team of data scientists to develop innovative solutions to complex business problems. Mentor and develop the skills of junior data scientists and provide feedback and guidance to help them improve their work
* Collaboration: Collaborate with cross\-functional teams, including business stakeholders, product managers, software engineers, and data engineers to develop and implement data\-driven solutions
* Strategic Assessment: Assess the business needs of clients and identify areas where AI can be used to improve processes, reduce costs, or increase revenue
* Solution Design: Design and implement statistical models, machine learning algorithms, predictive analytics models, and agentic systems to solve business problems
* Communication: Communicate technical insights and recommendations to non\-technical stakeholders in a clear and concise manner
* Continuous Learning: Stay up\-to\-date with the latest developments in data science, machine learning, and artificial intelligence, and apply new technologies and techniques to solve business problems
* Pipeline Management: Responsible for developing, implementing, and managing end\-to\-end machine learning pipelines. This will involve building, deploying, and maintaining machine learning models, as well as ensuring data quality and system stability
 Requirements for the Role
* Education: Bachelor's, Master's, PhD, or advanced training in applied mathematics, engineering, computer science, or a similar related field
* Experience: 6\+ years of total experience in Data Science, Machine Learning \&amp; Generative AI
* Cloud Computing: 4\+ years of hands\-on experience with AWS, including deep expertise in deploying models and managing compute environments
* IBM WatsonX: 2\+ years of hands\-on experience with IBM WatsonX
* Agentic AI Tools: Experience with LangGraph, Google ADK or similar
* Agentic Architectures : Experience with advanced RAG \&amp; multi\-agent systems
* Programming: Strong programming skills in languages such as Python, R, C\+\+, and SQL
* Frameworks: Hands\-on experience with ML frameworks, such as PyTorch or TensorFlow
* Leadership: Experience leading data science teams and managing multiple projects simultaneously
 Soft Skills: Strong problem\-solving skills, attention to detail, and excellent communication skills (both written and verbal).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XDOyWllq0r</t>
        </is>
      </c>
    </row>
    <row r="86">
      <c r="A86" t="inlineStr">
        <is>
          <t>li-4359460251</t>
        </is>
      </c>
      <c r="B86" t="inlineStr">
        <is>
          <t>GenAI Data Scientist</t>
        </is>
      </c>
      <c r="C86" t="inlineStr">
        <is>
          <t>GamblingCareers.com</t>
        </is>
      </c>
      <c r="D86" t="inlineStr">
        <is>
          <t>linkedin</t>
        </is>
      </c>
      <c r="E86">
        <f>HYPERLINK("https://www.linkedin.com/jobs/view/4359460251", "https://www.linkedin.com/jobs/view/4359460251")</f>
        <v/>
      </c>
      <c r="F86" t="inlineStr"/>
      <c r="G86" t="inlineStr">
        <is>
          <t>Austin, TX</t>
        </is>
      </c>
      <c r="H86" t="inlineStr"/>
      <c r="I86" t="inlineStr">
        <is>
          <t>The GenAI Data Scientist will play a crucial role in our AI center of excellence. This position will design, build, and scale machine learning infrastructure and GenAI applications. This is a highly collaborative role, working with VP, Global Analytics \&amp; AI COE Leader, product owners, partners, and adjacent technical teams. You will be responsible for production\-level large language model (LLM) systems. This includes building RAG pipelines, integrating external APIs, and deploying end\-to\-end ML solutions with high performance and reliability.
 This role will also partner with business participants across Gaming, Aristocrat Interactive, Product Madness, IT, Marketing, Finance, Product, Quality and others to uncover and pursue new opportunities for analytics and insights.
**What You'll Do**
**Data Science and Advanced Analytics**
* Develop and deploy GenAI\-based applications using enterprise\-approved frameworks and models, and custom pipelines.
* Implement and optimize RAG and Agentic systems using vector search techniques and modern frameworks
* Handle ML pipelines and infrastructure for training, inference, monitoring, and tracking
* Collaborate with Data Scientists alongside Machine Learning Operations to scale prototypes to production
* Stay on top of emerging technologies and trends, such as frameworks, cloud platforms, and distributed computing. Evaluate and implement appropriate tools and frameworks to enhance data processing and analytics capabilities.
**Data Management \&amp; Engineering**
* Work closely with data engineers, software engineers, and machine learning operations to deploy models and workflows into production systems.
* Support an integrated view of specific data domains like gaming, finance and quality by connecting toolsets and data sources.
**Collaboration and Presentation**
* Present recommendations and results clearly, tailored to the relevant audience
* Collaborate with partners to measure and report on the impact of deployed models on business outcomes.
* Liaise with other technical teams within the organization to communicate and coordinate effectively.
* As a part of a multi\-functional environment, you will be expected to stay aware of ongoing efforts across the AI COE Team and find opportunities for shared infrastructure, reusable components, or technical alignment.
**What We're Looking For**
* Deep analytical background with a BSc in mathematics, statistics, computer science or relevant experience, MS preferred
* Additional training and experience in Data Science, BI, Data Visualization, Analytics, Programming relevant to the gambling industry.
* Strong knowledge of SQL, Python, R
* Basic understanding of version control systems (e.g., Git, GitHub) for managing and collaborating on code effectively.
* Basic familiarity with cloud infrastructure (Azure, GCP, AWS) for deploying and managing data science workflows
* Working knowledge of reporting visualization tools
* Strong understanding of data management practices and the data lifecycle is a plus
* Applies effective communication techniques, engages in focused dialogue, and demonstrates good listening skills
* Outstanding oral, written and communication skills with the ability to present to small and large groups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 World Leader in Gaming Entertainment
* Robust benefits package
* Global career opportunities
**Our Values**
* All about the Player
* Talent Unleashed
* Collective Brilliance
* Good Business Good Citizen
**Travel Expectations**
 None
**Pay Range**
 $68,205 \- $126,668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At this time, we are unable to sponsor work visas for this position. Candidates must be authorized to work in the job posting location for this position on a full\-time basis without the need for current or future visa sponsorship.</t>
        </is>
      </c>
    </row>
    <row r="87">
      <c r="A87" t="inlineStr">
        <is>
          <t>li-4331270791</t>
        </is>
      </c>
      <c r="B87" t="inlineStr">
        <is>
          <t>Data Scientist</t>
        </is>
      </c>
      <c r="C87" t="inlineStr">
        <is>
          <t>InDev</t>
        </is>
      </c>
      <c r="D87" t="inlineStr">
        <is>
          <t>linkedin</t>
        </is>
      </c>
      <c r="E87">
        <f>HYPERLINK("https://www.linkedin.com/jobs/view/4331270791", "https://www.linkedin.com/jobs/view/4331270791")</f>
        <v/>
      </c>
      <c r="F87" t="inlineStr"/>
      <c r="G87" t="inlineStr">
        <is>
          <t>Washington, DC</t>
        </is>
      </c>
      <c r="H87" t="inlineStr"/>
      <c r="I87" t="inlineStr">
        <is>
          <t>**Position Title:** 
**Data Scientist** 
**Location:** 
 Remote with occasional travel to Washington, DC
**Position Overview:** 
 Indev is seeking a Data Scientist with 6\+ years of experience to support our AI/ML, advanced analytics, and data visualization initiatives. This role will be instrumental in analyzing, visualizing, and communicating data insights that drive key business decisions. The ideal candidate will have strong technical skills in Python, SQL, Tableau, and AWS Cloud, as well as excellent communication and presentation abilities.
 This is a direct\-hire, full\-time position with salary and benefits. Indev provides a comprehensive benefits package, including Medical, Dental, Vision, 401k with match, Flexible Spending Account, and Paid Time Off (PTO)—including vacation and holiday pay.
**Your future duties and responsibilities:** 
**Data Analytics and Business Intelligence:** 
* Analyze large and complex data sets to uncover insights and support decision\-making.
* Partner with stakeholders to define analytical needs and deliver actionable solutions.
* Develop and maintain data models to support advanced analytics initiatives.
**Data Visualization and Reporting:** 
* Design and create interactive dashboards and reports using Tableau.
* Present findings in a clear, concise manner tailored to both technical and non\-technical audiences.
* Support data storytelling through compelling visualizations that communicate trends and patterns.
**Data Extraction and Management:** 
* Write complex SQL queries for data extraction, transformation, and loading (ETL) tasks.
* Work with relational databases (e.g., PostgreSQL, MySQL, NoSQL) to support data integrity and consistency.
* Automate routine data processes using a variety of scripts and tools. (e.g., Python, Airflow, SQL, AWS)
**Cloud Technology Utilization:** 
* Leverage AWS Cloud services (e.g., S3, EC2, RDS, Lambda) for data processing, storage, and retrieval.
* Ability to guide and support cloud modernization of data processes, including advanced AI/ML, automation, and governance technologies.
* Optimize cloud workflows for data access and analysis efficiency.
**Collaboration and Communication:** 
* Collaborate with cross\-functional teams, including engineers, analysts, and business stakeholders.
* Clearly articulate analytical concepts and results to a wide range of audiences.
* Contribute to client\-facing presentations and written reports.
**Required qualifications to be successful in this role:** 
* Bachelor’s Degree in Technology, Business, Mathematics, Computer Science, Information Systems, or other related discipline from an accredited college, university, or academic institution in the United States. (Master’s preferred)
* 6\+ years of professional experience in AI/ML, data analysis, visualization, and reporting.
* Proficiency in Python for data manipulation and automation.
* Strong experience with SQL and relational databases (e.g., PostgreSQL, MySQL).
* Proficiency with Tableau for creating dashboards and visual reports.
* Experience creating automated data workflows, analytics processes, and processing pipelines.
* Advanced knowledge of data visualization and reporting using a variety of software and tools.
* Familiarity with AWS Cloud environments and services for data processing and storage.
* Familiarity with DevOps practices, Agile methodologies, and modern software development environments.
* Familiarity with the entire software development process from end\-to\-end.
* Excellent oral and written communication skills, with the ability to present complex information clearly.
* Strong problem\-solving and analytical thinking skills.
* Existing and active DHS EOD/clearance (ICE preferred).
**Additional preferred qualification:** 
* Strong knowledge of change management processes and technologies (e.g., GitHub)
* Experience modeling and analyzing large financial and operational data in cloud environments.
* Demonstrated experience developing prototypes and proof\-of\-concept applications or software from end\-to\-end.
* Knowledge of federal data governance standards and compliance frameworks.
* Prior experience supporting federal government clients, especially DHS.
* Existing and active DHS EOD/clearance (ICE or TSA preferred).
**Clearance:** 
 Existing and active DHS EOD/clearance (ICE preferred).
**About Us:** 
 At Indev, we're not just a company; we're a trailblazing force transforming the way technology solutions shape the future. As a dynamic player in the federal government sector, we're on a mission to empower agencies with cutting\-edge, innovative technology solutions that drive innovation, efficiency, and progress. Our team thrives on collaboration, innovation, and embracing challenges head\-on to create a meaningful impact on the world around us. Let’s innovate.
 www.indev.com</t>
        </is>
      </c>
    </row>
    <row r="88">
      <c r="A88" t="inlineStr">
        <is>
          <t>li-4359661014</t>
        </is>
      </c>
      <c r="B88" t="inlineStr">
        <is>
          <t>Data Scientist Associate - Payments Data &amp; Analytics</t>
        </is>
      </c>
      <c r="C88" t="inlineStr">
        <is>
          <t>JPMorganChase</t>
        </is>
      </c>
      <c r="D88" t="inlineStr">
        <is>
          <t>linkedin</t>
        </is>
      </c>
      <c r="E88">
        <f>HYPERLINK("https://www.linkedin.com/jobs/view/4359661014", "https://www.linkedin.com/jobs/view/4359661014")</f>
        <v/>
      </c>
      <c r="F88">
        <f>HYPERLINK("https://JPMorganChase.contacthr.com/150544250&amp;urlHash=GUuh", "https://JPMorganChase.contacthr.com/150544250&amp;urlHash=GUuh")</f>
        <v/>
      </c>
      <c r="G88" t="inlineStr">
        <is>
          <t>New York, NY</t>
        </is>
      </c>
      <c r="H88" t="inlineStr"/>
      <c r="I88" t="inlineStr">
        <is>
          <t>**Job Description**
 Join the JPM Payments Data \&amp; Analytics' Treasure Service team at JPMorgan Chase, where we leverage data science, research, and business acumen to promote client\-focused innovation. Apply your technical skills to projects involving payments analytics and cutting\-edge Gen\-AI applications, creating impactful solutions for Chase Treasury Services clients.
 As a Data Scientist Associate in our Treasury Services team, you will work on projects that integrate agentic workflows, business intelligence, data engineering, and data visualization to grow our payments business. You will play a pivotal role in developing our generative AI use cases and approach.
 Your work will involve leveraging your technical skills and business acumen to collaboratively design and implement end\-to\-end solutions with tangible commercial impact for our clients and customers. Our team supports both internal and external payments intelligence applications, as well as custom client analytics requests on an ad hoc basis.
 Utilizing tools such as Databricks, Python, Tableau and Sigma, you will develop data pipelines and dashboards, prototype new generative AI capabilities and features, and ensure the quality and integrity of our intelligent solutions. Your contributions will help streamline operations, enhance decision\-making, and foster growth through innovative AI applications.
**Job Responsibilities**
* Learn our business and how JPMorgan delivers value for our clients globally
* Leverage your technical skillset and curiosity to identify opportunities to help grow our TS business
* Build and rigorously test new data and AI driven insights
* Develop scalable frameworks for seamless AI model integration across business applications. Ensure solutions can adapt and expand as needed.
* Build and test AI agents. Iterate designs to enhance functionality and user experience. Conduct rigorous testing for reliability and effectiveness.
* Use tools like Databricks, Python, Tableau and Sigma to create data pipelines and dashboards. Support AI\-driven insights and decision\-making.
* Monitor AI model performance. Identify areas for enhancement. Implement updates to maintain quality and relevance.
* Work on agile teams to support data\-driven decision\-making and client relationship management.
**Required Qualifications, Capabilities, And Skills**
* Bachelor's degree in Science, Technology, Engineering, Mathematics (STEM) or related field.
* Proficiency in Python and SQL for data processing and analysis.
* Strong problem\-solving and critical thinking skills.
* Experience in leveraging Large Language Models (LLMs) and agentic AI techniques.
* Ability to automate repeatable tasks to enhance business process efficiency.
**Preferred Qualifications, Capabilities, And Skills**
* Experience in data analysis, data science, or related fields.
* Familiarity with AWS, Databricks for data management and analysis.
* Understanding of quality assurance practices and the importance of data integrity.
* Knowledge of machine learning/data science theory, techniques, and tools.
* Awareness of big data technologies (e.g., Spark) and distributed computing concepts like MapReduce.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89">
      <c r="A89" t="inlineStr">
        <is>
          <t>li-4359620098</t>
        </is>
      </c>
      <c r="B89" t="inlineStr">
        <is>
          <t>Staff Data Scientist</t>
        </is>
      </c>
      <c r="C89" t="inlineStr">
        <is>
          <t>JWX</t>
        </is>
      </c>
      <c r="D89" t="inlineStr">
        <is>
          <t>linkedin</t>
        </is>
      </c>
      <c r="E89">
        <f>HYPERLINK("https://www.linkedin.com/jobs/view/4359620098", "https://www.linkedin.com/jobs/view/4359620098")</f>
        <v/>
      </c>
      <c r="F89" t="inlineStr"/>
      <c r="G89" t="inlineStr">
        <is>
          <t>New York, NY</t>
        </is>
      </c>
      <c r="H89" t="inlineStr"/>
      <c r="I89" t="inlineStr">
        <is>
          <t>**About JWX (former JWP Connatix):**
 JWX's mission is to provide technology that empowers media businesses to connect their content with consumers across every platform. We help publishers transform content into multi\-format experiences, reach audiences wherever attention moves, and strengthen monetization in a fragmented landscape. As part of the broader ecosystem, JWX also supports streaming companies and advertisers with solutions built for how modern media is distributed and consumed.
* Our video players are embedded directly on publisher sites, including Accuweather, Axel Springer, Dotdash Meredith, McClatchy, Penske Media Co., and more.
* We work with leading brands and agencies including American Express, Citi, Dentsu, Mars, UM, and more helping them target ads against our publishers' video content.
* We power streaming for over 2,000 blue\-chip media companies, including 80% of the top 25 Comscore US publishers. As the largest independent global video network across CTV and OLV, we reach over 1B unique users and deliver 30B\+ combined video plays and ad impressions every month.
**The Opportunity**
 We are seeking a Staff Data Scientist to architect and drive the next generation of supply\-side optimization systems. This is a highly hands\-on, analytically rigorous role focused on model development, statistical reasoning, and a relentless curiosity for understanding why systems behave the way they do.
 You will lead the design of machine learning, statistical, and optimization models to maximize publisher yield (e.g., margin optimization, price\-floor prediction, auction dynamics), grounded in deep exploratory data analysis and a causal understanding of marketplace behavior. You'll help define and execute the roadmap for supply optimization systems operating at internet scale with measurable business impact.
 You will join a small, senior team of data scientists based in the US and Romania within the AI \&amp; Data Science group. This role will partner with the Chief AI Officer, Director of Data Science, and senior stakeholders to define roadmaps and prioritize initiatives with measurable revenue impact.
**What You'll Do**
**Lead Advanced Exploratory Analysis**
* Conduct deep exploratory analysis to understand system dynamics, heterogeneity, and regime changes.
* Identify structural drivers of performance degradation, including elasticity, interaction effects, and distribution shifts.
* Translate analytical findings that diagnose what's not working (and why), and translate to concrete modeling decisions.
**Build and Advance Models**
* Design, build, and iterate on predictive and optimization models, including price floor prediction, bid landscape modeling, margin optimization, and inventory allocation.
* Apply advanced machine learning techniques (e.g., gradient boosting, quantile regression, reinforcement learning) alongside classical statistical modeling where interpretability matters.
* Evaluate models rigorously using sound statistical validation, offline analysis, and robustness checks.
**Experimentation \&amp; Causal Inference**
* Define and oversee simulation frameworks, offline backtests, and online A/B experiments to measure model performance and business impact.
* Apply causal inference techniques to isolate effects in noisy, non\-stationary environments (seasonality, traffic shifts, publisher behavior changes.
**Mentor \&amp; Influence**
* Provide technical leadership and mentorship to other data scientists.
* Raise the bar on modeling quality, statistical rigor, experimentation design, and analytical communication.
**What We're Looking For**
* Master's or PhD in a quantitative discipline (Biostatistics, Physics, Statistics, Political Science, Economics, Applied Math, Psychology, or related).
* 10\+ years of experience applying data science to complex, real\-world systems.
* Strong foundation in statistics, probability, and modeling under uncertainty.
* Deep hands\-on experience with machine learning models (e.g., gradient boosting, tree\-based methods).
* Experience evaluating models in environments where decisions affect future data.
* Strong Python and SQL skills.
* Familiarity with modern data and ML infrastructure (MLFlow, Airflow, Docker, Kubernetes, AWS).
* Clear written and verbal communication skills.
* Excellent communication skills across technical and executive audiences.
* Valid passport (global company).
 Check out our website and social channels:
**JWX** 
**LinkedIn** 
**Instagram** 
**X**
*We are an equal opportunity employer and value diversity at our company. We do not discriminate on the basis of race, religion, color, national origin, gender, sexual orientation, age, marital status, and/or disability status.*</t>
        </is>
      </c>
    </row>
    <row r="90">
      <c r="A90" t="inlineStr">
        <is>
          <t>li-4321990241</t>
        </is>
      </c>
      <c r="B90" t="inlineStr">
        <is>
          <t>Senior Data Scientist</t>
        </is>
      </c>
      <c r="C90" t="inlineStr">
        <is>
          <t>PrePass</t>
        </is>
      </c>
      <c r="D90" t="inlineStr">
        <is>
          <t>linkedin</t>
        </is>
      </c>
      <c r="E90">
        <f>HYPERLINK("https://www.linkedin.com/jobs/view/4321990241", "https://www.linkedin.com/jobs/view/4321990241")</f>
        <v/>
      </c>
      <c r="F90" t="inlineStr"/>
      <c r="G90" t="inlineStr"/>
      <c r="H90" t="inlineStr"/>
      <c r="I90"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seeking a Senior Data Scientist to lead advanced analytics and machine learning initiatives that drive strategic decisions and product innovation. You will work cross\-functionally with data engineers, BI analysts, product and operational teams to develop scalable models and insights that shape the future of transportation logistics. This role is fully remote.
**Key Responsibilities**
**Data Science and Machine Learning**
* Design, train, and evaluate predictive and optimization models using statistical, machine learning, and deep learning techniques
* Build and deploy models for classification, regression, clustering, and anomaly detection
* Develop time series forecasting models for churn prediction and demand forecasting
* Balance R\&amp;D prototyping with production\-grade model development
**Feature Development and Engineering**
* Partner with data architects and engineers to source, clean, and transform large datasets from the Fabric data lakehouse and warehouse environments
* Create reusable data pipelines and feature stores for model training and scoring
* Ensure model reproducibility, explainability, and integration into downstream reporting or applications
**Programming and Tools**
* Use Python extensively with libraries such as scikit\-learn, pandas, numpy, statsmodels, seaborn, and matplotlib
* Work with SQL and T\-SQL for data manipulation and analysis
* Create compelling visualizations and dashboards using Power BI including DAX measures
**Business Collaboration and Impact**
* Partner with BI analysts, data engineers, and architects to understand business needs
* Translate complex modeling outcomes into actionable business recommendations
* Present findings and model outcomes to non\-technical stakeholders across Product, Operations, and Leadership
* Contribute to the development of scalable data science infrastructure and best practices
**Requirements**
****Qualifications****
**Required**
* Bachelor's degree in computer science, statistics, mathematics, machine learning, or equivalent quantitative field. (Master's or PhD preferred.)
* 5\+ years of experience in building machine learning models in business contexts
* Proven track record of deploying models in production environments
* Strong collaboration and communication skills in dynamic, cross\-functional teams
**Preferred**
* Proficiency in Microsoft cloud technologies, especially Fabric
* Experience building ML pipelines with MLOps features including preprocessing, training, model deployment, monitoring/retraining, and CICD
* Experience working with GPS telemetry data including latency, gaps, and error handling
* Familiarity with geospatial data science including spatial joins, clustering, ArcGIS GeoAnalytics, and geohashing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91">
      <c r="A91" t="inlineStr">
        <is>
          <t>li-4358539959</t>
        </is>
      </c>
      <c r="B91" t="inlineStr">
        <is>
          <t>Data Scientist- Customer Modeling</t>
        </is>
      </c>
      <c r="C91" t="inlineStr">
        <is>
          <t>Holiday Inn Club Vacations</t>
        </is>
      </c>
      <c r="D91" t="inlineStr">
        <is>
          <t>linkedin</t>
        </is>
      </c>
      <c r="E91">
        <f>HYPERLINK("https://www.linkedin.com/jobs/view/4358539959", "https://www.linkedin.com/jobs/view/4358539959")</f>
        <v/>
      </c>
      <c r="F91" t="inlineStr"/>
      <c r="G91" t="inlineStr">
        <is>
          <t>Orlando, FL</t>
        </is>
      </c>
      <c r="H91" t="inlineStr"/>
      <c r="I91" t="inlineStr">
        <is>
          <t>At Holiday Inn Club Vacations, we believe in strengthening families. And we look for people who exhibit the courage, caring and creativity to help us become the most loved brand in family travel. We’re committed to growing our people, memberships, resorts and guest love. That’s why we need individuals who are passionate in life and bring those qualities to work every day. Do you instill confidence, trust and respect in those around you? Do you encourage success and build relationships? If so, we’re looking for you.
 POSITION DESCRIPTION:
 The Data Scientist, Customer Modeling is a core builder of our enterprise customer data and predictive analytics capability. This role transforms customer, behavioral, and performance data into predictive intelligence that drives activation, retention, optimized channel engagement, and long\-term customer value.
 Partnering closely with Performance Marketing, Analytics, Audience Strategy, and Technology, this role will lead the development of a suite of predictive and propensity models and ensures they are aligned to business priorities, validated in\-market, and driving measurable ROI. The Data Scientist also provides leadership to an analyst who supports model development, validation, and exploratory analytics.
 ESSENTIAL DUTIES AND TASKS (up to five):
 % of Time (equals 100%)
* Lead predictive model development end\-to\-end
+ Design, build, validate, deploy, and maintain a suite of propensity, attrition, LTV, and channel models that directly influence activation, retention, and ROI. (30%)
* Translate strategic business needs into modeling requirements
+ Lead partnership with cross\-functional stakeholders to define outcomes, prioritize development, and ensure models reflect business rules, funnel dynamics, and performance drivers. (20%)
* Conduct deep data exploration and guide data engineering requirements
+ Support the assessment of data quality, understand transformations, define feature needs, partner with Technology identifying gaps in EDW, data capture, and documentation that impact modeling integrity. (25%)
* Establish rigorous measurement and testing frameworks
+ Including holdouts, back\-testing and lifecycle validation; continuously monitor model drift, re\-score, re\-train, and ensure KPIs (activation, usage, conversion, engagement, margin impact, etc) are accurately measured and communicated. (15%)
* Lead, mentor, and elevate analytical capability by overseeing an analyst supporting model development and validation, defining modeling best practices, and ensuring model outputs are understood, leveraged, and integrated into performance optimization across teams. (10%)
 This job description in no way states or implies that these are the only duties to be performed by the employee in this position. It is not intended to give all details or a step\-by\-step account of the way each procedure or task is performed. The incumbent is expected to perform other duties necessary for the effective operation of the department.
**Supervisory Responsibilities**
 Provides day\-to\-day leadership and oversight of 1\-2 analysts supporting modeling and validation efforts. Responsible for coaching, workload management, and establishing analytical standards for model development.
**EDUCATION And/or EXPERIENCE**
* BA/BS or MS in Data Science, Statistics, Computer Science, Applied Mathematics, or related quantitative field.
* 3–5\+ years of hands\-on predictive modeling experience (marketing, CRM, or revenue optimization preferred).
* Demonstrated expertise in Python, R, Azure ML machine learning frameworks, and SQL.
* Experience working with large\-scale data environments, customer lifecycle data, and marketing/test design frameworks.
* Experience collaborating with Data Engineering and Technology teams to define data requirements and pipelines.
 CERTIFICATES, LICENSES, REGISTRATIONS
 Valid driver’s license and reliable transportation (required). This role may include on\-site content capture at resorts and other properties.
**Qualifications**
* Deep knowledge of statistical modeling, machine learning algorithms, and feature engineering.
* Ability to translate complex analytical findings into clear, actionable insights for non\-technical leaders.
* Strong critical\-thinking and problem\-solving skills grounded in business outcomes and operational feasibility.
* Skilled in managing long\-cycle testing and validating performance across upstream and downstream funnel metrics.
* Confident communicator able to influence stakeholders, guide interpretation of predictive outputs, and recommend actions.
* Self\-starter who thrives in fast\-paced, evolving environments and champions a culture of data\-driven decision\-making.
* High attention to detail and ability to move work forward quickly in a fast\-paced environment.
 PHYSICAL DEMANDS
 While performing the duties of this job, the employee may be required to sit or stand for extended periods of time, bend, twist, reach, push, pull, and operate office machinery. Must be able to lift up to thirty pounds.
 WORKING CONDITIONS
 The majority of work will be performed in a climate\-controlled office environment at the Corporate Headquarters in Orlando, Florida. Occasional travel to resorts and locations for content gathering may be required. Employee may be exposed to inclement weather and varying degrees of temperature while on property.
 WORK SCHEDULE/HOURS
 This is a hybrid role: four days per week in the Orlando corporate office, one day remote. Schedules may vary depending on business needs and may include occasional nights, weekends, and holidays.</t>
        </is>
      </c>
    </row>
    <row r="92">
      <c r="A92" t="inlineStr">
        <is>
          <t>li-4331290806</t>
        </is>
      </c>
      <c r="B92" t="inlineStr">
        <is>
          <t>Data Scientist</t>
        </is>
      </c>
      <c r="C92" t="inlineStr">
        <is>
          <t>Central Health</t>
        </is>
      </c>
      <c r="D92" t="inlineStr">
        <is>
          <t>linkedin</t>
        </is>
      </c>
      <c r="E92">
        <f>HYPERLINK("https://www.linkedin.com/jobs/view/4331290806", "https://www.linkedin.com/jobs/view/4331290806")</f>
        <v/>
      </c>
      <c r="F92" t="inlineStr"/>
      <c r="G92" t="inlineStr">
        <is>
          <t>Austin, TX</t>
        </is>
      </c>
      <c r="H92" t="inlineStr"/>
      <c r="I92" t="inlineStr">
        <is>
          <t>The Data Scientist supports Central Health’s mission to improve access to quality care for Travis County residents living at or below 200% of the Federal Poverty Income Level. Working under the guidance of the Principal Data Scientist, this position will help shape and advance the organization’s data science and AI ecosystem, building scalable, ethical, and high\-performing models on Central Health’s modern Azure\-Snowflake data platform. The Data Scientist will collaborate closely with the Principal Data Scientist, Snowflake Engineer, Snowflake Architect, clinicians, operators and business teams to design, develop, and optimize a data platform that enables advanced analytics, predictive modeling, and AI applications across the enterprise.
 Partner with the Principal Data Scientist to develop and implement data science and AI models that address clinical, operational, and population health challenges.
 Collaborate with the Snowflake Engineer and Architect to ensure that the data environment is optimized for analytics, machine learning, and model deployment.
 Design and execute experiments, model training, and validation pipelines using large\-scale healthcare data from Epic (Clarity/Caboodle), public health datasets, and other internal/external sources.
 Apply advanced statistical and machine learning techniques to identify patterns, forecast trends, and provide actionable insights that improve care delivery and health equity.
 Collaborate with analytics, data engineering, and IT teams to ensure reproducibility, scalability, and compliance with data governance, security, and privacy standards (HIPAA, 42 CFR Part 2, etc.).
 Contribute to the development of MLOps and AI governance practices to ensure responsible and transparent model lifecycle management.
 Communicate analytical findings to technical and non\-technical stakeholders through data storytelling, dashboards, and reports.
 Mentor analysts and assist with data science literacy efforts across the organization.
 Become a data subject matter expert (SME) and understand various sources and applications of Central Health data.
 Performs other duties as assigned.
**MINIMUM EDUCATION**
* Doctoral or professional degree in Data Science, Statistics, Computer Science, Mathematics, Engineering, or a related quantitative field
**Work Experience**
+ 3 years Applied experience in data science, statistical modeling, or machine learning (may include doctoral research). Required And 1 year Experience working with large, complex healthcare datasets (EHR, claims, population health, or social determinants of health data). Required And 2 years Demonstrated experience developing and deploying models in a cloud\-based environment (Azure, Snowflake preferred). Required And 3 years Strong proficiency in Python, SQL, and common ML libraries (scikit\-learn, TensorFlow, PyTorch, etc.). Required And 3 years Experience with Snowflake, Azure Machine Learning, Databricks, or similar modern data platforms. Required And Experience with Office 365 Suite \- Outlook, Excel,</t>
        </is>
      </c>
    </row>
    <row r="93">
      <c r="A93" t="inlineStr">
        <is>
          <t>li-4331510937</t>
        </is>
      </c>
      <c r="B93" t="inlineStr">
        <is>
          <t>Data Scientist</t>
        </is>
      </c>
      <c r="C93" t="inlineStr">
        <is>
          <t>Summit School Services LLC</t>
        </is>
      </c>
      <c r="D93" t="inlineStr">
        <is>
          <t>linkedin</t>
        </is>
      </c>
      <c r="E93">
        <f>HYPERLINK("https://www.linkedin.com/jobs/view/4331510937", "https://www.linkedin.com/jobs/view/4331510937")</f>
        <v/>
      </c>
      <c r="F93" t="inlineStr"/>
      <c r="G93" t="inlineStr"/>
      <c r="H93" t="inlineStr"/>
      <c r="I93" t="inlineStr">
        <is>
          <t>Summit School Services companies share a strong commitment to provide the highest level of transportation safety, quality transportation, outstanding customer service and positive employee relations. Our corporate headquarters, located in Warrenville, Illinois, houses the administrative and corporate support functions for the organization. Our 250\+ local customer service centers (CSCs) are supported by regional operations teams located throughout North America.
**Job Overview** 
 We are seeking a highly skilled and innovative Data Scientist to join our analytics team. The ideal candidate will leverage advanced data analysis, business knowledge and machine learning/AI techniques to extract actionable insights from complex datasets. This role offers an opportunity to work with a variety of applications, data sources, and cloud\-based vendor solutions. The Data Scientist collaborates with operations and business teams to create predictive models, dashboards, and reports for staffing, KPIs, and contract renewals.
**Responsibilities \&amp; Duties** 
* Design and optimize ETL processes for data ingestion, transformation, and storage
* Conduct data mining and exploratory data analysis to identify patterns, trends, and anomalies within large datasets.
* Collaborate with cross\-functional teams to understand business requirements and translate them into analytical solutions.
* Architect, build and maintain databases with effective design principles to ensure data integrity and accessibility.
* Deploy machine learning models into production environments using model deployment best practices on cloud platforms.
* Analyze operational and performance data from school bus fleets and contracts
* Build predictive and statistical models to improve various points of the business such as contract renewal, staffing needs, operational KPIs.
* Stay current with emerging trends in AI and analytics to continuously improve modeling approaches.
 $125,000 \- $165,000
**Qualifications** 
**Requirements** 
* Bachelor’s degree in computer science or a similar field with 5\+ years experience as a data scientist or in a similar role.
* 5\+ years experience developing with programming languages such as SQL, Java and Python.
* Excellent understanding of SQL database/design/programming, ETL Processes, and Microsoft SQL Server.
* Experience working with data using structured (SQL) and/or unstructured (NoSQL) approaches.
* Experience with or exposure to data visualization principles and practices, especially with Power BI or Tableau.
* In\-depth knowledge of Azure Data Factory, Azure Databricks, and Azure Service Bus.
* Critical thinker with excellent problem\-solving skills and the ability to solve end user problems.
* A team player with good time\-management skills and the ability to maintain a friendly demeanor at all times.
* Travel requirement of up to 20% on a regular basis.
* Demonstrated ability to quickly learn new applications and technologies
* Advanced working knowledge of computer software packages including the Microsoft Office Suite as well as demonstrated understanding of operating systems, relational database design and operation, query tools, reporting tools, and decision support tools
* Exceptional interpersonal skills with a focus on teamwork, listening, and the ability to build relationships across the business
* Excellent verbal and written communication skills
* Ability to effectively prioritize and execute tasks in a high\-pressure environment
* Sense of ownership and pride in your performance and its impact on the company’s success. Self\-motivated with an energetic disposition.
* Strong knowledge of machine learning frameworks and related tools.
* Familiarity with cloud computing platforms for model training and deployment.
* Proficiency in natural language processing (NLP), linked data integration, and AI applications.
* Knowledge of analytics tools for creating insightful dashboards.
* Excellent problem\-solving skills with the ability to analyze large datasets effectively.
* Strong communication skills to convey complex technical concepts to non\-technical stakeholders.
*Summit School Services has a zero\-tolerance policy on conduct that is incompatible with its policies and values, including sexual exploitation and abuse, harassment, abuse of authority, and discrimination. Summit School Services is committed to promoting the protection and safeguarding of all children and passengers.* 
*We offer medical, dental, vision, basic life insurance coverage, holiday pay, and PTO accrual. Additionally, employees are able to enroll in a retirement savings plan.* 
*At Summit School Services our goal is to be a diverse workforce that is representative of the communities we serve. All employment decisions are based on business needs, job requirements and individual qualifications,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*Summit School Services LLC’s independent subsidiaries and affiliates are an equal employment opportunity (EEO) employer* 
 .
*The pay rate range, along with most all of the other terms and conditions of employment, vary between different sites, geographical markets, customer/ contractual terms and positions.*</t>
        </is>
      </c>
    </row>
    <row r="94">
      <c r="A94" t="inlineStr">
        <is>
          <t>li-4359480475</t>
        </is>
      </c>
      <c r="B94" t="inlineStr">
        <is>
          <t>Data Scientist - Credit Risk (NLP)</t>
        </is>
      </c>
      <c r="C94" t="inlineStr">
        <is>
          <t>Analytic Recruiting Inc.</t>
        </is>
      </c>
      <c r="D94" t="inlineStr">
        <is>
          <t>linkedin</t>
        </is>
      </c>
      <c r="E94">
        <f>HYPERLINK("https://www.linkedin.com/jobs/view/4359480475", "https://www.linkedin.com/jobs/view/4359480475")</f>
        <v/>
      </c>
      <c r="F94" t="inlineStr"/>
      <c r="G94" t="inlineStr"/>
      <c r="H94" t="inlineStr"/>
      <c r="I94" t="inlineStr">
        <is>
          <t>A leading FinTech company in consumer credit is seeking a
 **Data Scientist** 
 to lead high\-impact initiatives at the intersection of credit risk modeling and generative AI. In this role, you’ll work on cutting\-edge machine learning solutions using both structured and unstructured data. You’ll also play a key role in integrating Large Language Models (LLMs) into production systems — delivering insights, optimizing risk models, and driving product innovation.
**Location:** 
 Washington, D.C. or New York, NY
**Salary:** 
 Up to 140k base \+ bonus
 Visa sponsorship is NOT AVAILABLE
**Responsibilities:** 
* Design, build, and deploy predictive models for credit and risk analysis
* Apply and adapt LLMs to extract insights from text and enhance decision\-making
* Own model monitoring, explainability, and performance tracking
* Collaborate across teams to bring ML models into scalable production pipelines
* Analyze pilot programs using back\-testing and real\-world data
* Present findings and recommendations to both technical and business stakeholders
* Stay ahead of the curve on GenAI, NLP, and advanced ML developments
**Requirements:** 
* Master’s or PhD in a STEM or quantitative field
* 3\+ years of experience in data science, with focus on ML/AI in credit or risk domains
* Proficiency in Python and modern ML frameworks (e.g., PyTorch)
* Hands\-on experience with model development, deployment, and monitoring
* Strong communication skills and ability to influence across disciplines
* Experience with AWS or other cloud platforms (preferred)
* Deep expertise in GenAI, LLMs, NLP, or explainable AI (preferred)</t>
        </is>
      </c>
    </row>
    <row r="95">
      <c r="A95" t="inlineStr">
        <is>
          <t>li-4359630563</t>
        </is>
      </c>
      <c r="B95" t="inlineStr">
        <is>
          <t>Data Scientist, Demand Forecasting</t>
        </is>
      </c>
      <c r="C95" t="inlineStr">
        <is>
          <t>Barnes &amp; Noble, Inc.</t>
        </is>
      </c>
      <c r="D95" t="inlineStr">
        <is>
          <t>linkedin</t>
        </is>
      </c>
      <c r="E95">
        <f>HYPERLINK("https://www.linkedin.com/jobs/view/4359630563", "https://www.linkedin.com/jobs/view/4359630563")</f>
        <v/>
      </c>
      <c r="F95">
        <f>HYPERLINK("https://careers.barnesandnoble.com/job/88815BR&amp;urlHash=KkKH", "https://careers.barnesandnoble.com/job/88815BR&amp;urlHash=KkKH")</f>
        <v/>
      </c>
      <c r="G95" t="inlineStr">
        <is>
          <t>New York, NY</t>
        </is>
      </c>
      <c r="H95" t="inlineStr"/>
      <c r="I95" t="inlineStr">
        <is>
          <t>Location
 NY\-New York (Union Square)
 Classification
 Full\-Time
**Job Summary**
 We're seeking a highly skilled Data Scientist to join our team, with a focus on demand forecasting and supply planning. In this role, you will train and implement demand forecasting algorithms using modern machine learning techniques, driving measurable improvements in forecast accuracy. These demand forecasts will be used to support buying and replenishment decisions for all products in our stores and distribution centers. This is a critical role in driving business success. By developing and deploying advanced analytics solutions to inform inventory purchasing decisions, you will help ensure high stock availability while reducing our inventory investment.
 This is a hybrid position requiring 2\-3 days in our NY office.
 An employee in this position can expect an annual starting rate between $100,000 \- $120,000 depending on experience, seniority, geographic locations, and other factors permitted by law.
 What You Do
 The Data Scientist, Demand Forecasting Role Supports Our Buying Teams With The Key Tools And Information Needed To Run The Business. You Are Instrumental In Advancing Our Demand Planning, Analytical Capability, Data Quality, And Forecasting Tools Used By Multiple Internal B\&amp;N Partners. This Role Will Have a Direct Impact On Our Ability To Improve Forecast Accuracy And Drive Business Growth With Optimized Inventory Levels. Day To Day You Will:
* Develop and deploy demand forecasting models using machine learning and statistical techniques
* Collaborate with IT to implement models in production, ensuring seamless integration with existing systems
* Guide data engineering efforts to improve analytical capabilities, including data governance, quality, architecture, and tooling
* Analyze large datasets to inform business decisions, identifying trends, opportunities, and challenges
* Communicate complex technical concepts to non\-technical stakeholders, providing actionable insights and recommendations
* Stay up to date on changes in the field of forecasting, including the use of AI, to improve and scale forecasting capabilities
 Knowledge \&amp; Experience
 Success In This Role Requires High Attention To Detail, Excellent Analytical Abilities, And Strong Business Acumen. We’re Seeking Someone With:
* A degree in Computer Science, Statistics, Mathematics, or related field
* 3\-5 years of experience in data science, with a focus on time\-series analysis, regression analysis and machine learning
* Strong technical skills in programming languages such as Python, R, and SQL
* Experience with machine learning frameworks such as TensorFlow, PyTorch, or scikit\-learn
* Excellent leadership and collaboration skills, with experience working with cross\-functional teams
* Strong communication and presentation skills, with ability to distill complex concepts into actionable insights
* Experience with cloud\-based technologies and data engineering tools such as Databricks and Azure
* Familiarity with agile development methodologies and DevOps practices
* Knowledge of retail operations, merchandising and supply chain processes
* Must be able to work our of our NY office 2 \- 3 days/week</t>
        </is>
      </c>
    </row>
    <row r="96">
      <c r="A96" t="inlineStr">
        <is>
          <t>li-4330664533</t>
        </is>
      </c>
      <c r="B96" t="inlineStr">
        <is>
          <t>Data Scientist</t>
        </is>
      </c>
      <c r="C96" t="inlineStr">
        <is>
          <t>Ventures Unlimited Inc</t>
        </is>
      </c>
      <c r="D96" t="inlineStr">
        <is>
          <t>linkedin</t>
        </is>
      </c>
      <c r="E96">
        <f>HYPERLINK("https://www.linkedin.com/jobs/view/4330664533", "https://www.linkedin.com/jobs/view/4330664533")</f>
        <v/>
      </c>
      <c r="F96" t="inlineStr"/>
      <c r="G96" t="inlineStr">
        <is>
          <t>Charlotte, NC</t>
        </is>
      </c>
      <c r="H96" t="inlineStr"/>
      <c r="I96" t="inlineStr">
        <is>
          <t>**Must Have Technical/Functional Skills** 
 Primary Skill: Sr. Developer with strong knowledge in AI/ML, NLP, Deep Learning, LLM’s, Gen AI Models, Python scripting language and Libraries, this role is responsible for building or optimizing Data science solutions and help the business to address complex problems.
 Experience: Minimum 8 years
**Roles \&amp; Responsibilities** 
* Bachelor’s or master’s degree in computer science or related field.
* The candidate must have strong technical background with 8\+ years of IT experience. Sr. Developer with
* strong knowledge in AI/ML, NLP, Deep Learning, LLM’s, Gen AI Models, Python scripting language and Libraries, this role is responsible for building or optimizing Data science solutions and help the business to address complex problems.
* Strong experience in Machine Learning, NLP, Deep Learning, Statistical Modeling, understanding of machine learning techniques and algorithms.
* Strong hands\-on in Implementing LLM Models, GEN\-AI Models, OpenAI API’s. Strong hands\-on design and development experience in Python.
* Experience with data visualization tools.
* Worked on the Data analysis libraries like pandas · Experience in web API calls.
* Automations experience.
* Strong problem solving, analytical and interpersonal skills · Ability to work effectively in a team environment.
* Strong written and oral communication skills. Should have the ability to clearly express ideas.
* Experience working with Agile Methodology.</t>
        </is>
      </c>
    </row>
    <row r="97">
      <c r="A97" t="inlineStr">
        <is>
          <t>li-4352132695</t>
        </is>
      </c>
      <c r="B97" t="inlineStr">
        <is>
          <t>Senior Data Scientist -  Experimentation &amp; Measurement</t>
        </is>
      </c>
      <c r="C97" t="inlineStr">
        <is>
          <t>Sony Interactive Entertainment</t>
        </is>
      </c>
      <c r="D97" t="inlineStr">
        <is>
          <t>linkedin</t>
        </is>
      </c>
      <c r="E97">
        <f>HYPERLINK("https://www.linkedin.com/jobs/view/4352132695", "https://www.linkedin.com/jobs/view/4352132695")</f>
        <v/>
      </c>
      <c r="F97" t="inlineStr"/>
      <c r="G97" t="inlineStr">
        <is>
          <t>San Mateo, CA</t>
        </is>
      </c>
      <c r="H97" t="inlineStr"/>
      <c r="I9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 Experimentation \&amp; Measurement
**San Mateo,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$178,900—$268,300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98">
      <c r="A98" t="inlineStr">
        <is>
          <t>li-4331571372</t>
        </is>
      </c>
      <c r="B98" t="inlineStr">
        <is>
          <t>Data Scientist, Demand Forecasting</t>
        </is>
      </c>
      <c r="C98" t="inlineStr">
        <is>
          <t>Paper Source</t>
        </is>
      </c>
      <c r="D98" t="inlineStr">
        <is>
          <t>linkedin</t>
        </is>
      </c>
      <c r="E98">
        <f>HYPERLINK("https://www.linkedin.com/jobs/view/4331571372", "https://www.linkedin.com/jobs/view/4331571372")</f>
        <v/>
      </c>
      <c r="F98" t="inlineStr"/>
      <c r="G98" t="inlineStr">
        <is>
          <t>New York, NY</t>
        </is>
      </c>
      <c r="H98" t="inlineStr"/>
      <c r="I98" t="inlineStr">
        <is>
          <t>Title: Data Scientist, Demand Forecasting
 Category: Merchandising \&amp; Product Development
 EmploymentType: Full\-Time
 Location: NY\-New York (Union Square)
 LocationType: corporate
 JobLocation: New York, New York 10003
 JobSummary: We're seeking a highly skilled Data Scientist to join our team, with a focus on demand forecasting and supply planning. In this role, you will train and implement demand forecasting algorithms using modern machine learning techniques, driving measurable improvements in forecast accuracy. These demand forecasts will be used to support buying and replenishment decisions for all products in our stores and distribution centers. This is a critical role in driving business success. By developing and deploying advanced analytics solutions to inform inventory purchasing decisions, you will help ensure high stock availability while reducing our inventory investment.
 This is a hybrid position requiring 2\-3 days in our NY office.
 An employee in this position can expect an annual starting rate between $100,000 \- $120,000 depending on experience, seniority, geographic locations, and other factors permitted by law.
**WhatYouDo**
 The Data Scientist, Demand Forecasting role supports our buying teams with the key tools and information needed to run the business. You are instrumental in advancing our Demand Planning, analytical capability, data quality, and forecasting tools used by multiple internal B\&amp;N partners. This role will have a direct impact on our ability to improve forecast accuracy and drive business growth with optimized inventory levels. Day to day you will:
* Develop and deploy demand forecasting models using machine learning and statistical techniques
* Collaborate with IT to implement models in production, ensuring seamless integration with existing systems
* Guide data engineering efforts to improve analytical capabilities, including data governance, quality, architecture, and tooling
* Analyze large datasets to inform business decisions, identifying trends, opportunities, and challenges
* Communicate complex technical concepts to non\-technical stakeholders, providing actionable insights and recommendations
* Stay up to date on changes in the field of forecasting, including the use of AI, to improve and scale forecasting capabilities
**Knowledge\&amp;Experience**
 Success in this role requires high attention to detail, excellent analytical abilities, and strong business acumen. We’re seeking someone with:
* A degree in Computer Science, Statistics, Mathematics, or related field
* 3\-5 years of experience in data science, with a focus on time\-series analysis, regression analysis and machine learning
* Strong technical skills in programming languages such as Python, R, and SQL
* Experience with machine learning frameworks such as TensorFlow, PyTorch, or scikit\-learn
* Excellent leadership and collaboration skills, with experience working with cross\-functional teams
* Strong communication and presentation skills, with ability to distill complex concepts into actionable insights
* Experience with cloud\-based technologies and data engineering tools such as Databricks and Azure
* Familiarity with agile development methodologies and DevOps practices
* Knowledge of retail operations, merchandising and supply chain processes
* Must be able to work our of our NY office 2 \- 3 days/week
 EeoStatement: As an Affirmative Action Employer, Barnes \&amp; Noble hires qualified people to work for its Paper Source subsidiary to perform the many tasks necessary for the success of our business and is committed to diversity in the workplace. An essential part of this policy is providing equal employment opportunity for all. All employment practices and decisions—including those involving application procedures, recruitment or recruitment advertising, hiring, placement, job assignment, transfer, promotion, demotion, training, rates of pay or other forms of compensation, benefits, discipline ,leave of absence, layoff, recall, termination and general treatment during employment—will be conducted without regard to self\-identified, perceived or actual age, race, color, ancestry, national origin, citizenship status, military or veteran status, religion, creed, disability, sex, sexual orientation, marital status, medical condition as defined by applicable law, genetic information, gender, gender identity, gender expression (including transgender status), hairstyle, height and/or weight, pregnancy, childbirth and related medical conditions, reproductive health decisions, or any other self\-identified, perceived or actual characteristic protected by applicable federal, state, or local laws and ordinances, and will comply with all applicable laws.</t>
        </is>
      </c>
    </row>
    <row r="99">
      <c r="A99" t="inlineStr">
        <is>
          <t>li-4351996097</t>
        </is>
      </c>
      <c r="B99" t="inlineStr">
        <is>
          <t>Data Scientist, Fleet Operations</t>
        </is>
      </c>
      <c r="C99" t="inlineStr">
        <is>
          <t>Wayve</t>
        </is>
      </c>
      <c r="D99" t="inlineStr">
        <is>
          <t>linkedin</t>
        </is>
      </c>
      <c r="E99">
        <f>HYPERLINK("https://www.linkedin.com/jobs/view/4351996097", "https://www.linkedin.com/jobs/view/4351996097")</f>
        <v/>
      </c>
      <c r="F99" t="inlineStr"/>
      <c r="G99" t="inlineStr">
        <is>
          <t>Sunnyvale, CA</t>
        </is>
      </c>
      <c r="H99" t="inlineStr"/>
      <c r="I99"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As a Data Scientist in the Fleet Systems and Insights team, you will play a critical role in optimising fleet operations through data\-driven insights and operational research. You’ll help identify high\-impact opportunities and guide strategic decision\-making, driving improvements across the on\-road testing lifecycle.
 Rather than focusing solely on black\-box models, this role emphasizes using operational research techniques, experimental methods, and causal inference to derive actionable insights for operational efficiency and optimisation.
**This Means You Might**
* Develop frameworks to synthesize complex operational data (e.g., vehicle performance, route optimisation, and experiments scheduling) to inform strategy at both the product and company level.
* Identify key performance metrics for fleet operations and continuously refine them to ensure they align with wider business goals.
* Create and apply novel experimental methodologies to enhance the signal\-to\-noise ratio and speed up feedback loops, improving operational decision\-making and optimising use of on\-road testing for ML advancements.
* Combine experimental methods with causal inference techniques to test and optimise operational strategies.
**What We Are Looking For In Our Candidate Essential**
* 3\+ years of experience in a Data Science role, with a focus on operations research, process automation and optimisation, or similar fields.
* Proficient in querying and building large datasets, writing production\-level SQL for data transformation pipelines.
* Experience designing and evaluating real\-world experiments (e.g., A/B testing) to optimize operations and performance.
* Solid understanding of statistical principles, including hypothesis testing, distributions, and assumptions behind statistical methods.
* Proficient in using a statistical scripting language (e.g., Python, R) and relevant packages (e.g., pandas, sklearn, statsmodels).
* Strong ability to summarize, visualize, and communicate data insights in a clear and compelling manner.
* Proven track record of driving operational improvements and influencing team strategies with data\-driven findings.
* A focus on actionable insights that can directly inform fleet operations prioritization and optimization strategies.
 Desired
* Practical experience with machine learning and optimization techniques (e.g., pytorch, scikit\-learn).
* Experience promoting statistical rigor and experimental best practices in previous roles.
* Familiarity with causal inference, econometrics, or Bayesian methods for testing hypotheses in operations research.
* Prior experience working with large datasets and distributed computing (e.g., Spark, Hadoop).
* Experience in a fast\-paced tech or startup environment.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100">
      <c r="A100" t="inlineStr">
        <is>
          <t>li-4352162208</t>
        </is>
      </c>
      <c r="B100" t="inlineStr">
        <is>
          <t>(CW) Data Scientist</t>
        </is>
      </c>
      <c r="C100" t="inlineStr">
        <is>
          <t>TALENT Software Services</t>
        </is>
      </c>
      <c r="D100" t="inlineStr">
        <is>
          <t>linkedin</t>
        </is>
      </c>
      <c r="E100">
        <f>HYPERLINK("https://www.linkedin.com/jobs/view/4352162208", "https://www.linkedin.com/jobs/view/4352162208")</f>
        <v/>
      </c>
      <c r="F100" t="inlineStr"/>
      <c r="G100" t="inlineStr">
        <is>
          <t>Novato, CA</t>
        </is>
      </c>
      <c r="H100" t="inlineStr"/>
      <c r="I100" t="inlineStr">
        <is>
          <t>Description: OVERVIEW:
 Global Data Science (GDS), Data Management Science (DMS)
 Client's Data Science is responsible for designing, capturing, analyzing, and presenting data that can drive key decisions for Clinical Development, Medical Affairs, and other business areas of Client. With a quality\-by\-design culture, Data Science builds quality data that is fit\-for\-purpose to support statistically sound investigation of critical scientific questions. The Data Science team develops solid analytics that are visually relevant and impactful in supporting key data\-driven decisions across Client.
 The Data Management Science (DMS) group contributes to Data Science by providing complete, correct, and consistent analyzable data at data, data structure and documentation levels following international standards and GCP. The DMS Center of Risk Based Quality Management (RBQM) sub\-function is responsible for the implementation of a comprehensive, cross\-functional strategy to proactively manage quality risks for clinical trials. Starting at protocol development, the team collaborates to define critical\-to\-quality factors, design fit\-for\-purpose quality strategies, and enable ongoing oversight through centralized monitoring and data\-driven risk management.
**Summary Description**
 The RBQM Data Scientist supports central monitoring and risk\-based quality management (RBQM) for clinical trials. This role focuses on implementing and running pre\-defined KRIs, QTLs, and other risk metrics using clinical data, with strong emphasis on SAS programming to deliver robust and scalable analytics across multiple studies.
 KEY RESPONSIBILITIES:
 The RBQM Data Scientist may perform a range of the following responsibilities, depending upon the studies' complexity and studies' development stage:
* Implement and maintain pre\-defined KRIs, QTLs, and triggers using robust SAS programs/macros across multiple clinical studies.
* Extract, transform, and integrate data from EDC systems (e.g., RAVE) and other clinical sources into analysis\-ready SAS datasets.
* Run routine and ad\-hoc RBQM/central monitoring outputs (tables, listings, data extracts, dashboard feeds) to support signal detection and study review.
* Perform QC and troubleshooting of SAS code; ensure outputs are accurate and efficient.
* Maintain clear technical documentation (specifications, validation records, change logs) for all RBQM programs and processes.
* Collaborate with Central Monitors, Central Statistical Monitors, Data Management, Biostatistics, and Study Operations to understand requirements and ensure correct implementation of RBQM metrics.
**Qualifications**
 Education \&amp; Experience
* PhD, MS, or BA/BS in statistics, biostatistics, computer science, data science, life science, or a related field.
* Relevant clinical development experience (programming, RBM/RBQM, Data Management), for example:
 oPhD: 3\+ years
 oMS: 5\+ years
 oBA/BS: 8\+ years
 Technical \- Required
* Advanced SAS programming skills (hard requirement) in a clinical trials environment (Base SAS, Macro, SAS SQL; experience with large, complex clinical datasets).
* Hands\-on experience working with clinical trial data.
* Proficiency with Microsoft Word, Excel, and PowerPoint.
**Technical \- Preferred / Strong Plus**
* Experience with RAVE EDC.
* Awareness or working knowledge of CDISC, CDASH, SDTM standards.
* Exposure to R, Python, or JavaScript and/or clinical data visualization tools/platforms.
 Domain \&amp; Soft Skills
* Knowledge of GCP, ICH, FDA guidance related to clinical trials and risk\-based monitoring.
* Strong analytical and problem\-solving skills; ability to interpret complex data and risk outputs.
* Effective communication and teamwork skills; comfortable collaborating with cross\-functional, global teams.
* Ability to manage multiple programming tasks and deliver high\-quality work in a fast\-paced environment.</t>
        </is>
      </c>
    </row>
    <row r="101">
      <c r="A101" t="inlineStr">
        <is>
          <t>li-4359640920</t>
        </is>
      </c>
      <c r="B101" t="inlineStr">
        <is>
          <t>Data Scientist</t>
        </is>
      </c>
      <c r="C101" t="inlineStr">
        <is>
          <t>TMB (Trusted Media Brands)</t>
        </is>
      </c>
      <c r="D101" t="inlineStr">
        <is>
          <t>linkedin</t>
        </is>
      </c>
      <c r="E101">
        <f>HYPERLINK("https://www.linkedin.com/jobs/view/4359640920", "https://www.linkedin.com/jobs/view/4359640920")</f>
        <v/>
      </c>
      <c r="F101" t="inlineStr"/>
      <c r="G101" t="inlineStr"/>
      <c r="H101" t="inlineStr"/>
      <c r="I101" t="inlineStr">
        <is>
          <t>**About Us**
 Trusted Media Brands (TMB) is a community\-driven entertainment company that engages more than 250 million consumers worldwide across streaming TV, social media, web, and print. Our portfolio of brands—including FailArmy, Family Handyman, People Are Awesome, Reader’s Digest, Taste of Home, The Healthy, Birds \&amp; Blooms, and The Pet Collective—is powered by content inspired and created by our fans.
 Together, our community sparks curiosity, fuels laughter, and inspires people to live big, full, fantastic lives.
**Location:**
 We have offices in
 **New York, Los Angeles, and Milwaukee** 
 . This position is remote with a preference for someone in the EST or CST time zones.
**Role Overview**
 We are looking for a Data Scientist who sits at the intersection of web analytics, content intelligence and applied AI. This role goes beyond reporting and model\-building. You’ll help optimize how the business operates by translating web traffic, user behavior and content signals into smarter decisions, better products and measurable growth.
 You’ll work with large\-scale datasets across web, video, and content ecosystems, and apply learning to improve performance across traffic acquisition, engagement, monetization and operational efficiency. You’ll build predictive models, develop and execute on insights that directly influence our strategies. You’ll collaborate with cross\-functional teams, leverage modern cloud technologies, and contribute to building scalable analytics solutions using traditional analytics, machine learning and Artificial Intelligence.
**Key Responsibilities**
* Analyze and model large, sometimes complex, datasets, including web traffic, user behavior, engagement funnels, and video and content metadata
* Develop and deploy scalable machine learning models for forecasting, user segmentation, and content performance optimization tasks
* Design, build, and maintain scalable ETL pipelines and workflows using GCP and BigQuery for data ingestion and transformation
* Leverage machine learning and AI techniques to improve decision\-making, including experimentation, ranking, scoring and automation use cases
* Collaborate with product, business verticals, operations and engineering teams to align initiatives with technical and business objectives and KPIs
* Build dashboards and visualizations that provide visibility into performance, tends and opportunities across the business
* Translate insights into clear recommendations that influence strategy and prioritization to stakeholders
* Optimize queries and workflows in SQL and Python for performance, reliability and efficiency
* Continuously evaluate new capabilities and tools to improve efficiency, insight generation and business outcomes
**What We’re Looking For:**
* 2\+ years experience in a data science or advanced analytics role, ideally supporting digital products or content and sales driven businesses
* Expertise in SQL and Python, with experience in statistical analysis and predictive modeling
* Proficiency working in cloud environments. We use Google Cloud Platform, including BigQuery, Dataform, Vertex AI. Gemini Enterprise experience is a plus
* Strong analytical judgment with the ability to move from data to decisions
* Solid understanding of web traffic analytics
* Strong problem\-solving skills and the ability to manage multiple projects and work effectively in a fast\-moving, cross functional environment
* Excellent communication skills and ability to present complex findings to both technical and non\-technical audiences
**Preferred Qualifications:**
* Experience applying AI or machine learning to optimize business workflows, content performance or user experiences
* Experience with vector search models and semantic search tools
* Experience with dashboarding tools and BI tools like Looker
* Background in experimentation frameworks, A/B testing and causal inference
* Knowledge of ad tech, monetization models, and/or revenue optimization using traffic and engagement data
**Our Benefits:**
 We value our people and offer a collaborative, engaging culture with a strong emphasis on work\-life balance. Trusted Media Brands provides generous time off, comprehensive benefits, and programs designed to support your well\-being and professional growth. Learn more at trustedmediabrands.com/careers.
*Trusted Media Brands embraces inclusivity and values our diverse community. We are committed to building a team based on qualifications, merit, and business need. We are proud to be an equal opportunity employer and do not discriminate on the basis of race, religion, color, national origin, gender, sexual orientation, age, marital status, veteran status, or disability status.*</t>
        </is>
      </c>
    </row>
    <row r="102">
      <c r="A102" t="inlineStr">
        <is>
          <t>li-4331590957</t>
        </is>
      </c>
      <c r="B102" t="inlineStr">
        <is>
          <t>Senior Data Scientist</t>
        </is>
      </c>
      <c r="C102" t="inlineStr">
        <is>
          <t>InterSources Inc</t>
        </is>
      </c>
      <c r="D102" t="inlineStr">
        <is>
          <t>linkedin</t>
        </is>
      </c>
      <c r="E102">
        <f>HYPERLINK("https://www.linkedin.com/jobs/view/4331590957", "https://www.linkedin.com/jobs/view/4331590957")</f>
        <v/>
      </c>
      <c r="F102" t="inlineStr"/>
      <c r="G102" t="inlineStr">
        <is>
          <t>New York, United States</t>
        </is>
      </c>
      <c r="H102" t="inlineStr"/>
      <c r="I102" t="inlineStr">
        <is>
          <t>**Position :: Data Scientist ML** 
**Location :: Three days a week in New York, NY, Holmdel, NJ, Bethlehem, PA, or Boston, MA** 
* We are seeking a Data Scientist, Machine Learning—an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 **You Will:**
* **Key Responsibilities**
* Design and implement machine learning solutions that automate business workflows, improve decision\-making, and enhance customer and employee experiences.
* Apply ML techniques (e.g., regression, classification, clustering, ensemble methods such as Random Forest and XGBoost) to structured and semi\-structured data such as claims, underwriting notes, and customer records.
* Develop robust, scalable, and production\-ready ML models that integrate with Guardian’s platforms to deliver measurable business outcomes.
* Collaborate with data engineers and MLOps teams to ensure models are scalable, robust, and production\-ready.
* Translate research in machine learning and statistical modeling into practical applications for underwriting, claims automation, customer servicing, and risk assessment.
* Work closely with product owners, engineers, and business stakeholders to define use cases, design solutions, and measure impact.
* Contribute to building reusable components and frameworks for developing and deploying ML solutions.
* Adhere to model governance, documentation, testing, and other best practices in partnership with key stakeholders.
* **You are:**
* Passionate about applying machine learning to solve real\-world business challenges.
* Curious about new ML techniques and their practical applications in industry.
* A hands\-on builder who enjoys moving solutions from prototype to deployment.
* Comfortable collaborating in cross\-functional teams and aligning technical solutions with business goals.
* An effective communicator, able to present complex ideas and trade\-offs to both technical and non\-technical stakeholders.
* **You have:**
* PhD with 0–1 years of experience, Master’s degree with 2\+ years, or Bachelor’s degree with 4\+ years in Statistics, Computer Science, Engineering, Applied Mathematics, or related field.
* Experience in insurance industry (Underwriting Experience is Preferred)
* 2\+ years of hands\-on experience in ML modeling and development.
* Background in insurance and underwriting preferred
* Solid understanding of probability, statistics, and machine learning fundamentals.
* Strong programming skills in Python and familiarity with frameworks like scikit\-learn, pandas, and numpy.
* Experience with a variety of machine learning techniques (regression, classification, clustering, ensemble methods, etc.)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t>
        </is>
      </c>
    </row>
    <row r="103">
      <c r="A103" t="inlineStr">
        <is>
          <t>li-4352043265</t>
        </is>
      </c>
      <c r="B103" t="inlineStr">
        <is>
          <t>Data Scientist</t>
        </is>
      </c>
      <c r="C103" t="inlineStr">
        <is>
          <t>Planet Pharma</t>
        </is>
      </c>
      <c r="D103" t="inlineStr">
        <is>
          <t>linkedin</t>
        </is>
      </c>
      <c r="E103">
        <f>HYPERLINK("https://www.linkedin.com/jobs/view/4352043265", "https://www.linkedin.com/jobs/view/4352043265")</f>
        <v/>
      </c>
      <c r="F103" t="inlineStr"/>
      <c r="G103" t="inlineStr">
        <is>
          <t>California, United States</t>
        </is>
      </c>
      <c r="H103" t="inlineStr"/>
      <c r="I103" t="inlineStr">
        <is>
          <t>**Job Description**
 Pay 65\-75/h depending
**Overview**
 Global Data Science (GDS), Data Management Science (DMS)
 Data Science is responsible for designing, capturing, analyzing, and presenting data that can drive key decisions for Clinical Development, Medical Affairs, and other business areas of the company. With a quality\-by\-design culture, Data Science builds quality data that is fit\-for\-purpose to support statistically sound investigation of critical scientific questions. The Data Science team develops solid analytics that are visually relevant and impactful in supporting key data\-driven decisions across the company.
 The Data Management Science (DMS) group contributes to Data Science by providing complete, correct, and consistent analyzable data at data, data structure and documentation levels following international standards and GCP. The DMS Center of Risk Based Quality Management (RBQM) sub\-function is responsible for the implementation of a comprehensive, cross\-functional strategy to proactively manage quality risks for clinical trials. Starting at protocol development, the team collaborates to define critical\-to\-quality factors, design fit\-for\-purpose quality strategies, and enable ongoing oversight through centralized monitoring and data\-driven risk management.
**Summary Description**
 The RBQM Data Scientist supports central monitoring and risk\-based quality management (RBQM) for clinical trials. This role focuses on implementing and running pre\-defined KRIs, QTLs, and other risk metrics using clinical data, with strong emphasis on SAS programming to deliver robust and scalable analytics across multiple studies.
**Key Responsibilities**
 The RBQM Data Scientist may perform a range of the following responsibilities, depending upon the studies’ complexity and studies’ development stage:
* Implement and maintain pre\-defined KRIs, QTLs, and triggers using robust SAS programs/macros across multiple clinical studies.
* Extract, transform, and integrate data from EDC systems (e.g., RAVE) and other clinical sources into analysis\-ready SAS datasets.
* Run routine and ad\-hoc RBQM/central monitoring outputs (tables, listings, data extracts, dashboard feeds) to support signal detection and study review.
* Perform QC and troubleshooting of SAS code; ensure outputs are accurate and efficient.
* Maintain clear technical documentation (specifications, validation records, change logs) for all RBQM programs and processes.
* Collaborate with Central Monitors, Central Statistical Monitors, Data Management, Biostatistics, and Study Operations to understand requirements and ensure correct implementation of RBQM metrics.
**Qualifications**
 Education \&amp; Experience
* PhD, MS, or BA/BS in statistics, biostatistics, computer science, data science, life science, or a related field.
* Relevant clinical development experience (programming, RBM/RBQM, Data Management), for example:
* PhD: 3\+ years
* MS: 5\+ years
* BA/BS: 8\+ years
 Technical – Required
* Advanced SAS programming skills (hard requirement) in a clinical trials environment (Base SAS, Macro, SAS SQL; experience with large, complex clinical datasets).
* Hands\-on experience working with clinical trial data.
* Proficiency with Microsoft Word, Excel, and PowerPoint.
**Technical – Preferred / Strong Plus**
* Experience with RAVE EDC.
* Awareness or working knowledge of CDISC, CDASH, SDTM standards.
* Exposure to R, Python, or JavaScript and/or clinical data visualization tools/platforms.
 Domain \&amp; Soft Skills
* Knowledge of GCP, ICH, FDA guidance related to clinical trials and risk\-based monitoring.
* Strong analytical and problem\-solving skills; ability to interpret complex data and risk outputs.
* Effective communication and teamwork skills; comfortable collaborating with cross\-functional, global teams.
* Ability to manage multiple programming tasks and deliver high\-quality work in a fast\-paced environment.
 The Planet Group of Companies is an equal opportunity employer. We celebrate diversity and are committed to creating an inclusive environment for all employees.</t>
        </is>
      </c>
    </row>
    <row r="104">
      <c r="A104" t="inlineStr">
        <is>
          <t>li-4331580788</t>
        </is>
      </c>
      <c r="B104" t="inlineStr">
        <is>
          <t>AWS Python Data Scientist</t>
        </is>
      </c>
      <c r="C104" t="inlineStr">
        <is>
          <t>Capgemini</t>
        </is>
      </c>
      <c r="D104" t="inlineStr">
        <is>
          <t>linkedin</t>
        </is>
      </c>
      <c r="E104">
        <f>HYPERLINK("https://www.linkedin.com/jobs/view/4331580788", "https://www.linkedin.com/jobs/view/4331580788")</f>
        <v/>
      </c>
      <c r="F104" t="inlineStr"/>
      <c r="G104" t="inlineStr">
        <is>
          <t>Houston, TX</t>
        </is>
      </c>
      <c r="H104" t="inlineStr"/>
      <c r="I104" t="inlineStr">
        <is>
          <t>**Your address must be within 100 miles and work 2 days in office in the office in Houston.** 
 As a
 **Data Scientist** 
 , you will work within the Analytics team to develop models using Natural Language Processing along with many other techniques.
 \- Developing ML models that allow us to be prescriptive as opposed to reactive.
 \- Staying informed of next generation data and analytical tools.
 \- Converting ad hoc analyses into scalable solutions and tools that can be used on demand as self\-serve.
 \- Helping reveal actionable insights for individuals within various business functions.
 \- Cleaning, prepping and verifying the integrity of data for analyses.
 \- Demonstrable knowledge of common coding languages (Python, SQL, R) with ability to learn new skills and apply skills in new environments.
 \- Experience in Developing and Deploying GenAI Solutions: Building and fine\-tuning generative AI/LLM solutions using AWS Bedrock and available foundation models like Claude, Llama, and Titan.
 \- Building ML Workflows: Leveraging a wide range of AWS services (S3, Lambda, SageMaker, API Gateway, etc.) to build end\-to\-end machine learning workflows.
 \- Implementing RAG Architectures: Designing and building Retrieval Augmented Generation (RAG) pipelines and developing custom embeddings and vector search solutions.
 \- Prompt Engineering and Optimization: Creating effective prompt engineering strategies, evaluation frameworks, and model optimization techniques.
 \- Collaboration: Working with cross\-functional teams, including data engineers and software engineers, to integrate AI applications into existing systems and translate business problems into scalable AI solutions.
 \- Monitoring and Governance: Ensuring data quality, security, and compliance, and setting up monitoring and governance for production\-ready AI applications.
 Requirements
 "6\+ Years of experience in the industry
 \- Design and Development: Design, develop, and implement data pipelines using AWS services such as AWS Glue, Lambda, S3, Kinesis, and Snowflake to process large\-scale data.
 \- ETL Processes: Build and maintain robust ETL processes for efficient data extraction, transformation, and loading, ensuring data quality and integrity across systems.
 \- Data Warehousing: Design and manage data warehousing solutions on AWS, particularly with Redshift, for optimized storage, querying, and analysis of structured and semi\-structured data.
 \- Data Lake Management: Implement and manage scalable data lake solutions using AWS S3, Glue, and related services to support structured, unstructured, and streaming data.
 \- Collaboration: Work closely with data scientists, analysts, and business stakeholders to understand data needs and deliver data solutions aligned with business goals.
 \- Documentation: Create and maintain documentation for data infrastructure, data pipelines, and ETL processes to support internal knowledge sharing and compliance.
 \- Required hands\-on experience with Python and SQL (2\+ years)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t>
        </is>
      </c>
    </row>
    <row r="105">
      <c r="A105" t="inlineStr">
        <is>
          <t>li-4331280820</t>
        </is>
      </c>
      <c r="B105" t="inlineStr">
        <is>
          <t>Sr. Data Scientist, Outcomes Research</t>
        </is>
      </c>
      <c r="C105" t="inlineStr">
        <is>
          <t>Tempus AI</t>
        </is>
      </c>
      <c r="D105" t="inlineStr">
        <is>
          <t>linkedin</t>
        </is>
      </c>
      <c r="E105">
        <f>HYPERLINK("https://www.linkedin.com/jobs/view/4331280820", "https://www.linkedin.com/jobs/view/4331280820")</f>
        <v/>
      </c>
      <c r="F105" t="inlineStr"/>
      <c r="G105" t="inlineStr">
        <is>
          <t>Illinois, United States</t>
        </is>
      </c>
      <c r="H105" t="inlineStr"/>
      <c r="I105"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Outcomes Research team at Tempus partners with external Pharma, biotech and academic institutions to provide best in class data, analysis and methodological guidance to Tempus’s real world data offering. We are seeking a highly motivated and capable Sr. Data Scientist with extensive experience and interest in design and analysis of pharmacoepidemiological studies to join our team.
**Responsibilities**
* Participate in clinical projects with external Pharma, academic and other partners
* Represent the Outcomes Research function and collaborate with internal and external stakeholders in the design, analysis, interpretation and publication of clinical real world studies
* Work on complex problems, exercising judgment in selecting and adapting methods as appropriate
* Work with interdisciplinary groups of scientists, engineers, and product developers to translate research into clinically actionable insights for our clients
* Stay current with the latest methodological advances in real world studies
* Build infrastructure including reusable code
* Comply with all applicable regulations and Company procedures
**Required Experience**
* Advanced degree (Masters with 5\+ years of experience or PhD with 3\+ years of experience) or Bachelor’s degree with 8\+ years of experience in data science, bioinformatics, biostatistics, epidemiology, immunology, public health, or related fields.
* Computational skills using Python, R or SAS and SQL, especially relevant statistical tools and packages
**Ideal Candidates Will Possess**
* Strong data manipulation and analysis skills
* Ability to tackle large, ambiguous problems
* Strong communication and presentation skills
* Self\-starter
* Familiarity with machine learning techniques and the advantages and disadvantages of different approaches, especially with respect to predictive and prognostic algorithms in medical research
* Experience in cancer genetics, immunology, or molecular biology
* Self\-driven and works well in interdisciplinary teams
* Collaborative mindset, an eagerness to learn and a high integrity work ethic
* Sharp attention to detail and passion for delivering high quality and timely analytics deliverables
* Able to effectively present research results to study team and other collaborators, including results interpretation and drawing appropriate inferences based on study design/statistical methods as well as assessment of study limitations
**Nice To Have**
* Experience with version control and software testing
* Experience with time to event analysis and methodology
* Experience working in oncology Phase II\-IV clinical trials and/or experience with the analysis of RWD studies (e.g. using claims, EHR or registry data sources)
* Hands\-on experience in helping to prepare regulatory submissions to the FDA
* Experience supporting data science teams in model building and validation
* Client facing or consulting experience and comfort with presenting results to stakeholders
 CHI: $100,000\-$160,000 NYC/SF: $115,000\-$175,000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06">
      <c r="A106" t="inlineStr">
        <is>
          <t>li-4359600168</t>
        </is>
      </c>
      <c r="B106" t="inlineStr">
        <is>
          <t>Senior Data Scientist, Medical Imaging</t>
        </is>
      </c>
      <c r="C106" t="inlineStr">
        <is>
          <t>Formation Bio</t>
        </is>
      </c>
      <c r="D106" t="inlineStr">
        <is>
          <t>linkedin</t>
        </is>
      </c>
      <c r="E106">
        <f>HYPERLINK("https://www.linkedin.com/jobs/view/4359600168", "https://www.linkedin.com/jobs/view/4359600168")</f>
        <v/>
      </c>
      <c r="F106">
        <f>HYPERLINK("https://job-boards.greenhouse.io/formationbio/jobs/7523506?gh_src=aea95e2b1&amp;urlHash=KQrl", "https://job-boards.greenhouse.io/formationbio/jobs/7523506?gh_src=aea95e2b1&amp;urlHash=KQrl")</f>
        <v/>
      </c>
      <c r="G106" t="inlineStr">
        <is>
          <t>New York, NY</t>
        </is>
      </c>
      <c r="H106" t="inlineStr"/>
      <c r="I106"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Senior Data Scientist \- Medical Imaging at Formation Bio, you will lead our efforts to integrate advanced imaging analytics and AI into our drug development pipeline. In this role, you'll pioneer the application of computer vision and deep learning to medical imaging data (MRI, X\-ray, CT, PET) to accelerate clinical trials and improve patient outcomes. You'll develop state\-of\-the\-art models for automated image analysis, disease progression monitoring, and treatment response assessment. Working closely with clinical teams, radiologists, and drug development experts, you'll translate complex imaging data into actionable insights that drive key decisions across our portfolio. This position offers a unique opportunity to revolutionize how medical imaging is leveraged in pharmaceutical development while directly impacting patient care.
**Responsibilities**
* Lead the development of advanced deep learning models for medical image analysis, focusing on MRI and X\-ray modalities for clinical trial applications
* Design and implement automated image processing pipelines for disease detection, segmentation, and quantification across multiple therapeutic areas
* Create innovative approaches for longitudinal image analysis to track disease progression and treatment efficacy in clinical trials, incl. AI\-based biomarkers and surrogate endpoints
* Collaborate with clinical operations to integrate imaging AI solutions into trial protocols and workflows
* Partner with regulatory teams to ensure imaging biomarkers and AI models meet FDA standards for clinical trial endpoints
* Build scalable infrastructure for processing and analyzing large\-scale medical imaging datasets from multi\-site clinical trials
* Present imaging insights and model performance to executive leadership and external partners
**About You**
 Required Qualifications
* PhD in Computer Science, Biomedical Engineering, Medical Physics, or related field with focus on medical imaging
* 5\+ years of post\-PhD industry experience developing production\-grade AI models for medical imaging applications
* Deep expertise in computer vision and deep learning architectures (CNNs, U\-Net, Vision Transformers) for medical image analysis
* Proven track record with MRI and X\-ray image analysis, including hands\-on experience with DICOM standards and medical imaging software
* Strong programming skills in Python with expertise in PyTorch/TensorFlow and medical imaging libraries
* Demonstrated ability to collaborate with radiologists and clinical teams to translate medical insights into technical solutions
* Strong communication skills with proven ability to present complex imaging analytics to diverse stakeholders
**Preferred Qualifications**
* Experience with regulatory submissions involving imaging endpoints or AI\-based image analysis tools
* Experience with multi\-modal imaging fusion and analysis (combining MRI, CT, PET data)
* Knowledge of clinical trial design and experience with imaging core lab operations
* Experience with federated learning or privacy\-preserving techniques for medical imaging
* Understanding of radiomics and quantitative imaging biomarker development
* Experience with 3D image reconstruction and volumetric analysis
 Formation Bio is prioritizing hiring in key hubs, primarily the New York City and Boston metro areas.
 **Please only apply if you reside in these locations or are willing to relocate.**
**Compensation**
**The target salary range for this role is: $163,000 \- $214,000**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107">
      <c r="A107" t="inlineStr">
        <is>
          <t>li-4331900754</t>
        </is>
      </c>
      <c r="B107" t="inlineStr">
        <is>
          <t>AWS Python Data Scientist</t>
        </is>
      </c>
      <c r="C107" t="inlineStr">
        <is>
          <t>Capgemini</t>
        </is>
      </c>
      <c r="D107" t="inlineStr">
        <is>
          <t>linkedin</t>
        </is>
      </c>
      <c r="E107">
        <f>HYPERLINK("https://www.linkedin.com/jobs/view/4331900754", "https://www.linkedin.com/jobs/view/4331900754")</f>
        <v/>
      </c>
      <c r="F107" t="inlineStr"/>
      <c r="G107" t="inlineStr">
        <is>
          <t>New Orleans, LA</t>
        </is>
      </c>
      <c r="H107" t="inlineStr"/>
      <c r="I107" t="inlineStr">
        <is>
          <t>**Your address must be within 100 miles and work 2 days in office in the office in New Orleans.** 
 As a
 **Data Scientist** 
 , you will work within the Analytics team to develop models using Natural Language Processing along with many other techniques.
 \- Developing ML models that allow us to be prescriptive as opposed to reactive.
 \- Staying informed of next generation data and analytical tools.
 \- Converting ad hoc analyses into scalable solutions and tools that can be used on demand as self\-serve.
 \- Helping reveal actionable insights for individuals within various business functions.
 \- Cleaning, prepping and verifying the integrity of data for analyses.
 \- Demonstrable knowledge of common coding languages (Python, SQL, R) with ability to learn new skills and apply skills in new environments.
 \- Experience in Developing and Deploying GenAI Solutions: Building and fine\-tuning generative AI/LLM solutions using AWS Bedrock and available foundation models like Claude, Llama, and Titan.
 \- Building ML Workflows: Leveraging a wide range of AWS services (S3, Lambda, SageMaker, API Gateway, etc.) to build end\-to\-end machine learning workflows.
 \- Implementing RAG Architectures: Designing and building Retrieval Augmented Generation (RAG) pipelines and developing custom embeddings and vector search solutions.
 \- Prompt Engineering and Optimization: Creating effective prompt engineering strategies, evaluation frameworks, and model optimization techniques.
 \- Collaboration: Working with cross\-functional teams, including data engineers and software engineers, to integrate AI applications into existing systems and translate business problems into scalable AI solutions.
 \- Monitoring and Governance: Ensuring data quality, security, and compliance, and setting up monitoring and governance for production\-ready AI applications.
 Requirements
 "6\+ Years of experience in the industry
 \- Design and Development: Design, develop, and implement data pipelines using AWS services such as AWS Glue, Lambda, S3, Kinesis, and Snowflake to process large\-scale data.
 \- ETL Processes: Build and maintain robust ETL processes for efficient data extraction, transformation, and loading, ensuring data quality and integrity across systems.
 \- Data Warehousing: Design and manage data warehousing solutions on AWS, particularly with Redshift, for optimized storage, querying, and analysis of structured and semi\-structured data.
 \- Data Lake Management: Implement and manage scalable data lake solutions using AWS S3, Glue, and related services to support structured, unstructured, and streaming data.
 \- Collaboration: Work closely with data scientists, analysts, and business stakeholders to understand data needs and deliver data solutions aligned with business goals.
 \- Documentation: Create and maintain documentation for data infrastructure, data pipelines, and ETL processes to support internal knowledge sharing and compliance.
 \- Required hands\-on experience with Python and SQL (2\+ years)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t>
        </is>
      </c>
    </row>
    <row r="108">
      <c r="A108" t="inlineStr">
        <is>
          <t>li-4331540594</t>
        </is>
      </c>
      <c r="B108" t="inlineStr">
        <is>
          <t>Data Scientist II - Employee Benefits</t>
        </is>
      </c>
      <c r="C108" t="inlineStr">
        <is>
          <t>Alliant Insurance Services</t>
        </is>
      </c>
      <c r="D108" t="inlineStr">
        <is>
          <t>linkedin</t>
        </is>
      </c>
      <c r="E108">
        <f>HYPERLINK("https://www.linkedin.com/jobs/view/4331540594", "https://www.linkedin.com/jobs/view/4331540594")</f>
        <v/>
      </c>
      <c r="F108" t="inlineStr"/>
      <c r="G108" t="inlineStr">
        <is>
          <t>Georgia, United States</t>
        </is>
      </c>
      <c r="H108" t="inlineStr"/>
      <c r="I108" t="inlineStr">
        <is>
          <t>Alliant Insurance Services is one of the nation’s largest and fastest\-growing insurance brokerage and consulting firms. We operate through a network of specialized national platforms and local offices to offer our clients a comprehensive portfolio of solutions built on innovative thinking and personal service. Alliant is changing the way our clients approach risk management and benefits, so they can capitalize on new opportunities to grow and protect their organizations.
 More information is available on the company's website at: www.alliant.com.
**Summary**
 Responsible for analyzing health care cost and utilization data, applying data mining techniques, doing statistical analysis, and creating data models. Understanding health care claims, eligibility and pharmacy data and crafting the models to meet client requirements. Will work in concert with team members within the Analytical Services and Data Research and Analytics Departments.
**Essential Duties And Responsibilities**
* Interacts with in\-house data management personnel regarding aggregation of data and deployment into QlikView application and OLAP cubes.
* Independently analyze data from various health care plans and programs (including but not limited to medical, pharmacy, dental, vision and wellness data).
* Organizes, outlines, prepares and presents reports, executive summaries, data models and/or data analytics related presentations (collaborating with
* The communication team, as necessary).
* Gathers requirements, design experiments, test hypotheses and build models for scenarios that are beneficial to clients and impact vital business processes and decision support.
* Corresponds directly with internal and external clients (and vendors, if needed) on all data analytics related matters, e.g., hypothesis testing and
* Statistical validation. This includes in\-person, e\-mail, and phone communication.
* Implements appropriate algorithms to discover patterns in data.
* Recommends enhancements to current methods, processes, and algorithms.
* Advises co\-workers where appropriate on technical and conceptual issues or questions.
* Provides relevant business metrics tied to value propositions that illuminate action items.
* Presents and explains conclusions in terms that is easy for the business to consume and understand.
* Perform all duties in accordance with all company policies and procedures, and all federal, state and local laws, wherein the Company operates.
* Performs other duties as assigned
**Qualifications**
****EDUCATION / EXPERIENCE****
 Bachelor's Degree in Business, Mathematics, Statistics, Computer Science, Information Systems, Healthcare Analytics, Healthcare Administration or Actuarial Science or equivalent combination of education and experience
 Experience in data science modeling (AI, Machine Learning, Deep Learning, Decision Trees, Random Forest, Neural Networks, Supervised/Unsupervised Learning, Forecast in, Predictive Modeling and Clustering)
 Three (3\) or more years experience in employee benefits/health care analytics
**Skills**
 Proficient in Microsoft Word, Excel, PowerPoint and Outlook and ability to assimilate to new programs quickly
 Proficient in T\-SQL, SQL Server, QlikView (or similar reporting platform), R and/or Python
 Strong analytical and problem\-solving skills
 High level of creativity
 Excellent oral and written communication skills
 Good organizational skills
 Exceptional interpersonal and relationship\-building skills
 Detail\-oriented and ability to work accurately
 Ability to work collaboratively and independently
 Ability to multi\-task and easily adjust to change
 Ability to work in a fast\-paced environment and to meet tight deadlines
 Is highly customer focused
 We are proud to provide comprehensive, high quality employee programs to meet employees’ needs now and in the future, including a very competitive financial package. We encourage you to explore what we have to offer.
 For immediate consideration for this position, please click on the
 **“Apply Now"** 
 button.
 Alliant Insurance Services, Inc. is an equal opportunity employer. All qualified applicants will receive consideration for employment and will not be discriminated against on the basis of race, color, age, religion, gender, sexual orientation, gender identity, national origin, disability, protected veteran status or any other protected status.
 If you are applying for a job and need a reasonable accommodation for any part of the employment process, please call our Career Center at 1\-877\-901\-9473 and let us know the nature of your request and contact information.
 For more information on Alliant Insurance Service's benefits, click here.</t>
        </is>
      </c>
    </row>
    <row r="109">
      <c r="A109" t="inlineStr">
        <is>
          <t>li-4359420864</t>
        </is>
      </c>
      <c r="B109" t="inlineStr">
        <is>
          <t>Senior Data Scientist</t>
        </is>
      </c>
      <c r="C109" t="inlineStr">
        <is>
          <t>Dassault Systèmes</t>
        </is>
      </c>
      <c r="D109" t="inlineStr">
        <is>
          <t>linkedin</t>
        </is>
      </c>
      <c r="E109">
        <f>HYPERLINK("https://www.linkedin.com/jobs/view/4359420864", "https://www.linkedin.com/jobs/view/4359420864")</f>
        <v/>
      </c>
      <c r="F109">
        <f>HYPERLINK("https://www.3ds.com/careers/jobs/senior-data-scientist-546364?src=SNS-102&amp;urlHash=6RqR", "https://www.3ds.com/careers/jobs/senior-data-scientist-546364?src=SNS-102&amp;urlHash=6RqR")</f>
        <v/>
      </c>
      <c r="G109" t="inlineStr">
        <is>
          <t>New York, United States</t>
        </is>
      </c>
      <c r="H109" t="inlineStr"/>
      <c r="I109" t="inlineStr">
        <is>
          <t>**Location: Hybrid, New York**
**Medidata follows a hybrid office policy in which employees who are hired for an in\-person position are expected to work on site a certain number of days per week in accordance with Company policy.**
**About our Company:**
 Medidata is powering smarter treatments and healthier people through digital solutions to support clinical trials. Celebrating 25 years of ground\-breaking technological innovation across more than 36,000 trials and 11 million patients, Medidata offers industry\-leading expertise, analytics\-powered insights, and one of the largest clinical trial data sets in the industry. More than 1 million users trust Medidata's seamless, end\-to\-end platform to improve patient experiences, accelerate clinical breakthroughs, and bring therapies to market faster. Discover more at www.medidata.com.
**About the Team:**
 Platform AI organization is building pioneer innovative AI products based on the largest collection of clinical data in the world. Our AI teams are staffed with passionate technology and scientific experts looking to solve the most complex questions facing drug development through the use of machine learning and AI.
 We are looking for individuals who will solve the most complex questions facing the industry today innovative ML techniques based on both classical and GenAI approaches. The AI features developed will power modern clinical trial study design and study conduct with Rave and Patient Cloud products. You will report to Senior Manager of Data Science, and partner with all of the partner functions including Data Science, Product, and Engineering.
**Responsibilities** 
 :
 Your are an experienced Data Scientist who will design, implement, and productionize new AI driven features integrated with Medidata products
* Design, develop and validate machine learning models for novel clinical trial applications.
* Interact with product team to grasp product needs and provide AI solution (data, modeling strategies, and model serving).
* Develop prototypes that communicate how models can be used within customer facing products
* Evaluate and assess novel tools, algorithms, and technologies to be an AI community enabler.
* Build end\-to\-end machine learning pipelines from data curation, processing, model building, model evaluation, to model deployment for production.
* Lead junior developers in implementations of AI tasks and drive technical decisions across teams.
**Qualifications** 
 :
* Master's or PhD is required in a computational field such as Data Science, Computer Science, Mathematics, Statistics, or related field and a minimum of 5 years of experience
* Proficiency using Python, SQL, Linux shell scripting, AWS, Docker, and Git
* Experience with AI service development, familiar with different model serving strategies and service basics (performance, latency, scalability, etc)
* Technical leadership in both hard and soft skills, proactive, clear, and efficient in communication
* Experience with deep learning is preferred
* Previous experience with deploying GPU based models to AWS is a plus
*Nice to have(s) but not required...*
* Experience with LLM or transformer based algorithms and methods
* Familiarity with NLP in healthcare data datasets in production
* Familiarity with machine learning infrastructure and frameworks, CI/CD, and MLOps
 The salary range posted below refers only to positions that will be physically based in New York City. As with all roles, Medidata sets ranges based on a number of factors including function, level, candidate expertise and experience, and geographic location. Pay ranges for candidates in locations other than New York City, may differ based on the local market data in that region. The base salary pay range for this position is $114,750\-$153,000\.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flexible paid time off; and 10 paid holidays per year.
**Equal Employment Opportunity:**
 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
 Applications will be accepted on an ongoing basis until the position is filled.
 Inclusion statement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 Qualified applicants with arrest or conviction records will be considered for employment in accordance with applicable state laws and local ordinances. We are committed to fair employment practices and will evaluate all candidates based on their qualifications, regardless of past arrest or conviction history.
 Salary Pay Transparency
 Compensation for the role will be commensurate with experience. The total expected compensation range will be between $114750 and $153000, representing the base salary (or annualized salary based on estimated hourly compensation) and target bonus.</t>
        </is>
      </c>
    </row>
    <row r="110">
      <c r="A110" t="inlineStr">
        <is>
          <t>li-4352023582</t>
        </is>
      </c>
      <c r="B110" t="inlineStr">
        <is>
          <t>Data Scientist, ML - Insurance Underwriting</t>
        </is>
      </c>
      <c r="C110" t="inlineStr">
        <is>
          <t>Guardian Life</t>
        </is>
      </c>
      <c r="D110" t="inlineStr">
        <is>
          <t>linkedin</t>
        </is>
      </c>
      <c r="E110">
        <f>HYPERLINK("https://www.linkedin.com/jobs/view/4352023582", "https://www.linkedin.com/jobs/view/4352023582")</f>
        <v/>
      </c>
      <c r="F110" t="inlineStr"/>
      <c r="G110" t="inlineStr">
        <is>
          <t>New York, NY</t>
        </is>
      </c>
      <c r="H110" t="inlineStr"/>
      <c r="I110"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Machine Learning—an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 Design and implement machine learning solutions that automate business workflows, improve decision\-making, and enhance customer and employee experiences.
* Apply ML techniques (e.g., regression, classification, clustering, ensemble methods such as Random Forest and XGBoost) to structured and semi\-structured data such as claims, underwriting notes, and customer records.
* Develop robust, scalable, and production\-ready ML models that integrate with Guardian’s platforms to deliver measurable business outcomes.
* Collaborate with data engineers and MLOps teams to ensure models are scalable, robust, and production\-ready.
* Translate research in machine learning and statistical modeling into practical applications for underwriting, claims automation, customer servicing, and risk assessment.
* Work closely with product owners, engineers, and business stakeholders to define use cases, design solutions, and measure impact.
* Contribute to building reusable components and frameworks for developing and deploying ML solutions.
* Adhere to model governance, documentation, testing, and other best practices in partnership with key stakeholders.
**You are:**
* Passionate about applying machine learning to solve real\-world business challenges.
* Curious about new ML techniques and their practical applications in industry.
* A hands\-on builder who enjoys moving solutions from prototype to deployment.
* Comfortable collaborating in cross\-functional teams and aligning technical solutions with business goals.
* An effective communicator, able to present complex ideas and trade\-offs to both technical and non\-technical stakeholders.
**You have:**
* PhD with 0–1 years of experience, Master’s degree with 2\+ years, or Bachelor’s degree with 4\+ years in Statistics, Computer Science, Engineering, Applied Mathematics, or related field.
* Experience in insurance industry (Underwriting Experience is Preferred)
* 2\+ years of hands\-on experience in ML modeling and development.
* Background in insurance and underwriting preferred
* Solid understanding of probability, statistics, and machine learning fundamentals.
* Strong programming skills in Python and familiarity with frameworks like scikit\-learn, pandas, and numpy.
* Experience with a variety of machine learning techniques (regression, classification, clustering, ensemble methods, etc.)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**Location:**
* Three days a week at a Guardian office in New York, NY, Holmdel, NJ, Bethlehem, PA, or Boston, MA
**Work Authorization**
*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11">
      <c r="A111" t="inlineStr">
        <is>
          <t>li-4359481558</t>
        </is>
      </c>
      <c r="B111" t="inlineStr">
        <is>
          <t>Applied Scientist II, Prime Video Personalization and Discovery Science</t>
        </is>
      </c>
      <c r="C111" t="inlineStr">
        <is>
          <t>Prime Video &amp; Amazon MGM Studios</t>
        </is>
      </c>
      <c r="D111" t="inlineStr">
        <is>
          <t>linkedin</t>
        </is>
      </c>
      <c r="E111">
        <f>HYPERLINK("https://www.linkedin.com/jobs/view/4359481558", "https://www.linkedin.com/jobs/view/4359481558")</f>
        <v/>
      </c>
      <c r="F111" t="inlineStr"/>
      <c r="G111" t="inlineStr">
        <is>
          <t>New York, United States</t>
        </is>
      </c>
      <c r="H111" t="inlineStr"/>
      <c r="I11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A3155448</t>
        </is>
      </c>
    </row>
    <row r="112">
      <c r="A112" t="inlineStr">
        <is>
          <t>li-4359611501</t>
        </is>
      </c>
      <c r="B112" t="inlineStr">
        <is>
          <t>Applied Scientist II, Prime Video Personalization and Discovery Science</t>
        </is>
      </c>
      <c r="C112" t="inlineStr">
        <is>
          <t>Prime Video &amp; Amazon MGM Studios</t>
        </is>
      </c>
      <c r="D112" t="inlineStr">
        <is>
          <t>linkedin</t>
        </is>
      </c>
      <c r="E112">
        <f>HYPERLINK("https://www.linkedin.com/jobs/view/4359611501", "https://www.linkedin.com/jobs/view/4359611501")</f>
        <v/>
      </c>
      <c r="F112" t="inlineStr"/>
      <c r="G112" t="inlineStr">
        <is>
          <t>Sunnyvale, CA</t>
        </is>
      </c>
      <c r="H112" t="inlineStr"/>
      <c r="I11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A3155448</t>
        </is>
      </c>
    </row>
    <row r="113">
      <c r="A113" t="inlineStr">
        <is>
          <t>li-4331501671</t>
        </is>
      </c>
      <c r="B113" t="inlineStr">
        <is>
          <t>Data Scientist</t>
        </is>
      </c>
      <c r="C113" t="inlineStr">
        <is>
          <t>Jobs via Dice</t>
        </is>
      </c>
      <c r="D113" t="inlineStr">
        <is>
          <t>linkedin</t>
        </is>
      </c>
      <c r="E113">
        <f>HYPERLINK("https://www.linkedin.com/jobs/view/4331501671", "https://www.linkedin.com/jobs/view/4331501671")</f>
        <v/>
      </c>
      <c r="F113" t="inlineStr"/>
      <c r="G113" t="inlineStr">
        <is>
          <t>Hawaii, United States</t>
        </is>
      </c>
      <c r="H113" t="inlineStr"/>
      <c r="I113"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We are seeking a
 **Data Scientist** 
 to be located in Honolulu HI to join our Information Advantage Office of the Applied Research Laboratory (ARL) at Penn State. You should possess deep expertise in
 **Python, data science libraries, and visualization/BI tools** 
 to lead advanced analytics initiatives supporting mission\-critical objectives. The ideal candidate brings both strong technical acumen and domain experience working with
 **Department of Defense (DoD)** 
 and/or
 **Intelligence Community (IC)** 
 data sources such as
 **SIGINT, GEOINT, or other multi\-INT data** 
 .
 ARL is an authorized DoD SkillBridge partner and welcomes all transitioning military members to apply.
 You will:
* Design and conduct exploratory data analysis and hypothesis testing to support analytic objectives
* Develop interactive dashboards and visualizations using tools such as Power BI, Tableau, and Grafana, translating complex findings into actionable insights for senior decision\-makers
* Build and optimize Python\-based data pipelines leveraging libraries such as pandas, NumPy, scikit\-learn, matplotlib, seaborn, and Plotly.
* Work with diverse data formats (CSV, JSON, XML, Excel, etc.) and integrate across relational (Postgres, MySQL) and NoSQL (MongoDB, Accumulo) databases
* Apply advanced data mining, statistical modeling, graph algorithms, and machine learning to extract insights from large structured and unstructured datasets
* Mentor junior data scientists and analysts, fostering best practices in statistical rigor, code quality, and reproducibility
**Required skills/experience areas include:**
* Python expertise (primary language) with demonstrated use of data science and machine learning libraries (e.g., scikit\-learn, pandas, NumPy, SciPy, PyTorch or TensorFlow)
* Strong skills in data visualization and BI tools: Power BI, Tableau, Grafana, or equivalent
* Proficiency in SQL and experience with NoSQL databases
* Solid foundation in probability, statistics, and applied machine learning techniques
* Experience with data pipelines, APIs, and distributed systems in a production environment
* Familiarity with cloud\-native and containerized environments (e.g., Kubernetes) and associated observability stacks
* Hands\-on experience with configuration management and version control tools (e.g., Git, GitLab/GitHub, Atlassian suite)
* Active Top Secret DoD Clearance
* Excellent interpersonal, communication, and presentation skills\-able to brief senior leadership and mission partners
* Strong organizational skills with the ability to prioritize and manage multiple projects
* Collaborative mindset with demonstrated ability to lead technical discussions and mentor peers
* Customer\-focused, adaptable, and effective in interfacing with both corporate and government stakeholders
* Exceptional technical writing skills for producing plans, reports, and documentation
**Preferred skills/experience areas include:**
* Direct experience with DoD or Intelligence Community data, including but not limited to SIGINT, GEOINT, MASINT, or Multi\-INT fusion
* Understanding of mission needs in defense, national security, or intelligence analysis
* Active TS/SCI DoD clearance highly preferred
 Your working location will be in Oahu, HI. Questions related to flexible work should be directed to the hiring manager during the interview process.
**Minimum Education, Work Experience \&amp; Required Certifications**
 If filled as Research and Development Engineer \- Principal Professional, this position requires:Bachelor's Degree \- Engineering or Science19\+ years of relevant experienceRequired Certifications:NoneIf filled as Research and Development Engineer \- Senior Professional, this position requires:Bachelor's Degree \- Engineering or Science14\+ years of relevant experienceRequired Certifications:None
 ARL's purpose is to research and develop innovative solutions to challenging scientific, engineering, and technology problems in support of the Navy, the Department of Defense (DoD), and the Intel Community (IC).
 FOR FURTHER INFORMATION on ARL, visit our web site at ;br\&gt;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Employment with the ARL will require successful completion of a pre\-employment drug screen.
**Salary \&amp; Benefits**
 The salary range for this position, including all possible grades, is $123,200\.00 \- $219,600\.00\.\*\*THE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
 Federal Contractors Labor Law Poster
 PA State Labor Law Poster
 Penn State Policies
 Copyright Information
 Hotlines</t>
        </is>
      </c>
    </row>
    <row r="114">
      <c r="A114" t="inlineStr">
        <is>
          <t>li-4359385553</t>
        </is>
      </c>
      <c r="B114" t="inlineStr">
        <is>
          <t>Applied Scientist, Generative AI Innovation Center, Model Customization</t>
        </is>
      </c>
      <c r="C114" t="inlineStr">
        <is>
          <t>Amazon Web Services (AWS)</t>
        </is>
      </c>
      <c r="D114" t="inlineStr">
        <is>
          <t>linkedin</t>
        </is>
      </c>
      <c r="E114">
        <f>HYPERLINK("https://www.linkedin.com/jobs/view/4359385553", "https://www.linkedin.com/jobs/view/4359385553")</f>
        <v/>
      </c>
      <c r="F114">
        <f>HYPERLINK("https://www.amazon.jobs/jobs/3155502/applied-scientist-generative-ai-innovation-center-model-customization?cmpid=SPLICX0248M&amp;utm_source=linkedin.com&amp;utm_campaign=cxro&amp;utm_medium=social_media&amp;utm_content=job_posting&amp;ss=paid&amp;urlHash=Wx2x", "https://www.amazon.jobs/jobs/3155502/applied-scientist-generative-ai-innovation-center-model-customization?cmpid=SPLICX0248M&amp;utm_source=linkedin.com&amp;utm_campaign=cxro&amp;utm_medium=social_media&amp;utm_content=job_posting&amp;ss=paid&amp;urlHash=Wx2x")</f>
        <v/>
      </c>
      <c r="G114" t="inlineStr">
        <is>
          <t>Seattle, WA</t>
        </is>
      </c>
      <c r="H114" t="inlineStr"/>
      <c r="I114"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115">
      <c r="A115" t="inlineStr">
        <is>
          <t>li-4359441411</t>
        </is>
      </c>
      <c r="B115" t="inlineStr">
        <is>
          <t>Applied Scientist, Generative AI Innovation Center, Model Customization</t>
        </is>
      </c>
      <c r="C115" t="inlineStr">
        <is>
          <t>Amazon Web Services (AWS)</t>
        </is>
      </c>
      <c r="D115" t="inlineStr">
        <is>
          <t>linkedin</t>
        </is>
      </c>
      <c r="E115">
        <f>HYPERLINK("https://www.linkedin.com/jobs/view/4359441411", "https://www.linkedin.com/jobs/view/4359441411")</f>
        <v/>
      </c>
      <c r="F115" t="inlineStr"/>
      <c r="G115" t="inlineStr">
        <is>
          <t>Bellevue, WA</t>
        </is>
      </c>
      <c r="H115" t="inlineStr"/>
      <c r="I115"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116">
      <c r="A116" t="inlineStr">
        <is>
          <t>li-4331580884</t>
        </is>
      </c>
      <c r="B116" t="inlineStr">
        <is>
          <t>AML/Sanctions- Data Scientist-  Associate</t>
        </is>
      </c>
      <c r="C116" t="inlineStr">
        <is>
          <t>PwC</t>
        </is>
      </c>
      <c r="D116" t="inlineStr">
        <is>
          <t>linkedin</t>
        </is>
      </c>
      <c r="E116">
        <f>HYPERLINK("https://www.linkedin.com/jobs/view/4331580884", "https://www.linkedin.com/jobs/view/4331580884")</f>
        <v/>
      </c>
      <c r="F116" t="inlineStr"/>
      <c r="G116" t="inlineStr">
        <is>
          <t>Washington, DC</t>
        </is>
      </c>
      <c r="H116" t="inlineStr"/>
      <c r="I116" t="inlineStr">
        <is>
          <t>**Specialty/Competency:** 
 Data, Analytics \&amp; AI
**Industry/Sector:** 
 Banking and Capital Markets
**Time Type:** 
 Full time
**Travel Requirements:** 
 Up to 60%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Financial Crime Unit team you will apply analytical methods to complex datasets leveraging SQL and Python to tackle financial crime challenges. As an Associate you will focus on learning and contributing to client engagement, building meaningful connections while navigating complex situations to enhance your personal brand and technical knowledge.
**Responsibilities**
* Utilize analytical techniques to address financial crime issues
* Engage with clients to foster meaningful professional relationships
* Apply SQL and Python for data analysis and problem\-solving
* Explore machine learning, NLP, and LLMs in relevant projects
* Contribute to team efforts while enhancing personal technical skills
* Adapt to complex situations and develop strategic insights
* Participate in research to support project objectives
* Uphold professional standards and ethical guidelines
 What You Must Have
* Bachelor's Degree in Computer and Information Science, Computer and Information Science \&amp; Accounting, Economics, Economics and Finance, Economics and Finance \&amp; Technology, Engineering, Operations Management/Research, Statistics, Mathematics, Data Processing/Analytics/Science or related field
* 1 year of experience in data science/machine learning
 What Sets You Apart
* Interest in financial crime, AML, and fraud analytics
* Skilled in SQL for complex data queries
* Advanced Python skills for data manipulation
* Experience building and deploying machine learning models
* Understanding of machine learning concepts and algorithms
* Comfort working with structured and unstructured data
* Familiarity with agentic AI frameworks
* Hands\-on experience with CI/CD pipelines for data science
* Proficiency in SQL and Python
* Basic understanding of machine learning algorithms and evaluation metrics
* Exposure to frameworks such as scikit\-learn, XGBoost, Hugging Face Transformers
* Other quantitative fields of study may be considered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7">
      <c r="A117" t="inlineStr">
        <is>
          <t>li-4331541677</t>
        </is>
      </c>
      <c r="B117" t="inlineStr">
        <is>
          <t>Data Scientist</t>
        </is>
      </c>
      <c r="C117" t="inlineStr">
        <is>
          <t>Jobs via Dice</t>
        </is>
      </c>
      <c r="D117" t="inlineStr">
        <is>
          <t>linkedin</t>
        </is>
      </c>
      <c r="E117">
        <f>HYPERLINK("https://www.linkedin.com/jobs/view/4331541677", "https://www.linkedin.com/jobs/view/4331541677")</f>
        <v/>
      </c>
      <c r="F117">
        <f>HYPERLINK("https://click.appcast.io/t/xC99XSg63GBaKOPfLLRkY8vJ3xgosVoSMvAwB6lblAU=&amp;urlHash=6Ki2", "https://click.appcast.io/t/xC99XSg63GBaKOPfLLRkY8vJ3xgosVoSMvAwB6lblAU=&amp;urlHash=6Ki2")</f>
        <v/>
      </c>
      <c r="G117" t="inlineStr">
        <is>
          <t>The Woodlands, TX</t>
        </is>
      </c>
      <c r="H117" t="inlineStr"/>
      <c r="I117" t="inlineStr">
        <is>
          <t>Dice is the leading career destination for tech experts at every stage of their careers. Our client, Aptino, is seeking the following. Apply via Dice today!
**Job Title:** 
 Data Scientist
**Job Summary**
 We are looking for a skilled
 **Data Scientist** 
 who can extract meaningful insights from complex data, build predictive models, and drive data\-informed decisions across the organization. The role involves collecting, processing, and analyzing large datasets, developing machine learning solutions, and communicating results to technical and non\-technical stakeholders.
**Key Responsibilities**
**Data Collection \&amp; Preparation**
* Gather, clean, preprocess, and validate large structured and unstructured datasets from multiple sources.
* Ensure data quality, consistency, and accessibility for analysis.
**Modeling \&amp; Analysis**
* Develop, test, and deploy predictive models, machine learning algorithms, and statistical analyses to solve business problems.
* Perform exploratory data analysis to identify trends, patterns, and actionable insights.
**Visualization \&amp; Reporting**
* Create dashboards, reports, and visualizations to present results clearly and effectively to stakeholders.
* Translate complex findings into business recommendations and storytelling.
**Collaboration**
* Work closely with cross\-functional teams (product, engineering, finance, marketing) to understand data needs and integrate analytical solutions.
* Communicate insights and model results to both technical and non\-technical audiences.
**Model Deployment \&amp; Monitoring**
* Collaborate with data engineers or ML engineers to operationalize models and monitor their performance in production.
* Ensure data science solutions are scalable, robust, and maintainable.
**Continuous Learning**
* Stay updated with emerging tools, techniques, and best practices in data science, AI/ML, and big data technologies.
**Required Qualifications**
* Education: Bachelor’s or Master’s degree in Data Science, Computer Science, Statistics, Mathematics, Engineering, or a related quantitative field.
* Technical Skills:
+ Proficiency in programming languages such as Python, R, and SQL.
+ Experience with machine learning libraries and frameworks (e.g., scikit\-learn, TensorFlow, PyTorch).
+ Familiarity with data visualization tools/libraries (e.g., Tableau, Power BI, Matplotlib, Seaborn).
**Preferred Skills**
* Knowledge of big data technologies (Hadoop, Spark) and cloud platforms (AWS, Azure, Google Cloud Platform).
* Experience with MLOps practices and deploying models to production.
* Background in domain\-specific analytics (e.g., finance, healthcare, telecom) is a plus.</t>
        </is>
      </c>
    </row>
    <row r="118">
      <c r="A118" t="inlineStr">
        <is>
          <t>li-4359471558</t>
        </is>
      </c>
      <c r="B118" t="inlineStr">
        <is>
          <t>Applied Scientist, Generative AI Innovation Center, Model Customization</t>
        </is>
      </c>
      <c r="C118" t="inlineStr">
        <is>
          <t>Amazon Web Services (AWS)</t>
        </is>
      </c>
      <c r="D118" t="inlineStr">
        <is>
          <t>linkedin</t>
        </is>
      </c>
      <c r="E118">
        <f>HYPERLINK("https://www.linkedin.com/jobs/view/4359471558", "https://www.linkedin.com/jobs/view/4359471558")</f>
        <v/>
      </c>
      <c r="F118" t="inlineStr"/>
      <c r="G118" t="inlineStr">
        <is>
          <t>New York, United States</t>
        </is>
      </c>
      <c r="H118" t="inlineStr"/>
      <c r="I118"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119">
      <c r="A119" t="inlineStr">
        <is>
          <t>li-4304188835</t>
        </is>
      </c>
      <c r="B119" t="inlineStr">
        <is>
          <t>Staff Data Scientist II</t>
        </is>
      </c>
      <c r="C119" t="inlineStr">
        <is>
          <t>Root Inc.</t>
        </is>
      </c>
      <c r="D119" t="inlineStr">
        <is>
          <t>linkedin</t>
        </is>
      </c>
      <c r="E119">
        <f>HYPERLINK("https://www.linkedin.com/jobs/view/4304188835", "https://www.linkedin.com/jobs/view/4304188835")</f>
        <v/>
      </c>
      <c r="F119" t="inlineStr"/>
      <c r="G119" t="inlineStr"/>
      <c r="H119" t="inlineStr"/>
      <c r="I119" t="inlineStr">
        <is>
          <t>At Root, we’re on a mission to improve the lives of our customers by offering better insurance solutions. We challenge ourselves to think differently in order to reimagine insurance to make it smarter, more equitable, and a better experience for all.
 We strive to “unbreak” the archaic insurance industry by using data and technology in innovative new ways. We believe we must be steadfast in our commitments to research, experimentation, and disciplined data\-driven decision making in order to build products our customers love.
****The Opportunity****
 We believe that a disruptive insurance company must have a principled quantitative framework at its foundation. At Root, we are committed to the rigorous development and effective deployment of modern statistical machine learning methods to problems in the insurance industry.
 At Root, the Quantitative Science team owns the majority of all marketing capital allocation, using quantitative methods to test, maintain, and enhance our marketing strategies across numerous distribution channels. As a Staff Data Scientist II on the Growth team, you’ll lead research on lead segmentation and bidding optimization to boost marketing profitability. You’ll design and execute research programs, expand modeling capabilities, and deliver high\-impact solutions into production. As a thought leader, you’ll model best practices and mentor peers in producing rigorous, production\-ready work.
 This role demands an ownership mentality, with the ability to independently drive work forward, mentor junior team members, and collaborate on large\-scale projects. In this role, you will regularly engage with members of cross\-functional departments as well as the executive team. Strong communication skills will be an important asset. Join us to push traditional boundaries and set the future direction for a data\-driven optimal marketing strategy.
****Salary Range: $181,440\- $226,800 (Bonus and LTI eligible)****
 Root is a “work where it works best” company, meaning we will support you working in whatever location that works best for you across the US.
**How You Will Make An Impact**
* Lead innovation in our bidding algorithms, leveraging data science models trained on millions of searches.
* Partner with the Lifetime Value team, Engineering, and external vendors to drive measurable value for Root. Set the strategic direction of the Direct Marketing Operations team by shaping and prioritizing our experimentation roadmap.
* Identify the highest leverage opportunities to optimize bidding strategies across a diverse channel portfolio.
* Mentor junior team members on best practices in research methodology and software development.
* Deliver high\-quality, production\-ready code through version control and CI/CD systems for seamless deployment.
* Develop monitoring triggers and thresholds to ensure model accuracy and detect performance drift across multi\-component systems.
**What You Will Need To Succeed**
* Advanced degree in a quantitative discipline (Master’s or PhD preferred) and 8\+ years of experience applying advanced quantitative techniques in industry.
* Demonstrated leadership in developing and deploying real\-time models, emphasizing automation and innovation.
* Expert\-level Python skills, including data querying, manipulation, and modeling.
* Extensive experience developing and applying advanced machine learning models, particularly ensemble methods.
* Skilled in version control (e.g., Git) with experience contributing to large\-scale, collaborative projects,
* Hands\-on experience with AWS tools (e.g., EC2, SageMaker, Redshift) or equivalent platforms for scalable compute and storage.
* Excellent business intelligence and visualization skills, with the ability to effectively communicate insights and technical concepts to both technical and non\-technical audiences.
* Ownership mentality, with a demonstrated ability to take initiative, drive work forward, and mentor others.
* Strong communication skills, with the ability to translate complex technical concepts to non\-technical stakeholders and influence strategic decisions.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t>
        </is>
      </c>
    </row>
    <row r="120">
      <c r="A120" t="inlineStr">
        <is>
          <t>li-4359621494</t>
        </is>
      </c>
      <c r="B120" t="inlineStr">
        <is>
          <t>Applied Scientist, Generative AI Innovation Center, Model Customization</t>
        </is>
      </c>
      <c r="C120" t="inlineStr">
        <is>
          <t>Amazon Web Services (AWS)</t>
        </is>
      </c>
      <c r="D120" t="inlineStr">
        <is>
          <t>linkedin</t>
        </is>
      </c>
      <c r="E120">
        <f>HYPERLINK("https://www.linkedin.com/jobs/view/4359621494", "https://www.linkedin.com/jobs/view/4359621494")</f>
        <v/>
      </c>
      <c r="F120" t="inlineStr"/>
      <c r="G120" t="inlineStr">
        <is>
          <t>Arlington, VA</t>
        </is>
      </c>
      <c r="H120" t="inlineStr"/>
      <c r="I120"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machine learning models for business application experience
* PhD degree in computer science, engineering, mathematics, operations research, or in a highly quantitative field, or Master’s degree plus 5 years of relevant work experience
* 5\+ years of hands on experience with Python to build, train, and evaluate models
* 2\+ years of experience in any of the following areas: algorithms and data structures, parsing, numerical optimization, data mining, parallel and distributed computing, high\-performance computing
* Experience with design, development, and optimization of generative AI solutions, algorithms, or technologies
* Scientific publication track record at top\-tier AI/ML/NLP conferences or journals
**Preferred Qualifications**
* 2\+ years demonstrated experience with Large Language Model (LLM) and Foundational Model post\-training, continual pre\-training, fine\-tuning, or reinforcement learning techniques.
* Demonstrated experience with building LLM\-powered agentic workflow, orchestration, and agent customization
* Track record of building and deploying ML models at scale
* Experience with model optimization techniques (quantization, distillation, compression, inference optimization etc.)
* Experience with open\-source frameworks for model customization like trl, verl, and for building LLM\-powered applications like LangChain, LlamaIndex, and/ or similar tools
* Hands\-on experience building generative AI applications on AWS using services such as Amazon Bedrock and Amazon SageMaker
* Strong communication skills, with attention to detail and ability to convey rigorous technical concepts and considerations to non\-experts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A3155502</t>
        </is>
      </c>
    </row>
    <row r="121">
      <c r="A121" t="inlineStr">
        <is>
          <t>li-4340345003</t>
        </is>
      </c>
      <c r="B121" t="inlineStr">
        <is>
          <t>Associate Systems Engineer / Data Scientist</t>
        </is>
      </c>
      <c r="C121" t="inlineStr">
        <is>
          <t>MITRE</t>
        </is>
      </c>
      <c r="D121" t="inlineStr">
        <is>
          <t>linkedin</t>
        </is>
      </c>
      <c r="E121">
        <f>HYPERLINK("https://www.linkedin.com/jobs/view/4340345003", "https://www.linkedin.com/jobs/view/4340345003")</f>
        <v/>
      </c>
      <c r="F121">
        <f>HYPERLINK("https://careers.mitre.org/us/en/job/MITRUSR115724EXTERNALENUS/Associate-Systems-Engineer-Data-Scientist?utm_source=JB-10062&amp;utm_medium=phenom-feeds&amp;urlHash=kIqj", "https://careers.mitre.org/us/en/job/MITRUSR115724EXTERNALENUS/Associate-Systems-Engineer-Data-Scientist?utm_source=JB-10062&amp;utm_medium=phenom-feeds&amp;urlHash=kIqj")</f>
        <v/>
      </c>
      <c r="G121" t="inlineStr">
        <is>
          <t>McLean, VA</t>
        </is>
      </c>
      <c r="H121" t="inlineStr"/>
      <c r="I121"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122">
      <c r="A122" t="inlineStr">
        <is>
          <t>li-4331960819</t>
        </is>
      </c>
      <c r="B122" t="inlineStr">
        <is>
          <t>AML/Sanctions- Data Scientist-  Associate</t>
        </is>
      </c>
      <c r="C122" t="inlineStr">
        <is>
          <t>PwC</t>
        </is>
      </c>
      <c r="D122" t="inlineStr">
        <is>
          <t>linkedin</t>
        </is>
      </c>
      <c r="E122">
        <f>HYPERLINK("https://www.linkedin.com/jobs/view/4331960819", "https://www.linkedin.com/jobs/view/4331960819")</f>
        <v/>
      </c>
      <c r="F122">
        <f>HYPERLINK("https://ad.doubleclick.net/ddm/clk/438405794;254302458;m?https://jobs.us.pwc.com/job/-/-/932/86068568720?utm_source=linkedin.com&amp;utm_campaign=core_media&amp;utm_medium=social_media&amp;utm_content=job_posting&amp;ss=paid&amp;urlHash=hwUJ", "https://ad.doubleclick.net/ddm/clk/438405794;254302458;m?https://jobs.us.pwc.com/job/-/-/932/86068568720?utm_source=linkedin.com&amp;utm_campaign=core_media&amp;utm_medium=social_media&amp;utm_content=job_posting&amp;ss=paid&amp;urlHash=hwUJ")</f>
        <v/>
      </c>
      <c r="G122" t="inlineStr">
        <is>
          <t>Charlotte, NC</t>
        </is>
      </c>
      <c r="H122" t="inlineStr"/>
      <c r="I122" t="inlineStr">
        <is>
          <t>**Specialty/Competency:** 
 Data, Analytics \&amp; AI
**Industry/Sector:** 
 Banking and Capital Markets
**Time Type:** 
 Full time
**Travel Requirements:** 
 Up to 60%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Financial Crime Unit team you will apply analytical methods to complex datasets leveraging SQL and Python to tackle financial crime challenges. As an Associate you will focus on learning and contributing to client engagement, building meaningful connections while navigating complex situations to enhance your personal brand and technical knowledge.
**Responsibilities**
* Utilize analytical techniques to address financial crime issues
* Engage with clients to foster meaningful professional relationships
* Apply SQL and Python for data analysis and problem\-solving
* Explore machine learning, NLP, and LLMs in relevant projects
* Contribute to team efforts while enhancing personal technical skills
* Adapt to complex situations and develop strategic insights
* Participate in research to support project objectives
* Uphold professional standards and ethical guidelines
 What You Must Have
* Bachelor's Degree in Computer and Information Science, Computer and Information Science \&amp; Accounting, Economics, Economics and Finance, Economics and Finance \&amp; Technology, Engineering, Operations Management/Research, Statistics, Mathematics, Data Processing/Analytics/Science or related field
* 1 year of experience in data science/machine learning
 What Sets You Apart
* Interest in financial crime, AML, and fraud analytics
* Skilled in SQL for complex data queries
* Advanced Python skills for data manipulation
* Experience building and deploying machine learning models
* Understanding of machine learning concepts and algorithms
* Comfort working with structured and unstructured data
* Familiarity with agentic AI frameworks
* Hands\-on experience with CI/CD pipelines for data science
* Proficiency in SQL and Python
* Basic understanding of machine learning algorithms and evaluation metrics
* Exposure to frameworks such as scikit\-learn, XGBoost, Hugging Face Transformers
* Other quantitative fields of study may be considered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li-4331291836</t>
        </is>
      </c>
      <c r="B123" t="inlineStr">
        <is>
          <t>Applications Dev &amp; Test - Data Scientist 3</t>
        </is>
      </c>
      <c r="C123" t="inlineStr">
        <is>
          <t>Jobs via Dice</t>
        </is>
      </c>
      <c r="D123" t="inlineStr">
        <is>
          <t>linkedin</t>
        </is>
      </c>
      <c r="E123">
        <f>HYPERLINK("https://www.linkedin.com/jobs/view/4331291836", "https://www.linkedin.com/jobs/view/4331291836")</f>
        <v/>
      </c>
      <c r="F123" t="inlineStr"/>
      <c r="G123" t="inlineStr">
        <is>
          <t>Redmond, WA</t>
        </is>
      </c>
      <c r="H123" t="inlineStr"/>
      <c r="I123" t="inlineStr">
        <is>
          <t>Dice is the leading career destination for tech experts at every stage of their careers. Our client, Apex Systems, is seeking the following. Apply via Dice today!
**Job\#: 3017352**
**Job Description:**
**Data Scientist 3 (Quantitative Research)**
**Team: Employee Experience \&amp; Internal Tools**
**Location: Remote (US)**
**Overview**
 Microsoft's Employee Experience \&amp; Internal Tools team acts as
 **"customer zero"** 
 \-the first users of Microsoft's internal products and platforms. Our mission is to test, validate, and improve the tools that millions of Microsoft employees rely on every day, with a special focus on
 **campus navigation, facilities experiences, and productivity workflows** 
 .
 We are seeking a
 **Data Scientist 3 (Quantitative Research)** 
 who will design and execute rigorous quantitative studies that shape product direction, improve employee experience, and influence some of Microsoft's most widely used offerings\-including
 **Copilot, Teams, Outlook, and other high\-impact internal tools** 
 .
 This role is ideal for someone who thrives at the intersection of
 **behavioral science, quantitative psychology, and applied statistics** 
 , and who enjoys turning ambiguous questions into clear, actionable insights.
**Key Responsibilities**
**Quantitative Research \&amp; Analysis**
* Design, execute, and analyze large\-scale surveys, experiments, and observational studies.
* Apply inferential statistical methods (regression, hypothesis testing, multivariate analysis) to answer complex research questions.
* Develop sampling strategies, weighting schemes, and data quality checks to ensure statistical rigor.
* Clean, prepare, and analyze behavioral and survey datasets using Python, R, or SQL.
**Insight Generation \&amp; Communication**
* Translate quantitative findings into clear, actionable recommendations for product, design, and strategy teams.
* Create charts, summaries, and narratives that communicate results to both technical and non\-technical audiences.
* Document methodologies, assumptions, and limitations to support reproducibility and transparency.
**Cross\-Functional Collaboration**
* Partner with researchers, designers, and product managers to refine research questions and measurement approaches.
* Review findings with stakeholders, incorporate feedback, and iterate on analyses.
* Support ongoing research programs with standardized metrics, dashboards, and analytical frameworks.
**A Typical Day in This Role**
 A Data Scientist 3 in this team starts the day reviewing active research questions or upcoming studies\-refining survey instruments, discussing sampling plans, or aligning on success metrics.
 You'll spend much of your time working hands\-on with data:
* cleaning and preparing datasets
* checking assumptions
* applying inferential statistical methods
* interpreting results and identifying sources of bias
 Throughout the day, you'll collaborate with senior researchers, designers, and product partners to ensure insights are rigorous, relevant, and actionable. You'll balance independent analytical work with regular touchpoints to help teams understand what the data supports\-and what it doesn't.
**Required**
**Qualifications**
* Master's degree in statistics, psychology, economics, data science, sociology, or a related quantitative field (PhD preferred).
* 5\+ years of experience in quantitative analysis or applied research (UX, product, or behavioral research experience preferred).
* Strong foundation in statistical inference and experimental or quasi\-experimental methods.
* Experience with survey research, including questionnaire design, sampling, and weighting.
* Proficiency in Python or R for statistical analysis; SQL experience strongly preferred.
* Ability to explain complex analyses clearly to non\-technical audiences.
* Strong analytical thinking, attention to detail, and problem\-solving skills.
* Demonstrated success working collaboratively in cross\-functional teams.
**Nice to Have**
* Background in quantitative psychology or behavioral science research.
* Experience with A/B testing, causal inference, or UX/product research.
* Experience translating quantitative findings into design or product decisions.
**Disqualifiers**
* Lack of experience with Python, SQL, or quantitative research methods.
**? Unique Selling Points**
* Work on high\-impact Microsoft products\-including Copilot, Teams, Outlook, and internal tools used by hundreds of thousands of employees.
* Influence product decisions that ultimately shape experiences for billions of users worldwide.
* Join a team that serves as Microsoft's internal innovation testbed, where your insights directly improve employee productivity and satisfaction.
* Highly collaborative environment with opportunities to partner across research, design, engineering, and product.
**Performance Measurement**
**Quality \&amp; Rigor of Analysis**
* Produces accurate, well\-structured analyses using appropriate statistical methods.
* Demonstrates strong judgment in study design, sampling, and inferential techniques.
* Ensures data quality, reproducibility, and transparency.
**Research \&amp; Insight Delivery**
* Delivers insights that directly address research questions.
* Communicates findings clearly and effectively.
* Meets timelines and milestones for research deliverables.
**Collaboration \&amp; Partnership**
* Works productively with cross\-functional partners.
* Iterates based on feedback and contributes constructively to discussions.
* Demonstrates reliability and responsiveness.
**Independence \&amp; Professional Effectiveness**
* Operates with appropriate autonomy for a senior individual contributor.
* Prioritizes effectively across multiple analyses or studies.
* Proactively identifies risks, gaps, or opportunities.
**Top 3 Must\-Have Hard Skills (5\+ years each)**
* Strong foundation in inferential statistics and applied quantitative methods.
* Experience designing and analyzing surveys or large\-scale quantitative studies.
* Proficiency in statistical programming (Python or R).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2026-01-09T03:07:44Z</dcterms:created>
  <dcterms:modified xsi:type="dcterms:W3CDTF">2026-01-09T03:07:44Z</dcterms:modified>
</cp:coreProperties>
</file>