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in-0fbfa3a386edafdb</t>
        </is>
      </c>
      <c r="B2" t="inlineStr">
        <is>
          <t>Data Engineer – RMS Data Migration</t>
        </is>
      </c>
      <c r="C2" t="inlineStr">
        <is>
          <t>DatamanUSA</t>
        </is>
      </c>
      <c r="D2" t="inlineStr">
        <is>
          <t>indeed</t>
        </is>
      </c>
      <c r="E2" t="inlineStr"/>
      <c r="F2" t="inlineStr"/>
      <c r="G2" t="inlineStr">
        <is>
          <t>Montpelier, VT, US</t>
        </is>
      </c>
      <c r="H2" s="2" t="n">
        <v>46030</v>
      </c>
      <c r="I2" t="inlineStr">
        <is>
          <t>DatamanUSA is looking for a Data Engineer \- RMS Data Migration for our direct client based in VT. This is a great opportunity for someone who is a quick learner with excellent people skills.
**Job Details:**  
Job Title: Data Engineer \- RMS Data Migration  
Location: Montpelier, VT
Duration: 12 months
**Job Description:**  
* ) Analyze and reverse\-engineer undocumented MySQL and MSSQL database schemas.
* ) Perform data discovery, profiling, and validation across legacy RMS tables.
* ) Design and document logical and physical data models for migration purposes.
* ) Develop optimized, repeatable, and deterministic SQL queries to extract and transform large datasets.
* ) Prepare structured data for ingestion into the new RMS in compliance with vendor\-specific formats and validation rules.
* ) Design and execute ETL processes to support full and incremental data migrations.
* ) Process and migrate binary large objects (BLOBs), including PDFs and other unstructured data.
* ) Support iterative test migrations and adjust SQL scripts, mappings, and transformation logic based on findings.
* ) Identify data quality issues and recommend remediation strategies.
* ) Collaborate with Agency IT staff, RMS vendor teams, and subject matter experts during technical discussions.
* ) Produce clear, complete technical documentation suitable for long\-term Agency maintenance.
* ) Provide knowledge transfer to Agency personnel, including walkthroughs of queries, mappings, and ETL logic.
* ) Communicate progress, risks, and timelines effectively with minimal supervision.
**Required Technical Expertise:**  
* ) Advanced SQL, including complex SELECT statements, joins, subqueries, and transformation logic.
* ) Strong experience with MySQL and Microsoft SQL Server, including database architecture and schema discovery.
* ) Solid understanding of data modeling, normalization, and relational database design.
* ) Proven ability to reverse\-engineer undocumented or poorly documented schemas.
* ) Hands\-on experience with ETL methodologies and preparing data for third\-party system ingestion.
* ) Experience processing and migrating BLOBs, PDFs, and unstructured data.
* ) Strong analytical, problem\-solving, and technical documentation skills.
* ) Ability to interpret incomplete, ambiguous, or legacy data structures.
**Preferred Qualifications:**  
* ) Experience working with public safety RMS, case management systems, or similarly complex relational data environments.
* ) Prior experience supporting data migrations for government or public\-sector agencies.
* ) Familiarity with RMS vendor ingestion frameworks and validation processes.</t>
        </is>
      </c>
    </row>
    <row r="3">
      <c r="A3" t="inlineStr">
        <is>
          <t>in-8c362b38013f5fb5</t>
        </is>
      </c>
      <c r="B3" t="inlineStr">
        <is>
          <t>Associate Data Engineer</t>
        </is>
      </c>
      <c r="C3" t="inlineStr">
        <is>
          <t>RR Donnelley</t>
        </is>
      </c>
      <c r="D3" t="inlineStr">
        <is>
          <t>indeed</t>
        </is>
      </c>
      <c r="E3" t="inlineStr"/>
      <c r="F3" t="inlineStr"/>
      <c r="G3" t="inlineStr">
        <is>
          <t>Warrenville, IL, US</t>
        </is>
      </c>
      <c r="H3" s="2" t="n">
        <v>46030</v>
      </c>
      <c r="I3" t="inlineStr">
        <is>
          <t>**Company Description**  
RRD is a leading global provider of marketing, packaging, print, and supply chain solutions that elevate engagement across the complete customer journey. The company offers the industry’s most trusted portfolio of creative execution and world\-wide business process consulting, with services designed to lower environmental impact. With 22,000 clients, including 93% of the Fortune 100, and 32,000 employees across 28 countries, RRD brings the expertise, execution, and scale designed to transform customer touchpoints into meaningful moments of impact.
 **Job Description**  
The Data Engineer will join our Enterprise Reporting Team with a focus on Data Architecture. In the same way that an architect helps builders transform raw materials into buildings, a Data Engineer focusing on data architecture helps transform raw data into information. Instead of designing structures like strip malls or distribution centers, a data engineer designs structures like data marts or data warehouses. These structures integrate data from multiple systems across the enterprise to power the reports and dashboards central to RR Donnelley’s decisions and processes.
 **Responsibilities:**
* Analysis/Design: Analyze business requirements for projects of small to medium scope and complexity. Assist with the gathering of requirements from end users
* Coding: Write, test, and debug routine to moderately complex SQL queries, DML scripts, and DDL scripts
* Testing: Under general supervision, analyze and document test results to ensure that technical requirements are met
* Technical Support: Research and resolve routine to moderately complex data issues using SQL and other reporting tools.
* Documentation: Assist in preparing high\-quality internal documentation.
* Communication: Clearly convey problems, solutions, updates, and project status to peers, customers, and management
* Assist with the design, documentation, and implementation of Data Architecture standards
* Review existing data models for correctness and compliance with standards
* Analyze medium size datasets using Python to both visualize and make predictions
* Seek to understand RRD business units and processes, through research and discussions with IT and business partners
 **Qualifications**  
* Bachelor’s / 4\-year degree in a technical field: computer science, MIS, mathematics, engineering, data science, or similar
* 2\-3 years of related IT experience
* Strong knowledge and programming experience with SQL (Oracle, SQL Server, etc.)
* Strong knowledge of database concepts \&amp; structures (indexes, foreign keys, views, etc.)
* Understanding of data modeling concepts
* Fluency in office productivity software (MS Office, Google Workspace, etc.)
* Excellent written and verbal communication skills
* Superior critical thinking skills with the ability to ask thoughtful questions
* Ability to self\-start and collaborate with other team members while working in a remote setting
* Curiosity and a strong desire to learn
Data Engineer Preferred Skills:
* Working knowledge of Python or other programming languages
* Experience with Star Schema / Dimension databases
* Experience with data modeling tools, such as ERwin
**Additional Information**  
RRD's current salary range for this role is $67,800 to $105,800 / year. The salary range may be adjusted based on the applicable geographic location of the hired employee, and the range may change in the future. At RRD, it is not typical for an individual to be hired at or near the top of the range for their role and compensation decisions may vary based upon, but not limited to education, skills, experience, proficiency, performance, shift and location. Depending on the role, in addition to base salary, the total compensation package may also include participation in a bonus, commission or incentive program. RRD’s benefit offerings include medical, dental, and vision coverage, paid time off, disability insurance, 401(k) with company match, life insurance and other voluntary supplemental insurance coverages, plus parental leave, adoption assistance, tuition assistance and employer/partner discounts.
All employment offers are contingent upon the successful completion of both a pre\-employment background and drug screen.
RRD is an Equal Opportunity Employer, including disability/veterans</t>
        </is>
      </c>
    </row>
    <row r="4">
      <c r="A4" t="inlineStr">
        <is>
          <t>in-bbda19f85fe497a1</t>
        </is>
      </c>
      <c r="B4" t="inlineStr">
        <is>
          <t>Director of Data Engineering</t>
        </is>
      </c>
      <c r="C4" t="inlineStr">
        <is>
          <t>Petfolk</t>
        </is>
      </c>
      <c r="D4" t="inlineStr">
        <is>
          <t>indeed</t>
        </is>
      </c>
      <c r="E4" t="inlineStr"/>
      <c r="F4" t="inlineStr"/>
      <c r="G4" t="inlineStr">
        <is>
          <t>Remote, US</t>
        </is>
      </c>
      <c r="H4" s="2" t="n">
        <v>46030</v>
      </c>
      <c r="I4" t="inlineStr">
        <is>
          <t>At Petfolk, we’re reimagining veterinary care by blending high\-quality medicine with a welcoming, connected experience for pets, their families, and the professionals who care for them.
 **Job Title: Director of Data Engineering**
**Location:** Hybrid / Remote  
**Department:** Data \&amp; Engineering  
**Reports To:** CTO
**Compensation:** Up to $180k \+ Bonus \+ Equity
### **Position Overview:**
We are seeking a hands\-on, strategic, and technically skilled **Director of Data Engineering** to lead our data initiatives across the organization. This role will blend DevOps, modern data infrastructure, and traditional data management practices to build and scale our data platform. You'll work cross\-functionally to design and implement data architecture, pipelines, governance, and analytics capabilities that empower business intelligence, product development, and AI\-driven innovation.
### **Key Responsibilities:**
* Lead the design, development, and optimization of our data architecture and infrastructure using **AWS**, **Postgres**, **Snowflake**, and associated technologies.
* Oversee and implement ETL/ELT pipelines using **FiveTran**, **Airbyte**, and manage data activation via **High Touch** and similar technologies.
* Collaborate closely with Engineering, Product, and Business stakeholders to define and implement scalable data solutions.
* Guide the integration and application of **AI/ML tooling** to support data products and business intelligence.
* Establish and enforce best practices for data quality, security, privacy, and governance.
* Support DevOps practices related to data including CI/CD pipelines, infrastructure as code, and system monitoring.
* Build and mentor a team of data engineers and analysts to support business and technical data needs.
* Own the data roadmap and drive key initiatives across the data lifecycle.
### **Requirements:**
* 7\+ years of experience in data engineering, DevOps, or a related field, with at least 2 years in a leadership role.
* Expert knowledge of **AWS** cloud services and infrastructure.
* Deep experience with **PostgreSQL**, **Snowflake**, **FiveTran**, **Airbyte**, **High Touch** and modern data stack tools.
* Familiarity with **AI tooling**, model deployment, and data science workflows.
* Proficiency in Python and SQL etc..
* Proven ability to manage end\-to\-end data solutions from ingestion to visualization.
Strong leadership, project management, and communication skills.  
* 
### **Preferred Qualifications:**
* Experience in a startup or high\-growth environment.
* Knowledge of data privacy regulations (e.g., GDPR, HIPAA).</t>
        </is>
      </c>
    </row>
    <row r="5">
      <c r="A5" t="inlineStr">
        <is>
          <t>in-394c57d4df266767</t>
        </is>
      </c>
      <c r="B5" t="inlineStr">
        <is>
          <t>Data Engineer</t>
        </is>
      </c>
      <c r="C5" t="inlineStr">
        <is>
          <t>In Touch Financial Services</t>
        </is>
      </c>
      <c r="D5" t="inlineStr">
        <is>
          <t>indeed</t>
        </is>
      </c>
      <c r="E5" t="inlineStr"/>
      <c r="F5" t="inlineStr"/>
      <c r="G5" t="inlineStr">
        <is>
          <t>Remote, US</t>
        </is>
      </c>
      <c r="H5" s="2" t="n">
        <v>46030</v>
      </c>
      <c r="I5" t="inlineStr">
        <is>
          <t>**Job Overview**  
Ignite your career as a Data Engineer and become a vital force in transforming raw data into actionable insights! In this dynamic role, you will design, develop, and optimize scalable data pipelines and architectures that empower organizations to harness the full potential of their data assets. You will work at the forefront of big data technologies, cloud platforms, and advanced analytics to support strategic decision\-making and innovative projects. Your expertise will drive efficiency, accuracy, and agility across diverse data ecosystems, making a tangible impact on business success.
**Duties**
* Develop and maintain robust ETL (Extract, Transform, Load) processes to integrate data from multiple sources such as AWS, Azure Data Lake, Oracle, and Microsoft SQL Server.
* Design and implement scalable data warehouses and data lakes using tools like Hadoop, Spark, Apache Hive, and Informatica to support large\-scale analytics.
* Build efficient database schemas and optimize SQL queries for performance across various platforms including Oracle, SQL Server, and Big Data environments.
* Collaborate with cross\-functional teams using Agile methodologies to gather requirements, plan sprints, and deliver high\-quality data solutions.
* Create RESTful APIs for seamless data access and integration with Looker dashboards or other visualization tools.
* Write complex scripts in Python, Bash (Unix shell), Shell Scripting, or VBA to automate workflows and streamline data processing tasks.
* Engage in model training and analysis skills to support advanced analytics initiatives and machine learning projects.
* Design data models that facilitate linked data concepts for enhanced interoperability across systems.
**Experience**
* Proven experience in designing and developing large\-scale data pipelines using AWS services such as S3, Lambda, or Glue.
* Strong proficiency in Java, Python, SQL (including T\-SQL), and Shell Scripting for building reliable data solutions.
* Hands\-on experience with big data frameworks like Hadoop, Spark, Apache Hive, or similar technologies.
* Familiarity with cloud platforms including Azure Data Lake and related services for scalable storage and processing.
* Knowledge of ETL tools such as Talend or Informatica for efficient data integration workflows.
* Demonstrated ability to work within Agile teams on complex projects involving database design and analytics.
* Understanding of RESTful API development for integrating diverse systems seamlessly.
* Excellent analysis skills with a focus on database optimization, modeling techniques, and linked data concepts. Join us in shaping the future of data\-driven decision\-making! We are committed to fostering an inclusive environment where innovation thrives through talented professionals dedicated to excellence in analytics and technology solutions.
Job Type: Full\-time
Pay: $108,044\.87 \- $130,118\.55 per year
Benefits:
* 401(k)
* Dental insurance
* Flexible schedule
* Health insurance
* Paid time off
* Tuition reimbursement
* Vision insurance
Work Location: Remote</t>
        </is>
      </c>
    </row>
    <row r="6">
      <c r="A6" t="inlineStr">
        <is>
          <t>in-f4c38033fc5172df</t>
        </is>
      </c>
      <c r="B6" t="inlineStr">
        <is>
          <t>Sr Data Engineer</t>
        </is>
      </c>
      <c r="C6" t="inlineStr">
        <is>
          <t>LPL Financial</t>
        </is>
      </c>
      <c r="D6" t="inlineStr">
        <is>
          <t>indeed</t>
        </is>
      </c>
      <c r="E6" t="inlineStr"/>
      <c r="F6" t="inlineStr"/>
      <c r="G6" t="inlineStr">
        <is>
          <t>Fort Mill, SC, US</t>
        </is>
      </c>
      <c r="H6" s="2" t="n">
        <v>46029</v>
      </c>
      <c r="I6"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We are looking to hire a **Data Engineer** within our Technology organization. This position will be a key part of the development team, to support and build data models for Enterprise level integration projects.
**Responsibilities:**
* Operate in Agile environment to build and deploy automated processes that populate a graph database used as part of the organizations metadata repo.
* Work with analyst, end customers, and other technical resources to generate solutions from graph datasets
* Design, develop, test and implement data pipelines based existing Informatica PowerCenter and SQL Server technologies.
* Review existing pipelines for opportunities to tune, optimize and harden
* Provide leadership to teammates through technical design, code reviews and implementation of best practices, adhering to LPL’s SDLC and RM processes.
* Collaborate with other Development teams, Enterprise Architecture and Support teams to design, develop, test and maintain the various platforms and the integration with other systems.
* Communicate with technical and non\-technical groups on a regular basis as part of product/project support
**What are we looking for?** We’re looking for strong collaborators who deliver exceptional client experiences and thrive in fast\-paced, team\-oriented environments. Our ideal candidates **pursue greatness**, **act with integrity**, and are **driven to help our clients succeed**. We value those who embrace creativity, continuous improvement, and contribute to a culture where we **win together** and **create and share joy** in our work.
**Requirements:**
* 4\+ years experience in design and development of ETL using Snowflake Suite of Tools
* 4\+ years experience in developing scripts in a relational database i.e. SQL Server (TSQL and Stored Procedures) or Oracle using SQL/PLSQL
* 4\+ years experience in performance tuning (Snowflake DBT/Stored Procs)
* 4\+ years experience with effective analytical, troubleshooting and problem\-solving skills
* 3\+ years experience rolling out workflows through GitHub
**Core Competencies:**
* Effective analytical, troubleshooting and problem\-solving skills
* Working knowledge of software development methodologies like Agile \- Scrum experience
**Preferences:**
* Python
* Snowflake Certification
* AWS Glue, Airflow, Lambda
\#LI\-Hybrid
 **Pay Range:**
$99,375\-$165,625/year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
* **Commitment to Equality:** We support workplace equality and embrace diverse perspectives and backgrounds. !
* **Community Focus:** We care for our communities and encourage our employees to do the same. !
* **Benefits and Total Rewards:** Our Total Rewards package goes beyond just compensation and insurance. It includes a mix of traditional and unique benefits, perks, and resources designed to enhance your life both at work and at home. !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7">
      <c r="A7" t="inlineStr">
        <is>
          <t>in-544ac5893a157bf2</t>
        </is>
      </c>
      <c r="B7" t="inlineStr">
        <is>
          <t>Sr. Data Engineer - SQL/Informatica</t>
        </is>
      </c>
      <c r="C7" t="inlineStr">
        <is>
          <t>Medica Services Company LLC</t>
        </is>
      </c>
      <c r="D7" t="inlineStr">
        <is>
          <t>indeed</t>
        </is>
      </c>
      <c r="E7" t="inlineStr"/>
      <c r="F7" t="inlineStr"/>
      <c r="G7" t="inlineStr">
        <is>
          <t>Minnetonka, MN, US</t>
        </is>
      </c>
      <c r="H7" s="2" t="n">
        <v>46029</v>
      </c>
      <c r="I7" t="inlineStr">
        <is>
          <t>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Design, build, implement, and maintain data storage structures and processing pipelines for the extraction, transformation, and loading (ETL) of data from a variety of sources. Develop robust and scalable solutions that transform data into a useful format for analysis, enhance data flow, and enable efficient, cost\-effective consumption and analysis of data. Write complex SQL queries to support analytics needs. Evaluate and recommend tools and technologies for data infrastructure and processing, including modern cloud platforms such as Snowflake, Azure, AWS, and data integration tools like Apache Airflow, dbt, Informatica Intelligent Data Management Cloud (IDMC), and distributed processing frameworks such as Apache Spark. Performs other duties as assigned.
**Key Accountabilities**
* Designing and implementing scalable data pipelines and storage solutions to support enterprise analytics
* Ensuring data quality, integrity, and security across all stages of the data lifecycle
* Collaborating with stakeholders to define data requirements and translate them into technical specifications
* Monitoring and optimizing performance of data systems and ETL processes
* Supporting the deployment and maintenance of data infrastructure in cloud environments
* Developing and maintaining complex SQL scripts and stored procedures for data transformation and reporting
* Leveraging Informatica IDMC for cloud\-native data integration, data quality, and governance workflows
* Performing exploratory data analysis and generating actionable insights
* Creating dashboards and visualizations using tools like Power BI, Tableau, or Excel
* Collaborating with cross\-functional teams to align data efforts with business goals
* Automating data workflows using scripting languages such as Python or R
* Supporting business intelligence initiatives and translating data into strategic recommendations. Documenting data processes and contributing to data governance standards
* Applying AI and machine learning techniques to enhance predictive analytics, automate decision\-making, and uncover deeper insights from complex datasets
* Utilizing preferred AI tools and platforms such as TensorFlow, Azure Machine Learning, scikit\-learn, and PyTorch to build and deploy models that support enterprise analytics and innovation
**Required Qualifications**
* Bachelor's degree or equivalent experience in a related field
* 7\+ years of work experience beyond the degree
**Preferred Qualifications**
* Microsoft Certified: (or equivalent cloud) Azure Data Engineer
* Microsoft Certified: Azure Fundamentals
* Snowflake SnowPro Core Certification
* Snowflake Advanced Architect Certification
This position is an Office role, which requires an employee to work onsite at our Minnetonka, MN office, on average, 3 days per week.
The full salary grade for this position is $100,300 \- $172,000\. While the full salary grade is provided, the typical hiring salary range for this role is expected to be between $100,300 \- $143,300\. Annual salary range placement will depend on a variety of factors including, but not limited to, education, work experience, applicable certifications and/or licensure, the position's scope and responsibility, internal pay equity and external market salary data. In addition to base compensation, this position may be eligible for incentive plan compensation in addition to base salary.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8">
      <c r="A8" t="inlineStr">
        <is>
          <t>in-bf1b812dd4436760</t>
        </is>
      </c>
      <c r="B8" t="inlineStr">
        <is>
          <t>Research Data Engineer II</t>
        </is>
      </c>
      <c r="C8" t="inlineStr">
        <is>
          <t>University of Rochester</t>
        </is>
      </c>
      <c r="D8" t="inlineStr">
        <is>
          <t>indeed</t>
        </is>
      </c>
      <c r="E8" t="inlineStr"/>
      <c r="F8" t="inlineStr"/>
      <c r="G8" t="inlineStr">
        <is>
          <t>Rochester, NY, US</t>
        </is>
      </c>
      <c r="H8" s="2" t="n">
        <v>46029</v>
      </c>
      <c r="I8" t="inlineStr">
        <is>
          <t>As a community, the University of Rochester is defined by a deep commitment to Meliora \- Ever Better. Embedded in that ideal are the values we share: equity, leadership, integrity, openness, respect, and accountability. Together, we will set the highest standards for how we treat each other to ensure our community is welcoming to all and is a place where all can thrive.
**Job Location (Full Address):**
601 Elmwood Ave, Rochester, New York, United States of America, 14642
**Opening:**
Worker Subtype:
Regular
Time Type:
Full time
Scheduled Weekly Hours:
40
Department:
400129 Surgery Research
Work Shift:
UR \- Day (United States of America)
Range:
UR URG 113
Compensation Range:
$77,216\.00 \- $115,824\.00
*The referenced pay range represents the minimum and maximum compensation for this job. Individual annual salaries/hourly rates will be set within the job's compensation range, and will be determined by considering factors including, but not limited to, market data, education, experience, qualifications, expertise of the individual, and internal equity considerations.*
**Responsibilities:**
Participates in the design, implementation and maintenance of analytical and data science\-based software and data pipelines to support scientific workflows. Focuses on developing and supporting data collection frameworks that integrate structured and unstructured data from multiple sources and systems to support specific research study teams. Supports the development and maintenance of infrastructure systems (e.g., data warehouses, data lakes), including data access Application Programming Interface(s) (APIs). Works in partnership with team members to provide robust, scalable software solutions to the research enterprise.
**ESSENTIAL FUNCTIONS**
* **Advanced Statistical and Computational Analysis:** Apply statistical tools to biomedical datasets. Develop custom scripts in R and Python to support translational research.
* **Data Architecture and Workflow design:** Maintain metadata standards and ensure compliance with FAIR principles for scientific data. Deploy and manage computational jobs, optimizing workflows for large\-scale bioinformatics and statistical analyses. Ensure efficient resource allocation for complex modeling tasks.
* **Documentation, Manuscript and Grant Preparation:** Produce detailed technical documentation for workflows and data analysis for reproducible research. Mentor team members on best practices and version control. Active involvement in manuscript and grant writing under the guidance of the PI.
* **Collaboration and Communication:** Work closely with research teams to translate biological questions into computational solutions. Present technical progress and challenges clearly to technical and non\-technical stakeholders.
Other duties as assigned.  
**MINIMUM EDUCATION \&amp; EXPERIENCE**
* BS in Biomedical Science, Computer Science, or Data Science
at least 2 years of experience in data\-intensive roles or MS degree in equivalent field  
* 
**KNOWLEDGE, SKILLS AND ABILITIES** (preferred)
* Data engineering, programming, scientific data management, statistical methods for scientific and clinical research, Proficiency in coding ability (Python, R) for data processing and analysis, Advanced statistical analysis, Strong organizational and problem solving skills.
The University of Rochester is committed to fostering, cultivating, and preserving an inclusive and welcoming culture to advance the University’s Mission to Learn, Discover, Heal, Create – and Make the World Ever Better. In support of our values and those of our society, the University is committed to not discriminating on the basis of age, color, disability, ethnicity, gender identity or expression, genetic information, marital status, military/veteran status, national origin, race, religion, creed, sex, sexual orientation, citizenship status, or any other characteristic protected by federal, state, or local law (Protected Characteristics). This commitment extends to non\-discrimination in the administration of our policies, admissions, employment, access, and recruitment of candidates, for all persons consistent with our values and based on applicable law.</t>
        </is>
      </c>
    </row>
    <row r="9">
      <c r="A9" t="inlineStr">
        <is>
          <t>in-48fda499f478dd42</t>
        </is>
      </c>
      <c r="B9" t="inlineStr">
        <is>
          <t>Data Analytics Engineer (Hybrid, Schaumburg, IL)</t>
        </is>
      </c>
      <c r="C9" t="inlineStr">
        <is>
          <t>Byline Bank</t>
        </is>
      </c>
      <c r="D9" t="inlineStr">
        <is>
          <t>indeed</t>
        </is>
      </c>
      <c r="E9" t="inlineStr"/>
      <c r="F9" t="inlineStr"/>
      <c r="G9" t="inlineStr">
        <is>
          <t>Schaumburg, IL, US</t>
        </is>
      </c>
      <c r="H9" s="2" t="n">
        <v>46029</v>
      </c>
      <c r="I9" t="inlineStr">
        <is>
          <t>**About Byline Bank:**  
Headquartered in Chicago, Byline Bank, a subsidiary of Byline Bancorp, Inc. (NYSE:BY), is a full\-service commercial bank serving small\- and medium\-sized businesses, financial sponsors and consumers. Byline Bank has approximately $9\.7 billion in assets and operates 45 branch locations throughout the Chicago and Milwaukee metropolitan areas. Byline Bank offers a broad range of commercial and community banking products and services, including small\-ticket equipment leasing solutions, and is one of the top U.S. Small Business Administration (SBA) lenders according to the national SBA rankings by volume FY2024\. Byline Bank is a member of FDIC and an Equal Housing Lender.
At Byline Bank, we take pride in being an award\-winning workplace. Some of our recent recognitions include:
* U.S. News \&amp; World Report named Byline Bank as one of the **Best Companies to Work for in the Midwest, Finance \&amp; Overall in 2024\-2025, 2025\-2026\.**
* Chicago Sun Times Chicago’s **Best Workplaces 2024**
* **Best Workplaces in Illinois in 2024** by Best Companies Group and Illinois SHRM (Society for Human Resource Management)
* Forbes **America’s Best Small Employers 2023**
By joining our team, you will become part of an organization that values growth, collaboration, and innovation. We strive to create an environment where employees feel supported and are empowered to excel in their roles. If you're looking for a career with a company that puts people first and makes a difference in the communities we serve, Byline Bank is the place for you.
\*\*Hybrid Schedule: Tuesday's in Schaumburg office\*\*
**Objective of Position**: The Data Analytics Engineer is responsible for analyzing, designing, developing, and implementing data analytics solutions. The role provides technical support for data analytics assets as well as evaluates data and analytics platforms and related hardware and software for risk and improvement.
**Duties and Responsibilities:**
* Establish and implement standards and best practices.
* Conduct data profiling periodically and update procedures and best practices to effectively manage the data quality, metadata, and data security.
* Gather and document business requirements from end users and perform data analysis.
* Design and implement database models (Relational, Dimensional, Star/Snowflake schema).
* Prepare process and data flow diagrams.
* Develop reports, dashboards, scorecards, data integrations, preliminary analyses, and visualizations.
* Develop queries to extract, load, and transform data.
* Create documentation for end users, reference, training, and technical solutions.
* Develop and document thorough test plans.
* Perform unit, system, integration, and regression testing. Document test results and provide feedback.
* Actively engage end users during UAT (User Acceptance Testing) to obtain sign\-off and validation.
* Support enterprise analytics usage across the organization.
* Perform and document database audits regularly in accordance with Byline Bank policies.
* Attend to user issues on time and resolve issues as per the established Service Level Agreements (SLAs).
* Prepare project plans and clearly articulate roles, project goals, and timelines.
* Manage projects and communicate progress and delays with stakeholders.
* All other duties as assigned.
*Note: Nothing in this job description restricts management’s right to assign or reassign duties and responsibilities to this job at any time.*
**Qualifications:**
* Bachelor’s degree in computer science, engineering, or relevant field.
* Relevant industry certifications are a plus.
* 4\+ years of experience in designing, developing, and implementing data analytics solutions.
* 3\+ years of hands\-on development using MS SQL Server, Oracle, or other database technologies. Experience with Snowflake and/or Databricks is a plus.
* 3\+ years of experience in developing analytics using tools such as SAP Business Objects, Power BI, Tableau, or SSRS.
* 2\+ years of experience in data warehouse architecture, design principles, systems development, and ETL (Extract, Transform, Load) processes. Experience with DBT is a plus.
* Proven experience in designing data models, including star schemas and data marts, to support end\-user consumption and analytics.
* Experience administering enterprise Power BI / Fabric platforms, including security, lifecycle management, and content governance.
* Must be self\-motivated, team oriented and able to operate with minimal supervision.
* Good analytical, problem solving, and decision\-making skills.
* Experience working in the financial services industry is a plus.
* Ability to identify, evaluate, and diagnose problems.
* Experience with current best practices in IT standards, principles, and security practices.
* Strong interpersonal and communication skills and the ability to work effectively to support a wide range of constituencies. The ability to communicate technical information to non\-technical personnel.
* Self\-starter with excellent organization, administrative, interpersonal and leadership skills.
* Demonstrates strong organizational, analytical, and problem\-solving skills.
* Ability to handle high pressure situations while still being attentive to the detail and delivery requirements.
**Physical Demands/Work Environment:**  
Usual office environment with frequent sitting, walking, and standing, and occasional climbing, stooping, kneeling, crouching, crawling, and balancing. Frequent use of eye, hand, and finger coordination enabling the use of office equipment. Oral and auditory capacity enabling interpersonal communication as well as communication through automated devices.
At Byline Bank, we value work\-life flexibility and support a hybrid work environment for this position. This role allows for a combination of remote and in\-office work, with occasional visits to the office based on business needs. Specific in\-office days may vary and will be discussed during the interview process.
**Compensation \&amp; Benefits:**  
Byline Bank offers competitive industry rate salary bands with the goal of retaining and growing talented individuals. We regularly review and adjust our compensation structure as needed to ensure equity across teams and levels.
The salary range for this position is between $86,000 to $115,000
In addition, Byline provides benefits including medical coverage, dental, vision, disability, 401k, paid time off and much more! Depending on the specific role, compensation may also include discretionary bonuses and other benefit programs. The actual compensation package may vary based on factors such as skill set, experience level, and candidate's location.
**Additional Information:**  
Byline Bank is an Equal Opportunity Employment / Affirmative Action employer dedicated to providing an inclusive workplace where the unique differences of our employees are welcomed, respected, and valued. We are committed to the principle of equal employment opportunity for all employees and to providing employees with a work environment free of discrimination and harassment.
All employment decisions at Byline Bank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protected veteran status, family medical history or genetic information, family or parental status, or any other status protected by the laws or regulations in the locations where we operate. Byline Bank will not tolerate discrimination or harassment based on any of these characteristics.
Byline Bank is committed to providing reasonable accommodations for candidates with disabilities in our recruiting process. If you need any assistance or accommodations due to a disability, please contact us directly at 773\-475\-2900, Option \#2\.
If applying within the US, this role is not eligible for visa sponsorship now or in the future.
**Note to Recruitment Agencies and Third\-Party Recruiters:**  
Byline Bank kindly requests that third\-party recruiters, staffing agencies, and recruitment firms refrain from submitting resumes or candidate profiles without a prior agreement in place. Any unsolicited submissions will be considered property of Byline Bank, and no fees will be paid for placements resulting from such submissions. We appreciate your understanding and cooperation.</t>
        </is>
      </c>
    </row>
    <row r="10">
      <c r="A10" t="inlineStr">
        <is>
          <t>in-31ff737226c2c95c</t>
        </is>
      </c>
      <c r="B10" t="inlineStr">
        <is>
          <t>ETL Data Engineer-1</t>
        </is>
      </c>
      <c r="C10" t="inlineStr">
        <is>
          <t>Realign</t>
        </is>
      </c>
      <c r="D10" t="inlineStr">
        <is>
          <t>indeed</t>
        </is>
      </c>
      <c r="E10" t="inlineStr"/>
      <c r="F10" t="inlineStr"/>
      <c r="G10" t="inlineStr">
        <is>
          <t>CA, US</t>
        </is>
      </c>
      <c r="H10" s="2" t="n">
        <v>46029</v>
      </c>
      <c r="I10" t="inlineStr">
        <is>
          <t>Job Type: Contract
Job Category: IT
Job Description
**Title: ETL Data Engineer**  
**Location : \- California / remote****Duration : 06 Months**  
Seeking an experienced Data Managemenet professional who will design, implement, and manage secure, scalable ODS solution for reporting and decision making to support critical business applications. This role requires strong hands\-on SQL adn SSIS experience, automation skills, and the ability to collaborate with cross\-functional teams.  
Key Responsibilities  
* Strategize, Design, implement, and manage ODS jobs and environments.
* Documentation of PowerBI project requirements, roadmap planning and reporting data delivery.
* Build and maintain SSIS packages, SQL queries, databases and reports
* Ensure high availability and scalable solution is designed for ODS environment.
* Monitor and optimize SQL queries, daily, weekly and monthly Jobs.
* Collaborate with development teams to design data management projects.
* Maintain backup and disaster recovery strategies.
* Document cloud architecture, processes, and configurations.
* Support cloud migration and modernization projects.
* Conduct performance testing.
Preferred Skills \&amp; Qualifications  
* Experience: 5\+ years in Data Management with PowerBI, SQL, SSIS, AWS/Azure
* Strong project management experience.
Required Skills
DEVOPS ENGINEER
 SENIOR EMAIL SECURITY ENGINEER</t>
        </is>
      </c>
    </row>
    <row r="11">
      <c r="A11" t="inlineStr">
        <is>
          <t>in-0f06cf6d69cacadc</t>
        </is>
      </c>
      <c r="B11" t="inlineStr">
        <is>
          <t>Azure Data Engineer-4</t>
        </is>
      </c>
      <c r="C11" t="inlineStr">
        <is>
          <t>Realign</t>
        </is>
      </c>
      <c r="D11" t="inlineStr">
        <is>
          <t>indeed</t>
        </is>
      </c>
      <c r="E11" t="inlineStr"/>
      <c r="F11" t="inlineStr"/>
      <c r="G11" t="inlineStr">
        <is>
          <t>Detroit, MI, US</t>
        </is>
      </c>
      <c r="H11" s="2" t="n">
        <v>46029</v>
      </c>
      <c r="I11" t="inlineStr">
        <is>
          <t>Job Type: Contract
Job Category: IT
Job Description
**Role: Azure Data Engineer****Location: Detroit, MI (Onsite)**  
**Contract** **Competencies:**
8\+ years of experience
Digital: Microsoft Azure
Digital: Microsoft Power BI
 **Role Description:**  
We are seeking an experienced Azure Data Engineer with strong Power BI development expertise and a solid understanding of Marketing Technology (MarTech) platforms.
The role focuses on designing, building, and optimizing scalable data pipelines and analytics solutions on Microsoft Azure.
The ideal candidate will enable actionable insights by transforming marketing and retail data into high\-quality, reliable datasets and interactive Power BI dashboards, supporting data\-driven decision\-making across Meijer’s marketing and retail operations.
This role requires close collaboration with cross\-functional teams to integrate data from multiple MarTech systems, ensure data accuracy and performance, and deliver analytics solutions aligned with business objectives.
Required Skills
DEVOPS ENGINEER
 SENIOR EMAIL SECURITY ENGINEER</t>
        </is>
      </c>
    </row>
    <row r="12">
      <c r="A12" t="inlineStr">
        <is>
          <t>in-470aa03dba0625f0</t>
        </is>
      </c>
      <c r="B12" t="inlineStr">
        <is>
          <t>Senior Data Engineer</t>
        </is>
      </c>
      <c r="C12" t="inlineStr">
        <is>
          <t>Quality Insights</t>
        </is>
      </c>
      <c r="D12" t="inlineStr">
        <is>
          <t>indeed</t>
        </is>
      </c>
      <c r="E12" t="inlineStr"/>
      <c r="F12" t="inlineStr"/>
      <c r="G12" t="inlineStr">
        <is>
          <t>US</t>
        </is>
      </c>
      <c r="H12" s="2" t="n">
        <v>46029</v>
      </c>
      <c r="I12" t="inlineStr">
        <is>
          <t>### **Basic Function:**
### **Responsible to implement and maintain the technical infrastructure for data ingestion, transformation, and quality measurement calculation, ensuring platform reliability, performance, and scalability.**
### **Organizational Relationships:**
Reports to the Director of Analytic Resources
### **Role and Responsibilities:**
* Build and maintain data ingestion pipelines using Azure services (Fabric/Synapse, Event Hub, Functions)
* Implement ETL/ELT processes using Spark (PySpark, SparkSQL), DBT, and/or Airflow
* Develop and maintain data quality monitoring and validation frameworks
* Optimize query performance and database operations on CDW and platform databases
* Implement measure calculation logic based on CQL specifications
* Create and maintain RESTful APIs for system integration
* Perform database maintenance, enhancement, and migration activities
* Develop automated testing frameworks for data pipelines and transformations
* Monitor platform performance and implement optimization strategies
* Support day\-to\-day platform operations and troubleshooting
* Other duties as assigned
### **Supervisory Responsibilities:**
N/A
### **Skills / Professional Competencies Required:**
* 7\+ years data engineering experience with large\-scale healthcare data systems
* Expert proficiency in SQL (T\-SQL), Python, and PySpark
* Hands\-on experience with Azure Databricks and Spark for distributed processing
* Strong understanding of data pipeline orchestration tools (DBT, Airflow, Azure Data Factory)
* Experience with healthcare data standards and quality measure calculation
* Proven ability to optimize performance in high\-volume data environments
* Experience with CI/CD practices and DevOps methodologies
**Minimum Education/Training Required:**
Bachelor’s degree from accredited college or university in computer science, engineering, mathematics, statistics or a related quantitative discipline.
### **Minimum Experience Required:**
### **At least 7 years of data engineering experience in healthcare or government sectors****.**
### **Substitution(s):**
None
 **Licensure/Certification Requirements:**
N/A
### **Security Level:**
Low
### **Working Conditions and Physical Requirements:**
The **physical demands** marked below are representative of those that will be required to successfully perform the essential functions of this job. Reasonable accommodation may be made to enable individuals with disabilities to perform the essential functions.
 **Requirement**
 **Yes/No**
Lifting (lbs.)  
If yes, Specify Range:
Up to 25 pounds
Yes
Carrying (lbs.)  
If yes, Specify Range:
Up to 25 pounds
 Yes
Stooping, Bending
 Yes
Kneeling, Squatting
 Yes
Walking
Yes
Standing
Yes
Sitting
Yes
Climbing, Balancing (e.g., climbing and working from ladder)
No
Use of Hands to Finger, Handle, or Feel
Yes
Physical Coordination (sequential or simultaneous use of hands, arms, feet, and legs)
Yes
Eye\-Hand Coordination
No
Close Vision (clear vision at 20" or less)
Yes
Distance Vision (clear vision at 20' or more)
No
Color Vision (ability to identify and distinguish colors)
No
Depth Perception (ability to judge distance spatial relationships)
No
Hearing in person
Yes
Hearing on telephone
Yes
Speaking in person
Yes
Speaking on telephone
Yes
 *The environmental conditions marked below are common to this job:*
**Condition**
 **Yes/No**
Outdoor Weather Conditions
No
Wet, Humid Conditions (non\-weather)
No
Work Near Moving Mechanical Parts
No
Work in High, Precarious Places
No
Fumes or Dust
No
Toxic or Caustic Chemicals
No
Extreme Heat (non\-weather over 90 deg. F.)
No
Low Noise (e.g. business office)
Yes
Moderate Noise (e.g., light motorized equipment such as lawn mowers)
No
Loud Noise (e.g., jackhammer, heavy motorized equipment)
No
Acknowledgement:
I hereby verify that I understand the job description and requirements and attest that I meet minimum requirements for the position. I understand that management may assign other duties/responsibilities at any time. I also understand that should licensure/certification be a mandatory part of the job, that I will maintain and renew such license/certification as required. I understand that I am obligated to notify Human Resources and my supervisor should there be a change in status of such license/certification within one business day of the change. I understand that failure to maintain current licensure/certification and complete mandatory continuing educational requirements may lead to disciplinary action up to and including immediate termination. I further understand that this job description does not constitute an employment contract. Instead, I understand that I am an at\-will employee and that my employment may be terminated, with or without cause, at any time by either the employer or me.
 **Signature of Employee:**
 **Date:**
 **Supervisor:**
 **Date:**
 **Human Resources Director:**
 **Date:**</t>
        </is>
      </c>
    </row>
    <row r="13">
      <c r="A13" t="inlineStr">
        <is>
          <t>in-f64e76a3d913e49e</t>
        </is>
      </c>
      <c r="B13" t="inlineStr">
        <is>
          <t>BI Engineer</t>
        </is>
      </c>
      <c r="C13" t="inlineStr">
        <is>
          <t>LightEdge</t>
        </is>
      </c>
      <c r="D13" t="inlineStr">
        <is>
          <t>indeed</t>
        </is>
      </c>
      <c r="E13" t="inlineStr"/>
      <c r="F13" t="inlineStr"/>
      <c r="G13" t="inlineStr">
        <is>
          <t>Des Moines, IA, US</t>
        </is>
      </c>
      <c r="H13" s="2" t="n">
        <v>46029</v>
      </c>
      <c r="I13" t="inlineStr">
        <is>
          <t>LightEdge is seeking a skilled BI Engineer to support data \&amp; analytic functions enterprise\-wide. This individual will deliver end\-to\-end data solutions that includes: gathering business requirements for reporting dashboards, perform data analysis, write SQL queries, ensure data integrity and build dashboards. They will partner closely with stakeholders to build high quality solutions that unlock insights from the data and drives business efficiencies. They will be seen as a data subject matter expert, providing consultation to others on best practices.
### **Responsibilities**
* + Gather and document business requirements for reporting and analytics requests
	+ Write SQL queries applying complex joins and business logic to accurately pull data needed for reporting and analytics
	+ Administer Power BI cloud instance: provide appropriate access to users, train new users, publish and maintain certified data sources
	+ Build Power BI dashboards by connecting Snowflake data and creating actionable visuals
	+ Validate, analyze and document new datasources
	+ Help establish and follow proper data governance, compliance and security practices
	+ Partner with stakeholders to translate business needs into actionable data insights using Snowflake and Power BI
	+ Train and mentor less experienced team members
	+ Collaborate with data engineers to ensure data in Snowflake is correct and supports reporting needs
### **Education and Experience**
* + 5\+ years of experience in data/analytics roles including writing SQL and building dashboards
	+ Proficient with python or other coding software
	+ Experience with a cloud data warehouse (Snowflake, Redshift, Databricks, etc.)
	+ Proven ability to work with stakeholders to turn business needs into actionable data insights
	+ Intermediate skills in writing SQL
	+ Skilled in building dashboards (Tableau, Power BI, Domo, etc.)
	+ Strong business acumen and communication skills
	+ Experience with data quality and validation practices
	+ Basic understanding of Data Governance
	+ Desire and ability to leverage AI responsibly in order to unlock efficiencies
	+ Ability to work in a fast\-paced environment with an entrepreneurial mindset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
      <c r="A14" t="inlineStr">
        <is>
          <t>in-3f430a085ed5f1e9</t>
        </is>
      </c>
      <c r="B14" t="inlineStr">
        <is>
          <t>Senior Data Engineer, Product Analytics</t>
        </is>
      </c>
      <c r="C14" t="inlineStr">
        <is>
          <t>DataRobot</t>
        </is>
      </c>
      <c r="D14" t="inlineStr">
        <is>
          <t>indeed</t>
        </is>
      </c>
      <c r="E14" t="inlineStr"/>
      <c r="F14" t="inlineStr"/>
      <c r="G14" t="inlineStr">
        <is>
          <t>MA, US</t>
        </is>
      </c>
      <c r="H14" s="2" t="n">
        <v>46029</v>
      </c>
      <c r="I14" t="inlineStr">
        <is>
          <t>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About DataRobot
DataRobot delivers the industry\-leading agentic AI applications and platform that maximize impact and minimize risk for your business. DataRobot’s enterprise AI platform democratizes data science with end\-to\-end automation for building, deploying, and managing machine learning models. This platform maximizes business value by delivering AI at scale and continuously optimizing performance over time. The company’s proven combination of cutting\-edge software and world\-class AI implementation, training, and support services empowers any organization, regardless of size, industry, or resources, to drive better business outcomes with AI.
About the role:
As a technical driver and hands\-on expert, the Senior Data Engineer will shape our end\-to\-end data strategy and guide the team’s technical execution. This role is responsible for building scalable Data Warehouse and Lakehouse solutions on Snowflake, championing the ELT paradigm, and ensuring robust data governance and cost optimization. We are looking for a seasoned engineer who combines deep technical mastery with a passion for mentoring others to build and influence high\-impact, data\-driven solutions.
Key Responsibilities:* Architect and deliver scalable, reliable data warehouses, analytics platforms, and integration solutions. Critical role in supporting our internal AI strategy.
* Partner with Product Manager, Analytics to shape our project roadmap and lead its implementation. Collaborate with and mentor cross\-functional teams to design and execute sophisticated data software solutions that elevate business performance and align to coding standards and architecture.
* Develop, deploy, and support analytic data products, such as data marts, ETL jobs (extract/transform/load), functions (in Python/SQL/DBT) in a cloud data warehouse environment using Snowflake, Stitch/Fivetran/Airflow, AWS services (e.g., EC2, lambda, kinesis).
* Navigate various data sources and efficiently locate data in a complex data ecosystem.
* Work closely with data analysts, and data scientists to build models and metrics to support their analytics needs. Data modeling enhancements caused by upstream data changes.
* Instrument telemetry capture and data pipelines for various environments to provide product usage visibility.
* Maintain and support deployed ETL pipelines and ensure data quality.
* Develop monitoring and alerting systems to provide visibility into the health of data infrastructure, cloud applications, and data pipelines.
* Partner with the IT enterprise applications and engineering teams on integration efforts between systems that impact data \&amp; Analytics
* Work with R\&amp;D to answer complex technical questions about product analytics and corresponding data structure.
Knowledge, Skills, and Abilities:* 5\-7 years of experience in a data engineering or data analyst role.
* Experience building and maintaining product analytics pipelines, including the implementation of event tracking (e.g., Snowplow) and the integration of behavioral data into Snowflake from platforms like Amplitude.
* Strong understanding of data warehousing concepts, working experience with relational databases (Snowflake, Redshift, Postgres, etc.), and SQL.
* Experience working with cloud providers like AWS, Azure, GCP, etc.
* Solid programming foundations and proficiency in data\-related languages like Python, Scala, and R.
* Experience with DevOps workflows and tools like DBT, GitHub, Airflow, etc.
* Experience with an infrastructure\-as\-code tool such as Terraform or CloudFormation
* Excellent communication skills. Ability to effectively communicate with both technical and non\-technical audiences
* Knowledge of real\-time stream technologies like AWS Firehose, Spark, etc.
* Highly collaborative in working with teammates and stakeholders
Nice to Have:* AWS cloud certification is a plus
* BA/BS preferred in a technical or engineering field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Wow Our Customers
* Set High Standards
* Be Better Than Yesterday
* Be Rigorous
* Assume Positive Intent
* Have the Tough Conversations
* Be Better Together
* Debate, Decide, Commit
* Deliver Results
*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is>
      </c>
    </row>
    <row r="15">
      <c r="A15" t="inlineStr">
        <is>
          <t>in-06c2d147da3241b7</t>
        </is>
      </c>
      <c r="B15" t="inlineStr">
        <is>
          <t>Data &amp; Analytics Engineer</t>
        </is>
      </c>
      <c r="C15" t="inlineStr">
        <is>
          <t>Quest Global</t>
        </is>
      </c>
      <c r="D15" t="inlineStr">
        <is>
          <t>indeed</t>
        </is>
      </c>
      <c r="E15" t="inlineStr"/>
      <c r="F15" t="inlineStr"/>
      <c r="G15" t="inlineStr">
        <is>
          <t>Schenectady, NY, US</t>
        </is>
      </c>
      <c r="H15" s="2" t="n">
        <v>46029</v>
      </c>
      <c r="I15" t="inlineStr">
        <is>
          <t>**Job Requirements**  
**POSITION**: **Data \&amp; Analytics Engineer**
**Who We Are:**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**Purpose**
Build the data backbone that powers engineering insight, innovation, and execution—designing, maintaining, and evolving pipelines, semantic models, and analytics layers that deliver trusted, real\-time, decision\-grade intelligence across the organization.
**What You Will Own Daily** operational dashboards for value streams; headcount/staffing analytics; attrition/retention models; innovation pipeline tracking; 5× tool usage metrics; portfolio ROI and productivity insights.
*When leaders need answers, you ensure the answers are right.*
**Key Responsibilities**
* Engineer medallion/lakehouse data pipelines on Microsoft Fabric/OneLake with accuracy, security, and consistency; manage Gitbacked artifacts and deployment pipelines across dev/test/prod.
* Build and maintain semantic models that unify engineering, HR, financial, and operational datasets; deliver data products with clear SLAs/SLOs (freshness, completeness, accuracy) and semantic conventions.
* Implement enterprise lineage and classification with Microsoft Purview; enforce RLS/OLS, sensitivity labels, and auditable approvals for certified content.
* **Integrate core systems:** HRIS (e.g., Workday), finance (e.g., SAP, PLM), engineering (Azure DevOps/Jira, CLM, PLM), and tool telemetry (App Insights/GitHub/Copilot) as governed domains.
* **Optimize performance end\-to\-end:** query folding, composite models, incremental refresh, DAX tuning, model compression, OneLake layout, and capacity/cost management; introduce caching/cubes for high\-read workloads.
* Deliver near\-real\-time dashboards where required via streaming/short\-latency ingestion and appropriate refresh strategies.
* **Operationalize Data\-Ops:** automated data/dataset tests, DAX/Power Query unit tests, schema change detection, and deployment gates in Fabric pipelines/Power BI deployment pipelines.
* Champion data literacy via playbooks, certified content catalogs, and office hours; measure consumer NPS and adoption.
**Qualifications**
* Bachelor’s degree in Computer Science, Data Engineering, Information Systems, or related field; 2\+ years in data engineering, BI, or analytics engineering.
* Strong proficiency in SQL, DAX, Power Query; dimensional/star\-schema modeling; hands\-on with Microsoft Fabric (Workspaces, Dataflows Gen2, Lakehouses, Notebooks) and Power BI deployment pipelines with Git.
* Ability to design and implement robust data governance (Purview lineage/classification, RLS/OLS, sensitivity labels) and workspace standards; experience with distributed teams.
* **Bonus:** Python, DevOps for BI, telemetry\-based dashboarding; familiarity with vectorization/embedding pipelines to support RAG\-style analytics and copilots in partnership with AI teams.
Impact Success is measured by SLA adherence (freshness/accuracy), cycle time reduction for leadership reporting, certified asset adoption, and user satisfaction (NPS), with transparent impact dashboards.
**Pay Range:** $60,000 \- $75,000
*Compensation decisions are made based on factors including experience, skills, education, and other job\-related factors, in accordance with our internal pay structure. We also offer a comprehensive benefits package, including health insurance, paid time off, and retirement plan.*
**Work Requirements:**
We offer flexible work options, including hybrid arrangements, to support the need of the role and align with company policies. This position is located in posted locations, and may be considered hybrid based on local regulations.
* You must be able to commute to and from the location with your own transportation arrangements to meet the required working hours.
Work Authorization : Authorized to work in USA</t>
        </is>
      </c>
    </row>
    <row r="16">
      <c r="A16" t="inlineStr">
        <is>
          <t>in-6cc086e624e034cf</t>
        </is>
      </c>
      <c r="B16" t="inlineStr">
        <is>
          <t>Data engineer</t>
        </is>
      </c>
      <c r="C16" t="inlineStr">
        <is>
          <t>Stacklogy</t>
        </is>
      </c>
      <c r="D16" t="inlineStr">
        <is>
          <t>indeed</t>
        </is>
      </c>
      <c r="E16" t="inlineStr"/>
      <c r="F16" t="inlineStr"/>
      <c r="G16" t="inlineStr">
        <is>
          <t>US</t>
        </is>
      </c>
      <c r="H16" s="2" t="n">
        <v>46029</v>
      </c>
      <c r="I16"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17">
      <c r="A17" t="inlineStr">
        <is>
          <t>in-6a5ce53d0ad19e0e</t>
        </is>
      </c>
      <c r="B17" t="inlineStr">
        <is>
          <t>Senior Data Engineer (AI)</t>
        </is>
      </c>
      <c r="C17" t="inlineStr">
        <is>
          <t>Microsoft</t>
        </is>
      </c>
      <c r="D17" t="inlineStr">
        <is>
          <t>indeed</t>
        </is>
      </c>
      <c r="E17" t="inlineStr"/>
      <c r="F17" t="inlineStr"/>
      <c r="G17" t="inlineStr">
        <is>
          <t>US</t>
        </is>
      </c>
      <c r="H17" s="2" t="n">
        <v>46008</v>
      </c>
      <c r="I17"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Customer Experience Architecture (CXA) organization leads the design of our AI\-enabled integrated Customer Success and Support motions across CE\&amp;S and drives the implementation requirements across end\-to\-end customer experience architectures, improving the quality and experience KPIs across CE\&amp;S.  
The CE\&amp;S Business Intelligence (BI) Team is responsible for delivering data\-driven decision\-making and self\-serve analytics to optimize customer experience and support operations across Microsoft's assisted and self\-service support surfaces. We build and manage data platforms and data flows, oversee data and measurement governance, develop Machine Learning (ML) models, manage support\-critical data tools, and provide both core and business\-specific analytics resources and guidance.
We are seeking a goal‑driven **Senior Data Engineer (AI)** with deep expertise in building scalable data products, semantic models, and AI‑ready datasets that power intelligent analytics across Microsoft’s support ecosystem. In this role, you will partner closely with engineering and business stakeholders to translate complex requirements into reliable, high‑impact solutions. You will deliver clear insights, shape technical direction, and collaborate across product, program, and data engineering teams to enable data‑driven decision making.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intelligent Data Agents within Microsoft Fabric to enable semantic query capabilities on structured datasets.
* Orchestrate multi\-agent workflows using AI Foundry and Copilot Studio for end to end data coverage and workflow integration.
* Collaborate with cross\-functional teams to develop robust user stories, acceptance criteria, and orchestration requirements that align with business objectives
* Integrate agentic solutions with enterprise data platforms to support conversational experiences and advanced orchestration patterns.
* Evangelize agent development best practices, mentor peers on Fabric agent frameworks and semantic modeling, and contribute to internal communities.
* Develop enterprise semantic models and metadata layers to support BI and AI\-driven applications, ensuring scalability and high performance standards.
* Maintain high standards of data quality, accuracy, timeliness, and compliance with security and privacy requirements.
* Build automation frameworks to accelerate semantic model creation, agent development, and validation processes
* Drive inclusion and security compliance in all engineering and automation initiatives.
**Other**
* Embody our culture and values.
 **Qualifications** **Required/minimum qualifications**
* Master's Degree in Statistics, Mathematics, Analytics, Data Science, Engineering, Computer Science, Business, Economics, or related field AND 3\+ years experience in data modeling, data analysis and reporting, data science, business intelligence, or business and financial analysis
	+ OR Bachelor's Degree in Statistics, Mathematics, Analytics, Data Science, Engineering, Computer Science, Business, Economics, or related field AND 4\+ years experience in data modeling, data analysis and reporting, data science, business intelligence, or business and financial analysis
	+ OR equivalent experience.
 **Other Requirements**
Ability to meet Microsoft, customer and / 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 / transfer and every two years thereafter.
**Additional or preferred qualifications*** Master's Degree in Statistics, Mathematics, Analytics, Data Science, Engineering, Computer Science, Business, Economics, or related field AND 6\+ years experience in data modeling, data analysis and reporting, data science, business intelligence, or business and financial analysis
	+ OR Bachelor's Degree in Statistics, Mathematics, Analytics, Data Science, Engineering, Computer Science, Business, Economics, or related field AND 8\+ years experience indata modeling, data analysis and reporting, data science, business intelligence, or business and financial analysis
	+ OR equivalent experience.
* 5\+ years of experience in enterprise‑scale, data‑intensive environments, translating complex and ambiguous business needs into clear data requirements and solution designs.
* Hands‑on experience with Azure data stack: Fabric (Lakehouse/Warehouse, Data Agents, Pipelines, Semantic Models, OneLake), Synapse, Data Factory. Core programming skills in SQL, Python, Spark.
* Experience with Power BI modeling \&amp; DAX; RLS/OLS; performance optimization; certified dataset lifecycle. Data modeling mastery (dimensional/star schema, SCD, conformed dimensions, KPI standardization).
* Experience with Data reliability engineering: CI/CD (Azure DevOps/GitHub), automated testing, monitoring/alerting, incident response, and cost management.
* Experience with MCP‑based tool integration and modern generative models (e.g., OpenAI, Anthropic), plus familiarity with Azure AI Foundry and/or Copilot Studio for building and operating agentic solutions in enterprise environments, with strong grounding in security, compliance, and governance.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
      <c r="A18" t="inlineStr">
        <is>
          <t>in-1c585abac6a46def</t>
        </is>
      </c>
      <c r="B18" t="inlineStr">
        <is>
          <t>Data Engineer II</t>
        </is>
      </c>
      <c r="C18" t="inlineStr">
        <is>
          <t>Microsoft</t>
        </is>
      </c>
      <c r="D18" t="inlineStr">
        <is>
          <t>indeed</t>
        </is>
      </c>
      <c r="E18" t="inlineStr"/>
      <c r="F18" t="inlineStr"/>
      <c r="G18" t="inlineStr">
        <is>
          <t>Redmond, WA, US</t>
        </is>
      </c>
      <c r="H18" s="2" t="n">
        <v>46007</v>
      </c>
      <c r="I18"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Every day, customers stake their business and reputation on our cloud. You can help EngOps keep them secure, resilient, and ready.
In the new era of AI, this role within Eng Ops Data \&amp; Applied Sciences team will provide you the opportunity to work on cutting\-edge Analytical, GenAI and ML (Machine Learning) solutions that drive specific, measurable, and impactful improvements to key areas of Azure customer experience. In an environment of high opportunity and impact, we are looking for a Data Engineer II who can deliver on key initiatives for Security, Reliability and Quality through advanced AI solutions with a cross\-functional team of Product Managers, Designers, Engineers and Data Scientists.  
**Responsibilities**  
1\. Design and maintain data platform to efficiently transform, manage, and access data, ensuring robustness and scalability.
2\. Contribute to data modeling efforts by drafting design documents and collaborating with Data Scientists to improve data flow and storage.
3\. Perform tasks necessary to adhere to Engineering Fundamentals standards, implement solutions to minimize failures, monitor data quality, and share insights for continuous improvement.
4\. Implement monitoring protocols across data pipelines, build visualizations to track data health, and contribute to troubleshooting and support activities.
5\. Ensure compliance with data handling policies and laws, contribute to data governance and security practices, and help document data lineage and classifications.
6\. Support productization of AI/ML solutions in collaboration with Product Engineering teams, Data and Applied Scientists  
**Qualifications** **Required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5\+ years experience in business analytics, data science, software development, data modeling, or data engineeringOR equivalent experience.
* 4\+ year(s) experience with data governance, data compliance and/or data security.
\#PRIMOjobs
\#EngOps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
      <c r="A19" t="inlineStr">
        <is>
          <t>in-861164e9c9a1b7c1</t>
        </is>
      </c>
      <c r="B19" t="inlineStr">
        <is>
          <t>Data Engineer</t>
        </is>
      </c>
      <c r="C19" t="inlineStr">
        <is>
          <t>Amazon.com</t>
        </is>
      </c>
      <c r="D19" t="inlineStr">
        <is>
          <t>indeed</t>
        </is>
      </c>
      <c r="E19" t="inlineStr"/>
      <c r="F19" t="inlineStr"/>
      <c r="G19" t="inlineStr">
        <is>
          <t>Seattle, WA, US</t>
        </is>
      </c>
      <c r="H19" s="2" t="n">
        <v>46001</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in-0a2db298624a8706</t>
        </is>
      </c>
      <c r="B20" t="inlineStr">
        <is>
          <t>Data Engineer</t>
        </is>
      </c>
      <c r="C20" t="inlineStr">
        <is>
          <t>Amazon.com</t>
        </is>
      </c>
      <c r="D20" t="inlineStr">
        <is>
          <t>indeed</t>
        </is>
      </c>
      <c r="E20" t="inlineStr"/>
      <c r="F20" t="inlineStr"/>
      <c r="G20" t="inlineStr">
        <is>
          <t>San Francisco, CA, US</t>
        </is>
      </c>
      <c r="H20" s="2" t="n">
        <v>46001</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in-8692f193f74c93ba</t>
        </is>
      </c>
      <c r="B21" t="inlineStr">
        <is>
          <t>Delivery Consultant - Data Engineer, Data and Machine Learning, WWPS US Federal</t>
        </is>
      </c>
      <c r="C21" t="inlineStr">
        <is>
          <t>Amazon Web Services</t>
        </is>
      </c>
      <c r="D21" t="inlineStr">
        <is>
          <t>indeed</t>
        </is>
      </c>
      <c r="E21" t="inlineStr"/>
      <c r="F21" t="inlineStr"/>
      <c r="G21" t="inlineStr">
        <is>
          <t>Herndon, VA, US</t>
        </is>
      </c>
      <c r="H21" s="2" t="n">
        <v>45991</v>
      </c>
      <c r="I2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in-796d9a9cd09947e9</t>
        </is>
      </c>
      <c r="B22" t="inlineStr">
        <is>
          <t>Delivery Consultant - Data Engineer, Data and Machine Learning, WWPS US Federal</t>
        </is>
      </c>
      <c r="C22" t="inlineStr">
        <is>
          <t>Amazon Web Services</t>
        </is>
      </c>
      <c r="D22" t="inlineStr">
        <is>
          <t>indeed</t>
        </is>
      </c>
      <c r="E22" t="inlineStr"/>
      <c r="F22" t="inlineStr"/>
      <c r="G22" t="inlineStr">
        <is>
          <t>Arlington, VA, US</t>
        </is>
      </c>
      <c r="H22" s="2" t="n">
        <v>45991</v>
      </c>
      <c r="I22"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in-33b1572b95bebeb2</t>
        </is>
      </c>
      <c r="B23" t="inlineStr">
        <is>
          <t>Data Engineer III, ITA</t>
        </is>
      </c>
      <c r="C23" t="inlineStr">
        <is>
          <t>Amazon.com</t>
        </is>
      </c>
      <c r="D23" t="inlineStr">
        <is>
          <t>indeed</t>
        </is>
      </c>
      <c r="E23" t="inlineStr"/>
      <c r="F23" t="inlineStr"/>
      <c r="G23" t="inlineStr">
        <is>
          <t>Arlington, VA, US</t>
        </is>
      </c>
      <c r="H23" s="2" t="n">
        <v>45893</v>
      </c>
      <c r="I23"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in-3446862a3c39e12f</t>
        </is>
      </c>
      <c r="B24" t="inlineStr">
        <is>
          <t>Data Engineer III, ITA</t>
        </is>
      </c>
      <c r="C24" t="inlineStr">
        <is>
          <t>Amazon.com</t>
        </is>
      </c>
      <c r="D24" t="inlineStr">
        <is>
          <t>indeed</t>
        </is>
      </c>
      <c r="E24" t="inlineStr"/>
      <c r="F24" t="inlineStr"/>
      <c r="G24" t="inlineStr">
        <is>
          <t>Seattle, WA, US</t>
        </is>
      </c>
      <c r="H24" s="2" t="n">
        <v>45893</v>
      </c>
      <c r="I24"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in-2055af6636a7a963</t>
        </is>
      </c>
      <c r="B25" t="inlineStr">
        <is>
          <t>Data Engineer/Sr Data Engineer, IT Analytics</t>
        </is>
      </c>
      <c r="C25" t="inlineStr">
        <is>
          <t>American Airlines</t>
        </is>
      </c>
      <c r="D25" t="inlineStr">
        <is>
          <t>indeed</t>
        </is>
      </c>
      <c r="E25" t="inlineStr"/>
      <c r="F25" t="inlineStr"/>
      <c r="G25" t="inlineStr">
        <is>
          <t>Dallas, TX, US</t>
        </is>
      </c>
      <c r="H25" s="2" t="n">
        <v>46029</v>
      </c>
      <c r="I25" t="inlineStr">
        <is>
          <t>**Intro**
---------
Are you ready to explore a world of possibilities, both at work and duringyour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 You will help enable data engineering solutions at AA
* You will be part of a team that innovates.
* This role is a part of the Data Engineering and Analytics team within our Technology group. You’ll bring your data engineering, collaboration and analytics skills to help cultivate a data driven culture by designing and delivering analytics solutions and making data analytics easier and more effective for American Airlines.
**What you'll do**
------------------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 Work closely with source data application teams and product owners to design, implement and support analytics solutions that provide insights to make better decisions
* Implement data migration and data engineering solutions using Azure products and services: (Azure Data Lake Storage, Azure Data Factory, Azure Functions, Event Hub, Azure Stream Analytics, Azure Databricks, etc.) and traditional data warehouse tools.
* Perform multiple aspects involved in the development lifecycle – design, cloud engineering (Infrastructure, network, security, and administration), ingestion, preparation, data modeling, testing, CICD pipelines, performance tuning, deployments, consumption, BI, alerting, prod support.
* Provide technical leadership and collaborate within a team environment as well as work independently.
* Be a part of a DevOps team that completely owns and supports their product
* Implement batch and streaming data pipelines using cloud technologies
* Leads development of coding standards, best practices and privacy and security guidelines.
* Mentors others on technical and domain skills to create multi\-functional teams
**All you'll need for success**
-------------------------------
* **Minimum Qualifications\- Education \&amp; Prior Job Experience**
	+ Bachelor's degree in Computer Science, Computer Engineering, Technology, Information Systems (CIS/MIS), Engineering or related technical discipline, or equivalent experience/training
	+ 3 years software solution development using agile, DevOps, operating in a product model that includes designing, developing, and implementing large\-scale applications or data engineering solutions
	+ 3 years data analytics experience using SQL
	+ 2 years of cloud development and data lake experience (prefer Microsoft Azure) including Azure EventHub, Azure Data Factory, Azure Databricks, Azure DevOps, Azure Blob Storage, Azure Data Lake, Azure Power Apps and Power BI.
	+ Combination of Development, Administration \&amp; Support experience in several of the following tools/platforms required:
		- Scripting: Python, Spark, Unix, SQL
		- Data Platforms: Teradata, Cassandra, MongoDB, Oracle, SQL Server, ADLS, Snowflake
		- Azure Data Explorer. Administration skills a plus
		- Azure Cloud Technologies: Azure Data Factory, Azure Databricks, Azure Blob Storage, Azure Data Lake, Azure Power Apps and Azure Functions
		- CI/CD: GitHub, Jenkins, Azure DevOps, Terraform
		- BI Analytics Tool Stack \- Cognos, Tableau, Power BI, Alteryx, Denodo, and Grafana
		- Data Warehousing: DataStage, Informatica
		- Data Governance and Privacy: Informatica Axon and EDC, BigID
* **Preferred Qualifications\- Education \&amp; Prior Job Experience**
	+ 5\+ years software solution development using agile, dev ops, product model that includes designing, developing, and implementing large\-scale applications or data engineering solutions.
	+ 5\+ years data analytics experience using SQL
	+ 3\+ years full\-stack development experience, preferably in Azure
	+ 3\+ years of cloud development and data lake experience (prefer Microsoft Azure) including Azure EventHub, Azure Data Factory, Azure Functions, ADX, ASA, Azure Databricks, Azure DevOps, Azure Blob Storage, Azure Data Lake, Azure Power Apps and Power BI.
	+ Airline Industry Experience
* **Skills, Licenses \&amp; Certifications**
	+ Expertise with the Azure Technology stack for data management, data ingestion, capture, processing, curation and creating consumption layers.
	+ Expertise in providing practical direction within the Azure Native cloud services.
	+ Azure Development Track Certification (preferred)
	+ Spark Certification (preferred)
**What you'll get**
-------------------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row>
    <row r="26">
      <c r="A26" t="inlineStr">
        <is>
          <t>in-13705000aaa1ba29</t>
        </is>
      </c>
      <c r="B26" t="inlineStr">
        <is>
          <t>Junior Quant Data Engineer</t>
        </is>
      </c>
      <c r="C26" t="inlineStr"/>
      <c r="D26" t="inlineStr">
        <is>
          <t>indeed</t>
        </is>
      </c>
      <c r="E26" t="inlineStr"/>
      <c r="F26" t="inlineStr"/>
      <c r="G26" t="inlineStr">
        <is>
          <t>Manhattan, NY, US</t>
        </is>
      </c>
      <c r="H26" s="2" t="n">
        <v>46030</v>
      </c>
      <c r="I26" t="inlineStr">
        <is>
          <t>**Junior Quant Data Engineer**
**About the Role**
Join a global macro, quantitative systematic investment firm as a Junior Quant Data Engineer. You'll build and maintain the data infrastructure powering research, backtesting, and live trading—working at the intersection of data engineering and quantitative finance.
**Responsibilities**
**Data Engineering**
* Build and maintain end\-to\-end pipelines for market and alternative data (futures, FX, options, macro series)
* Implement ETL processes: ingestion, validation, transformation, and storage of time series data
* Develop data quality checks, anomaly detection, and reconciliation processes
* Maintain logging, alerting, and monitoring for pipelines and scheduled tasks
**Research \&amp; Trading Support**
* Partner with quants, traders, and PMs to deliver research\-ready datasets
* Integrate new data sources into research environments (Python/Matlab) and production systems (Python/.NET/Django)
* Process and validate trade sheets, position files, and PnL data
**Production Operations**
* Support day\-to\-day operations: investigate data issues, coordinate fixes, maintain production systems
* Automate workflows using Python, VBA, or scripting
* Contribute to internal libraries and propose improvements to data architecture
**Requirements**
**Technical**
* Strong Python skills (pandas, NumPy) for data manipulation and automation
* Solid SQL experience (schema design, query optimization, stored procedures)
* Git and standard development practices (code reviews, testing, CI/CD)
* Solid software engineering fundamentals: design patterns, code organization, debugging, and performance tuning.
* Exposure to any of: Matlab, .NET/C\#, VBA, Django
**Domain Knowledge**
* Understanding of time series data and market data structures
* Basic familiarity with global macro asset classes (futures, FX, rates, commodities)
**Education \&amp; Experience**
* Bachelor's or Master's in CS, Engineering, Mathematics, Statistics, Physics, or related field
* 0–3 years in data engineering, quant tech, or similar role (strong internships considered)
**Nice to Have**
* Experience with market data vendors (Bloomberg, Refinitiv)
* Familiarity with research data libraries, backtesting datasets, or risk/PnL data flows
* Unit/integration testing experience
* Familiarity with containerization (Docker) and deployment patterns (Kubernetes, ECS, or equivalent)
**What We're Looking For**
* Strong attention to detail and commitment to data accuracy
* Ownership mentality—treats pipelines as products, not scripts
* Clear communicator who can translate business needs into technical solutions
* Comfortable in a fast\-paced environment with tight deadlines
* Genuine curiosity about investing and trading, not just engineering
**Pay:**
* Base salary
* Annual performance\-based bonus
**Benefits:**
* 401(k) matching
* Health insurance
* Paid time off
Job Type: Full\-time
Pay: $100,000\.00 \- $150,000\.00 per year
Benefits:
* 401(k)
* Health insurance
* Paid time off
Work Location: In person</t>
        </is>
      </c>
    </row>
    <row r="27">
      <c r="A27" t="inlineStr">
        <is>
          <t>in-e42550394269d779</t>
        </is>
      </c>
      <c r="B27" t="inlineStr">
        <is>
          <t>Data Engineer</t>
        </is>
      </c>
      <c r="C27" t="inlineStr">
        <is>
          <t>Hito Labs</t>
        </is>
      </c>
      <c r="D27" t="inlineStr">
        <is>
          <t>indeed</t>
        </is>
      </c>
      <c r="E27" t="inlineStr"/>
      <c r="F27" t="inlineStr"/>
      <c r="G27" t="inlineStr">
        <is>
          <t>VA, US</t>
        </is>
      </c>
      <c r="H27" s="2" t="n">
        <v>46030</v>
      </c>
      <c r="I27" t="inlineStr">
        <is>
          <t>***As this position will help to support federal contracts with security requirements, you must be a US Citizen and able to pass a background check to qualify.*** 
Data Society Group provides bespoke, leading\-edge data and AI solutions for Fortune 1,000 companies and federal, state, and local governmental organizations. We partner with our clients to educate, equip, and empower their workforces with the skills they need to achieve their goals and expand their impact. We are empowering the workforces of the future, from data literacy for all employees to support for data engineers and data scientists to train up on the most complex AI solutions and Machine Learning skills.
**Role Summary:**  
The Data Engineer is responsible for building scalable, performant data pipelines that power critical operational and analytical applications. The engineer must be able to work closely with our data science teams to run ML/AI models on top of enterprise\-scale data and build the supporting data scaffolding to orchestrate, test, and monitor data systems. This is a customer\-facing role within a cross\-functional team so the ability to manage timelines, work both autonomously and collaboratively, and communicate effectively are a must.
Responsibilities:
* Ability to build a full data pipeline from data ingestion to processing/transformation to load to visualization and analysis.
* Design and manage large\-scale data warehouses, lakehouses, and/or data marts
* Build and optimize data transformation pipelines using tools like dbt to support data flow from ingestion through analytics
* Champion data governance principles and quality standards, ensuring data lineage, documentation, and metadata are maintained
* Create efficient, performant SQL\-based data queries and Python\-based data processing jobs
* Demonstrate ability to balance computational load, performance, and cost
Skills you bring:
* 5\+ years of data and analytics engineering in cloud environments
* Expertise in SQL, Python, and schema design with experience in data cataloging and governance tools
* Experienced with data transformation and ETL best practices
* Experienced with data orchestration tools like Airflow, transformation frameworks like dbt, and cloud deployment tools like Terraform.
* Superior team\-working skills, and a desire to learn, contribute, and explore.
* Experience with Snowflake, Databricks, Kafka, Flume, Spark, or Flink is a plus
Please note this job description is not designed to cover or contain a comprehensive listing of activities, duties or responsibilities that are required of the employee for this job. Duties, responsibilities, and activities may change at any time with or without notice.
This position will be remote / work from home based out of the Washington, DC area with travel to client sites in DC if needed.
Job Type: Full\-time
Pay: $120,000\.00 \- $140,000\.00 per year
Benefits:
* 401(k)
* Dental insurance
* Health insurance
* Paid time off
* Parental leave
* Vision insurance
Application Question(s):
* Will you now or in the future require sponsorship for employment visa status (e.g., H\-1B) to work in the U.S.?
* Do you currently reside in the DMV area?
* Does a base salary of $120\-140k work for you?
* Are you willing to work with MS / an on\-prem shop?
Location:
* Virginia (Required)
Work Location: Remote</t>
        </is>
      </c>
    </row>
    <row r="28">
      <c r="A28" t="inlineStr">
        <is>
          <t>in-da2eabc4cc46e8a1</t>
        </is>
      </c>
      <c r="B28" t="inlineStr">
        <is>
          <t>Data Engineer INSURANCE NY ONLY</t>
        </is>
      </c>
      <c r="C28" t="inlineStr">
        <is>
          <t>Breatbe3</t>
        </is>
      </c>
      <c r="D28" t="inlineStr">
        <is>
          <t>indeed</t>
        </is>
      </c>
      <c r="E28" t="inlineStr"/>
      <c r="F28" t="inlineStr"/>
      <c r="G28" t="inlineStr">
        <is>
          <t>Long Beach, NY, US</t>
        </is>
      </c>
      <c r="H28" s="2" t="n">
        <v>46030</v>
      </c>
      <c r="I28" t="inlineStr">
        <is>
          <t>**Job Overview**
Job Duties: Develop, maintain, test, and evaluate data solutions in support of business goals. The detailed job duties include: • Involve in database design, programming, and business intelligence with a focus on crafting complex SQL queries and Python scripts to address stakeholder inquiries. Develop ETL (Extract, Transform, Load) processes using SQL Server Integration Services (SSIS) and create Python scripts to integrate external APIs for data modeling and reporting. • Utilize Python and R for preparing data for machine learning and statistical modeling, supporting data scientists' needs. • Extract data from external RESTful APIs using Python scripts. • Design complex data models and engineering solutions for Data Warehousing, integrating various external and internal data sources using the MapReduce API in Pydoop. • Develop SQL procedures to convert JSON data retrieved from APIs into table format in SQL Server. • Automate and enhance the creation and maintenance of web reports and dashboards. • Develop, maintain, test, and evaluate data solutions to support business objectives. • Work with technology teams (Business Analysts, QA, Development, and Administration) to understand data capture and testing requirements. • Provide guidance on best practices for data structures, data integrity, and querying. • Interpret business requirements and swiftly implement effective technical solutions. Education/Experience Requirements: • Master’s degree in Computer Science, Data Science, Information Systems, Statistics or other quantitative disciplines; OR Bachelor’s degree in Computer Science, Data Science, Information Systems, Statistics or other quantitative disciplines with minimum 2 years of related work experience.
Job Type: Full\-time
Pay: $100,000\.00 \- $120,000\.00 per year
Benefits:
* 401(k)
* Dental insurance
* Health insurance
* Paid time off
Work Location: In person</t>
        </is>
      </c>
    </row>
    <row r="29">
      <c r="A29" t="inlineStr">
        <is>
          <t>in-c753dbcf0d1888a0</t>
        </is>
      </c>
      <c r="B29" t="inlineStr">
        <is>
          <t>Data Engineer</t>
        </is>
      </c>
      <c r="C29" t="inlineStr">
        <is>
          <t>Sciata</t>
        </is>
      </c>
      <c r="D29" t="inlineStr">
        <is>
          <t>indeed</t>
        </is>
      </c>
      <c r="E29" t="inlineStr"/>
      <c r="F29" t="inlineStr"/>
      <c r="G29" t="inlineStr">
        <is>
          <t>US</t>
        </is>
      </c>
      <c r="H29" s="2" t="n">
        <v>46029</v>
      </c>
      <c r="I29" t="inlineStr">
        <is>
          <t>Seeking an entry\-level Data Engineer onsite for our client in Wichita, Dallas or Houston. This role offers an excellent opportunity for long\-term career growth within a highly visible, evolving organization!  
The DMET (Data Management, Enablement and Transformation) team is focused on developing a long\-term sustainable capability utilizing data and technology to transform tax and finance. This includes a diverse group with multiple teams focused on data platform technologies, specific data products and transformation with an emphasis on data security. Our strategy will empower the finance and tax organizations to create superior value while consuming few resources, unlocking analytical capabilities, mitigating risk, and meeting ever changing regulatory requirements.
Job Summary
The Data Engineer will play a critical role in transforming the way we design, develop, and implement robust data pipelines to enable seamless data flow and support various initiatives at Koch Industries. This role requires hands\-on expertise in SQL and Python coding and acts as a Subject Matter Expert (SME) in data engineering, helping position us for scalability and future industry advancements. The Data Engineer will partner closely with solution and data architects on design and implementation, collaborating with various capability teams to drive effective and scalable data solutions.
Key Responsibilities
* Write efficient, maintainable SQL and Python code to create, implement, and optimize data pipelines ensuring high data quality and flow across systems.
* Collaborate closely with architecture teams to design and implement scalable data solutions aligned with enterprise architecture standards.
* Apply a thorough understanding of the full Software Development Life Cycle (SDLC) and AI Development Life Cycle (AIDLC) frameworks, including requirements gathering, development, testing, deployment, and maintenance phases.
* Work within Agile frameworks to deliver incremental value, participate in sprint planning, stand\-ups, retrospectives, and continuous improvement activities.
* Serve as a trusted Subject Matter Expert (SME) for data engineering, providing guidance and domain knowledge when interacting with cross\-functional teams from various business and technical capabilities.
* Support data governance, data quality initiatives, and ensure compliance with security and privacy policies.
* Document data architecture designs, pipeline workflows, and best practices to promote knowledge sharing and operational excellence.
Required Qualifications
* Proven experience (3\+ years) coding in SQL and Python for building and maintaining data pipelines.
* Hands\-on experience collaborating with architecture teams to implement data solutions.
* Strong understanding of the full SDLC and practical experience working in Agile development environments.
* Excellent communication skills, with the ability to clearly articulate technical concepts to non\-technical stakeholders and act as an SME across teams.
Preferred Skills
* Familiarity with dbt (Data Build Tool) for data transformation and modeling.
* Strong experience working with Snowflake data warehouse and cloud infrastructure in AWS.
* Proficiency with GitHub or similar version control tools for collaborative development.
* Prior exposure to other orchestration or pipeline tools, such as **Apache Airflow** or **Prefect**.
* Experience with distributed events and stream\-processing, such as **Kafka**.
* Experience with observability tools, such as **Grafana** or **Datadog.**
* Understanding of data governance, security protocols, and compliance.
* Knowledge or hands\-on experience with AI/ML concepts, frameworks, or model deployment.</t>
        </is>
      </c>
    </row>
    <row r="30">
      <c r="A30" t="inlineStr">
        <is>
          <t>in-b9fb1a8dedc35f49</t>
        </is>
      </c>
      <c r="B30" t="inlineStr">
        <is>
          <t>Data Engineer</t>
        </is>
      </c>
      <c r="C30" t="inlineStr">
        <is>
          <t>CHAPMAN AND CUTLER LLP</t>
        </is>
      </c>
      <c r="D30" t="inlineStr">
        <is>
          <t>indeed</t>
        </is>
      </c>
      <c r="E30" t="inlineStr"/>
      <c r="F30" t="inlineStr"/>
      <c r="G30" t="inlineStr">
        <is>
          <t>Chicago, IL, US</t>
        </is>
      </c>
      <c r="H30" s="2" t="n">
        <v>46029</v>
      </c>
      <c r="I30" t="inlineStr">
        <is>
          <t>Chapman and Cutler LLP is seeking to hire a Data Engineer to join the Financial Management Department. This position will play a leadership role in shaping the firm’s financial data platform by designing and developing the table structure, and maintaining analytical reports and dashboards using SQL, SSRS and Power BI. This position will act as a business analyst, collaborating with stakeholders to gather business and technical requirements, and recommending best practices for data utilization and visualization. The position requires an in\-office presence but includes flexibility for some remote work.  
The responsibilities of the Data Engineer will include:* Designs, develops, and maintains reports and dashboards using SQL, SSRS and Power BI to support the finance team’s analytical needs
* Collaborates with finance and business stakeholders to gather and document business and technical requirements for reporting solutions
* Analyzes data sources and recommend optimal approaches for data modeling, report design, and visualization techniques
* Develops and implements processes for routine report delivery, ensuring accuracy, timeliness, and consistency
* Acts as a business analyst to translate business needs into technical specifications and reporting solutions
* Provides training and support to end users on report functionality and interpretation
* Continuously evaluates and improves reporting processes, tools, and methodologies to ensures performance if optimized on all platforms
* Ensures data integrity, security, and compliance with firm policies and industry standards
* Stays current with industry trends and best practices in business intelligence and data visualization
 **MINIMUM QUALIFICATIONS**:  
The candidate will have a Bachelor’s degree in Computer Science, Information Systems, Finance or a related field and five to seven years of experience in business intelligence, report development, or data analysis, preferably in a professional services or law firm environment.* Proficiency in SSRS and Power BI, including report and dashboard development
* Strong analytical and problem\-solving skills, with the ability to interpret complex data sets
* Experience gathering and documenting business and technical requirements
* Excellent communication and interpersonal skills, with the ability to work collaboratively with technical and non\-technical stakeholders
* Extensive knowledge of data modeling, ETL processes, and SQL
* Attention to detail and commitment to data accuracy and quality
* Ability to manage multiple projects and priorities in a fast\-paced environment
* Pride of ownership with client service
* The ability to communicate and discuss complex concepts with a high level of professionalism and confidentiality
* Excellent time management and project management skills, with ability to work independently to meet objectives and deadlines
* Patient and positive attitude when working with clients, third parties and colleagues
* Technical experience with Windows, Mac OS X, and iOS devices (Chapman has a fully Mac workstation environment)
* Committed to following all Firm security protocols and maintaining information security
In accordance with the Illinois Pay Transparency Law, the expected salary range for this Illinois position is $140,000\-$170,000\. The benefits overview for this position is available for review at the below link.  
Benefits Overview  
Please submit a cover letter and resume. All applicants will be considered; however, the hiring decision will be made based on qualifications for the position. **Chapman and Cutler LLP is an Equal Opportunity Employer M/F/D/V/SO.**</t>
        </is>
      </c>
    </row>
    <row r="31">
      <c r="A31" t="inlineStr">
        <is>
          <t>in-cb2fad081300c238</t>
        </is>
      </c>
      <c r="B31" t="inlineStr">
        <is>
          <t>Data Engineer I, Data Products</t>
        </is>
      </c>
      <c r="C31" t="inlineStr">
        <is>
          <t>Crane Worldwide Logistics</t>
        </is>
      </c>
      <c r="D31" t="inlineStr">
        <is>
          <t>indeed</t>
        </is>
      </c>
      <c r="E31" t="inlineStr"/>
      <c r="F31" t="inlineStr"/>
      <c r="G31" t="inlineStr">
        <is>
          <t>Houston, TX, US</t>
        </is>
      </c>
      <c r="H31" s="2" t="n">
        <v>46029</v>
      </c>
      <c r="I31" t="inlineStr">
        <is>
          <t>**ESSENTIAL JOB FUNCTIONS**
**Data Pipeline \&amp; Platform Development**
* Build and maintain pipelines using dbt, Prefect, and Terraform
* Develop and manage connectors across sources and targets including Kafka, RDBMs, and Snowflake.
* Implement schema evolution, validation rules, and automated testing
* Support high\-availability and disaster recovery design for Snowflake and Materialize
**Data Product Engineering**
* Author and review schemas and data contracts for consistency and governance
* Develop and optimize dbt models for Snowflake and Materialize analytics layers
* Configure clusters and role\-based access for shared environments
* Document datasets to ensure discoverability and proper usage across teams
**Stakeholder Collaboration**
* Partner with BI developers, analysts, and business teams to deliver datasets that support reporting, dashboards, and integrations
* Investigate and resolve data issues, ensuring durable fixes
* Participate in design reviews to align technical solutions with business requirements
**Collaboration \&amp; Standards**
* Contribute to PR and design reviews for pipelines and models
* Support platform governance, observability, and best practices for data quality
* Work with adjacent teams (Ops \&amp; Reliability, Analytics, Product) to align on SLAs and data definitions
* Other duties as assigned
**OTHER SKILLS AND ABILITIES**
* Proficiency in Python and SQL for building and optimizing data pipelines
* Hands\-on experience with dbt for modeling and testing, and Terraform for infrastructure\-as\-code
* Familiarity with modern data platforms: Snowflake, Materialize, Kafka, HVR, Fivetran, or Stitch
* Understanding of data contracts, observability, and governance practices
* Experience with CI/CD tools (GitHub Actions, GitLab CI, or similar)
* Ability to translate business needs into scalable technical solutions
* Knowledge of compliance frameworks (e.g., GDPR, CCPA, SOC 2\) a plus
**EDUCATION AND EXPERIENCE**
* Bachelors’ degree in Math, Computer Science, Information Technology, or related preferred but not required
* 1\-3 years prior experience in a data engineering or data\-heavy backend software engineering role
**PHYSICAL REQUIREMENTS**
* Job requires the ability to use vision, adjust focus and work on a standard computer screen
* Job may require extended sitting or standing, use of standard office equipment
**CERTIFICATION AND LICENSES**
Professional certification may be required in some areas.
**WHY SHOULD YOU WORK FOR CRANE?**
At Crane, we believe in providing our employees with excellent benefits at a Great Place to Work.
We offer:
* Quarterly Incentive Plan
* 136 hours of Paid Time Off which equals 17 days for the year, that can be used for Sick Time or for Personal Use
* Excellent Medical, Dental and Vision benefits
* Tuition Reimbursement for education related to your job
* Employee Referral Bonuses
* Employee Recognition and Rewards Program
* Paid Volunteer Time to support a cause that is close to your heart and contributes to our communities
* Employee Discounts
* Wellness Incentives that can go up to $100 per year for completing challenges, in addition to a discount on contribution rates
Come join the leader in logistics and take your career in the right direction.
**Disclaimer:**
The above statements are intended to describe the general nature and level of work being performed by people assigned to this position. They are not to be construed as an exhaustive list of all responsibilities, duties, and skills required of personnel so classified. All personnel may be required to perform duties outside of their normal responsibilities from time to time, as needed.
The physical demands described here are representative of those that must be met by an employee to successfully perform the essential functions of this job. Reasonable accommodations may be made to enable individuals with disabilities to perform the essential functions.
We maintain a drug\-free workplace and perform pre\-employment substance abuse testing.
This position requires the final candidate to successfully pass an E\-Verify Check.
More Information: http://www.dhs.gov/e\-verify
Company benefits are contingent upon meeting eligibility requirements and plan conditions.
#### **Education**
Required* High School or better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32">
      <c r="A32" t="inlineStr">
        <is>
          <t>in-48cc7ef9aed6730f</t>
        </is>
      </c>
      <c r="B32" t="inlineStr">
        <is>
          <t>Data Engineer, Lead</t>
        </is>
      </c>
      <c r="C32" t="inlineStr">
        <is>
          <t>Booz Allen Hamilton</t>
        </is>
      </c>
      <c r="D32" t="inlineStr">
        <is>
          <t>indeed</t>
        </is>
      </c>
      <c r="E32" t="inlineStr"/>
      <c r="F32" t="inlineStr"/>
      <c r="G32" t="inlineStr">
        <is>
          <t>Washington, DC, US</t>
        </is>
      </c>
      <c r="H32" s="2" t="n">
        <v>46029</v>
      </c>
      <c r="I32" t="inlineStr">
        <is>
          <t>Data Engineer, Lead**The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5\+ years of experience in data engineering including architecture and modeling
* 2\+ years of experience designing data pipelines with Python for retrieving, parsing, and processing structured and unstructured data
* 2\+ years of experience developing scalable ETL or ELT workflows for reporting and analytics
* Experience managing a team of 3 or more engineers
* Experience with a cloud platform such as AWS, Microsoft Azure, or Google Cloud
* Experience with distributed data or computing tools, including Spark, Databricks, Hadoop, Hive, or Kafka
* Experience with AWS Glue and AWS EMR, and Operational Data Stores (ODS) in database administration, including tuning, indexing, and access controls
* Knowledge of medallion architecture for structuring data lakes
* Ability to obtain and maintain a Public Trust or Suitability/Fitness determination based on client requirements
* Bachelor’s degree
**Nice If You Have:**
* 2\+ years of experience with UNIX or Linux, including basic commands and Shell scripting
* 2\+ years of experience with Agile engineering practices
* 2\+ years of experience with NoSQL implementation
* 2\+ years of experience with data warehousing, including AWS Redshift, MySQL, MSSQL, Oracle, PostgreSQL, or Snowflake
* Experience with modernizing financial systems
* Experience supporting a multi\-cloud environment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3">
      <c r="A33" t="inlineStr">
        <is>
          <t>in-309380157ea525cd</t>
        </is>
      </c>
      <c r="B33" t="inlineStr">
        <is>
          <t>Data Engineer, Senior</t>
        </is>
      </c>
      <c r="C33" t="inlineStr">
        <is>
          <t>Booz Allen Hamilton</t>
        </is>
      </c>
      <c r="D33" t="inlineStr">
        <is>
          <t>indeed</t>
        </is>
      </c>
      <c r="E33" t="inlineStr"/>
      <c r="F33" t="inlineStr"/>
      <c r="G33" t="inlineStr">
        <is>
          <t>Washington, DC, US</t>
        </is>
      </c>
      <c r="H33" s="2" t="n">
        <v>46029</v>
      </c>
      <c r="I33" t="inlineStr">
        <is>
          <t>Data Engineer, Senior**The Opportunity:**  
As data analyst, you love diving into data and turning it into meaningful insights. With the abundance of structured and unstructured data, you understand the importance of transforming complex data sets into useful information to solve challenges. As a data analyst at Booz Allen, you can use your skills and experience to support a mission and use data for good. We need a data expert like you to bring your expertise to help support our nation's warfighters.
As a client\-facing data analyst on our national security team, you’ll work closely with your clients to understand their questions and needs and then dig into their data\-rich environments to find the pieces of their information puzzle. Not only will you provide a deep understanding of their data, but you’ll also advise your client on what the information means and how it can be used to make an impact on our defense priorities.
**How You’ll Contribute:**  
As a data analyst on our team, you’ll:
* Use your data analytics expertise to support client and stakeholder relationships.
* Research, develop, and test data methodologies, and generate cross\-functional solutions through analysis and visualization of large data sets.
* Contribute to impactful work and guide decision\-making across multiple organizations.
* Apply communication skills and data analytics expertise by simplifying technical requirements and trends, based on audience.
* Present data findings and recommendations to clients and stakeholders using your knowledge of databases, scripting languages, and Microsoft Office Suite.
* Establish quantitative and qualitative metrics and key performance indicators to drive technical outcomes.
* Apply data visualization through different formats.
* Grow your communication and technical skills by creating data\-centric solutions across mission areas.
Work with us to drive large\-scale business and process decisions through data insights.
Join us. The world can’t wait.
**You Have:**
* 3\+ years of experience in a data engineering, application development, or data science field
* 3\+ years of experience designing, developing, operationalizing, and maintaining data applications for reporting and analytics at enterprise scale
* 3\+ years of experience with Python, SQL, Scala, or R
* 2\+ years of experience with data visualization or geospatial tools such as Tableau, Qlik, Power BI, or ArcGIS
* Experience working in IC or DoD environments
* Experience creating solutions within a collaborative, cross\-functional team environment
* TS/SCI clearance with a polygraph
* Bachelor's degree in a CS, Data Science, or Mathematics field
**Nice If You Have:**
* Experience with Palantir tools such as Foundry or Gaia
* Experience with Large Language Models, including both applied and theoretical
* Experience with distributed data and computing tools, including Spark, Databricks, Hadoop, Hive, AWS EMR, or Kafka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4">
      <c r="A34" t="inlineStr">
        <is>
          <t>in-3e1cf7818baeb95b</t>
        </is>
      </c>
      <c r="B34" t="inlineStr">
        <is>
          <t>Data Engineer II</t>
        </is>
      </c>
      <c r="C34" t="inlineStr">
        <is>
          <t>Cleveland Clinic</t>
        </is>
      </c>
      <c r="D34" t="inlineStr">
        <is>
          <t>indeed</t>
        </is>
      </c>
      <c r="E34" t="inlineStr"/>
      <c r="F34" t="inlineStr"/>
      <c r="G34" t="inlineStr">
        <is>
          <t>Cleveland, OH, US</t>
        </is>
      </c>
      <c r="H34" s="2" t="n">
        <v>46029</v>
      </c>
      <c r="I34" t="inlineStr">
        <is>
          <t>Join the Cleveland Clinic team where you will work alongside passionate caregivers and make a lasting, meaningful impact on patient care. Here, you will receive endless support and appreciation while building a rewarding career with one of the most respected healthcare organizations in the world.
As Data Engineer, you will support the organization’s enterprise database needs by developing, maintaining, and enhancing internal and customer\-facing databases and applications. You will use your skills and expertise to collaborate with technical and non\-technical stakeholders to define metrics, automate reporting, and identify opportunities for automation. The role focuses on ETL development, including processing, transforming, and moving large volumes of data, while supporting clear communication and collaboration across multidisciplinary teams.
Everyone at Cleveland Clinic is a caregiver. As part of our IT and cybersecurity team, you’ll do more than explore and expand your discipline and skills, you’ll impact patients everywhere by delivering world\-class care. Help our teams stay connected, up to date and equipped with the groundbreaking tools and technologies that are changing patients’ lives.
**A caregiver in this position works remotely out of Ohio, Florida, or Nevada, Monday\-Friday 8:00 a.m. – 4:30 p.m. or 9:00 a.m. – 5:00 p.m.**
A caregiver who excels in this role will:
* Assist and support the overall database need of Cleveland Clinic.
* Support the creation of various analytics and .NET applications through databases, such as MS SQL and Airflow.
* Work in a team of database developers, software developers and business analysts to deliver database analytics and web\-based applications.
* Develop, maintain and enhance databases and applications for internal purposes and customer reporting.
* Administer existing databases and the analysis, design and creation of new databases.
* Perform data modeling, database optimization, understanding and implementation of schemas and the ability to interpret and write complex code.
* Monitor systems for optimum performance and capacity constraints.
* Design, implement and support ETL processes.
* Establish database standards, documentation and best practices.
* Handle multiple projects while supporting existing production databases and processes.
* Perform support, development and administrative activities as required.
Minimum qualifications for the ideal future caregiver include:
* Bachelor's degree in computer science, engineering or related field
* Three years database development experience Additional experience may offset degree requirement.
* Solid understanding of database and .NET computing environment concepts
* Excellent knowledge of current technologies and project management skills
* Diverse technology background required along with strong verbal and written communication skills
Preferred qualifications for the ideal future caregiver include:
* Master’s degree
* Programming experience with an emphasis on coding that scales well and is optimized for use in a high\-volume environment
* Experience in the physical and logical design of database architecture
* Experience in Snowflake, Python any scripting language, Palantir, DBT, Airflow SSIS
* Skills: SQL Server, .NET web applications and MPOG
**Physical Requirements:**
* Ability to communicate and exchange accurate information.
* Ability to perform work in a stationary position for extended periods.
* Ability to work with physical records or operate a computer or other office equipment.
* In some locations, ability to travel throughout the hospital system.
* In some locations ability to move up to 25 lbs.
**Personal Protective Equipment:**
* Follows standard precautions using personal protective equipment as required.
**Pay Range**
Minimum Annual Salary: $69,600\.00
Maximum Annual Salary: $106,132\.50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35">
      <c r="A35" t="inlineStr">
        <is>
          <t>in-f627872fd1573a3e</t>
        </is>
      </c>
      <c r="B35" t="inlineStr">
        <is>
          <t>Data Engineer</t>
        </is>
      </c>
      <c r="C35" t="inlineStr">
        <is>
          <t>Woodforest National Bank</t>
        </is>
      </c>
      <c r="D35" t="inlineStr">
        <is>
          <t>indeed</t>
        </is>
      </c>
      <c r="E35" t="inlineStr"/>
      <c r="F35" t="inlineStr"/>
      <c r="G35" t="inlineStr">
        <is>
          <t>The Woodlands, TX, US</t>
        </is>
      </c>
      <c r="H35" s="2" t="n">
        <v>46029</v>
      </c>
      <c r="I35" t="inlineStr">
        <is>
          <t>**Data Engineer****\-****071259****Description**
Take the next step toward your new career today!  
Become a part of the diverse and inclusive team within our nationally recognized award\-winning Bank that is one of the strongest in the nation. Woodforest National Bank is privately owned, and our Employee Stock Ownership Plan is the largest shareholder. We focus on building relationships and discovering opportunities to better serve our communities and understand the financial needs of every customer we serve. At Woodforest we care and prove it by volunteering with local charities and foodbanks to give back to the communities we serve. By joining Woodforest you will become a part of one of the largest employee\-owned banks in the country!  
The Data Engineer’s primary responsibility will be building and maintaining automated pipelines in Azure Devops, maintaining and implementing source control and branching strategies in ADO GIT, building and maintaining Azure Data Factory Pipelines, building and maintaining ELT processes in the SQL catalog. Secondary responsibilities include developing, supporting, and enhancing database programs, creating data marts, shared data sets, and reports using the SQL platform. This senior position typically handles projects of a more complex nature and serves as a resource to junior team members.  
Key Responsibilities:  
* Serves as a senior resource to junior team members, assisting with questions, obstacles, and issue resolution.
* Creating and maintaining Pipelines in Azure Data Factory.
* Creating and maintaining effective CI/CD methodologies.
* Creation of data mart databases used for business reporting and operational processes.
* Creation of shared dataset used by the business and other team members for self\-service reporting.
Competencies Required:  
* Excellent customer service, problem solving, and communication skills with the ability to effectively identify and translate business user needs, and to convey complex technical information in a clear and concise manner.
* Strong organizational skills with the ability to manage timelines and prioritize workload in a high\-pressure, results\-oriented environment.
* Self\-starter with the ability to work independently while supporting a team environment.
* Developed analytical and troubleshooting skills with strong attention to detail and high concern for data accuracy.
* Flexibility to provide after hours and weekend support on occasion to support business needs.
* Strong data analysis and mapping skills with intermediate proficiency in Microsoft database and reporting technologies and tools including Office, SharePoint, SQL Server Integration and Reporting Services and Management Studio, Visual Studio, and Team Foundation Server.
 **Qualifications**
Minimum Qualifications/Experience:  
* 6\+ years’ experience in a SQL development role; or a combination of directly related education and experience required.
* 1\+ Years experience in Azure Data Factory Development
* 1\+ Years experience in Azure Devops Pipeline Management
* 1\+ Years experience in GIT
Formal Education \&amp; Certification:  
* High School Diploma or equivalent required.
* Bachelor’s degree in Computer Science, Information Systems, or related field preferred.
Work Status:  
* Full\-Time.
Supervisory Responsibility:  
* None.
Travel:  
* No travel expected.
Working Conditions:  
* Conditions involve lifting no more than ten pounds, sitting most of the time, but may involve walking, moving, or standing for brief periods, and occasionally lifting and carrying articles like files, ledgers, folders, etc.
Disclaimer:  
This job description is not designed to cover or contain a comprehensive listing of activities, duties or responsibilities that are required of the employee. Nothing herein restricts management’s right to assign or reassign duties and responsibilities to this job at any time.  
Woodforest is an Equal Opportunity Employer, including Disability and Veterans.**Job****:** Technology Services**Primary Location****:** Texas\-The Woodlands**Schedule****:** Full\-time**Work Locations****:** TX \- Operations Center\-0100 25231 Grogans Mill Rd The Woodlands 77380**Unposting Date****:** Ongoing**Organization****:** Texas \- Houston</t>
        </is>
      </c>
    </row>
    <row r="36">
      <c r="A36" t="inlineStr">
        <is>
          <t>in-4a7d13cd778c0b7d</t>
        </is>
      </c>
      <c r="B36" t="inlineStr">
        <is>
          <t>Azure Data Engineer (Python/SQL) - 6013915</t>
        </is>
      </c>
      <c r="C36" t="inlineStr">
        <is>
          <t>Accenture</t>
        </is>
      </c>
      <c r="D36" t="inlineStr">
        <is>
          <t>indeed</t>
        </is>
      </c>
      <c r="E36" t="inlineStr"/>
      <c r="F36" t="inlineStr"/>
      <c r="G36" t="inlineStr">
        <is>
          <t>Redmond, WA, US</t>
        </is>
      </c>
      <c r="H36" s="2" t="n">
        <v>46029</v>
      </c>
      <c r="I3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7">
      <c r="A37" t="inlineStr">
        <is>
          <t>in-87f213d8b0c12d20</t>
        </is>
      </c>
      <c r="B37" t="inlineStr">
        <is>
          <t>Azure Data Engineer (Python/SQL) - 6013915</t>
        </is>
      </c>
      <c r="C37" t="inlineStr">
        <is>
          <t>Accenture</t>
        </is>
      </c>
      <c r="D37" t="inlineStr">
        <is>
          <t>indeed</t>
        </is>
      </c>
      <c r="E37" t="inlineStr"/>
      <c r="F37" t="inlineStr"/>
      <c r="G37" t="inlineStr">
        <is>
          <t>Cleveland, OH, US</t>
        </is>
      </c>
      <c r="H37" s="2" t="n">
        <v>46029</v>
      </c>
      <c r="I3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8">
      <c r="A38" t="inlineStr">
        <is>
          <t>in-3c73bca23c6cc530</t>
        </is>
      </c>
      <c r="B38" t="inlineStr">
        <is>
          <t>Azure Data Engineer (Python/SQL) - 6013915</t>
        </is>
      </c>
      <c r="C38" t="inlineStr">
        <is>
          <t>Accenture</t>
        </is>
      </c>
      <c r="D38" t="inlineStr">
        <is>
          <t>indeed</t>
        </is>
      </c>
      <c r="E38" t="inlineStr"/>
      <c r="F38" t="inlineStr"/>
      <c r="G38" t="inlineStr">
        <is>
          <t>Chicago, IL, US</t>
        </is>
      </c>
      <c r="H38" s="2" t="n">
        <v>46029</v>
      </c>
      <c r="I3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39">
      <c r="A39" t="inlineStr">
        <is>
          <t>in-950f8c879983b9a2</t>
        </is>
      </c>
      <c r="B39" t="inlineStr">
        <is>
          <t>Azure Data Engineer (Python/SQL) - 6013915</t>
        </is>
      </c>
      <c r="C39" t="inlineStr">
        <is>
          <t>Accenture</t>
        </is>
      </c>
      <c r="D39" t="inlineStr">
        <is>
          <t>indeed</t>
        </is>
      </c>
      <c r="E39" t="inlineStr"/>
      <c r="F39" t="inlineStr"/>
      <c r="G39" t="inlineStr">
        <is>
          <t>Milwaukee, WI, US</t>
        </is>
      </c>
      <c r="H39" s="2" t="n">
        <v>46029</v>
      </c>
      <c r="I3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0">
      <c r="A40" t="inlineStr">
        <is>
          <t>in-8529366e623ca7c0</t>
        </is>
      </c>
      <c r="B40" t="inlineStr">
        <is>
          <t>Azure Data Engineer (Python/SQL) - 6013915</t>
        </is>
      </c>
      <c r="C40" t="inlineStr">
        <is>
          <t>Accenture</t>
        </is>
      </c>
      <c r="D40" t="inlineStr">
        <is>
          <t>indeed</t>
        </is>
      </c>
      <c r="E40" t="inlineStr"/>
      <c r="F40" t="inlineStr"/>
      <c r="G40" t="inlineStr">
        <is>
          <t>Kirkland, WA, US</t>
        </is>
      </c>
      <c r="H40" s="2" t="n">
        <v>46029</v>
      </c>
      <c r="I4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1">
      <c r="A41" t="inlineStr">
        <is>
          <t>in-7bb38aa8ab3b5069</t>
        </is>
      </c>
      <c r="B41" t="inlineStr">
        <is>
          <t>Azure Data Engineer (Python/SQL) - 6013915</t>
        </is>
      </c>
      <c r="C41" t="inlineStr">
        <is>
          <t>Accenture</t>
        </is>
      </c>
      <c r="D41" t="inlineStr">
        <is>
          <t>indeed</t>
        </is>
      </c>
      <c r="E41" t="inlineStr"/>
      <c r="F41" t="inlineStr"/>
      <c r="G41" t="inlineStr">
        <is>
          <t>Houston, TX, US</t>
        </is>
      </c>
      <c r="H41" s="2" t="n">
        <v>46029</v>
      </c>
      <c r="I4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2">
      <c r="A42" t="inlineStr">
        <is>
          <t>in-684d26b8614f3bf7</t>
        </is>
      </c>
      <c r="B42" t="inlineStr">
        <is>
          <t>Azure Data Engineer (Python/SQL) - 6013915</t>
        </is>
      </c>
      <c r="C42" t="inlineStr">
        <is>
          <t>Accenture</t>
        </is>
      </c>
      <c r="D42" t="inlineStr">
        <is>
          <t>indeed</t>
        </is>
      </c>
      <c r="E42" t="inlineStr"/>
      <c r="F42" t="inlineStr"/>
      <c r="G42" t="inlineStr">
        <is>
          <t>Irving, TX, US</t>
        </is>
      </c>
      <c r="H42" s="2" t="n">
        <v>46029</v>
      </c>
      <c r="I4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3">
      <c r="A43" t="inlineStr">
        <is>
          <t>in-f14f37ad074f72ed</t>
        </is>
      </c>
      <c r="B43" t="inlineStr">
        <is>
          <t>Azure Data Engineer (Python/SQL) - 6013915</t>
        </is>
      </c>
      <c r="C43" t="inlineStr">
        <is>
          <t>Accenture</t>
        </is>
      </c>
      <c r="D43" t="inlineStr">
        <is>
          <t>indeed</t>
        </is>
      </c>
      <c r="E43" t="inlineStr"/>
      <c r="F43" t="inlineStr"/>
      <c r="G43" t="inlineStr">
        <is>
          <t>Columbus, OH, US</t>
        </is>
      </c>
      <c r="H43" s="2" t="n">
        <v>46029</v>
      </c>
      <c r="I4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4">
      <c r="A44" t="inlineStr">
        <is>
          <t>in-da0cb9f1dd2244cd</t>
        </is>
      </c>
      <c r="B44" t="inlineStr">
        <is>
          <t>Azure Data Engineer (Python/SQL) - 6013915</t>
        </is>
      </c>
      <c r="C44" t="inlineStr">
        <is>
          <t>Accenture</t>
        </is>
      </c>
      <c r="D44" t="inlineStr">
        <is>
          <t>indeed</t>
        </is>
      </c>
      <c r="E44" t="inlineStr"/>
      <c r="F44" t="inlineStr"/>
      <c r="G44" t="inlineStr">
        <is>
          <t>Pittsburgh, PA, US</t>
        </is>
      </c>
      <c r="H44" s="2" t="n">
        <v>46029</v>
      </c>
      <c r="I4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5">
      <c r="A45" t="inlineStr">
        <is>
          <t>in-6a0e346614618d24</t>
        </is>
      </c>
      <c r="B45" t="inlineStr">
        <is>
          <t>Azure Data Engineer (Python/SQL) - 6013915</t>
        </is>
      </c>
      <c r="C45" t="inlineStr">
        <is>
          <t>Accenture</t>
        </is>
      </c>
      <c r="D45" t="inlineStr">
        <is>
          <t>indeed</t>
        </is>
      </c>
      <c r="E45" t="inlineStr"/>
      <c r="F45" t="inlineStr"/>
      <c r="G45" t="inlineStr">
        <is>
          <t>Seattle, WA, US</t>
        </is>
      </c>
      <c r="H45" s="2" t="n">
        <v>46029</v>
      </c>
      <c r="I4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6">
      <c r="A46" t="inlineStr">
        <is>
          <t>in-434780bf4955ae0e</t>
        </is>
      </c>
      <c r="B46" t="inlineStr">
        <is>
          <t>Azure Data Engineer (Python/SQL) - 6013915</t>
        </is>
      </c>
      <c r="C46" t="inlineStr">
        <is>
          <t>Accenture</t>
        </is>
      </c>
      <c r="D46" t="inlineStr">
        <is>
          <t>indeed</t>
        </is>
      </c>
      <c r="E46" t="inlineStr"/>
      <c r="F46" t="inlineStr"/>
      <c r="G46" t="inlineStr">
        <is>
          <t>Arlington, VA, US</t>
        </is>
      </c>
      <c r="H46" s="2" t="n">
        <v>46029</v>
      </c>
      <c r="I4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7">
      <c r="A47" t="inlineStr">
        <is>
          <t>in-1530bcf88ffb08d2</t>
        </is>
      </c>
      <c r="B47" t="inlineStr">
        <is>
          <t>Azure Data Engineer (Python/SQL) - 6013915</t>
        </is>
      </c>
      <c r="C47" t="inlineStr">
        <is>
          <t>Accenture</t>
        </is>
      </c>
      <c r="D47" t="inlineStr">
        <is>
          <t>indeed</t>
        </is>
      </c>
      <c r="E47" t="inlineStr"/>
      <c r="F47" t="inlineStr"/>
      <c r="G47" t="inlineStr">
        <is>
          <t>Austin, TX, US</t>
        </is>
      </c>
      <c r="H47" s="2" t="n">
        <v>46029</v>
      </c>
      <c r="I4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8">
      <c r="A48" t="inlineStr">
        <is>
          <t>in-bbe2689e16b09b7e</t>
        </is>
      </c>
      <c r="B48" t="inlineStr">
        <is>
          <t>Azure Data Engineer (Python/SQL) - 6013915</t>
        </is>
      </c>
      <c r="C48" t="inlineStr">
        <is>
          <t>Accenture</t>
        </is>
      </c>
      <c r="D48" t="inlineStr">
        <is>
          <t>indeed</t>
        </is>
      </c>
      <c r="E48" t="inlineStr"/>
      <c r="F48" t="inlineStr"/>
      <c r="G48" t="inlineStr">
        <is>
          <t>Beaverton, OR, US</t>
        </is>
      </c>
      <c r="H48" s="2" t="n">
        <v>46029</v>
      </c>
      <c r="I4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49">
      <c r="A49" t="inlineStr">
        <is>
          <t>in-d11b73884ca7dda3</t>
        </is>
      </c>
      <c r="B49" t="inlineStr">
        <is>
          <t>Azure Data Engineer (Python/SQL) - 6013915</t>
        </is>
      </c>
      <c r="C49" t="inlineStr">
        <is>
          <t>Accenture</t>
        </is>
      </c>
      <c r="D49" t="inlineStr">
        <is>
          <t>indeed</t>
        </is>
      </c>
      <c r="E49" t="inlineStr"/>
      <c r="F49" t="inlineStr"/>
      <c r="G49" t="inlineStr">
        <is>
          <t>Albany, NY, US</t>
        </is>
      </c>
      <c r="H49" s="2" t="n">
        <v>46029</v>
      </c>
      <c r="I4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0">
      <c r="A50" t="inlineStr">
        <is>
          <t>in-9f1cc74fbead21ec</t>
        </is>
      </c>
      <c r="B50" t="inlineStr">
        <is>
          <t>Azure Data Engineer (Python/SQL) - 6013915</t>
        </is>
      </c>
      <c r="C50" t="inlineStr">
        <is>
          <t>Accenture</t>
        </is>
      </c>
      <c r="D50" t="inlineStr">
        <is>
          <t>indeed</t>
        </is>
      </c>
      <c r="E50" t="inlineStr"/>
      <c r="F50" t="inlineStr"/>
      <c r="G50" t="inlineStr">
        <is>
          <t>Philadelphia, PA, US</t>
        </is>
      </c>
      <c r="H50" s="2" t="n">
        <v>46029</v>
      </c>
      <c r="I5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1">
      <c r="A51" t="inlineStr">
        <is>
          <t>in-a582a05f3bf78b97</t>
        </is>
      </c>
      <c r="B51" t="inlineStr">
        <is>
          <t>Azure Data Engineer (Python/SQL) - 6013915</t>
        </is>
      </c>
      <c r="C51" t="inlineStr">
        <is>
          <t>Accenture</t>
        </is>
      </c>
      <c r="D51" t="inlineStr">
        <is>
          <t>indeed</t>
        </is>
      </c>
      <c r="E51" t="inlineStr"/>
      <c r="F51" t="inlineStr"/>
      <c r="G51" t="inlineStr">
        <is>
          <t>Des Moines, IA, US</t>
        </is>
      </c>
      <c r="H51" s="2" t="n">
        <v>46029</v>
      </c>
      <c r="I5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2">
      <c r="A52" t="inlineStr">
        <is>
          <t>in-08102b8002cc478c</t>
        </is>
      </c>
      <c r="B52" t="inlineStr">
        <is>
          <t>Azure Data Engineer (Python/SQL) - 6013915</t>
        </is>
      </c>
      <c r="C52" t="inlineStr">
        <is>
          <t>Accenture</t>
        </is>
      </c>
      <c r="D52" t="inlineStr">
        <is>
          <t>indeed</t>
        </is>
      </c>
      <c r="E52" t="inlineStr"/>
      <c r="F52" t="inlineStr"/>
      <c r="G52" t="inlineStr">
        <is>
          <t>San Francisco, CA, US</t>
        </is>
      </c>
      <c r="H52" s="2" t="n">
        <v>46029</v>
      </c>
      <c r="I5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3">
      <c r="A53" t="inlineStr">
        <is>
          <t>in-22bff62a0fe2113d</t>
        </is>
      </c>
      <c r="B53" t="inlineStr">
        <is>
          <t>Azure Data Engineer (Python/SQL) - 6013915</t>
        </is>
      </c>
      <c r="C53" t="inlineStr">
        <is>
          <t>Accenture</t>
        </is>
      </c>
      <c r="D53" t="inlineStr">
        <is>
          <t>indeed</t>
        </is>
      </c>
      <c r="E53" t="inlineStr"/>
      <c r="F53" t="inlineStr"/>
      <c r="G53" t="inlineStr">
        <is>
          <t>New York, NY, US</t>
        </is>
      </c>
      <c r="H53" s="2" t="n">
        <v>46029</v>
      </c>
      <c r="I5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4">
      <c r="A54" t="inlineStr">
        <is>
          <t>in-cea98d280307359e</t>
        </is>
      </c>
      <c r="B54" t="inlineStr">
        <is>
          <t>Azure Data Engineer (Python/SQL) - 6013915</t>
        </is>
      </c>
      <c r="C54" t="inlineStr">
        <is>
          <t>Accenture</t>
        </is>
      </c>
      <c r="D54" t="inlineStr">
        <is>
          <t>indeed</t>
        </is>
      </c>
      <c r="E54" t="inlineStr"/>
      <c r="F54" t="inlineStr"/>
      <c r="G54" t="inlineStr">
        <is>
          <t>Charlotte, NC, US</t>
        </is>
      </c>
      <c r="H54" s="2" t="n">
        <v>46029</v>
      </c>
      <c r="I5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5">
      <c r="A55" t="inlineStr">
        <is>
          <t>in-0ba18770531d1e24</t>
        </is>
      </c>
      <c r="B55" t="inlineStr">
        <is>
          <t>Azure Data Engineer (Python/SQL) - 6013915</t>
        </is>
      </c>
      <c r="C55" t="inlineStr">
        <is>
          <t>Accenture</t>
        </is>
      </c>
      <c r="D55" t="inlineStr">
        <is>
          <t>indeed</t>
        </is>
      </c>
      <c r="E55" t="inlineStr"/>
      <c r="F55" t="inlineStr"/>
      <c r="G55" t="inlineStr">
        <is>
          <t>Denver, CO, US</t>
        </is>
      </c>
      <c r="H55" s="2" t="n">
        <v>46029</v>
      </c>
      <c r="I5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6">
      <c r="A56" t="inlineStr">
        <is>
          <t>in-543a0ba2fa542eef</t>
        </is>
      </c>
      <c r="B56" t="inlineStr">
        <is>
          <t>Azure Data Engineer (Python/SQL) - 6013915</t>
        </is>
      </c>
      <c r="C56" t="inlineStr">
        <is>
          <t>Accenture</t>
        </is>
      </c>
      <c r="D56" t="inlineStr">
        <is>
          <t>indeed</t>
        </is>
      </c>
      <c r="E56" t="inlineStr"/>
      <c r="F56" t="inlineStr"/>
      <c r="G56" t="inlineStr">
        <is>
          <t>Carmel, IN, US</t>
        </is>
      </c>
      <c r="H56" s="2" t="n">
        <v>46029</v>
      </c>
      <c r="I5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7">
      <c r="A57" t="inlineStr">
        <is>
          <t>in-21ca4988d5e10665</t>
        </is>
      </c>
      <c r="B57" t="inlineStr">
        <is>
          <t>Azure Data Engineer (Python/SQL) - 6013915</t>
        </is>
      </c>
      <c r="C57" t="inlineStr">
        <is>
          <t>Accenture</t>
        </is>
      </c>
      <c r="D57" t="inlineStr">
        <is>
          <t>indeed</t>
        </is>
      </c>
      <c r="E57" t="inlineStr"/>
      <c r="F57" t="inlineStr"/>
      <c r="G57" t="inlineStr">
        <is>
          <t>Oklahoma City, OK, US</t>
        </is>
      </c>
      <c r="H57" s="2" t="n">
        <v>46029</v>
      </c>
      <c r="I5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8">
      <c r="A58" t="inlineStr">
        <is>
          <t>in-aba7f8d292c0c0cc</t>
        </is>
      </c>
      <c r="B58" t="inlineStr">
        <is>
          <t>Azure Data Engineer (Python/SQL) - 6013915</t>
        </is>
      </c>
      <c r="C58" t="inlineStr">
        <is>
          <t>Accenture</t>
        </is>
      </c>
      <c r="D58" t="inlineStr">
        <is>
          <t>indeed</t>
        </is>
      </c>
      <c r="E58" t="inlineStr"/>
      <c r="F58" t="inlineStr"/>
      <c r="G58" t="inlineStr">
        <is>
          <t>Saint Petersburg, FL, US</t>
        </is>
      </c>
      <c r="H58" s="2" t="n">
        <v>46029</v>
      </c>
      <c r="I5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59">
      <c r="A59" t="inlineStr">
        <is>
          <t>in-08d283b5e85cebac</t>
        </is>
      </c>
      <c r="B59" t="inlineStr">
        <is>
          <t>Azure Data Engineer (Python/SQL) - 6013915</t>
        </is>
      </c>
      <c r="C59" t="inlineStr">
        <is>
          <t>Accenture</t>
        </is>
      </c>
      <c r="D59" t="inlineStr">
        <is>
          <t>indeed</t>
        </is>
      </c>
      <c r="E59" t="inlineStr"/>
      <c r="F59" t="inlineStr"/>
      <c r="G59" t="inlineStr">
        <is>
          <t>Nashville, TN, US</t>
        </is>
      </c>
      <c r="H59" s="2" t="n">
        <v>46029</v>
      </c>
      <c r="I5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0">
      <c r="A60" t="inlineStr">
        <is>
          <t>in-d6bb61cd4743f7f2</t>
        </is>
      </c>
      <c r="B60" t="inlineStr">
        <is>
          <t>Azure Data Engineer (Python/SQL) - 6013915</t>
        </is>
      </c>
      <c r="C60" t="inlineStr">
        <is>
          <t>Accenture</t>
        </is>
      </c>
      <c r="D60" t="inlineStr">
        <is>
          <t>indeed</t>
        </is>
      </c>
      <c r="E60" t="inlineStr"/>
      <c r="F60" t="inlineStr"/>
      <c r="G60" t="inlineStr">
        <is>
          <t>Cincinnati, OH, US</t>
        </is>
      </c>
      <c r="H60" s="2" t="n">
        <v>46029</v>
      </c>
      <c r="I6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1">
      <c r="A61" t="inlineStr">
        <is>
          <t>in-bb755c081566d4d8</t>
        </is>
      </c>
      <c r="B61" t="inlineStr">
        <is>
          <t>Azure Data Engineer (Python/SQL) - 6013915</t>
        </is>
      </c>
      <c r="C61" t="inlineStr">
        <is>
          <t>Accenture</t>
        </is>
      </c>
      <c r="D61" t="inlineStr">
        <is>
          <t>indeed</t>
        </is>
      </c>
      <c r="E61" t="inlineStr"/>
      <c r="F61" t="inlineStr"/>
      <c r="G61" t="inlineStr">
        <is>
          <t>Morristown, NJ, US</t>
        </is>
      </c>
      <c r="H61" s="2" t="n">
        <v>46029</v>
      </c>
      <c r="I6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2">
      <c r="A62" t="inlineStr">
        <is>
          <t>in-ea1da545240f2f36</t>
        </is>
      </c>
      <c r="B62" t="inlineStr">
        <is>
          <t>Azure Data Engineer (Python/SQL) - 6013915</t>
        </is>
      </c>
      <c r="C62" t="inlineStr">
        <is>
          <t>Accenture</t>
        </is>
      </c>
      <c r="D62" t="inlineStr">
        <is>
          <t>indeed</t>
        </is>
      </c>
      <c r="E62" t="inlineStr"/>
      <c r="F62" t="inlineStr"/>
      <c r="G62" t="inlineStr">
        <is>
          <t>San Diego, CA, US</t>
        </is>
      </c>
      <c r="H62" s="2" t="n">
        <v>46029</v>
      </c>
      <c r="I6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3">
      <c r="A63" t="inlineStr">
        <is>
          <t>in-21d6654711cf7839</t>
        </is>
      </c>
      <c r="B63" t="inlineStr">
        <is>
          <t>Azure Data Engineer (Python/SQL) - 6013915</t>
        </is>
      </c>
      <c r="C63" t="inlineStr">
        <is>
          <t>Accenture</t>
        </is>
      </c>
      <c r="D63" t="inlineStr">
        <is>
          <t>indeed</t>
        </is>
      </c>
      <c r="E63" t="inlineStr"/>
      <c r="F63" t="inlineStr"/>
      <c r="G63" t="inlineStr">
        <is>
          <t>Raleigh, NC, US</t>
        </is>
      </c>
      <c r="H63" s="2" t="n">
        <v>46029</v>
      </c>
      <c r="I6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4">
      <c r="A64" t="inlineStr">
        <is>
          <t>in-3e3284e831bb583f</t>
        </is>
      </c>
      <c r="B64" t="inlineStr">
        <is>
          <t>Azure Data Engineer (Python/SQL) - 6013915</t>
        </is>
      </c>
      <c r="C64" t="inlineStr">
        <is>
          <t>Accenture</t>
        </is>
      </c>
      <c r="D64" t="inlineStr">
        <is>
          <t>indeed</t>
        </is>
      </c>
      <c r="E64" t="inlineStr"/>
      <c r="F64" t="inlineStr"/>
      <c r="G64" t="inlineStr">
        <is>
          <t>Detroit, MI, US</t>
        </is>
      </c>
      <c r="H64" s="2" t="n">
        <v>46029</v>
      </c>
      <c r="I6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5">
      <c r="A65" t="inlineStr">
        <is>
          <t>in-86e2789839140299</t>
        </is>
      </c>
      <c r="B65" t="inlineStr">
        <is>
          <t>Azure Data Engineer (Python/SQL) - 6013915</t>
        </is>
      </c>
      <c r="C65" t="inlineStr">
        <is>
          <t>Accenture</t>
        </is>
      </c>
      <c r="D65" t="inlineStr">
        <is>
          <t>indeed</t>
        </is>
      </c>
      <c r="E65" t="inlineStr"/>
      <c r="F65" t="inlineStr"/>
      <c r="G65" t="inlineStr">
        <is>
          <t>Hartford, CT, US</t>
        </is>
      </c>
      <c r="H65" s="2" t="n">
        <v>46029</v>
      </c>
      <c r="I6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6">
      <c r="A66" t="inlineStr">
        <is>
          <t>in-ce55a66f1f146a4e</t>
        </is>
      </c>
      <c r="B66" t="inlineStr">
        <is>
          <t>Azure Data Engineer (Python/SQL) - 6013915</t>
        </is>
      </c>
      <c r="C66" t="inlineStr">
        <is>
          <t>Accenture</t>
        </is>
      </c>
      <c r="D66" t="inlineStr">
        <is>
          <t>indeed</t>
        </is>
      </c>
      <c r="E66" t="inlineStr"/>
      <c r="F66" t="inlineStr"/>
      <c r="G66" t="inlineStr">
        <is>
          <t>Boston, MA, US</t>
        </is>
      </c>
      <c r="H66" s="2" t="n">
        <v>46029</v>
      </c>
      <c r="I6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7">
      <c r="A67" t="inlineStr">
        <is>
          <t>in-a0f0b10a023504d3</t>
        </is>
      </c>
      <c r="B67" t="inlineStr">
        <is>
          <t>Azure Data Engineer (Python/SQL) - 6013915</t>
        </is>
      </c>
      <c r="C67" t="inlineStr">
        <is>
          <t>Accenture</t>
        </is>
      </c>
      <c r="D67" t="inlineStr">
        <is>
          <t>indeed</t>
        </is>
      </c>
      <c r="E67" t="inlineStr"/>
      <c r="F67" t="inlineStr"/>
      <c r="G67" t="inlineStr">
        <is>
          <t>Overland Park, KS, US</t>
        </is>
      </c>
      <c r="H67" s="2" t="n">
        <v>46029</v>
      </c>
      <c r="I6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8">
      <c r="A68" t="inlineStr">
        <is>
          <t>in-5670f7ea4de5e5b3</t>
        </is>
      </c>
      <c r="B68" t="inlineStr">
        <is>
          <t>Azure Data Engineer (Python/SQL) - 6013915</t>
        </is>
      </c>
      <c r="C68" t="inlineStr">
        <is>
          <t>Accenture</t>
        </is>
      </c>
      <c r="D68" t="inlineStr">
        <is>
          <t>indeed</t>
        </is>
      </c>
      <c r="E68" t="inlineStr"/>
      <c r="F68" t="inlineStr"/>
      <c r="G68" t="inlineStr">
        <is>
          <t>Miami, FL, US</t>
        </is>
      </c>
      <c r="H68" s="2" t="n">
        <v>46029</v>
      </c>
      <c r="I6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69">
      <c r="A69" t="inlineStr">
        <is>
          <t>in-bfcaf73392e7c227</t>
        </is>
      </c>
      <c r="B69" t="inlineStr">
        <is>
          <t>Azure Data Engineer (Python/SQL) - 6013915</t>
        </is>
      </c>
      <c r="C69" t="inlineStr">
        <is>
          <t>Accenture</t>
        </is>
      </c>
      <c r="D69" t="inlineStr">
        <is>
          <t>indeed</t>
        </is>
      </c>
      <c r="E69" t="inlineStr"/>
      <c r="F69" t="inlineStr"/>
      <c r="G69" t="inlineStr">
        <is>
          <t>Walnut Creek, CA, US</t>
        </is>
      </c>
      <c r="H69" s="2" t="n">
        <v>46029</v>
      </c>
      <c r="I69"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0">
      <c r="A70" t="inlineStr">
        <is>
          <t>in-c06976c00b3f5a3d</t>
        </is>
      </c>
      <c r="B70" t="inlineStr">
        <is>
          <t>Azure Data Engineer (Python/SQL) - 6013915</t>
        </is>
      </c>
      <c r="C70" t="inlineStr">
        <is>
          <t>Accenture</t>
        </is>
      </c>
      <c r="D70" t="inlineStr">
        <is>
          <t>indeed</t>
        </is>
      </c>
      <c r="E70" t="inlineStr"/>
      <c r="F70" t="inlineStr"/>
      <c r="G70" t="inlineStr">
        <is>
          <t>St. Louis, MO, US</t>
        </is>
      </c>
      <c r="H70" s="2" t="n">
        <v>46029</v>
      </c>
      <c r="I7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1">
      <c r="A71" t="inlineStr">
        <is>
          <t>in-e3538414d0dc2e25</t>
        </is>
      </c>
      <c r="B71" t="inlineStr">
        <is>
          <t>Azure Data Engineer (Python/SQL) - 6013915</t>
        </is>
      </c>
      <c r="C71" t="inlineStr">
        <is>
          <t>Accenture</t>
        </is>
      </c>
      <c r="D71" t="inlineStr">
        <is>
          <t>indeed</t>
        </is>
      </c>
      <c r="E71" t="inlineStr"/>
      <c r="F71" t="inlineStr"/>
      <c r="G71" t="inlineStr">
        <is>
          <t>Minneapolis, MN, US</t>
        </is>
      </c>
      <c r="H71" s="2" t="n">
        <v>46029</v>
      </c>
      <c r="I71"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2">
      <c r="A72" t="inlineStr">
        <is>
          <t>in-f4e6405b5a9c2174</t>
        </is>
      </c>
      <c r="B72" t="inlineStr">
        <is>
          <t>Azure Data Engineer (Python/SQL) - 6013915</t>
        </is>
      </c>
      <c r="C72" t="inlineStr">
        <is>
          <t>Accenture</t>
        </is>
      </c>
      <c r="D72" t="inlineStr">
        <is>
          <t>indeed</t>
        </is>
      </c>
      <c r="E72" t="inlineStr"/>
      <c r="F72" t="inlineStr"/>
      <c r="G72" t="inlineStr">
        <is>
          <t>Atlanta, GA, US</t>
        </is>
      </c>
      <c r="H72" s="2" t="n">
        <v>46029</v>
      </c>
      <c r="I72"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3">
      <c r="A73" t="inlineStr">
        <is>
          <t>in-5e524086a9853ba6</t>
        </is>
      </c>
      <c r="B73" t="inlineStr">
        <is>
          <t>Azure Data Engineer (Python/SQL) - 6013915</t>
        </is>
      </c>
      <c r="C73" t="inlineStr">
        <is>
          <t>Accenture</t>
        </is>
      </c>
      <c r="D73" t="inlineStr">
        <is>
          <t>indeed</t>
        </is>
      </c>
      <c r="E73" t="inlineStr"/>
      <c r="F73" t="inlineStr"/>
      <c r="G73" t="inlineStr">
        <is>
          <t>Scottsdale, AZ, US</t>
        </is>
      </c>
      <c r="H73" s="2" t="n">
        <v>46029</v>
      </c>
      <c r="I73"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4">
      <c r="A74" t="inlineStr">
        <is>
          <t>in-568518c7fa018d6a</t>
        </is>
      </c>
      <c r="B74" t="inlineStr">
        <is>
          <t>Azure Data Engineer (Python/SQL) - 6013915</t>
        </is>
      </c>
      <c r="C74" t="inlineStr">
        <is>
          <t>Accenture</t>
        </is>
      </c>
      <c r="D74" t="inlineStr">
        <is>
          <t>indeed</t>
        </is>
      </c>
      <c r="E74" t="inlineStr"/>
      <c r="F74" t="inlineStr"/>
      <c r="G74" t="inlineStr">
        <is>
          <t>Mountain View, CA, US</t>
        </is>
      </c>
      <c r="H74" s="2" t="n">
        <v>46029</v>
      </c>
      <c r="I74"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5">
      <c r="A75" t="inlineStr">
        <is>
          <t>in-a59278641a9e4513</t>
        </is>
      </c>
      <c r="B75" t="inlineStr">
        <is>
          <t>Azure Data Engineer (Python/SQL) - 6013915</t>
        </is>
      </c>
      <c r="C75" t="inlineStr">
        <is>
          <t>Accenture</t>
        </is>
      </c>
      <c r="D75" t="inlineStr">
        <is>
          <t>indeed</t>
        </is>
      </c>
      <c r="E75" t="inlineStr"/>
      <c r="F75" t="inlineStr"/>
      <c r="G75" t="inlineStr">
        <is>
          <t>Culver City, CA, US</t>
        </is>
      </c>
      <c r="H75" s="2" t="n">
        <v>46029</v>
      </c>
      <c r="I7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6">
      <c r="A76" t="inlineStr">
        <is>
          <t>in-eee3139caf31474a</t>
        </is>
      </c>
      <c r="B76" t="inlineStr">
        <is>
          <t>Azure Data Engineer (Python/SQL) - 6013915</t>
        </is>
      </c>
      <c r="C76" t="inlineStr">
        <is>
          <t>Accenture</t>
        </is>
      </c>
      <c r="D76" t="inlineStr">
        <is>
          <t>indeed</t>
        </is>
      </c>
      <c r="E76" t="inlineStr"/>
      <c r="F76" t="inlineStr"/>
      <c r="G76" t="inlineStr">
        <is>
          <t>Sacramento, CA, US</t>
        </is>
      </c>
      <c r="H76" s="2" t="n">
        <v>46029</v>
      </c>
      <c r="I7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7">
      <c r="A77" t="inlineStr">
        <is>
          <t>in-cda3dc21d98a18af</t>
        </is>
      </c>
      <c r="B77" t="inlineStr">
        <is>
          <t>Azure Data Engineer (Python/SQL) - 6013915</t>
        </is>
      </c>
      <c r="C77" t="inlineStr">
        <is>
          <t>Accenture</t>
        </is>
      </c>
      <c r="D77" t="inlineStr">
        <is>
          <t>indeed</t>
        </is>
      </c>
      <c r="E77" t="inlineStr"/>
      <c r="F77" t="inlineStr"/>
      <c r="G77" t="inlineStr">
        <is>
          <t>Los Angeles, CA, US</t>
        </is>
      </c>
      <c r="H77" s="2" t="n">
        <v>46029</v>
      </c>
      <c r="I77"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8">
      <c r="A78" t="inlineStr">
        <is>
          <t>in-f0ab3185bf513dac</t>
        </is>
      </c>
      <c r="B78" t="inlineStr">
        <is>
          <t>Azure Data Engineer (Python/SQL) - 6013915</t>
        </is>
      </c>
      <c r="C78" t="inlineStr">
        <is>
          <t>Accenture</t>
        </is>
      </c>
      <c r="D78" t="inlineStr">
        <is>
          <t>indeed</t>
        </is>
      </c>
      <c r="E78" t="inlineStr"/>
      <c r="F78" t="inlineStr"/>
      <c r="G78" t="inlineStr">
        <is>
          <t>Bentonville, AR, US</t>
        </is>
      </c>
      <c r="H78" s="2" t="n">
        <v>46029</v>
      </c>
      <c r="I78"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Job Description:
Join our dynamic team and embark on a journey where you will be empowered to perform independently and become an SME. Required active participation/contribution in team discussions will be key as you contribute in providing solutions to work related problems. Let's work together to achieve greatness!
Responsibilities:
* Create new data pipelines leveraging existing data ingestion frameworks, tools
* Orchestrate data pipelines using the Azure Data Factory service.
* Develop/Enhance data transformations based on the requirements to parse, transform and load data into Enterprise Data Lake, Delta Lake, Enterprise DWH (Synapse Analytics)
* Perform Unit Testing, coordinate integration testing and UAT Create HLD/DD/runbooks for the data pipelines
* Configure compute, DQ Rules, Maintenance Performance tuning/optimization
**Basic Qualifications:**
* Minimum of 3 years of work experience with one or more of the following: Databricks Data Engineering, DLT, Azure Data Factory, SQL, PySpark, Synapse Dedicated SQL Pool, Azure DevOps, Python
**Preferred Qualifications:**
* Azure Function Apps
* Azure Logic Apps
* Precisely \&amp; COSMOS DB
* Advanced proficiency in PySpark.
* Advanced proficiency in Microsoft Azure Databricks, Azure DevOps, Databricks Delta Live Tables and Azure Data Factory.
* Bachelor's or Associate's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California \- $47\.69 \- $57\.69
Cleveland \- $47\.69 \- $57\.69
Colorado \- $47\.69 \- $57\.69
District of Columbia \- $47\.69 \- $57\.69
Illinois \- $47\.69 \- $57\.69
Minnesota \- $47\.69 \- $57\.69
Maryland \- $47\.69 \- $57\.69
Massachusetts \- $47\.69 \- $57\.69
New York/New Jersey \- $47\.69 \- $57\.69
Washington \- $47\.69 \- $57\.69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79">
      <c r="A79" t="inlineStr">
        <is>
          <t>in-3a2465a635434da4</t>
        </is>
      </c>
      <c r="B79" t="inlineStr">
        <is>
          <t>Data Engineer NY ONLY</t>
        </is>
      </c>
      <c r="C79" t="inlineStr">
        <is>
          <t>Breatbe3</t>
        </is>
      </c>
      <c r="D79" t="inlineStr">
        <is>
          <t>indeed</t>
        </is>
      </c>
      <c r="E79">
        <f>HYPERLINK("https://www.indeed.com/viewjob?jk=3a2465a635434da4", "https://www.indeed.com/viewjob?jk=3a2465a635434da4")</f>
        <v/>
      </c>
      <c r="F79">
        <f>HYPERLINK("http://www.indeed.com/job/data-engineer-ny-only-3a2465a635434da4", "http://www.indeed.com/job/data-engineer-ny-only-3a2465a635434da4")</f>
        <v/>
      </c>
      <c r="G79" t="inlineStr">
        <is>
          <t>Long Beach, NY, US</t>
        </is>
      </c>
      <c r="H79" s="3" t="n">
        <v>46030</v>
      </c>
      <c r="I79" t="inlineStr">
        <is>
          <t>**Job Overview**
Job Duties: Develop, maintain, test, and evaluate data solutions in support of business goals. The detailed job duties include: • Involve in database design, programming, and business intelligence with a focus on crafting complex SQL queries and Python scripts to address stakeholder inquiries. Develop ETL (Extract, Transform, Load) processes using SQL Server Integration Services (SSIS) and create Python scripts to integrate external APIs for data modeling and reporting. • Utilize Python and R for preparing data for machine learning and statistical modeling, supporting data scientists' needs. • Extract data from external RESTful APIs using Python scripts. • Design complex data models and engineering solutions for Data Warehousing, integrating various external and internal data sources using the MapReduce API in Pydoop. • Develop SQL procedures to convert JSON data retrieved from APIs into table format in SQL Server. • Automate and enhance the creation and maintenance of web reports and dashboards. • Develop, maintain, test, and evaluate data solutions to support business objectives. • Work with technology teams (Business Analysts, QA, Development, and Administration) to understand data capture and testing requirements. • Provide guidance on best practices for data structures, data integrity, and querying. • Interpret business requirements and swiftly implement effective technical solutions. Education/Experience Requirements: • Master’s degree in Computer Science, Data Science, Information Systems, Statistics or other quantitative disciplines; OR Bachelor’s degree in Computer Science, Data Science, Information Systems, Statistics or other quantitative disciplines with minimum 2 years of related work experience.
Job Type: Full\-time
Pay: $100,000\.00 \- $120,000\.00 per year
Benefits:
* 401(k)
* Dental insurance
* Health insurance
* Paid time off
Work Location: In person</t>
        </is>
      </c>
    </row>
    <row r="80">
      <c r="A80" t="inlineStr">
        <is>
          <t>in-fffc142228a843f3</t>
        </is>
      </c>
      <c r="B80" t="inlineStr">
        <is>
          <t>ETL Data Engineer-2</t>
        </is>
      </c>
      <c r="C80" t="inlineStr">
        <is>
          <t>Realign</t>
        </is>
      </c>
      <c r="D80" t="inlineStr">
        <is>
          <t>indeed</t>
        </is>
      </c>
      <c r="E80">
        <f>HYPERLINK("https://www.indeed.com/viewjob?jk=fffc142228a843f3", "https://www.indeed.com/viewjob?jk=fffc142228a843f3")</f>
        <v/>
      </c>
      <c r="F80">
        <f>HYPERLINK("https://realign-llc.com/careers/job-details/IT19461ET-2", "https://realign-llc.com/careers/job-details/IT19461ET-2")</f>
        <v/>
      </c>
      <c r="G80" t="inlineStr">
        <is>
          <t>CA, US</t>
        </is>
      </c>
      <c r="H80" s="3" t="n">
        <v>46030</v>
      </c>
      <c r="I80" t="inlineStr">
        <is>
          <t>Job Type: Contract
Job Category: IT
Job Description
**Title: ETL Data Engineer**  
**Location : \- California / remote****Duration : 06 Months**  
Seeking an experienced Data Managemenet professional who will design, implement, and manage secure, scalable ODS solution for reporting and decision making to support critical business applications. This role requires strong hands\-on SQL adn SSIS experience, automation skills, and the ability to collaborate with cross\-functional teams.  
Key Responsibilities  
* Strategize, Design, implement, and manage ODS jobs and environments.
* Documentation of PowerBI project requirements, roadmap planning and reporting data delivery.
* Build and maintain SSIS packages, SQL queries, databases and reports
* Ensure high availability and scalable solution is designed for ODS environment.
* Monitor and optimize SQL queries, daily, weekly and monthly Jobs.
* Collaborate with development teams to design data management projects.
* Maintain backup and disaster recovery strategies.
* Document cloud architecture, processes, and configurations.
* Support cloud migration and modernization projects.
* Conduct performance testing.
Preferred Skills \&amp; Qualifications  
* Experience: 5\+ years in Data Management with PowerBI, SQL, SSIS, AWS/Azure
* Strong project management experience.
Required Skills
DEVOPS ENGINEER
 SENIOR EMAIL SECURITY ENGINEER</t>
        </is>
      </c>
    </row>
    <row r="81">
      <c r="A81" t="inlineStr">
        <is>
          <t>in-378ddd21cad45e93</t>
        </is>
      </c>
      <c r="B81" t="inlineStr">
        <is>
          <t>Azure Data Engineer-5</t>
        </is>
      </c>
      <c r="C81" t="inlineStr">
        <is>
          <t>Realign</t>
        </is>
      </c>
      <c r="D81" t="inlineStr">
        <is>
          <t>indeed</t>
        </is>
      </c>
      <c r="E81">
        <f>HYPERLINK("https://www.indeed.com/viewjob?jk=378ddd21cad45e93", "https://www.indeed.com/viewjob?jk=378ddd21cad45e93")</f>
        <v/>
      </c>
      <c r="F81">
        <f>HYPERLINK("https://realign-llc.com/careers/job-details/IT19419AZ-5", "https://realign-llc.com/careers/job-details/IT19419AZ-5")</f>
        <v/>
      </c>
      <c r="G81" t="inlineStr">
        <is>
          <t>Detroit, MI, US</t>
        </is>
      </c>
      <c r="H81" s="3" t="n">
        <v>46030</v>
      </c>
      <c r="I81" t="inlineStr">
        <is>
          <t>Job Type: Contract
Job Category: IT
Job Description
**Role: Azure Data Engineer****Location: Detroit, MI (Onsite)**  
**Contract** **Competencies:**
8\+ years of experience
Digital: Microsoft Azure
Digital: Microsoft Power BI
 **Role Description:**  
We are seeking an experienced Azure Data Engineer with strong Power BI development expertise and a solid understanding of Marketing Technology (MarTech) platforms.
The role focuses on designing, building, and optimizing scalable data pipelines and analytics solutions on Microsoft Azure.
The ideal candidate will enable actionable insights by transforming marketing and retail data into high\-quality, reliable datasets and interactive Power BI dashboards, supporting data\-driven decision\-making across Meijer’s marketing and retail operations.
This role requires close collaboration with cross\-functional teams to integrate data from multiple MarTech systems, ensure data accuracy and performance, and deliver analytics solutions aligned with business objectives.
Required Skills
DEVOPS ENGINEER
 SENIOR EMAIL SECURITY ENGINEER</t>
        </is>
      </c>
    </row>
    <row r="82">
      <c r="A82" t="inlineStr">
        <is>
          <t>in-816f439d156c92bf</t>
        </is>
      </c>
      <c r="B82" t="inlineStr">
        <is>
          <t>Sr. Data Engineer</t>
        </is>
      </c>
      <c r="C82" t="inlineStr">
        <is>
          <t>Business Intelligence &amp; Informatics Consulting Services, Inc (BIICS, Inc)</t>
        </is>
      </c>
      <c r="D82" t="inlineStr">
        <is>
          <t>indeed</t>
        </is>
      </c>
      <c r="E82">
        <f>HYPERLINK("https://www.indeed.com/viewjob?jk=816f439d156c92bf", "https://www.indeed.com/viewjob?jk=816f439d156c92bf")</f>
        <v/>
      </c>
      <c r="F82">
        <f>HYPERLINK("http://www.indeed.com/job/sr-data-engineer-816f439d156c92bf", "http://www.indeed.com/job/sr-data-engineer-816f439d156c92bf")</f>
        <v/>
      </c>
      <c r="G82" t="inlineStr">
        <is>
          <t>Tallahassee, FL, US</t>
        </is>
      </c>
      <c r="H82" s="3" t="n">
        <v>46030</v>
      </c>
      <c r="I82" t="inlineStr">
        <is>
          <t>BIICS, Inc is looking to fill a Sr. Data Warehouse position. The position is located in Tallahassee, Florida and work is **onsite**. If you or someone in your network meet the qualifications and are interested in the position, please contact us at the link below.
**Sr. Data Warehouse Analyst**
The consultant will collaborate with business stakeholders to document reporting and analytics requirements and validate that integrated data supports decision\-making needs. The role also involves supporting real\-time and batch data flows, conducting data modeling for cloud data warehousing, and optimizing performance and quality enforcement through modular pipeline design and orchestration. Familiarity with scripting languages and ongoing evolution in the cloud ecosystem is essential for maintaining agility and technical excellence.
Additionally, the resource will be responsible for converting legacy mainframe (JCL, COOLGEN, COBOL, FOCUS and WebFOCUS) code into modern, IDMC data integration workflows. This includes working closely with business analysts and stakeholders in analyzing existing logic, reports, and data flows to identify transformation requirements; rearchitecting them using IDMC tools; and implementing equivalent functionality within cloud\-native environments. Supporting this function requires expertise in legacy data retrieval methods, report logic translation, and integration design that aligns with current best practices. Clear documentation, structured testing, and close collaboration with business and technical teams will be essential to ensure fidelity and completeness in the conversion process.
**Responsibilities:**
* Prototypes, builds, and tests extraction, transformation, and load (ETL or ELT) jobs
* Analyzes transactional data stores and develops data warehouse models to optimize the warehouse data stores for reporting and analytics
* Creates designs, diagrams, and documents to support data integration and data warehouse solutions
* Ensures data warehouse metadata is collected and maintained
* Coaches and mentors peers in data warehousing concepts and the use of the tools utilized to analyze data, design the warehouse models, and populate the warehouse.
* Assists with the development and maintenance of methods and practices documentation.
**Potential candidate must possess the following:**
* Bachelor’s Degree in Computer Science, Information Systems, or related field is required. Equivalent work experience may substitute for the degree requirement.
* At least 7 years of IT experience utilizing data management, business intelligence tools, and strong foundation\-building data warehousing solutions.
* 7 Years experience in Data Warehousing and Data Integration
* 4 Years experience designing, developing, and supporting ETL/ELT pipelines using Informatica Intelligent Data Management Cloud (IDMC) and Informatica on\-prem solutions
* Extensive knowledge of data warehouse and data mart concepts
* Ability to model transactional data for data warehousing usage
* Knowledge of and skill in Snowflake cloud data warehouse functionality
* Extensive knowledge of and expert skill in use of Informatica PowerCenter Cloud Platform
* Knowledge of and skill in Informatica Data Quality functionality
* Knowledge of and skill in Informatica Data Catalog functionality
* Knowledge of and skill in Power BI, Tableau, and other reporting tools functionality
* Knowledge of and skill in relational database platforms including DB2, SQL Server, and Oracle
Business Intelligence \&amp; Informatics Consulting Services, Inc. (BIICS, Inc) is a business and information management solutions company serving clients in both the public and private sector. With access to new opportunities every day, BIICS, Inc is a premier source for placing highly skilled individuals with the most sought\-after career opportunities and salaries.
Job Types: Full\-time, Contract
Pay: $68\.35 \- $77\.70 per hour
Benefits:
* Health insurance
Education:
* Bachelor's (Preferred)
Experience:
* building data warehousing solutions: 5 years (Required)
* utilizing data management: 7 years (Required)
* Data Warehousing and Data Integration: 7 years (Required)
* designing, developing, and supporting ETL/ELT pipelines : 4 years (Required)
* Snowflake cloud data warehouse : 4 years (Required)
* Informatica PowerCenter Cloud Platform: 4 years (Required)
* Informatica Data Quality : 4 years (Required)
* Informatica Data Catalog : 4 years (Required)
* Power BI, Tableau, and other reporting tools functionality : 4 years (Required)
* relational DB platforms including DB2, SQL Server, \&amp; Oracle: 4 years (Required)
Work Location: In person</t>
        </is>
      </c>
    </row>
    <row r="83">
      <c r="A83" t="inlineStr">
        <is>
          <t>in-76c4b9b2e540cdc5</t>
        </is>
      </c>
      <c r="B83" t="inlineStr">
        <is>
          <t>Data Engineer</t>
        </is>
      </c>
      <c r="C83" t="inlineStr">
        <is>
          <t>MBK Senior Living</t>
        </is>
      </c>
      <c r="D83" t="inlineStr">
        <is>
          <t>indeed</t>
        </is>
      </c>
      <c r="E83">
        <f>HYPERLINK("https://www.indeed.com/viewjob?jk=76c4b9b2e540cdc5", "https://www.indeed.com/viewjob?jk=76c4b9b2e540cdc5")</f>
        <v/>
      </c>
      <c r="F83">
        <f>HYPERLINK("https://mbk.wd5.myworkdayjobs.com/MREcareers/job/CA---Irvine-MBK-Real-Estate/Data-Engineer_JR108821", "https://mbk.wd5.myworkdayjobs.com/MREcareers/job/CA---Irvine-MBK-Real-Estate/Data-Engineer_JR108821")</f>
        <v/>
      </c>
      <c r="G83" t="inlineStr">
        <is>
          <t>Irvine, CA, US</t>
        </is>
      </c>
      <c r="H83" s="3" t="n">
        <v>46029</v>
      </c>
      <c r="I83" t="inlineStr">
        <is>
          <t>Data Engineer
MBK Real Estate (MBK) is an industry leader in real estate operations and development. Through its subsidiaries, MBK Rental Living, MBK Industrial Properties and MBK Senior Living, MBK Real Estate is renowned for building award\-winning new home and apartment communities, state\-of\-art distribution facilities and for its reputation in providing exceptional high standards of service throughout its senior living communities.
MBK is a privately held real estate development firm with roots in the business dating back to 1996\. MBK's extensive activities through its operating divisions, along with the size and scale of our development and building activities represent the continuation and commitment to American enterprise.
**Job Description**
MBK Real Estate is hiring a Data Engineer to join our team at our Home Office in Irvine, CA!  
This role will be hybrid with 3 days in office and 2 days remote.**Job Summary:**
We are seeking a highly skilled Data Engineer with strong experience in Microsoft Azure, Microsoft Fabric, SQL, Python, and Power BI to help design, build, and optimize our cloud\-based data ecosystem. This role will work closely with our data/business intelligence team to ensure scalable, reliable, and high\-quality data solutions that support our enterprise data strategy.
**Supervisory Responsibilities:**
* N/A
**Duties \&amp; Responsibilities:**
* Design, build, and maintain cloud\-native data pipelines using Azure Synapse and Microsoft Fabric.
* Develop and optimize ETL/ELT workflows for ingestion, transformation, and processing of large\-scale datasets.
* Create and manage data models, warehouses, and lakehouse environments within Microsoft Fabric.
* Write high\-performance SQL for data transformation, report automation, modeling, and analytics.
* Build reusable Python components for data processing, automation, and orchestration.
* Implement best practices for data quality, governance, observability, security, and performance tuning.
* Collaborate with data analysts and business teams to translate requirements into scalable solutions.
* Monitor, troubleshoot, and improve pipelines to ensure high availability and reliability.
* Contribute to cloud architecture, tooling selection, performance tuning, and overall platform modernization efforts.
**Salary: $120,000\-$130,000 \+ Bonus**
\*\*Candidates must be legally authorized to work in the United States. This position does not offer sponsorship now or in the future
**Education Requirements:**
* A bachelor’s Degree in a computer science\-related field is strongly preferred.
**Experience Requirements (in years):**
* 5\+ years of professional experience as a Data Engineer or similar role.
* Strong hands\-on experience (3\+ years) with Azure cloud services (e.g., Azure Synapse, Azure Data Lake Storage, Azure Functions preferred).
* Practical experience (1\+ years) working with Microsoft Fabric (Data Factory, Lakehouse, Pipelines, Notebooks, and Power BI integration).
* Advanced proficiency (3\+ years) in SQL (query optimization, performance tuning, complex joins, stored procedures).
* Strong Python programming skills (2\+ years) for data processing, automation, and scripting.
**Required Competencies/Licenses/Certifications****:**
* Experience building scalable, production\-grade data pipelines for structured and unstructured data.
* Understanding of data modeling, data warehousing concepts, and ELT/ETL patterns.
* Familiarity with CI/CD, Git\-based workflows, and modern DevOps practices.
* Microsoft Suite competency.
* Strong problem\-solving and analytical mindset.
* Excellent communication skills and ability to partner across technical and business teams.
* Detail\-oriented, organized, and able to manage multiple priorities.
* Growth mindset and eagerness to work with emerging Azure/Fabric technologies.
**Preferred Qualifications**
* Experience with Delta Lake, parquet, or similar big data file formats.
* Familiarity with Power BI, semantic models, and Fabric integrated analytics.
* Knowledge of Spark, Databricks, or distributed data processing.
* Exposure to data governance frameworks, metadata management, and lineage tools.
* Azure and/or certifications (e.g., DP\-203, Azure Data Engineer Associate, DP\-700, Fabric Data Engineer Associate).
**Physical Demands \&amp; Work E****n****viro****n****ment:**
* Must be mobile and able to perform the physical requirements of the job, bending, kneeling, stooping, pushing, pulling and repetitive motion.
* Ability to sit and work at a computer for long periods of time.
* Able to move intermittently throughout the workday and between divisions.
We offer a rich benefits package comprising of the following: competitive salaries with opportunities for growth; 401(k) retirement plan with up to 4% employer matching; comprehensive industry leading medical, dental and vision insurance; company\-provided life, disability and AD\&amp;D insurance; flexible spending accounts, generous paid time off including vacation and sick time, holidays, and bereavement leave; and a variety of programs including leadership development, training, and personal coaching; education loan assistance and scholarships; daily living, financial and legal services; childcare and eldercare assistance; employee discounts; and health and wellness resources that include virtual yoga, mindfulness, and financial readiness for employees and their family members.
If you are ready to meet the challenges of this critical role, we want to hear from you!
**MBK is an equal opportunity employer.** All qualified applicants will receive consideration for employment without regard to race, color, religion, sex, disability, age, sexual orientation, gender identity, national origin, veteran status, genetic information, or other protected reason. Our company is committed to providing access, equal opportunity and reasonable accommodation for qualifying individuals in employment, its services, programs, and activities. To request reasonable accommodation, contact talentacquisition@mbk.com.
 **Regulatory Disclosures for Senior Living Communities with Medicaid Residents:** An “Excluded Party” is a person that the federal or state government found not eligible to provide care and services in a facility that receives Medicare or Medicaid funding. If employed at one of our senior living communities that receives Medicare or Medicaid funding, team members must not be considered an “Excluded Party” as defined by the U.S. Department of Health and Human Services, any state Medicaid Programs, and any additional federal and state government contract programs. If, as a team member, you learn that you are an Excluded Party at any time, you must present your Excluded Party notice letter to your supervisor immediately.
 **Other Regulatory Requirements:** If employed at one of our senior living communities, team members must continually comply with certain laws and regulations that impact the company, including, but not limited to, as applicable, state licensing regulations, the Health Insurance Portability and Accountability Act of 1996 (HIPAA), Resident Rights as defined by the U.S. Department of Health and Human Services, and any other federal or state laws relating to team members’ professional licenses.
**HIPAA Disclosure:**
 *All Team Members prior to commencing employment and once employed must not be considered an “Excluded Party” as defined by the Medicare and state Medicaid Programs as well as other federal and state government contract programs. If as an associate you learn you are an Excluded Party, you must present your Excluded Party notice letter to your supervisor immediately. An Excluded Party is a person that the federal or state government found not eligible to provide care and services in a Community that receives Medicare or Medicaid funding. In addition, at all times, during your employment, all associates must be in compliance with certain laws and regulations that affect the company, including but not limited to Resident Rights, HIPAA, State licensing regulations, and those laws relating you an associates’ professional license.*</t>
        </is>
      </c>
    </row>
    <row r="84">
      <c r="A84" t="inlineStr">
        <is>
          <t>in-71a1517dac3f349c</t>
        </is>
      </c>
      <c r="B84" t="inlineStr">
        <is>
          <t>Director, Data Engineering &amp; Architecture</t>
        </is>
      </c>
      <c r="C84" t="inlineStr">
        <is>
          <t>Breakthru Beverage Group</t>
        </is>
      </c>
      <c r="D84" t="inlineStr">
        <is>
          <t>indeed</t>
        </is>
      </c>
      <c r="E84">
        <f>HYPERLINK("https://www.indeed.com/viewjob?jk=71a1517dac3f349c", "https://www.indeed.com/viewjob?jk=71a1517dac3f349c")</f>
        <v/>
      </c>
      <c r="F84">
        <f>HYPERLINK("https://breakthru.wd5.myworkdayjobs.com/BBG-Canada/job/Linthicum-MD-USA/Director--Data-Engineering---Architecture_R0040517-1", "https://breakthru.wd5.myworkdayjobs.com/BBG-Canada/job/Linthicum-MD-USA/Director--Data-Engineering---Architecture_R0040517-1")</f>
        <v/>
      </c>
      <c r="G84" t="inlineStr">
        <is>
          <t>Tampa, FL, US</t>
        </is>
      </c>
      <c r="H84" s="3" t="n">
        <v>46029</v>
      </c>
      <c r="I84" t="inlineStr">
        <is>
          <t>**Time Type:**
Full time**Remote Type:**
**Job Family Group:**
Information Technology**Job Description Summary:**
Breakthru Beverage Group (BBG) is in the midst of a major enterprise transformation to modernize our data foundations, simplify our technology landscape, and enable AI\-driven decision\-making across the business. A core pillar of this transformation is the development of a modern, scalable Snowflake data platform on AWS \- the backbone for enterprise reporting, data products, and advanced analytics.  
We are seeking a strategic, hands\-on engineering and architecture leader to build and evolve BBG’s enterprise data platform and establish our long\-term data architecture standards. This leader will define the blueprint for how data is ingested, modeled, governed, and consumed \- while also being unafraid to dive into code, solve complex engineering challenges, and set engineering excellence across the organization.  
The Director of Data Engineering \&amp; Architecture will lead the teams and capabilities responsible for building BBG’s Snowflake modern data platform and defining the enterprise\-wide data architecture required for operational reporting, business insights, and AI products. This role sits at the intersection of strategy, architecture, and hands\-on engineering. You will define and enforce architectural patterns, build reusable data products, drive modernization away from legacy systems, and ensure the platform is AI\-ready and scalable to support BBG’s multi\-year transformation agenda.**Job Description:**
**This role follows a flexible hybrid schedule, with two days per week in the office and three days working from home. This role can be performed from any US Breakthru Beverage Office Location, or the Toronto, Canada office.**
**Job Responsibilities:**
* **Build \&amp; Lead High\-Performing Teams**
	+ Build, hire, and lead a high\-performing team of data engineers and architects, setting clear expectations, standards, and accountability.
	+ Coach, mentor, and develop team members through hands\-on technical leadership, fostering a culture of excellence, ownership, and continuous improvement.
* **Lead Data Engineering \&amp; Platform Build**
	+ Build, lead, and mature BBG’s Data Engineering function responsible for the Snowflake data platform, ingestion pipelines, data transformations, and reusable enterprise data assets.
	+ Develop and enforce modern engineering standards \- CI/CD, dbt, Terraform, orchestration, testing, observability \- to drive reliability, automation, and consistency.
	+ Engineer the platform for AI readiness and developer productivity, designing scalable, AI\-ready data foundations while leveraging AI\-assisted development to accelerate delivery, improve code quality, and enhance the day\-to\-day engineer experience across the Data \&amp; AI organization.
* **Own Enterprise Data Architecture**
	+ Define the enterprise data architecture roadmap across ingestion patterns, canonical modeling, data products, MDM alignment, semantic layers, and AI\-ready structures.
	+ Establish standards for data modeling, metadata, lineage, data contracts, data quality, and architectural governance across the organization.
	+ Own enterprise data architecture decisions and tooling strategy, leading evaluation, selection, and governance of data platforms and tools to ensure they align with BBG’s target architecture, security standards, scalability requirements, and long\-term roadmap.
* **Be Hands\-On when Needed**
	+ Act as a hands\-on technical leader, setting the engineering bar through direct involvement in complex technical challenges and critical architectural decisions.
	+ Write, review, and approve production\-grade code (SQL, Python, dbt, Terraform), ensuring high standards for quality, performance, security, and maintainability.
	+ Lead code reviews and design reviews, providing constructive feedback, enforcing best practices, and ensuring alignment with BBG’s architectural standards.
* **Partner Across the Business**
	+ Work closely with BBG’s business functions to translate their needs into scalable data architecture and engineering deliverables.
	+ Collaborate with SAP, AWS, and Snowflake partners to ensure alignment with BBG’s modernization and investment roadmap.
	+ Communicate architectural decisions clearly to both technical and non\-technical stakeholders, influencing direction and securing alignment.
* Other duties, as assigned by the jobholder’s supervisor, may also be required
**Qualifications:**
* 10\+ years of experience in data engineering, data architecture, or software engineering, with 4\+ years in an engineering or architecture leadership role.
* Deep experience architecting and operating modern cloud data platforms \- ideally Snowflake on AWS \- including storage design, compute optimization, performance tuning, and cost governance.
* Hands\-on expertise with SQL, Python, data modeling, ELT pipelines, dbt, orchestration frameworks (Airflow/MWAA), and DevOps tooling such as GitLab CI/CD.
* Strong experience designing enterprise\-wide data architecture, including canonical models, domain\-driven data products, semantic layers, and MDM integrations.
* Familiarity with SAP ECC/S/4 data structures and integration approaches (ODP, IDocs, APIs) is a plus.
* Demonstrated ability to define architectural standards, influence engineering teams, and drive alignment across IT, business partners, and external vendors.
* Experience enabling AI/ML use cases through well\-designed data pipelines, feature stores, vector\-enabled data sets, or integration with AWS (SageMaker, Bedrock) or Snowflake (Cortex) AI services.
* A strong mix of strategic thinking and hands\-on execution \- able to see the big picture, define the long\-term architecture, and also dive into code when necessary.
* Excellent communication skills with the ability to guide decisions, simplify complexity, and represent data engineering and architecture at all levels of the organization.
**Physical Requirements:**
* While performing the duties of this job, the employee is required to remain in a stationary position at times; communicate, and operate a computer and telephone.
**Competencies:**
* Ability to develop complex, multi\-project communication plans that understand IT goals, priorities, and resource constraints.
* Anticipates significant problems and efficiently resolves most with minimal input; develops creative, feasible solutions to advanced problems, effectively advocates for adoption of proposed solutions and develops process for them.
* Be decisive, a strategic planner, manage multiple tasks and deadlines, have excellent problem\-solving skills, have strong business and budgeting acumen, and display calmness and composure under stress or uncertainty, inspiring the same in direct reports.
*This job description is only a summary of the typical functions of this position, not an exhaustive or comprehensive list of all possible job responsibilities, tasks and duties. Responsibilities, tasks, and duties of individual jobholders may vary from the above description.*
***Salary and Benefit Statement:***
Any offered salary is determined based on internal equity, internal salary ranges, market data/ranges, applicant’s skills and prior relevant experience.
* Salary/Rate Range: $168,000\.00 \- $ 200,000\.00 USD
* This position is eligible to participate in a bonus program. Metrics and level of participation are determined annually.
* This position is eligible for health care benefits, life insurance, time off benefits and participation in the Company’s 401(k) plan
* 
Breakthru Beverage Group is an equal opportunity employer. We evaluate qualified applicants without regard to race, color, religion, sex, sexual orientation, gender identity, national origin, disability, veteran status, genetic information and other legally protected characteristics. The EEO is the Law poster is available here. If you need a reasonable accommodation because of a disability for any part of the employment process, please call (708\) 298\-3536 and let us know the nature of your request and your contact information.</t>
        </is>
      </c>
    </row>
    <row r="85">
      <c r="A85" t="inlineStr">
        <is>
          <t>in-bbc5451e16465456</t>
        </is>
      </c>
      <c r="B85" t="inlineStr">
        <is>
          <t>Director, Data Engineering &amp; Architecture</t>
        </is>
      </c>
      <c r="C85" t="inlineStr">
        <is>
          <t>Breakthru Beverage Group</t>
        </is>
      </c>
      <c r="D85" t="inlineStr">
        <is>
          <t>indeed</t>
        </is>
      </c>
      <c r="E85">
        <f>HYPERLINK("https://www.indeed.com/viewjob?jk=bbc5451e16465456", "https://www.indeed.com/viewjob?jk=bbc5451e16465456")</f>
        <v/>
      </c>
      <c r="F85">
        <f>HYPERLINK("https://breakthru.wd5.myworkdayjobs.com/BBG-Canada/job/Linthicum-MD-USA/Director--Data-Engineering---Architecture_R0040517-1", "https://breakthru.wd5.myworkdayjobs.com/BBG-Canada/job/Linthicum-MD-USA/Director--Data-Engineering---Architecture_R0040517-1")</f>
        <v/>
      </c>
      <c r="G85" t="inlineStr">
        <is>
          <t>Linthicum, MD, US</t>
        </is>
      </c>
      <c r="H85" s="3" t="n">
        <v>46029</v>
      </c>
      <c r="I85" t="inlineStr">
        <is>
          <t>**Time Type:**
Full time**Remote Type:**
**Job Family Group:**
Information Technology**Job Description Summary:**
Breakthru Beverage Group (BBG) is in the midst of a major enterprise transformation to modernize our data foundations, simplify our technology landscape, and enable AI\-driven decision\-making across the business. A core pillar of this transformation is the development of a modern, scalable Snowflake data platform on AWS \- the backbone for enterprise reporting, data products, and advanced analytics.  
We are seeking a strategic, hands\-on engineering and architecture leader to build and evolve BBG’s enterprise data platform and establish our long\-term data architecture standards. This leader will define the blueprint for how data is ingested, modeled, governed, and consumed \- while also being unafraid to dive into code, solve complex engineering challenges, and set engineering excellence across the organization.  
The Director of Data Engineering \&amp; Architecture will lead the teams and capabilities responsible for building BBG’s Snowflake modern data platform and defining the enterprise\-wide data architecture required for operational reporting, business insights, and AI products. This role sits at the intersection of strategy, architecture, and hands\-on engineering. You will define and enforce architectural patterns, build reusable data products, drive modernization away from legacy systems, and ensure the platform is AI\-ready and scalable to support BBG’s multi\-year transformation agenda.**Job Description:**
**This role follows a flexible hybrid schedule, with two days per week in the office and three days working from home. This role can be performed from any US Breakthru Beverage Office Location, or the Toronto, Canada office.**
**Job Responsibilities:**
* **Build \&amp; Lead High\-Performing Teams**
	+ Build, hire, and lead a high\-performing team of data engineers and architects, setting clear expectations, standards, and accountability.
	+ Coach, mentor, and develop team members through hands\-on technical leadership, fostering a culture of excellence, ownership, and continuous improvement.
* **Lead Data Engineering \&amp; Platform Build**
	+ Build, lead, and mature BBG’s Data Engineering function responsible for the Snowflake data platform, ingestion pipelines, data transformations, and reusable enterprise data assets.
	+ Develop and enforce modern engineering standards \- CI/CD, dbt, Terraform, orchestration, testing, observability \- to drive reliability, automation, and consistency.
	+ Engineer the platform for AI readiness and developer productivity, designing scalable, AI\-ready data foundations while leveraging AI\-assisted development to accelerate delivery, improve code quality, and enhance the day\-to\-day engineer experience across the Data \&amp; AI organization.
* **Own Enterprise Data Architecture**
	+ Define the enterprise data architecture roadmap across ingestion patterns, canonical modeling, data products, MDM alignment, semantic layers, and AI\-ready structures.
	+ Establish standards for data modeling, metadata, lineage, data contracts, data quality, and architectural governance across the organization.
	+ Own enterprise data architecture decisions and tooling strategy, leading evaluation, selection, and governance of data platforms and tools to ensure they align with BBG’s target architecture, security standards, scalability requirements, and long\-term roadmap.
* **Be Hands\-On when Needed**
	+ Act as a hands\-on technical leader, setting the engineering bar through direct involvement in complex technical challenges and critical architectural decisions.
	+ Write, review, and approve production\-grade code (SQL, Python, dbt, Terraform), ensuring high standards for quality, performance, security, and maintainability.
	+ Lead code reviews and design reviews, providing constructive feedback, enforcing best practices, and ensuring alignment with BBG’s architectural standards.
* **Partner Across the Business**
	+ Work closely with BBG’s business functions to translate their needs into scalable data architecture and engineering deliverables.
	+ Collaborate with SAP, AWS, and Snowflake partners to ensure alignment with BBG’s modernization and investment roadmap.
	+ Communicate architectural decisions clearly to both technical and non\-technical stakeholders, influencing direction and securing alignment.
* Other duties, as assigned by the jobholder’s supervisor, may also be required
**Qualifications:**
* 10\+ years of experience in data engineering, data architecture, or software engineering, with 4\+ years in an engineering or architecture leadership role.
* Deep experience architecting and operating modern cloud data platforms \- ideally Snowflake on AWS \- including storage design, compute optimization, performance tuning, and cost governance.
* Hands\-on expertise with SQL, Python, data modeling, ELT pipelines, dbt, orchestration frameworks (Airflow/MWAA), and DevOps tooling such as GitLab CI/CD.
* Strong experience designing enterprise\-wide data architecture, including canonical models, domain\-driven data products, semantic layers, and MDM integrations.
* Familiarity with SAP ECC/S/4 data structures and integration approaches (ODP, IDocs, APIs) is a plus.
* Demonstrated ability to define architectural standards, influence engineering teams, and drive alignment across IT, business partners, and external vendors.
* Experience enabling AI/ML use cases through well\-designed data pipelines, feature stores, vector\-enabled data sets, or integration with AWS (SageMaker, Bedrock) or Snowflake (Cortex) AI services.
* A strong mix of strategic thinking and hands\-on execution \- able to see the big picture, define the long\-term architecture, and also dive into code when necessary.
* Excellent communication skills with the ability to guide decisions, simplify complexity, and represent data engineering and architecture at all levels of the organization.
**Physical Requirements:**
* While performing the duties of this job, the employee is required to remain in a stationary position at times; communicate, and operate a computer and telephone.
**Competencies:**
* Ability to develop complex, multi\-project communication plans that understand IT goals, priorities, and resource constraints.
* Anticipates significant problems and efficiently resolves most with minimal input; develops creative, feasible solutions to advanced problems, effectively advocates for adoption of proposed solutions and develops process for them.
* Be decisive, a strategic planner, manage multiple tasks and deadlines, have excellent problem\-solving skills, have strong business and budgeting acumen, and display calmness and composure under stress or uncertainty, inspiring the same in direct reports.
*This job description is only a summary of the typical functions of this position, not an exhaustive or comprehensive list of all possible job responsibilities, tasks and duties. Responsibilities, tasks, and duties of individual jobholders may vary from the above description.*
***Salary and Benefit Statement:***
Any offered salary is determined based on internal equity, internal salary ranges, market data/ranges, applicant’s skills and prior relevant experience.
* Salary/Rate Range: $168,000\.00 \- $ 200,000\.00 USD
* This position is eligible to participate in a bonus program. Metrics and level of participation are determined annually.
* This position is eligible for health care benefits, life insurance, time off benefits and participation in the Company’s 401(k) plan
* 
Breakthru Beverage Group is an equal opportunity employer. We evaluate qualified applicants without regard to race, color, religion, sex, sexual orientation, gender identity, national origin, disability, veteran status, genetic information and other legally protected characteristics. The EEO is the Law poster is available here. If you need a reasonable accommodation because of a disability for any part of the employment process, please call (708\) 298\-3536 and let us know the nature of your request and your contact information.</t>
        </is>
      </c>
    </row>
    <row r="86">
      <c r="A86" t="inlineStr">
        <is>
          <t>in-8a435b532b96ee56</t>
        </is>
      </c>
      <c r="B86" t="inlineStr">
        <is>
          <t>Director, Data Engineering &amp; Architecture</t>
        </is>
      </c>
      <c r="C86" t="inlineStr">
        <is>
          <t>Breakthru Beverage Group</t>
        </is>
      </c>
      <c r="D86" t="inlineStr">
        <is>
          <t>indeed</t>
        </is>
      </c>
      <c r="E86">
        <f>HYPERLINK("https://www.indeed.com/viewjob?jk=8a435b532b96ee56", "https://www.indeed.com/viewjob?jk=8a435b532b96ee56")</f>
        <v/>
      </c>
      <c r="F86">
        <f>HYPERLINK("https://breakthru.wd5.myworkdayjobs.com/BBG-Canada/job/Linthicum-MD-USA/Director--Data-Engineering---Architecture_R0040517-1", "https://breakthru.wd5.myworkdayjobs.com/BBG-Canada/job/Linthicum-MD-USA/Director--Data-Engineering---Architecture_R0040517-1")</f>
        <v/>
      </c>
      <c r="G86" t="inlineStr">
        <is>
          <t>Cicero, IL, US</t>
        </is>
      </c>
      <c r="H86" s="3" t="n">
        <v>46029</v>
      </c>
      <c r="I86" t="inlineStr">
        <is>
          <t>**Time Type:**
Full time**Remote Type:**
**Job Family Group:**
Information Technology**Job Description Summary:**
Breakthru Beverage Group (BBG) is in the midst of a major enterprise transformation to modernize our data foundations, simplify our technology landscape, and enable AI\-driven decision\-making across the business. A core pillar of this transformation is the development of a modern, scalable Snowflake data platform on AWS \- the backbone for enterprise reporting, data products, and advanced analytics.  
We are seeking a strategic, hands\-on engineering and architecture leader to build and evolve BBG’s enterprise data platform and establish our long\-term data architecture standards. This leader will define the blueprint for how data is ingested, modeled, governed, and consumed \- while also being unafraid to dive into code, solve complex engineering challenges, and set engineering excellence across the organization.  
The Director of Data Engineering \&amp; Architecture will lead the teams and capabilities responsible for building BBG’s Snowflake modern data platform and defining the enterprise\-wide data architecture required for operational reporting, business insights, and AI products. This role sits at the intersection of strategy, architecture, and hands\-on engineering. You will define and enforce architectural patterns, build reusable data products, drive modernization away from legacy systems, and ensure the platform is AI\-ready and scalable to support BBG’s multi\-year transformation agenda.**Job Description:**
**This role follows a flexible hybrid schedule, with two days per week in the office and three days working from home. This role can be performed from any US Breakthru Beverage Office Location, or the Toronto, Canada office.**
**Job Responsibilities:**
* **Build \&amp; Lead High\-Performing Teams**
	+ Build, hire, and lead a high\-performing team of data engineers and architects, setting clear expectations, standards, and accountability.
	+ Coach, mentor, and develop team members through hands\-on technical leadership, fostering a culture of excellence, ownership, and continuous improvement.
* **Lead Data Engineering \&amp; Platform Build**
	+ Build, lead, and mature BBG’s Data Engineering function responsible for the Snowflake data platform, ingestion pipelines, data transformations, and reusable enterprise data assets.
	+ Develop and enforce modern engineering standards \- CI/CD, dbt, Terraform, orchestration, testing, observability \- to drive reliability, automation, and consistency.
	+ Engineer the platform for AI readiness and developer productivity, designing scalable, AI\-ready data foundations while leveraging AI\-assisted development to accelerate delivery, improve code quality, and enhance the day\-to\-day engineer experience across the Data \&amp; AI organization.
* **Own Enterprise Data Architecture**
	+ Define the enterprise data architecture roadmap across ingestion patterns, canonical modeling, data products, MDM alignment, semantic layers, and AI\-ready structures.
	+ Establish standards for data modeling, metadata, lineage, data contracts, data quality, and architectural governance across the organization.
	+ Own enterprise data architecture decisions and tooling strategy, leading evaluation, selection, and governance of data platforms and tools to ensure they align with BBG’s target architecture, security standards, scalability requirements, and long\-term roadmap.
* **Be Hands\-On when Needed**
	+ Act as a hands\-on technical leader, setting the engineering bar through direct involvement in complex technical challenges and critical architectural decisions.
	+ Write, review, and approve production\-grade code (SQL, Python, dbt, Terraform), ensuring high standards for quality, performance, security, and maintainability.
	+ Lead code reviews and design reviews, providing constructive feedback, enforcing best practices, and ensuring alignment with BBG’s architectural standards.
* **Partner Across the Business**
	+ Work closely with BBG’s business functions to translate their needs into scalable data architecture and engineering deliverables.
	+ Collaborate with SAP, AWS, and Snowflake partners to ensure alignment with BBG’s modernization and investment roadmap.
	+ Communicate architectural decisions clearly to both technical and non\-technical stakeholders, influencing direction and securing alignment.
* Other duties, as assigned by the jobholder’s supervisor, may also be required
**Qualifications:**
* 10\+ years of experience in data engineering, data architecture, or software engineering, with 4\+ years in an engineering or architecture leadership role.
* Deep experience architecting and operating modern cloud data platforms \- ideally Snowflake on AWS \- including storage design, compute optimization, performance tuning, and cost governance.
* Hands\-on expertise with SQL, Python, data modeling, ELT pipelines, dbt, orchestration frameworks (Airflow/MWAA), and DevOps tooling such as GitLab CI/CD.
* Strong experience designing enterprise\-wide data architecture, including canonical models, domain\-driven data products, semantic layers, and MDM integrations.
* Familiarity with SAP ECC/S/4 data structures and integration approaches (ODP, IDocs, APIs) is a plus.
* Demonstrated ability to define architectural standards, influence engineering teams, and drive alignment across IT, business partners, and external vendors.
* Experience enabling AI/ML use cases through well\-designed data pipelines, feature stores, vector\-enabled data sets, or integration with AWS (SageMaker, Bedrock) or Snowflake (Cortex) AI services.
* A strong mix of strategic thinking and hands\-on execution \- able to see the big picture, define the long\-term architecture, and also dive into code when necessary.
* Excellent communication skills with the ability to guide decisions, simplify complexity, and represent data engineering and architecture at all levels of the organization.
**Physical Requirements:**
* While performing the duties of this job, the employee is required to remain in a stationary position at times; communicate, and operate a computer and telephone.
**Competencies:**
* Ability to develop complex, multi\-project communication plans that understand IT goals, priorities, and resource constraints.
* Anticipates significant problems and efficiently resolves most with minimal input; develops creative, feasible solutions to advanced problems, effectively advocates for adoption of proposed solutions and develops process for them.
* Be decisive, a strategic planner, manage multiple tasks and deadlines, have excellent problem\-solving skills, have strong business and budgeting acumen, and display calmness and composure under stress or uncertainty, inspiring the same in direct reports.
*This job description is only a summary of the typical functions of this position, not an exhaustive or comprehensive list of all possible job responsibilities, tasks and duties. Responsibilities, tasks, and duties of individual jobholders may vary from the above description.*
***Salary and Benefit Statement:***
Any offered salary is determined based on internal equity, internal salary ranges, market data/ranges, applicant’s skills and prior relevant experience.
* Salary/Rate Range: $168,000\.00 \- $ 200,000\.00 USD
* This position is eligible to participate in a bonus program. Metrics and level of participation are determined annually.
* This position is eligible for health care benefits, life insurance, time off benefits and participation in the Company’s 401(k) plan
* 
Breakthru Beverage Group is an equal opportunity employer. We evaluate qualified applicants without regard to race, color, religion, sex, sexual orientation, gender identity, national origin, disability, veteran status, genetic information and other legally protected characteristics. The EEO is the Law poster is available here. If you need a reasonable accommodation because of a disability for any part of the employment process, please call (708\) 298\-3536 and let us know the nature of your request and your contact information.</t>
        </is>
      </c>
    </row>
    <row r="87">
      <c r="A87" t="inlineStr">
        <is>
          <t>in-7f64405b8f0d4fef</t>
        </is>
      </c>
      <c r="B87" t="inlineStr">
        <is>
          <t>Director, Data Engineering &amp; Architecture</t>
        </is>
      </c>
      <c r="C87" t="inlineStr">
        <is>
          <t>Breakthru Beverage Group</t>
        </is>
      </c>
      <c r="D87" t="inlineStr">
        <is>
          <t>indeed</t>
        </is>
      </c>
      <c r="E87">
        <f>HYPERLINK("https://www.indeed.com/viewjob?jk=7f64405b8f0d4fef", "https://www.indeed.com/viewjob?jk=7f64405b8f0d4fef")</f>
        <v/>
      </c>
      <c r="F87">
        <f>HYPERLINK("https://breakthru.wd5.myworkdayjobs.com/BBG-Canada/job/Linthicum-MD-USA/Director--Data-Engineering---Architecture_R0040517-1", "https://breakthru.wd5.myworkdayjobs.com/BBG-Canada/job/Linthicum-MD-USA/Director--Data-Engineering---Architecture_R0040517-1")</f>
        <v/>
      </c>
      <c r="G87" t="inlineStr">
        <is>
          <t>Denver, CO, US</t>
        </is>
      </c>
      <c r="H87" s="3" t="n">
        <v>46029</v>
      </c>
      <c r="I87" t="inlineStr">
        <is>
          <t>**Time Type:**
Full time**Remote Type:**
**Job Family Group:**
Information Technology**Job Description Summary:**
Breakthru Beverage Group (BBG) is in the midst of a major enterprise transformation to modernize our data foundations, simplify our technology landscape, and enable AI\-driven decision\-making across the business. A core pillar of this transformation is the development of a modern, scalable Snowflake data platform on AWS \- the backbone for enterprise reporting, data products, and advanced analytics.  
We are seeking a strategic, hands\-on engineering and architecture leader to build and evolve BBG’s enterprise data platform and establish our long\-term data architecture standards. This leader will define the blueprint for how data is ingested, modeled, governed, and consumed \- while also being unafraid to dive into code, solve complex engineering challenges, and set engineering excellence across the organization.  
The Director of Data Engineering \&amp; Architecture will lead the teams and capabilities responsible for building BBG’s Snowflake modern data platform and defining the enterprise\-wide data architecture required for operational reporting, business insights, and AI products. This role sits at the intersection of strategy, architecture, and hands\-on engineering. You will define and enforce architectural patterns, build reusable data products, drive modernization away from legacy systems, and ensure the platform is AI\-ready and scalable to support BBG’s multi\-year transformation agenda.**Job Description:**
**This role follows a flexible hybrid schedule, with two days per week in the office and three days working from home. This role can be performed from any US Breakthru Beverage Office Location, or the Toronto, Canada office.**
**Job Responsibilities:**
* **Build \&amp; Lead High\-Performing Teams**
	+ Build, hire, and lead a high\-performing team of data engineers and architects, setting clear expectations, standards, and accountability.
	+ Coach, mentor, and develop team members through hands\-on technical leadership, fostering a culture of excellence, ownership, and continuous improvement.
* **Lead Data Engineering \&amp; Platform Build**
	+ Build, lead, and mature BBG’s Data Engineering function responsible for the Snowflake data platform, ingestion pipelines, data transformations, and reusable enterprise data assets.
	+ Develop and enforce modern engineering standards \- CI/CD, dbt, Terraform, orchestration, testing, observability \- to drive reliability, automation, and consistency.
	+ Engineer the platform for AI readiness and developer productivity, designing scalable, AI\-ready data foundations while leveraging AI\-assisted development to accelerate delivery, improve code quality, and enhance the day\-to\-day engineer experience across the Data \&amp; AI organization.
* **Own Enterprise Data Architecture**
	+ Define the enterprise data architecture roadmap across ingestion patterns, canonical modeling, data products, MDM alignment, semantic layers, and AI\-ready structures.
	+ Establish standards for data modeling, metadata, lineage, data contracts, data quality, and architectural governance across the organization.
	+ Own enterprise data architecture decisions and tooling strategy, leading evaluation, selection, and governance of data platforms and tools to ensure they align with BBG’s target architecture, security standards, scalability requirements, and long\-term roadmap.
* **Be Hands\-On when Needed**
	+ Act as a hands\-on technical leader, setting the engineering bar through direct involvement in complex technical challenges and critical architectural decisions.
	+ Write, review, and approve production\-grade code (SQL, Python, dbt, Terraform), ensuring high standards for quality, performance, security, and maintainability.
	+ Lead code reviews and design reviews, providing constructive feedback, enforcing best practices, and ensuring alignment with BBG’s architectural standards.
* **Partner Across the Business**
	+ Work closely with BBG’s business functions to translate their needs into scalable data architecture and engineering deliverables.
	+ Collaborate with SAP, AWS, and Snowflake partners to ensure alignment with BBG’s modernization and investment roadmap.
	+ Communicate architectural decisions clearly to both technical and non\-technical stakeholders, influencing direction and securing alignment.
* Other duties, as assigned by the jobholder’s supervisor, may also be required
**Qualifications:**
* 10\+ years of experience in data engineering, data architecture, or software engineering, with 4\+ years in an engineering or architecture leadership role.
* Deep experience architecting and operating modern cloud data platforms \- ideally Snowflake on AWS \- including storage design, compute optimization, performance tuning, and cost governance.
* Hands\-on expertise with SQL, Python, data modeling, ELT pipelines, dbt, orchestration frameworks (Airflow/MWAA), and DevOps tooling such as GitLab CI/CD.
* Strong experience designing enterprise\-wide data architecture, including canonical models, domain\-driven data products, semantic layers, and MDM integrations.
* Familiarity with SAP ECC/S/4 data structures and integration approaches (ODP, IDocs, APIs) is a plus.
* Demonstrated ability to define architectural standards, influence engineering teams, and drive alignment across IT, business partners, and external vendors.
* Experience enabling AI/ML use cases through well\-designed data pipelines, feature stores, vector\-enabled data sets, or integration with AWS (SageMaker, Bedrock) or Snowflake (Cortex) AI services.
* A strong mix of strategic thinking and hands\-on execution \- able to see the big picture, define the long\-term architecture, and also dive into code when necessary.
* Excellent communication skills with the ability to guide decisions, simplify complexity, and represent data engineering and architecture at all levels of the organization.
**Physical Requirements:**
* While performing the duties of this job, the employee is required to remain in a stationary position at times; communicate, and operate a computer and telephone.
**Competencies:**
* Ability to develop complex, multi\-project communication plans that understand IT goals, priorities, and resource constraints.
* Anticipates significant problems and efficiently resolves most with minimal input; develops creative, feasible solutions to advanced problems, effectively advocates for adoption of proposed solutions and develops process for them.
* Be decisive, a strategic planner, manage multiple tasks and deadlines, have excellent problem\-solving skills, have strong business and budgeting acumen, and display calmness and composure under stress or uncertainty, inspiring the same in direct reports.
*This job description is only a summary of the typical functions of this position, not an exhaustive or comprehensive list of all possible job responsibilities, tasks and duties. Responsibilities, tasks, and duties of individual jobholders may vary from the above description.*
***Salary and Benefit Statement:***
Any offered salary is determined based on internal equity, internal salary ranges, market data/ranges, applicant’s skills and prior relevant experience.
* Salary/Rate Range: $168,000\.00 \- $ 200,000\.00 USD
* This position is eligible to participate in a bonus program. Metrics and level of participation are determined annually.
* This position is eligible for health care benefits, life insurance, time off benefits and participation in the Company’s 401(k) plan
* 
Breakthru Beverage Group is an equal opportunity employer. We evaluate qualified applicants without regard to race, color, religion, sex, sexual orientation, gender identity, national origin, disability, veteran status, genetic information and other legally protected characteristics. The EEO is the Law poster is available here. If you need a reasonable accommodation because of a disability for any part of the employment process, please call (708\) 298\-3536 and let us know the nature of your request and your contact information.</t>
        </is>
      </c>
    </row>
    <row r="88">
      <c r="A88" t="inlineStr">
        <is>
          <t>in-09852715fa3cf25b</t>
        </is>
      </c>
      <c r="B88" t="inlineStr">
        <is>
          <t>ETL/Informatica Data Engineer</t>
        </is>
      </c>
      <c r="C88" t="inlineStr"/>
      <c r="D88" t="inlineStr">
        <is>
          <t>indeed</t>
        </is>
      </c>
      <c r="E88">
        <f>HYPERLINK("https://www.indeed.com/viewjob?jk=09852715fa3cf25b", "https://www.indeed.com/viewjob?jk=09852715fa3cf25b")</f>
        <v/>
      </c>
      <c r="F88">
        <f>HYPERLINK("https://roboticstechno.com/view_job?mode=apply&amp;id=36361&amp;hr_id=", "https://roboticstechno.com/view_job?mode=apply&amp;id=36361&amp;hr_id=")</f>
        <v/>
      </c>
      <c r="G88" t="inlineStr">
        <is>
          <t>Dallas, TX, US</t>
        </is>
      </c>
      <c r="H88" s="3" t="n">
        <v>46029</v>
      </c>
      <c r="I88" t="inlineStr">
        <is>
          <t>* Job ID:
J52761
* Job Title:
ETL/Informatica Data Engineer
* Location:
Dallas, TX
* Duration:
24 Months \+ Extension
* Hourly Rate:
Depending on Experience (DOE)
* Work Authorization:
US Citizen, Green Card, OPT\-EAD, CPT, H\-1B,  
H4\-EAD, L2\-EAD, GC\-EAD
* Client:
To Be Discussed Later
* Employment Type:
W\-2, 1099, C2C
**Job Details**
---------------
Roles and Responsibilities:
* Provide data from various bank applications for use by analysts, modelers, etc.
* Analysis and validation of data
* Testing and implementing new data sources
Must Have Technical Skills:
* ETL
* SQL
Flex Skills/Nice to Have: Spark  
Soft Skills:
* Collaboration
* Data Driven
* Problem Solver
**Equal Opportunity Employer**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t>
        </is>
      </c>
    </row>
    <row r="89">
      <c r="A89" t="inlineStr">
        <is>
          <t>in-5d99d73a155ed5fe</t>
        </is>
      </c>
      <c r="B89" t="inlineStr">
        <is>
          <t>Data Analytics Engineer III</t>
        </is>
      </c>
      <c r="C89" t="inlineStr">
        <is>
          <t>GCI</t>
        </is>
      </c>
      <c r="D89" t="inlineStr">
        <is>
          <t>indeed</t>
        </is>
      </c>
      <c r="E89">
        <f>HYPERLINK("https://www.indeed.com/viewjob?jk=5d99d73a155ed5fe", "https://www.indeed.com/viewjob?jk=5d99d73a155ed5fe")</f>
        <v/>
      </c>
      <c r="F89">
        <f>HYPERLINK("https://edqv.fa.us2.oraclecloud.com/hcmUI/CandidateExperience/en/sites/CX/job/21003310/", "https://edqv.fa.us2.oraclecloud.com/hcmUI/CandidateExperience/en/sites/CX/job/21003310/")</f>
        <v/>
      </c>
      <c r="G89" t="inlineStr">
        <is>
          <t>US</t>
        </is>
      </c>
      <c r="H89" s="3" t="n">
        <v>46029</v>
      </c>
      <c r="I89" t="inlineStr">
        <is>
          <t>GCI's Data Analytics Engineer III will be responsible for designing, developing, and maintaining interactive dashboards and reports that support data driven decision making within the organization. This hybrid role combines the functions of data engineering and analytics engineering, enabling the organization to leverage large\-scale data for actionable business insights. Position will collaborate with cross\-functional teams to ensure the quality, efficiency, and scalability of data while providing advanced analytics solutions to enhance network performance, customer experience, and operational efficiency.
**ESSENTIAL DUTIES AND RESPONSIBILITIES AT ALL LEVELS:**  
**Analytics Engineering:**
* Develop and implement data models, algorithms, and analytical solutions to derive insights from large datasets, including network performance analysis, customer behavior modeling, churn prediction, and operational optimization.
* Implement AI driven workflows against data within analytical projects. Create automated reporting and visualization tools (e.g., dashboards, KPI reports) to communicate insights to stakeholders and drive data\-informed decision\-making.
Collaborate with business units to understand analytical needs and translate them into actionable data solutions.  
* 
**Data Engineering:**
* Design, develop, and maintain robust data pipelines that efficiently collect, process, and transform data from various telecommunications sources (e.g., network performance, customer usage data, call data records, billing systems).
* Implement and manage ETL (Extract, Transform, Load) processes to ensure seamless integration of data from multiple systems into a centralized data warehouse or data lake.
* Ensure data quality and integrity by identifying, resolving, and preventing data discrepancies and errors.
Optimize and streamline data storage and retrieval processes to support real\-time and batch data analysis needs.  
* 
**Cross\-Functional Collaboration:**
* Work closely with data scientists, business analysts, and IT teams to design and implement visualizations that provide meaningful insights.
Provide technical guidance and support to junior team members and other departments in data\-related initiatives.  
* 
**Continuous Improvement \&amp; Innovation:**
* Stay up to date with the latest trends and technologies in data engineering, analytics, and telecommunications.
* Identify opportunities to improve existing data systems, pipelines, and analytics models to drive greater efficiency and business impact.
* Contribute to the development and adoption of new data technologies, methodologies, and best practices within the organization.
**COMPETENCIES:**  
* ACCOUNTABILITY\- Takes ownership for actions, decisions, and results; openly accepts feedback and demonstrates a willingness to improve.
	+ Take ownership and accountability of problems and facilitate finding a solution, involving other groups as necessary.
	+ Own and manage priorities and individual tasks without direct supervision.
	+ Take the initiative and seek out opportunities. Assess and accept risks and learn from mistakes.
* BASIC PRINCIPLES \- Interacts with people in a way that builds mutual trust, confidence, and respect; adheres to GCI’s Code of Conduct for Employees – the Basic Principles.
	+ Lead by example on all fronts.
	+ Guide development teams in a manner that creates success and allows for future self\-sufficiency.
* Foster innovation and promote teamwork.
* COLLABORATION \- Works effectively with others to accomplish common goals and objectives; maintains positive relationships even under difficult circumstances.
	+ Build and maintain effective working relationships with leadership, peers, customers, and vendors. Work to resolve problem relationships directly.
* COMMUNICATION\- Conveys thoughts and expresses ideas appropriately and professionally.
	+ Build and maintain effective working relationships with leadership, peers, customers, and vendors.
	+ Work to resolve problem relationships directly.
	+ Create clear and concise written documentation for a variety of audiences, including developers, business analysts and business users.
* COMPLIANCE \- Follows internal controls; protects company and customer confidential information; abides by GCI’s Code of Business Conduct \&amp; Ethics.
* Reviews modules for quality assurance.
* CUSTOMER FOCUS \- Demonstrates commitment to service excellence; gives high priority to customer satisfaction.
	+ Provide a professional level of service to both external and internal customers.
* RELIABILITY \- Consistently follows through on assigned tasks as expected; demonstrates timely attendance at meetings, training, and other work obligations.
* RESULTS \- Uses a combination of knowledge, initiative, sound decision making, innovation, adaptability, and problem solving.
* SAFETY \&amp; SECURITY \- Supports a safe work environment by following all workplace safety rules and guidelines; complies with applicable Security policies and procedures.
* TECHNICAL COMPETENCIES \-
	+ MS Office knowledge (e.g., Outlook, Teams, Word, Excel). Ability to Design, Evaluate, and test data infrastructure.
	+ Proficiency in SQL, Python, and R for data manipulation and analytics.
	+ Experience with big data technologies (e.g., Spark, Databricks) and cloud platforms (AWS, Azure, Google Cloud).
Proficient with data visualization tools (e.g., Tableau, Power BI).
* Knowledge of machine learning algorithms and statistical analysis techniques.
Familiarity with telecommunications systems and related data types (e.g., network performance metrics, call data records).  
* 
**Additional Job Requirements:**
Requires the ability to perform highly complex and diverse duties under deadlines and constraints. Functions using software engineering principles. Under minimal direction works on more complex projects and processes and a has strong command of scripting languages with the ability to solve complex coding problems. This position is expected to serve as a mentor for junior data engineers and BI analytics team members.
* Oversee the end\-to\-end analytics lifecycle including data modeling, data preparation and report development. Integrate and manage big data technologies (e.g., Databricks, Spark, Kafka) for real\-time data processing and analytics.
* Implement AI driven workflows against data within analytical projects. Build and maintain dashboards and report solutions to monitor network performance, customer behavior, and service quality.
* Guide and mentor junior team members on data engineering best practices, tools, and techniques.
* Work closely with other technical teams (e.g., network engineers, software engineers) to understand business requirements and translate them into data solutions.
**Additional Competencies:**
* Expertise in SQL, Python, and big data technologies (e.g., Databricks, Spark).
* Strong background in statistics, machine learning, and data analytics, with the ability to apply these skills in a telecommunications context.
* Experience with cloud platforms (e.g., AWS, Azure, GCP) and data storage solutions (e.g., SQL, NoSQL databases).
* Proven ability to lead projects and manage complex data analytics initiatives.
* Experience with ETL processes, data pipeline design, and data warehousing.
* Strong understanding of telecommunications data, network architecture, and key performance metrics.
* Experience with spatial data analysis, map creation and geographic data visualization.
**Minimum Qualifications:**
**Required:** \* *A combination of relevant work experience and/or education sufficient to perform the duties of the job may substitute to meet the total years required on a year\-for\-year basis*
* High School diploma or equivalent.
* Bachelor’s degree in Computer Science, Software/Computer Engineering, or relevant field.\*
* Minimum of six (6\) years’ experience in data engineering, analytics engineering, or a related role in the telecommunications industry. \*
**Preferred:**
* Experience with real\-time data processing and streaming technologies (e.g., Kafka, Apache Flink).
* Advanced degree (Master’s or PhD) in Data Science, Machine Learning, or a related field.
* Familiarity with network optimization, customer experience analysis, or predictive analytics in telecommunications.
Other telecom industry or job specific certifications.  
* 
**DRIVING REQUIREMENTS** :
This position may require access to reliable transportation for occasional travel, such as between retail store locations, offices, worksites, or other locations as needed.  
**PHYSICAL REQUIREMENTS and WORKING CONDITIONS:**  
* Work is primarily sedentary, requiring daily routine computer usage.
* Ability to work shifts as assigned, work in standard office/home office setting, and operate standard office equipment.
* Ability to accurately communicate information and ideas to others effectively.
* Physical agility and effort sufficiently to perform job duties safely and effectively.
* Ability to make valid judgments and decisions.
* Available to work additional time on weekends, holidays, before or after normal work hours when necessary.
* Must work well in a team environment and be able to work with a diverse group of people and customers.
* Virtual workers must comply with remote work policies and agreements.
The company and its subsidiaries operate in a 24/7 environment providing critical services to Alaskans and may need to respond to public health and safety matters or other business emergencies. Due to business needs employees may be contacted outside of the core business hours to respond to an immediate emergency. As such, you will be requested to provide emergency after hours contact numbers, to include your home and cell phone numbers if you have those services.
**Culture, Engagement, and Connection:** At GCI, we foster an environment where the unique perspectives of our employees, customers, and fellow Alaskans are celebrated. We add value to our community by nurturing and empowering each member of our workforce, ensuring equal opportunities for every Trailblazer.
**EEO:** GCI is an equal opportunity employer. Qualified applicants are considered for employment without regard to race, color, religion, national origin, age, sex, sexual orientation, gender identity, marital status, mental or physical disability, veteran status, or any other status or classification protected under applicable state or federal law.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*All employees of GCI work in support of the GCI Mission Statement and Declaration of Principles which are located on the GCI Career page and Employee portal.*</t>
        </is>
      </c>
    </row>
    <row r="90">
      <c r="A90" t="inlineStr">
        <is>
          <t>in-bd2b2a968a9797c5</t>
        </is>
      </c>
      <c r="B90" t="inlineStr">
        <is>
          <t>Full Stack Data Engineer</t>
        </is>
      </c>
      <c r="C90" t="inlineStr">
        <is>
          <t>Ford Motor Company</t>
        </is>
      </c>
      <c r="D90" t="inlineStr">
        <is>
          <t>indeed</t>
        </is>
      </c>
      <c r="E90">
        <f>HYPERLINK("https://www.indeed.com/viewjob?jk=bd2b2a968a9797c5", "https://www.indeed.com/viewjob?jk=bd2b2a968a9797c5")</f>
        <v/>
      </c>
      <c r="F90">
        <f>HYPERLINK("https://efds.fa.em5.oraclecloud.com/hcmUI/CandidateExperience/en/sites/CX_1/requisitions/preview/56242", "https://efds.fa.em5.oraclecloud.com/hcmUI/CandidateExperience/en/sites/CX_1/requisitions/preview/56242")</f>
        <v/>
      </c>
      <c r="G90" t="inlineStr">
        <is>
          <t>Dearborn, MI, US</t>
        </is>
      </c>
      <c r="H90" s="3" t="n">
        <v>46029</v>
      </c>
      <c r="I90" t="inlineStr">
        <is>
          <t>We're seeking a highly skilled and experienced Full Stack Data Engineer to play a pivotal role in the development and maintenance of our Enterprise Data Platform. In this role, you'll be responsible for designing, building, and optimizing scalable data pipelines within our Google Cloud Platform (GCP) environment. You'll work with GCP Native technologies like BigQuery, Dataflow, and Pub/Sub, ensuring data governance, security, and optimal performance. This is a fantastic opportunity to leverage your full\-stack expertise, collaborate with talented teams, and establish best practices for data engineering at Ford.
**Qualifications:**
* Bachelor's degree in Computer Science, Information Technology, Information Systems, Data Analytics, or a related field (or equivalent combination of education and experience).
* 5\-7 years of experience in Data Engineering or Software Engineering, with at least 2 years of hands\-on experience building and deploying cloud\-based data platforms (GCP preferred).
* Strong proficiency in SQL, Java, and Python, with practical experience in designing and deploying cloud\-based data pipelines using GCP services like BigQuery, Dataflow, and DataProc.
* Solid understanding of Service\-Oriented Architecture (SOA) and microservices, and their application within a cloud data platform.
* Experience with relational databases (e.g., PostgreSQL, MySQL), NoSQL databases, and columnar databases (e.g., BigQuery).
* Knowledge of data governance frameworks, data encryption, and data masking techniques in cloud environments.
* Familiarity with CI/CD pipelines, Infrastructure as Code (IaC) tools like Terraform and Tekton, and other automation frameworks.
* Excellent analytical and problem\-solving skills, with the ability to troubleshoot complex data platform and microservices issues.
* Experience in monitoring and optimizing cost and compute resources for processes in GCP technologies (e.g., BigQuery, Dataflow, Cloud Run, DataProc).
A passion for data, innovation, and continuous learning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7\.
For more information on salary and benefits, click here: https://fordcareers.co/GSRSP2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in commuting distance to a Ford hub location or remote for non\-local candidates. \#LI\-Hybrid
\#LI\-GR1
**What You'll Do?****Data Pipeline Architect \&amp; Builder:** Spearhead the design, development, and maintenance of scalable data ingestion and curation pipelines from diverse sources. Ensure data is standardized, high\-quality, and optimized for analytical use. Leverage cutting\-edge tools and technologies, including Python, SQL, and DBT/Dataform, to build robust and efficient data pipelines.  
**End\-to\-End Integration Expert:** Utilize your full\-stack skills to contribute to seamless end\-to\-end development, ensuring smooth and reliable data flow from source to insight.  
**GCP Data Solutions Leader** : Leverage your deep expertise in GCP services (BigQuery, Dataflow, Pub/Sub, Cloud Functions, etc.) to build and manage data platforms that not only meet but exceed business needs and expectations.  
**Data Governance \&amp; Security Champion** : Implement and manage robust data governance policies, access controls, and security best practices, fully utilizing GCP's native security features to protect sensitive data.  
**Data Workflow Orchestrator** : Employ Astronomer and Terraform for efficient data workflow management and cloud infrastructure provisioning, championing best practices in Infrastructure as Code (IaC).  
**Performance Optimization Driver** : Continuously monitor and improve the performance, scalability, and efficiency of data pipelines and storage solutions, ensuring optimal resource utilization and cost\-effectiveness.  
**Collaborative Innovator** : Collaborate effectively with data architects, application architects, service owners, and cross\-functional teams to define and promote best practices, design patterns, and frameworks for cloud data engineering.  
**Automation \&amp; Reliability Advocate** : Proactively automate data platform processes to enhance reliability, improve data quality, minimize manual intervention, and drive operational efficiency.  
**Effective Communicator** : Clearly and transparently communicate complex technical decisions to both technical and non\-technical stakeholders, fostering understanding and alignment.  
**Continuous Learner** : Stay ahead of the curve by continuously learning about industry trends and emerging technologies, proactively identifying opportunities to improve our data platform and enhance our capabilities.  
**Business Impact Translator** : Translate complex business requirements into optimized data asset designs and efficient code, ensuring that our data solutions directly contribute to business goals.  
**Documentation \&amp; Knowledge Sharer** : Develop comprehensive documentation for data engineering processes, promoting knowledge sharing, facilitating collaboration, and ensuring long\-term system maintainability.</t>
        </is>
      </c>
    </row>
    <row r="91">
      <c r="A91" t="inlineStr">
        <is>
          <t>in-8f7e55f806d73ac1</t>
        </is>
      </c>
      <c r="B91" t="inlineStr">
        <is>
          <t>Manager, Media Data Engineering - US</t>
        </is>
      </c>
      <c r="C91" t="inlineStr">
        <is>
          <t>Unilever</t>
        </is>
      </c>
      <c r="D91" t="inlineStr">
        <is>
          <t>indeed</t>
        </is>
      </c>
      <c r="E91">
        <f>HYPERLINK("https://www.indeed.com/viewjob?jk=8f7e55f806d73ac1", "https://www.indeed.com/viewjob?jk=8f7e55f806d73ac1")</f>
        <v/>
      </c>
      <c r="F91">
        <f>HYPERLINK("https://careers.unilever.com/job/-/-/34155/90391837520", "https://careers.unilever.com/job/-/-/34155/90391837520")</f>
        <v/>
      </c>
      <c r="G91" t="inlineStr">
        <is>
          <t>Hoboken, NJ, US</t>
        </is>
      </c>
      <c r="H91" s="3" t="n">
        <v>46029</v>
      </c>
      <c r="I91" t="inlineStr">
        <is>
          <t>**JOB PURPOSE**
Lead the design, implementation, and optimization of data engineering solutions that power media measurement, analytics, and reporting. Partner with commercial, analytics, and technology teams to deliver scalable, high\-quality data products that enable data\-driven decision\-making across media and marketing. You’ll be part of a team that believes in doing work that matters — for people and the planet.
Because here, we don’t just hire for jobs. We invite you to be part of something bigger.
 **KEY RESPONSIBILITIES**
* Lead the design and operation of media data pipelines, data lakes, and integration with cloud platforms (Azure, AWS, GCP).
* Translate business and analytics requirements into robust, automated data solutions for media performance, campaign reporting, and advanced analytics.
* Oversee the design, buildout, and ongoing maintenance of dashboards and data visualization tools to ensure stakeholders have timely, actionable insights.
* Establish and maintain the semantic layer and data modeling framework for media data, ensuring consistency and self\-service analytics.
* Build and operationalize advanced analytic models (e.g., media mix modeling, attribution, audience segmentation) in partnership with analytics teams.
* Oversee data quality, governance, and security for all media data assets.
* Lead and mentor a team of data engineers, fostering a culture of innovation and continuous improvement.
* Stay current on emerging technologies, tools, and best practices in media data engineering.
* Collaborate with internal and external partners to expand data capabilities and support business growth.
* Works with Performance Analytics (for dashboard requirements and data delivery) and Advanced Analytics (for model integration). Does not own insight generation or business recommendations.
**REQUIRED QUALIFICATIONS**
* 6\+ years of experience in data engineering or related field.
* Advanced proficiency with cloud data platforms (Azure, AWS, GCP), Databricks, SQL, Python, PySpark, and data pipeline orchestration.
* Experience designing and managing large\-scale data lakes and ETL/ELT processes.
* Proven experience in dashboard development and maintenance (Power BI, Tableau, or similar).
* Demonstrated leadership of technical teams and cross\-functional projects.
* Excellent communication and stakeholder management skills.
* Bachelor’s degree in Computer Science, Data Engineering, or related field.
**PREFERRED QUALIFICATIONS**
* Experience with media or marketing data sources (e.g., ad servers, DSPs, social platforms).
* Experience integrating media data with analytics/reporting tools.
* Master’s degree in a relevant field.
* Experience in consumer goods or media/advertising industry.
**Pay:** The pay range for this position is $115,680 to $173,520\. Unilever takes into consideration a wide range of factors that are utilized in making compensation decisions including, but not limited to, skill sets, experience and training, licensure and certifications, qualifications and education, and other business and organizational needs.
**Bonus:** This position is bonus eligible.
**Long\-Term Incentive (LTI)**: This position is LTI eligible.
**Benefits:** Unilever employees are eligible to participate in our benefits plan. Should the employee choose to participate, they can choose from a range of benefits to include, but is not limited to, health insurance (including prescription drug, dental, and vision coverage), retirement savings benefits, life insurance and disability benefits, parental leave, sick leave, paid vacation and holidays, as well as access to numerous voluntary benefits. Any coverages for health insurance and retirement benefits will be in accordance with the terms and conditions of the applicable plans and associated governing plan documents.
\-
**At Unilever, inclusion is at the heart of everything we do**. We welcome applicants from all walks of life and are committed to creating an environment where everyone can thrive/succeed. All applicants will receive fair and respectful consideration, and we actively support the growth and development of every employee.  
**Unilever is an Equal Opportunity Employer/Protected Veterans/Persons with Disabilities.**  
For more information on your federal rights, please see Know Your Rights: Workplace Discrimination is Illegal
Employment is subject to verification of pre\-screening tests, which may include drug screening, background check, credit check and DMV check.
If you are an individual with a disability in need of assistance at any time during our recruitment process, please contact us at NA.Accommodations@unilever.com. Please note: This email is reserved for individuals with disabilities in need of assistance and is not a means of inquiry about positions or application statuses. The Protected Veterans or Individuals with Disabilities AAP narratives are available for inspection by any employee or applicant for employment Monday through Friday during normal business hours at establishment.</t>
        </is>
      </c>
    </row>
    <row r="92">
      <c r="A92" t="inlineStr">
        <is>
          <t>in-c6d5f1bb00c1ecae</t>
        </is>
      </c>
      <c r="B92" t="inlineStr">
        <is>
          <t>Data Engineer</t>
        </is>
      </c>
      <c r="C92" t="inlineStr">
        <is>
          <t>Fisher Investments</t>
        </is>
      </c>
      <c r="D92" t="inlineStr">
        <is>
          <t>indeed</t>
        </is>
      </c>
      <c r="E92">
        <f>HYPERLINK("https://www.indeed.com/viewjob?jk=c6d5f1bb00c1ecae", "https://www.indeed.com/viewjob?jk=c6d5f1bb00c1ecae")</f>
        <v/>
      </c>
      <c r="F92">
        <f>HYPERLINK("https://jobs-fishercareers.icims.com/jobs/16704/job?utm_source=indeed_integration&amp;iis=Job%20Board&amp;iisn=Indeed&amp;indeed-apply-token=73a2d2b2a8d6d5c0a62696875eaebd669103652d3f0c2cd5445d3e66b1592b0f", "https://jobs-fishercareers.icims.com/jobs/16704/job?utm_source=indeed_integration&amp;iis=Job%20Board&amp;iisn=Indeed&amp;indeed-apply-token=73a2d2b2a8d6d5c0a62696875eaebd669103652d3f0c2cd5445d3e66b1592b0f")</f>
        <v/>
      </c>
      <c r="G92" t="inlineStr">
        <is>
          <t>Plano, TX, US</t>
        </is>
      </c>
      <c r="H92" s="3" t="n">
        <v>46029</v>
      </c>
      <c r="I92" t="inlineStr">
        <is>
          <t>Overview:
It's an exciting time to be a member of the Fisher Investments Technology Department. We're investing in the future of our firm's technology and are building our team to achieve global growth.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Data Engineer – Data to design and deliver modern data solutions using cloud\-based platforms and AI\-driven innovations. You will partner with business, technology, and governance teams to enable scalable, secure and compliant data platforms that power advanced analytics and AI. You will act as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You will report to the AVP of Data Delivery and Data Governance. **The Day\-to\-Day:***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a various platforms to meet business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8\+ years' experience developing data\-related solutions and software
* 5\+ years of experience working with relational databases and applying it in various applications, including within the Microsoft Azure platform
* 2\+ years of experience with multiple cloud technologies in the Microsoft Stack (Azure IaaS and PaaS) along with familiarity with alternative cloud technologies
* 2\+ years of experience designing and development on\-premises and cloud\-based (Azure) infrastructure and platform components
* 2\+ years of hands\-on development and deployment experience with Azure cloud using T\-SQL, Azure SQL, Azure Storage, Azure Data Factory, Azure Synapse, Cosmos DB, GitHub, Azure DevOps, and CI/CD pipelines
* Advanced knowledge of Extract/Transform/Load (ETL) and/or Extract/Load/Transform (ELT) tools, including both batch and real\-time data transmission applications such as SSIS, Informatica, Kafka, Spark, MuleSoft, or equivalent software
* Advanced knowledge of database technologies such as Microsoft SQL Server, Oracle, or NoSQL databases
* Advanced knowledge of multiple programming languages, such as Python, SQL, Scala, or similar.
* Advanced knowledge of IT infrastructure standards and tools, such as application performance monitoring, IT service management, or DevOps software
* Bachelor's degree in Computer Science, Information Technology, or other relevant field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  
\#LI\-DNI</t>
        </is>
      </c>
    </row>
    <row r="93">
      <c r="A93" t="inlineStr">
        <is>
          <t>in-82d1fcce61f7d1fd</t>
        </is>
      </c>
      <c r="B93" t="inlineStr">
        <is>
          <t>Senior Data Engineer</t>
        </is>
      </c>
      <c r="C93" t="inlineStr">
        <is>
          <t>Fisher Investments</t>
        </is>
      </c>
      <c r="D93" t="inlineStr">
        <is>
          <t>indeed</t>
        </is>
      </c>
      <c r="E93">
        <f>HYPERLINK("https://www.indeed.com/viewjob?jk=82d1fcce61f7d1fd", "https://www.indeed.com/viewjob?jk=82d1fcce61f7d1fd")</f>
        <v/>
      </c>
      <c r="F93">
        <f>HYPERLINK("https://jobs-fishercareers.icims.com/jobs/16706/job?utm_source=indeed_integration&amp;iis=Job%20Board&amp;iisn=Indeed&amp;indeed-apply-token=73a2d2b2a8d6d5c0a62696875eaebd669103652d3f0c2cd5445d3e66b1592b0f", "https://jobs-fishercareers.icims.com/jobs/16706/job?utm_source=indeed_integration&amp;iis=Job%20Board&amp;iisn=Indeed&amp;indeed-apply-token=73a2d2b2a8d6d5c0a62696875eaebd669103652d3f0c2cd5445d3e66b1592b0f")</f>
        <v/>
      </c>
      <c r="G93" t="inlineStr">
        <is>
          <t>Camas, WA, US</t>
        </is>
      </c>
      <c r="H93" s="3" t="n">
        <v>46029</v>
      </c>
      <c r="I93" t="inlineStr">
        <is>
          <t>Overview:
It's an exciting time to be a member of the Fisher Investments Technology Department. We're investing in the future of our firm's technology and are building our team to achieve global growth.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 Data to design and deliver modern data solutions using cloud\-based platforms and AI\-driven innovations. You will partner with business, technology, and governance teams to enable scalable, secure and compliant data platforms that power advanced analytics and AI. You will act as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You will report to the AVP of Data Delivery and Data Governance. **The Day\-to\-Day:***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a various platforms to meet business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15\+ years' experience developing data\-related solutions and software
* 10\+ years of experience working with relational databases and applying it in various applications, including within the Microsoft Azure platform
* 4\+ years of experience with multiple cloud technologies in the Microsoft Stack (Azure IaaS and PaaS) along with familiarity with alternative cloud technologies
* 4\+ years of experience designing and development on\-premises and cloud\-based (Azure) infrastructure and platform components
* 4\+ years of hands\-on development and deployment experience with Azure cloud using T\-SQL, Azure SQL, Azure Storage, Azure Data Factory, Azure Synapse, Cosmos DB, GitHub, Azure DevOps, and CI/CD pipelines
* Advanced knowledge of Extract/Transform/Load (ETL) and/or Extract/Load/Transform (ELT) tools, including both batch and real\-time data transmission applications such as SSIS, Informatica, Kafka, Spark, MuleSoft, or equivalent software
* Advanced knowledge of database technologies such as Microsoft SQL Server, Oracle, or NoSQL databases
* Advanced knowledge of multiple programming languages, such as Python, SQL, Scala, or similar.
* Advanced knowledge of IT infrastructure standards and tools, such as application performance monitoring, IT service management, or DevOps software
* Bachelor's degree in Computer Science, Information Technology, or other relevant field
**Compensation:*** $130,000 \- $185,000 base salary per year for employees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94">
      <c r="A94" t="inlineStr">
        <is>
          <t>in-5661ac04ff7dffe3</t>
        </is>
      </c>
      <c r="B94" t="inlineStr">
        <is>
          <t>Senior Data Engineer</t>
        </is>
      </c>
      <c r="C94" t="inlineStr">
        <is>
          <t>Fisher Investments</t>
        </is>
      </c>
      <c r="D94" t="inlineStr">
        <is>
          <t>indeed</t>
        </is>
      </c>
      <c r="E94">
        <f>HYPERLINK("https://www.indeed.com/viewjob?jk=5661ac04ff7dffe3", "https://www.indeed.com/viewjob?jk=5661ac04ff7dffe3")</f>
        <v/>
      </c>
      <c r="F94">
        <f>HYPERLINK("https://jobs-fishercareers.icims.com/jobs/16703/job?utm_source=indeed_integration&amp;iis=Job%20Board&amp;iisn=Indeed&amp;indeed-apply-token=73a2d2b2a8d6d5c0a62696875eaebd669103652d3f0c2cd5445d3e66b1592b0f", "https://jobs-fishercareers.icims.com/jobs/16703/job?utm_source=indeed_integration&amp;iis=Job%20Board&amp;iisn=Indeed&amp;indeed-apply-token=73a2d2b2a8d6d5c0a62696875eaebd669103652d3f0c2cd5445d3e66b1592b0f")</f>
        <v/>
      </c>
      <c r="G94" t="inlineStr">
        <is>
          <t>Plano, TX, US</t>
        </is>
      </c>
      <c r="H94" s="3" t="n">
        <v>46029</v>
      </c>
      <c r="I94" t="inlineStr">
        <is>
          <t>Overview:
It's an exciting time to be a member of the Fisher Investments Technology Department. We're investing in the future of our firm's technology and are building our team to achieve global growth.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 Data to design and deliver modern data solutions using cloud\-based platforms and AI\-driven innovations. You will partner with business, technology, and governance teams to enable scalable, secure and compliant data platforms that power advanced analytics and AI. You will act as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You will report to the AVP of Data Delivery and Data Governance. **The Day\-to\-Day:***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a various platforms to meet business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15\+ years' experience developing data\-related solutions and software
* 10\+ years of experience working with relational databases and applying it in various applications, including within the Microsoft Azure platform
* 4\+ years of experience with multiple cloud technologies in the Microsoft Stack (Azure IaaS and PaaS) along with familiarity with alternative cloud technologies
* 4\+ years of experience designing and development on\-premises and cloud\-based (Azure) infrastructure and platform components
* 4\+ years of hands\-on development and deployment experience with Azure cloud using T\-SQL, Azure SQL, Azure Storage, Azure Data Factory, Azure Synapse, Cosmos DB, GitHub, Azure DevOps, and CI/CD pipelines
* Advanced knowledge of Extract/Transform/Load (ETL) and/or Extract/Load/Transform (ELT) tools, including both batch and real\-time data transmission applications such as SSIS, Informatica, Kafka, Spark, MuleSoft, or equivalent software
* Advanced knowledge of database technologies such as Microsoft SQL Server, Oracle, or NoSQL databases
* Advanced knowledge of multiple programming languages, such as Python, SQL, Scala, or similar.
* Advanced knowledge of IT infrastructure standards and tools, such as application performance monitoring, IT service management, or DevOps software
* Bachelor's degree in Computer Science, Information Technology, or other relevant field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95">
      <c r="A95" t="inlineStr">
        <is>
          <t>in-33fd0879c0f0682c</t>
        </is>
      </c>
      <c r="B95" t="inlineStr">
        <is>
          <t>Data Engineer</t>
        </is>
      </c>
      <c r="C95" t="inlineStr">
        <is>
          <t>Fisher Investments</t>
        </is>
      </c>
      <c r="D95" t="inlineStr">
        <is>
          <t>indeed</t>
        </is>
      </c>
      <c r="E95">
        <f>HYPERLINK("https://www.indeed.com/viewjob?jk=33fd0879c0f0682c", "https://www.indeed.com/viewjob?jk=33fd0879c0f0682c")</f>
        <v/>
      </c>
      <c r="F95">
        <f>HYPERLINK("https://jobs-fishercareers.icims.com/jobs/16705/job?utm_source=indeed_integration&amp;iis=Job%20Board&amp;iisn=Indeed&amp;indeed-apply-token=73a2d2b2a8d6d5c0a62696875eaebd669103652d3f0c2cd5445d3e66b1592b0f", "https://jobs-fishercareers.icims.com/jobs/16705/job?utm_source=indeed_integration&amp;iis=Job%20Board&amp;iisn=Indeed&amp;indeed-apply-token=73a2d2b2a8d6d5c0a62696875eaebd669103652d3f0c2cd5445d3e66b1592b0f")</f>
        <v/>
      </c>
      <c r="G95" t="inlineStr">
        <is>
          <t>Camas, WA, US</t>
        </is>
      </c>
      <c r="H95" s="3" t="n">
        <v>46029</v>
      </c>
      <c r="I95" t="inlineStr">
        <is>
          <t>Overview:
It's an exciting time to be a member of the Fisher Investments Technology Department. We're investing in the future of our firm's technology and are building our team to achieve global growth.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Data Engineer to design and deliver modern data solutions using cloud\-based platforms and AI\-driven innovations. You will partner with business, technology, and governance teams to enable scalable, secure and compliant data platforms that power advanced analytics and AI. You will act as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You will report to the AVP of Data Delivery and Data Governance. **The Day\-to\-Day:***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a various platforms to meet business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8\+ years' experience developing data\-related solutions and software
* 5\+ years of experience working with relational databases and applying it in various applications, including within the Microsoft Azure platform
* 2\+ years of experience with multiple cloud technologies in the Microsoft Stack (Azure IaaS and PaaS) along with familiarity with alternative cloud technologies
* 2\+ years of experience designing and development on\-premises and cloud\-based (Azure) infrastructure and platform components
* 2\+ years of hands\-on development and deployment experience with Azure cloud using T\-SQL, Azure SQL, Azure Storage, Azure Data Factory, Azure Synapse, Cosmos DB, GitHub, Azure DevOps, and CI/CD pipelines
* Advanced knowledge of Extract/Transform/Load (ETL) and/or Extract/Load/Transform (ELT) tools, including both batch and real\-time data transmission applications such as SSIS, Informatica, Kafka, Spark, MuleSoft, or equivalent software
* Advanced knowledge of database technologies such as Microsoft SQL Server, Oracle, or NoSQL databases
* Advanced knowledge of multiple programming languages, such as Python, SQL, Scala, or similar.
* Advanced knowledge of IT infrastructure standards and tools, such as application performance monitoring, IT service management, or DevOps software
* Bachelor's degree in Computer Science, Information Technology, or other relevant field
**Compensation:*** $90,000 \- $160,000 base salary per year for employees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  
\#LI\-DNI</t>
        </is>
      </c>
    </row>
    <row r="96">
      <c r="A96" t="inlineStr">
        <is>
          <t>in-d82014c98f10254a</t>
        </is>
      </c>
      <c r="B96" t="inlineStr">
        <is>
          <t>Data Analytics Engineer</t>
        </is>
      </c>
      <c r="C96" t="inlineStr">
        <is>
          <t>J. Mclaughlin</t>
        </is>
      </c>
      <c r="D96" t="inlineStr">
        <is>
          <t>indeed</t>
        </is>
      </c>
      <c r="E96">
        <f>HYPERLINK("https://www.indeed.com/viewjob?jk=d82014c98f10254a", "https://www.indeed.com/viewjob?jk=d82014c98f10254a")</f>
        <v/>
      </c>
      <c r="F96">
        <f>HYPERLINK("https://workforcenow.adp.com/mascsr/default/mdf/recruitment/recruitment.html?cid=0f2ff4a2-0d91-4097-8a21-ebff0d0b4ce2&amp;ccId=19000101_000001&amp;jobId=547982&amp;source=IN&amp;lang=en_US", "https://workforcenow.adp.com/mascsr/default/mdf/recruitment/recruitment.html?cid=0f2ff4a2-0d91-4097-8a21-ebff0d0b4ce2&amp;ccId=19000101_000001&amp;jobId=547982&amp;source=IN&amp;lang=en_US")</f>
        <v/>
      </c>
      <c r="G96" t="inlineStr">
        <is>
          <t>Brooklyn, NY, US</t>
        </is>
      </c>
      <c r="H96" s="3" t="n">
        <v>46029</v>
      </c>
      <c r="I96" t="inlineStr">
        <is>
          <t>**Why J.McLaughlin?**
J.McLaughlin was founded in 1977 by brothers Kevin and Jay McLaughlin with a mission to create an American Sportswear brand that offered two key components: classic clothing with current relevance and a retail environment that has a neighborhood feel. The J.McLaughlin brand has always been more about style than fashion: straightforward, unpretentious, and devoid of the superfluous. Our clothing is rooted in the tradition of sport, work, and play. With over 180 retail locations, each store is entirely unique, attentively designed to reflect the town's color, character, and architecture. This attention to detail extends to exemplary customer service and local philanthropic engagement.
Our “Culture of Kindness” creates an environment with respect, politeness, consideration, and empathy that creates a family like atmosphere and focuses on giving back to the community. The company has an entrepreneurial spirit which fosters great experience and career opportunities, complemented with our great incentive benefits programs.
**Overview**
J.McLaughlin is a specialty American Sportswear and Accessories brand headquartered in New York. J.McLaughlin has the reputation for being “local and loyal”, building meaningful relationships within each community and providing customers with highly personalized service. We are a growing company with a focus on our culture of kindness, cultivating an exceptional atmosphere in which to work and shop.
The Data Analytics Engineer reports to the IT Application Manager. This role will build and maintain the data infrastructure, transforming raw data into clean, reliable datasets for analysts and business users by designing data models, creating pipelines (ETL/ELT), implementing testing, and applying software engineering best practices, acting as a crucial bridge between data engineers and data analysts to enable data\-driven decisions. Key responsibilities include data modeling, coding transformations (e.g. SQL and dbt), ensuring data quality through testing, documenting processes, and collaborating with stakeholders to meet business needs.
This role is a hybrid role primarily based in our Greenpoint, Brooklyn office.
**About the role**
Essential Functions:
Data Modeling and Transformation
* Designing and implementing structured data models (e.g. star/snowflake schemas) in data warehouses.
* Writing code (often SQL) to clean, aggregate, transform, and enrich raw data into analysis\-ready formats.
Data Quality \&amp; Testing
* Developing Automated tests and monitoring solutions for data accuracy and reliability.
Pipeline Development
* Building and maintaining data pipelines (ETL/ELT) to move and process data.
Documentation, Collaboration, and Best Practices
* Creating clear documentation for data models, transformations, and processes.
* Working with data engineers to understand infrastructure and with analysts/stakeholders to define requirements.
* Applying version control (Git) and CI/CD to analytics code.
**What we are looking for**
Skills \&amp; Requirements:
* Bachelor’s degree in IT Applications or related field or equivalent experience required.
* 1\-2 years of analytics or BI experience, preferably in the retail industry.
* 2\-3 years of technical experience with SQL, Python, Data Warehouse/Data Lake (Snowflake, BigQuery, Redshift, AWS), dbt, Airflow, Data Modeling.
* Strong problem solving, critical thinking, and data interpretation skills.
* Excellent written and oral communication skills with emphasis on teamwork and attention to detail.
* Ability to operate with objectivity, integrity, professionalism, and confidentiality.
Physical Requirements:
* Must be able to access and navigate each department at the organization's facilities.
* Prolonged periods of sitting at a desk and working on a computer.
**Equal Opportunity**
J.McLaughlin is an Equal Opportunity Employer and does not discriminate on the basis of race, color, religion, sex, sexual orientation, gender identity, national origin, protected veteran status, disability or any other legally protected status.</t>
        </is>
      </c>
    </row>
    <row r="97">
      <c r="A97" t="inlineStr">
        <is>
          <t>in-4485dc31b80934d5</t>
        </is>
      </c>
      <c r="B97" t="inlineStr">
        <is>
          <t>Sr. Data &amp; Analytics Engineer</t>
        </is>
      </c>
      <c r="C97" t="inlineStr">
        <is>
          <t>Shawmut Design and Construction</t>
        </is>
      </c>
      <c r="D97" t="inlineStr">
        <is>
          <t>indeed</t>
        </is>
      </c>
      <c r="E97">
        <f>HYPERLINK("https://www.indeed.com/viewjob?jk=4485dc31b80934d5", "https://www.indeed.com/viewjob?jk=4485dc31b80934d5")</f>
        <v/>
      </c>
      <c r="F97">
        <f>HYPERLINK("https://careers-shawmut.icims.com/jobs/6650/job?utm_source=indeed_integration&amp;iis=Job%20Board&amp;iisn=Indeed&amp;indeed-apply-token=73a2d2b2a8d6d5c0a62696875eaebd669103652d3f0c2cd5445d3e66b1592b0f", "https://careers-shawmut.icims.com/jobs/6650/job?utm_source=indeed_integration&amp;iis=Job%20Board&amp;iisn=Indeed&amp;indeed-apply-token=73a2d2b2a8d6d5c0a62696875eaebd669103652d3f0c2cd5445d3e66b1592b0f")</f>
        <v/>
      </c>
      <c r="G97" t="inlineStr">
        <is>
          <t>Boston, MA, US</t>
        </is>
      </c>
      <c r="H97" s="3" t="n">
        <v>46029</v>
      </c>
      <c r="I97" t="inlineStr">
        <is>
          <t>Overview:
At Shawmut Design and Construction, we take pride in the culture we’ve built as a 100% employee\-owned company—one that’s been recognized with more than 85 Best Place to Work awards. We’ve been honored as a National Fortune Best Workplace, a Fortune Best Workplace for Women, Millennials, and Parents, and one of America’s Best Employers by Forbes—along with numerous regional recognitions across our 11 offices nationwide. **Here’s a glimpse into what we offer:*** Health, Dental, and Vision Insurance.
* Employee Stock Ownership Plan (ESOP) **–** Be an employee\-owner!
* 401(K) with Company Match – Receive a company match up to 4% of your eligible pay.
* Generous Paid Time Off – vacation and sick time, 12 holidays, summer Fridays, and a yearly volunteer day.
* The Extras – Cell phone, laptop, tuition reimbursement, pet insurance, financial planning services, and more.
Responsibilities:
The **Senior Data \&amp; Analytics Engineer** focuses on ingesting and transforming project, financial, and operational data for construction projects. Designs and maintains pipelines and models within Microsoft Fabric ecosystem (Data Factory, Notebooks, Lakehouse, Power BI) to enable real\-time insights for project teams and executives.* Delivers well\-defined, transformed, tested, documented, and code\-reviewed datasets for analysis
* Designs the structure and layout of data systems, including databases, warehouses, and lakes
* Builds and optimizes pipelines using Azure Data Factory, Fabric Pipelines and Notebooks
* Creates robust data models and architectures to support analytics initiatives
* Collaborates with business stakeholders to understand their analytics needs and deliver comprehensive models and datasets
* Defines and manages standards, guidelines, and processes to ensure data quality
* Identifies and implements optimizations to continually enhance query performance, reduce processing time, and increase overall productivity
* Designs, develops and maintains data pipelines to ensure efficient and reliable ETL processes
* Collaborates with project teams to standardize KPIs for cost, schedule, and risk
* Ensures data quality and accuracy by implementing data validation, monitoring, and error\-handling processes
Qualifications:
* **Experience**: A minimum of 5 years of experience in data analytics, data engineering, software engineering, or a similar role.
	+ Expertise in data modeling, ETL development, and data analysis
	+ Experience with construction industry data and project\-based analytics is desired
	+ Experience with Apache Spark or Databricks
* **Education**: bachelor’s degree in computer science, data science, engineering, or related field required.
* **Additional Role Specific Skills:**
	+ Strong ability in SQL for data extraction and manipulation, and proficiency in data warehousing concepts/tools specifically Microsoft Fabric components (Data Factory, Lakehouse, OneLake)
	+ Familiarity with Azure\-based data platforms for data storage and processing
	+ Substantial programming ability using languages/tools such as Python, Scala, SQL for data manipulation and scripting
	+ Solid understanding of relevant data governance, data quality, and data security best practices
	+ Familiarity with construction ERP system (CMiC), HCM (Workday), and CRM (Dynamics) integrations
	+ Strong problem\-solving skills, and the ability to think critically and analytically
	+ Knowledge of ETL processes, data integration, and data warehousing concepts
	+ Familiarity with data visualization tools such as Power BI
	+ Excellent communication skills to effectively collaborate with cross\-functional teams and present insights to business stakeholders
EEO Information:
Shawmut prohibits discrimination against any staff member or applicant on the basis of race, color, sex, sexual orientation, gender identity/expression, age, religion, national origin, marital status, veteran status, pregnancy, physical or mental disability, genetic information, disability, creed, citizenship status, or any other legally protected characteristic.
Salary Range Information:
**Boston Base Salary Range: $125,000 \- $175,000** The range stated is specific to Boston. Placement within the listed range depends on many factors including, but not limited to years of experience, project size capability (for Construction \&amp; Field roles) and internal company equity.</t>
        </is>
      </c>
    </row>
    <row r="98">
      <c r="A98" t="inlineStr">
        <is>
          <t>in-c51345ed74b34a06</t>
        </is>
      </c>
      <c r="B98" t="inlineStr">
        <is>
          <t>Analytics Engineer (Deployments)</t>
        </is>
      </c>
      <c r="C98" t="inlineStr">
        <is>
          <t>Base Power</t>
        </is>
      </c>
      <c r="D98" t="inlineStr">
        <is>
          <t>indeed</t>
        </is>
      </c>
      <c r="E98">
        <f>HYPERLINK("https://www.indeed.com/viewjob?jk=c51345ed74b34a06", "https://www.indeed.com/viewjob?jk=c51345ed74b34a06")</f>
        <v/>
      </c>
      <c r="F98">
        <f>HYPERLINK("https://jobs.ashbyhq.com/base-power/1bd01038-1fc7-42e5-9c0f-64357382f3e7?utm_source=eYOXZA9DOJ", "https://jobs.ashbyhq.com/base-power/1bd01038-1fc7-42e5-9c0f-64357382f3e7?utm_source=eYOXZA9DOJ")</f>
        <v/>
      </c>
      <c r="G98" t="inlineStr">
        <is>
          <t>Austin, TX, US</t>
        </is>
      </c>
      <c r="H98" s="3" t="n">
        <v>46029</v>
      </c>
      <c r="I98" t="inlineStr">
        <is>
          <t>**About Base**
--------------
Base is America’s next\-generation power company. We’re rebuilding the foundation of modern civilization–electricity–by deploying a vast network of distributed batteries that is transforming today’s fragile, centralized grid into a resilient and abundant system. We are engineers, operators, and creatives solving some of the most complex, interdisciplinary challenges of our time.
**About the Role**
------------------
Base is looking for a Deployment Engineer to architect the process for rapid deployments of hardware throughout the state of Texas. This pivotal role is focused on ensuring a positive customer experience and increased uptime of battery systems.
**What You'll Do**
* Audit data with SQL or similar tools to ensure the integrity and accuracy of deployment\-related data across various systems.
* Design and implement internal processes for scaling the deployment pipeline, focusing on data collection, quality assurance, and workflow efficiency.
* Build internal tools and dashboards (e.g., using Python, JavaScript, and various dashboarding platforms) to automate workflows and provide real\-time visibility into key operational metrics.
* Perform data analytics on the deployment pipeline to identify bottlenecks, measure process effectiveness, and drive continuous improvement initiatives.
* Collaborate with engineering and operations teams to translate operational needs into technical requirements for internal tools and data models.
* Set up and maintain data collection systems that enable comprehensive tracking of hardware deployment and performance.
* Develop and maintain documentation for internal tools, data models, and new operational processes.
**What You'll Bring**
* Degree in Engineering, Computer Science, or equivalent experience.
* 2\+ years of experience in a role focused on data analysis, process engineering, or internal tools development.
* Comfortable with SQL or similar database query languages; ability to write complex queries to extract and analyze data.
* A strong data\-driven mindset and proven ability to transform data into clear, actionable insights and recommendations.
* Demonstrated experience in building and developing processes that are scalable, repeatable, and documented.
* Proficiency in at least one scripting language (e.g., Python, JavaScript) for tool development and data manipulation.
* Experience with business intelligence or data visualization tools (e.g., Tableau, Looker, Metabase).
**Our Values**
--------------
* **First Principles Thinking:** Question assumptions. Principles \&gt; rules.
* **Operate at Base Pace:** Focus on what matters, act quickly, and learn by doing.
* **Give \&amp; Get Feedback:** Be direct, be humble, and maintain a growth mindset.
* **Everyone’s an Owner:** Follow through on commitments and own results.
* **Strong Opinions, Loosely Held:** Drive clarity and make calls with imperfect information.
* **Committed to the Mission:** Rebuilding the grid is a big challenge. We work hard because we care deeply about the impact we’re creating. We work in\-person. It’s not a 9\-to\-5\. We are all\-in.
* **Fun \&amp; Optimism Coexist with Grit:** Collaboration and celebration coincide with the intensity of building real things.
**Do the best work of your life at Base.**
------------------------------------------</t>
        </is>
      </c>
    </row>
    <row r="99">
      <c r="A99" t="inlineStr">
        <is>
          <t>in-7d6126d9987bede9</t>
        </is>
      </c>
      <c r="B99" t="inlineStr">
        <is>
          <t>Data Engineer - Viasat Government</t>
        </is>
      </c>
      <c r="C99" t="inlineStr">
        <is>
          <t>Viasat</t>
        </is>
      </c>
      <c r="D99" t="inlineStr">
        <is>
          <t>indeed</t>
        </is>
      </c>
      <c r="E99">
        <f>HYPERLINK("https://www.indeed.com/viewjob?jk=7d6126d9987bede9", "https://www.indeed.com/viewjob?jk=7d6126d9987bede9")</f>
        <v/>
      </c>
      <c r="F99">
        <f>HYPERLINK("https://careers.viasat.com/jobs/5566?lang=en-us", "https://careers.viasat.com/jobs/5566?lang=en-us")</f>
        <v/>
      </c>
      <c r="G99" t="inlineStr">
        <is>
          <t>Carlsbad, CA, US</t>
        </is>
      </c>
      <c r="H99" s="3" t="n">
        <v>46029</v>
      </c>
      <c r="I99"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this Data Engineering role, you will be accountable for building datasets and dashboarding capabilities based on real time streaming data and large data sets. You will be responsible for creating streaming and batch ETLs in a cloud environment. You will architect datasets that enable the use of AI and support ML initiatives. The data sets you create will provide business intelligence and informative insights to our business leaders and deliver game changing value to our customers.  
**The day\-to\-day**  
As a senior member of our Data Engineering team, you’ll help set direction, mentor junior team members, and build datasets and visualizations that power business intelligence and empower data driven decision making.  
We look for:  
* The ability to communicate clearly and work well with both technical and non\-technical teams.
* The ability to take on projects with vague requirements, distill them into data engineering tasks, and complete them with the help of junior engineers.
* Proven ability to develop data architectures that scale well and provide meaningful insights.
* The ability to construct well\-organized schemas and data interfaces for consumption by data reporting teams, data scientists, or AI systems
**What you'll need**  
* 5\+ years proven data engineering experience using common data engineering languages (Java or Python) and common data engineering framework and tools like DBT, Spark, and Flink.
* Familiarity with RDBMS technologies (PostgreSQL, MySQL, Oracle, etc.)
* Experience in Linux based systems, docker, and code versioning tooling (Git/CI/CD).
* Familiarity with at least one cloud provider such as AWS, GCP, or Azure.
* Experience with at least one of Looker, Tableau, or Palantir
* Experience in design and implementation of robust and highly scalable Data services
* Proven team player with the ability to manage multiple projects simultaneously in a fast\-paced dynamic agile work environment.
* Bachelor’s degree in computer science, computer engineering, or electrical engineering or equivalent technical background and experience.
* Ability to travel up to 10%.
* Must be a US Citizen and eligible to obtain a US Security Clearance
**What will help you on the job**  
* Understanding of distributed and parallel computing architectures.
* Experience with Big Data and Streaming technologies like Kafka, Flink, Spark, DBT, Airflow, Big Query, and Trino.
* Knowledge/Understanding of Satellite systems and technologies.
* Previous work in business or customer analytics.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00">
      <c r="A100" t="inlineStr">
        <is>
          <t>in-53dcbed8cf46a7f3</t>
        </is>
      </c>
      <c r="B100" t="inlineStr">
        <is>
          <t>Data Engineer - Dallas/California, United States</t>
        </is>
      </c>
      <c r="C100" t="inlineStr">
        <is>
          <t>Photon</t>
        </is>
      </c>
      <c r="D100" t="inlineStr">
        <is>
          <t>indeed</t>
        </is>
      </c>
      <c r="E100">
        <f>HYPERLINK("https://www.indeed.com/viewjob?jk=53dcbed8cf46a7f3", "https://www.indeed.com/viewjob?jk=53dcbed8cf46a7f3")</f>
        <v/>
      </c>
      <c r="F100">
        <f>HYPERLINK("https://fa-ertb-saasfaprod1.fa.ocs.oraclecloud.com/hcmUI/CandidateExperience/en/sites/CX_2/requisitions/preview/24795", "https://fa-ertb-saasfaprod1.fa.ocs.oraclecloud.com/hcmUI/CandidateExperience/en/sites/CX_2/requisitions/preview/24795")</f>
        <v/>
      </c>
      <c r="G100" t="inlineStr">
        <is>
          <t>Dallas, TX, US</t>
        </is>
      </c>
      <c r="H100" s="3" t="n">
        <v>46029</v>
      </c>
      <c r="I100" t="inlineStr">
        <is>
          <t>Greetings Everyone  
**Who are we?**For the past 20 years, we have powered many Digital Experiences for the Fortune 500\. Since 1999, we have grown from a few people to more than 4000 team members across the globe that are engaged in various Digital Modernization. For a brief 1 minute video about us, you can check https://youtu.be/uJWBWQZEA6o .  
**What will you do?** **What are we looking for?**
Data Engineer (II)
As part of the Mail Analytics Data Engineering team, you will be working on large\-scale batch pipelines, data serving, data lakehouse, and analytics systems, enabling mission critical decision making, downstream, AI\-powered capabilities, and more.
If you're passionate about building data infrastructure and platforms that power modern Data\- and AI\-driven business at scale, we want to hear from you!
Your Day
 Develop new or improve and maintain existing large\-scale data infrastructures and systems for data processing or serving, optimizing complex code through advanced algorithmic concepts and in\-depth understanding of underlying data system stacks Create and contribute to frameworks that improve the effi cacy of the management and deployment of data platforms and systems, while working with data infrastructure to triage and resolve issues
 Prototype new metrics or data systems Defi ne and manage Service Level Agreements for all data sets in allocated areas of ownership
* Develop complex queries, very large volume data pipelines, and analytics applications to solve analytics and data engineering problems
* Collaborate with engineers, data scientists, and product managers to understand business problems, technical requirements to deliver data solutions
* Engineering consulting on large and complex data lakehouse data
You Must Have
* BS in Computer Science/Engineering, relevant technical field, or equivalent practical experience, with specialization in Data Engineering
* 3\-5 years of experience in Data Engineering (ETL, data lakehouse, Data Modeling)
* Strong fundamentals: algorithms, distributed computing, data structure, database, data warehouse
* Fluency with: Python/Java/SQL
* Self\-driven, challenge\-loving, detail oriented, teamwork spirit, excellent communication skills, ability to multitask and manage expectations
Preferred
* MS/PhD in Computer Science/Engineering or relevant technical field, with specialization in Data Engineering
* 2\&amp;\#43; years experience in Hadoop/Apache technologies (Pig, Hive, HBase, Storm, Spark, Kafka, Oozie)
* 2\&amp;\#43; years experience in Google Cloud Platform technologies (BiqQuery, Dataproc, Dataflow, Composer, Looker)
**Compensation, Benefits and Duration**Minimum Compensation: USD 48,000
Maximum Compensation: USD 168,000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available for independent contractors
No applications will be considered if received more than 120 days after the date of this post</t>
        </is>
      </c>
    </row>
    <row r="101">
      <c r="A101" t="inlineStr">
        <is>
          <t>in-b6f805634cfc515e</t>
        </is>
      </c>
      <c r="B101" t="inlineStr">
        <is>
          <t>Senior Data Engineer - Dallas/California, United States</t>
        </is>
      </c>
      <c r="C101" t="inlineStr">
        <is>
          <t>Photon</t>
        </is>
      </c>
      <c r="D101" t="inlineStr">
        <is>
          <t>indeed</t>
        </is>
      </c>
      <c r="E101">
        <f>HYPERLINK("https://www.indeed.com/viewjob?jk=b6f805634cfc515e", "https://www.indeed.com/viewjob?jk=b6f805634cfc515e")</f>
        <v/>
      </c>
      <c r="F101">
        <f>HYPERLINK("https://fa-ertb-saasfaprod1.fa.ocs.oraclecloud.com/hcmUI/CandidateExperience/en/sites/CX_2/requisitions/preview/24796", "https://fa-ertb-saasfaprod1.fa.ocs.oraclecloud.com/hcmUI/CandidateExperience/en/sites/CX_2/requisitions/preview/24796")</f>
        <v/>
      </c>
      <c r="G101" t="inlineStr">
        <is>
          <t>Dallas, TX, US</t>
        </is>
      </c>
      <c r="H101" s="3" t="n">
        <v>46029</v>
      </c>
      <c r="I101" t="inlineStr">
        <is>
          <t>Greetings Everyone  
**Who are we?**
For the past 20 years, we have powered many Digital Experiences for the Fortune 500\. Since 1999, we have grown from a few people to more than 4000 team members across the globe that are engaged in various Digital Modernization. For a brief 1 minute video about us, you can check https://youtu.be/uJWBWQZEA6o .  
**Senior Data Engineer:**  
As part of the Mail Analytics Data Engineering team, you will be working on large\-scale batch pipelines, data serving, data lakehouse, and analytics systems, enabling mission critical decision making, downstream, AI\-powered capabilities, and more.
If you're passionate about building data infrastructure and platforms that power modern Data\- and AI\-driven business at scale, we want to hear from you!  
Your Day
* Partner with Data Science, Product, and Engineering to collect requirements to define the data ontology for Mail Data \&amp; Analytics
* Lead and mentor junior Data Engineers to support Yahoo Mail’s ever\-evolving data needs
* Design, build, and maintain efficient and reliable batch data pipelines to populate core data sets
* Develop scalable frameworks and tooling to automate analytics workflows and streamline users interactions with data products
* Establish and promote standard methodologies for data operations and lifecycle management
* Develop new or improve and maintain existing large\-scale data infrastructures and systems for data processing or serving, optimizing complex code through advanced algorithmic concepts and in\-depth understanding of underlying data system stacks
* Create and contribute to frameworks that improve the efficacy of the management and deployment of data platforms and systems, while working with data infrastructure to triage and resolve issues
* Prototype new metrics or data systems
* Define and manage Service Level Agreements for all data sets in allocated areas of ownership
* Develop complex queries, very large volume data pipelines, and analytics applications to solve analytics and data engineering problems
* Collaborate with engineers, data scientists, and product managers to understand business problems, technical requirements to deliver data solutions
* Engineering consulting on large and complex data lakehouse data
You Must Have
* BS in Computer Science/Engineering, relevant technical field, or equivalent practical experience, with specialization in Data Engineering
* 8\&amp;\#43; years of experience building scalable ETL pipelines on industry standard ETL orchestration tools (Airflow, Composer, Oozie) with deep expertise in SQL, PySpark, or scala.
* 3\&amp;\#43; years leading data engineering development directly with business or data science partners
* Built, scaled, and maintained Multi\-Terabyte data sets and having an expansive toolbox for debugging and unblocking large scale analytics challenges (skew mitigation, sampling strategies, accumulation patterns, data sketches, etc.)
* Experience with at least one major cloud's suite of offerings (AWS, GCP, Azure).
* Developed or enhanced ETL orchestrations tools or frameworks
* Worked within standard GitOps workflow (branch and merge, PRs, CI / CD systems)
* Experience working with GDPR
* Self\-driven, challenge\-loving, detail oriented, teamwork spirit, excellent communication skills, ability to multitask and manage expectations
Preferred
* MS/PhD in Computer Science/Engineering or relevant technical field, with specialization in Data Engineering
* 3 years experience in Google Cloud Platform technologies (BiqQuery, Dataproc, Dataflow, Composer, Looker)
**Compensation, Benefits and Duration**Minimum Compensation: USD 58,000
Maximum Compensation: USD 203,000
Compensation is based on actual experience and qualifications of the candidate. The above is a reasonable and a good faith estimate for the role.
Medical, vision, and dental benefits, 401k retirement plan, variable pay/incentives, paid time off, and paid holidays are available for full time employees.
This position is available for independent contractors
No applications will be considered if received more than 120 days after the date of this post</t>
        </is>
      </c>
    </row>
    <row r="102">
      <c r="A102" t="inlineStr">
        <is>
          <t>in-7ef94509f9b2aeb9</t>
        </is>
      </c>
      <c r="B102" t="inlineStr">
        <is>
          <t>Senior Data Engineer</t>
        </is>
      </c>
      <c r="C102" t="inlineStr">
        <is>
          <t>CGI</t>
        </is>
      </c>
      <c r="D102" t="inlineStr">
        <is>
          <t>indeed</t>
        </is>
      </c>
      <c r="E102">
        <f>HYPERLINK("https://www.indeed.com/viewjob?jk=7ef94509f9b2aeb9", "https://www.indeed.com/viewjob?jk=7ef94509f9b2aeb9")</f>
        <v/>
      </c>
      <c r="F102">
        <f>HYPERLINK("https://click.appcast.io/t/cW9oED6Bpc5GEM-edUbfK7I-FmT0Qnrgh8pTj__2Kdc=", "https://click.appcast.io/t/cW9oED6Bpc5GEM-edUbfK7I-FmT0Qnrgh8pTj__2Kdc=")</f>
        <v/>
      </c>
      <c r="G102" t="inlineStr">
        <is>
          <t>Atlanta, GA, US</t>
        </is>
      </c>
      <c r="H102" s="3" t="n">
        <v>46029</v>
      </c>
      <c r="I102" t="inlineStr">
        <is>
          <t>**Position Description:**
-------------------------
Do you want to take your career to the next level? Are you ready for the responsibility of working with high\-profile clients? CGI is looking for a talented, driven, and experienced Senior Data Engineer to join our team in Atlanta, GA. At CGI, you will solve challenging business and technical problems as a full\-time consultant serving local, enterprise clients. You'll be part of a team of smart, dedicated people like yourself and make an impact with both internal and client stakeholders. You also can work on cutting edge technologies and cloud native development. Tired of the same old thing? Take your talents to a world class consulting firm that inspires personal and professional growth and values your ideas.
**Your future duties and responsibilities:**
--------------------------------------------
. Play key role in establishing and implementing migration patterns for the Data Lake Modernization project.  
. Actively migrate use cases from our on premises SQL Server to Databricks.  
. Using DataBricks, ensure proper data lineage and data sourcing to support Regulatory Reports for financial services clients.  
. Leverage Delta Live Tables, Autoloader, Lakehouse Architecture, and the latest techniques in the Databricks space.  
. Collaborate with Product Management and business partners to understand use case requirements and reporting.  
. Support staging of data to Axiom for final reporting on regulatory matters.  
. Adhere to internal development best practices/lifecycle (e.g. Testing, Code Reviews, CI/CD, Documentation) .  
. Document and showcase feature designs/workflows.  
. Participate in team meetings and discussions around product development.  
. Stay up to date on industry latest industry trends and design patterns.  
. Ability to guide and provide oversight to offshore team members, serving as their primary liaison to ensure effective communication, alignment, and successful project delivery.
**Required qualifications to be successful in this role:**
----------------------------------------------------------
. Bachelor's in Computer Science, Computer Engineering or related field  
. 8\+ years of relevant work experience  
. 6\+ yrs. Development experience with Spark (PySpark), Python and SQL.  
. 4\+ Hands on experience with Databricks Development  
. Hands on experience with deploying to an Azure environment  
. Extensive knowledge building data pipelines  
. Experience with scheduling and orchestration (e.g. Databricks Workflows, airflow, prefect, control\-m).  
. Solid understanding of distributed systems, data structures, design principles.  
. Comfortable communicating with teams via showcases/demos.  
Nice to Have:  
. Financial Services experience  
. 3\+ years experience with GIT.  
. 3\+ years experience with CI/CD (e.g. Azure Pipelines).  
. Experience with streaming technologies, such as Kafka, Spark.  
. Experience building applications on Docker and Kubernetes.  
\*\*This position is located onsite in Atlanta, GA.  
CGI anticipates accepting applications for this position through January 31, 2025\.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$79,600\.00 \- $156,700\.00\.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\#LI\-JN2
**Skills:**
-----------
* Apache Spark
* Azure DevOps
* Python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03">
      <c r="A103" t="inlineStr">
        <is>
          <t>in-a870a87ceba8b001</t>
        </is>
      </c>
      <c r="B103" t="inlineStr">
        <is>
          <t>Senior Data Engineer, Marketing &amp; Analytics</t>
        </is>
      </c>
      <c r="C103" t="inlineStr">
        <is>
          <t>Teladoc Health</t>
        </is>
      </c>
      <c r="D103" t="inlineStr">
        <is>
          <t>indeed</t>
        </is>
      </c>
      <c r="E103">
        <f>HYPERLINK("https://www.indeed.com/viewjob?jk=a870a87ceba8b001", "https://www.indeed.com/viewjob?jk=a870a87ceba8b001")</f>
        <v/>
      </c>
      <c r="F103">
        <f>HYPERLINK("https://teladoc.wd503.myworkdayjobs.com/en-US/teladochealth_is_hiring/job/Remote---USA/Senior-Data-Engineer--Marketing---Analytics_JR19829-1", "https://teladoc.wd503.myworkdayjobs.com/en-US/teladochealth_is_hiring/job/Remote---USA/Senior-Data-Engineer--Marketing---Analytics_JR19829-1")</f>
        <v/>
      </c>
      <c r="G103" t="inlineStr">
        <is>
          <t>Remote, US</t>
        </is>
      </c>
      <c r="H103" s="3" t="n">
        <v>46029</v>
      </c>
      <c r="I103" t="inlineStr">
        <is>
          <t>**Join the team leading the next evolution of virtual care.**
At Teladoc Health, you are empowered to bring your true self to work while helping millions of people live their healthiest lives.  
Here you will be part of a high\-performance culture where colleagues embrace challenges, drive transformative solutions, and create opportunities for growth. Together, we’re transforming how better health happens.
**Summary of Position**
Our team of data engineers aggregate and interpret substantial amounts of health data and information to create actionable, personalized, and timely health signals to support various marketing programs and initiatives. This approach helps deliver better clinical and financial outcomes while creating a different and better healthcare experience for people everywhere.
As Senior Data Engineer, you will help lead the design and create data pipelines using a modern tech stack (Snowflake, Databricks, dbt, and Salesforce Data360, etc.). This role combines technical expertise with strategic collaboration \- partnering with marketing and data science teams to unlock new capabilities and deliver actionable insights. You will be responsible for testing programs for efficiency, performance and troubleshoot and correct problems.
In addition to these core responsibilities, the Senior Data Engineer will work closely with marketing teams to understand requirements and develop a strong understanding of marketing objectives to ensure data solutions deliver measurable value and actionable insights. The candidate will consult and be a trusted advisor with marketing and data science to identify new opportunities and guide marketing teams on data\-driven strategies that exploit the new tech stack.
We are transitioning to a modern data stack leveraging Snowflake, Databricks, dbt, and Salesforce, while maintaining and migrating existing logic from Redshift. The ideal candidate will be comfortable working with both environments, helping to refactor and migrate rules and pipelines into the new architecture.
The role also involves championing innovation by leveraging AI\-enabled tools and modern architectures to accelerate development and improve team productivity.
**Essential Duties and Responsibilities**
* Partner with data science, marketing, and engineering teams across the enterprise to design, build, and maintain scalable data pipelines using modern tools such as dbt and Snowflake.
* Collaborate closely with marketing teams to understand business requirements and translate them into actionable data solutions.
* Lead efforts to migrate and refactor existing Redshift logic into the modern data stack (Snowflake/dbt/Salesforce).
* Plan and execute development work within Agile frameworks, including CI/CD pipelines and 2\-week sprint cycles.
* Ensure data quality and reliability through testing, documentation, peer reviews, and adherence to coding standards.
* Continuously evaluate and improve system processes, architecture, and data governance practices.
* Collaborate with data science teams to ensure data solutions support predictive modeling and advanced analytics.
* Serve as a trusted advisor to marketing teams, identifying opportunities to use Snowflake/Data360 for advanced segmentation and personalization.
* Leverage GitHub and AI\-enabled tools (e.g., Copilot) to accelerate understanding of legacy code and refactor pipelines into the modern stack.
The time spent on each responsibility reflects an estimate and is subject to change dependent on business needs.  
**Supervisory Responsibilities**
No
**Qualifications Expected for Position**
* 8\+ years of experience in data engineering, analytics engineering, or SQL/data development roles.
* 2\+ years of hands\-on experience with dbt and modern cloud data platforms such as Snowflake and/or Databricks.
* Extensive experience designing and building ETL/ELT pipelines for large\-scale data systems.
* Strong expertise in data analysis/data mining.
* Proven ability to work with large, complex datasets, including performance tuning and optimization.
* Experience with version control (Git/GitHub) and collaborative data development workflows.
* Excellent communication skills and the ability to partner effectively with cross\-functional stakeholders.
**Bonus Qualifications**
* Experience working with Salesforce Data360 (formerly Data Cloud), Marketing Cloud is a plus.
* Experience with GitHub Copilot preferred.
The base salary range for this position is $150,000 \- $170,000\. In addition to a base salary, this position is eligible for a performance bonus and benefits (subject to eligibility requirements) listed here: Teladoc Health Benefits 2026 . Total compensation is based on several factors including, but not limited to, type of position, location, education level, work experience, and certifications. This information is applicable for all full\-time positions.
\#LI\-SS2 \#LI\-Remote
As part of our hiring process, we verify identity and credentials, conduct interviews (live or video), and screen for fraud or misrepresentation. Applicants who falsify information will be disqualified.  
Teladoc Health will not sponsor or transfer employment work visas for this position. Applicants must be currently authorized to work in the United States without the need for visa sponsorship now or in the future.
**Why join Teladoc Health?**
* Teladoc Health is transforming how better health happens. Learn how when you join us in pursuit of our impactful mission .
* Chart your career path with **meaningful opportunities** that empower you to grow, lead, and make a difference.
* Join a **multi\-faceted community** that celebrates each colleague’s unique perspective and is focused on continually improving, each and every day.
* Contribute to an **innovative culture** where fresh ideas are valued as we increase access to care in new ways.
* Enjoy an inclusive benefits program centered around you and your family, with tailored programs that address your unique needs.
* Explore candidate resources with tips and tricks from Teladoc Health recruiters and learn more about our company culture by exploring \#TeamTeladocHealth on LinkedIn .
*As an Equal Opportunity Employer, we never have and never will discriminate against any job candidate or employee due to age, race, religion, color, ethnicity, national origin, gender, gender identity/expression, sexual orientation, membership in an employee organization, medical condition, family history, genetic information, veteran status, marital status, parental status, or pregnancy). In our innovative and inclusive workplace, we prohibit discrimination and harassment of any kind.*
*Teladoc Health respects your privacy and is committed to maintaining the confidentiality and security of your personal information. In furtherance of your employment relationship with Teladoc Health, we collect personal information responsibly and in accordance with applicable data privacy laws, including but not limited to, the California Consumer Privacy Act (CCPA). Personal information is defined as: Any information or set of information relating to you, including (a) all information that identifies you or could reasonably be used to identify you, and (b) all information that any applicable law treats as personal information. Teladoc Health’s Notice of Privacy Practices for U.S. Employees’ Personal information is available* *at this link* *.*</t>
        </is>
      </c>
    </row>
    <row r="104">
      <c r="A104" t="inlineStr">
        <is>
          <t>in-b790b5a6fcd090b8</t>
        </is>
      </c>
      <c r="B104" t="inlineStr">
        <is>
          <t>Lead Data Engineer</t>
        </is>
      </c>
      <c r="C104" t="inlineStr">
        <is>
          <t>ProVation</t>
        </is>
      </c>
      <c r="D104" t="inlineStr">
        <is>
          <t>indeed</t>
        </is>
      </c>
      <c r="E104">
        <f>HYPERLINK("https://www.indeed.com/viewjob?jk=b790b5a6fcd090b8", "https://www.indeed.com/viewjob?jk=b790b5a6fcd090b8")</f>
        <v/>
      </c>
      <c r="F104">
        <f>HYPERLINK("https://fortive.eightfold.ai/careers/job/893392730224?domain=fortive.com", "https://fortive.eightfold.ai/careers/job/893392730224?domain=fortive.com")</f>
        <v/>
      </c>
      <c r="G104" t="inlineStr">
        <is>
          <t>MN, US</t>
        </is>
      </c>
      <c r="H104" s="3" t="n">
        <v>46029</v>
      </c>
      <c r="I104" t="inlineStr">
        <is>
          <t>In this position, you'd lead a team of data engineers providing direction, training, and guidance to implement software solutions. Collaborate with a cross functional team, which includes developers, product managers, QA engineers, and business analysts, to implement solutions tightly aligned with business objectives. Partner with other engineering leads to design cloud infrastructure solutions and build with quality, security, and scalability. Use the latest data flow technologies and cloud services to produce exceptional software within a continuous integration/continuous delivery environment.
**Duties \&amp; Responsibilities:**
* Work closely with Product Management and other functional teams to evaluate, develop, and maintain product features for Provation products.
* Mentor and provide professional development for team members.
* Help plan and prioritize engineering team activities and backlog.
* Develop product expertise, technical mastery and build a team.
* Ensure standards and framework compliance across the development team.
* Lead team to deliver planned commitments on time.
* Learn, understand, and use innovative technologies to gain competitive advantage.
* Creatively brainstorm and innovate on prototypes as well as future products and features to drive the business forward.
* Proactively research industry trends and best practices to apply them as necessary
* Deliver high\-quality and on\-schedule work according to Agile software development methodology.
* Participate in Agile activities including daily stand ups, estimations, and backlog grooming and reviews.
* Provide internal development support which includes delivering fast and high\-quality fixes to urgent production issues.
* Actively create opportunities for code/component re\-use
* Leverage existing frameworks, platforms, and patterns to increase time to market.
* Promote and ensure standards and framework compliance across the development team.
* Participate in code reviews providing guidance to Development and QA team members.
**Job Requirements:**
*Education \&amp; Experience*
* Bachelor’s degree in computer science or related degree preferred or equivalent work experience
* At least 5\-7 years software development experience
* Proficiency with dynamic languages such as Python or compiled languages such as Rust
* Experience with web\-based technologies such as JavaScript, TypeScript, CSS, LESS and HTML5
* Experience with unit testing frameworks such as Pytest
* Experience with SQL and relational databases such PostgreSQL
* Experience with cloud platforms such as Azure or AWS
* Solid knowledge of security and encryption best practices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Provation**
Provation is a leading provider of healthcare software and SaaS solutions for clinical productivity, care coordination, quality reporting, and billing. Our purpose is to empower providers to deliver quality healthcare for all. Provation’s comprehensive portfolio spans the entire patient encounter, from pre\-procedure through post\-procedure, with solutions for physician and nursing documentation (Provation® MD, Provation® Apex, MD\-Reports, Provation® endoPRO®, and Provation® MultiCaregiver), anesthesia documentation (\#1 Best in KLAS Provation® iPro), patient engagement, surgical care coordination, quality reporting, and billing capture (Provation® SurgicalValet™), order set and care plan management (Provation® Order Set Advisor™ and Provation® Care Plans), and EHR embedded clinical documentation (Provation® Clinic Note). Provation has a loyal customer base, serving more than 5,000 hospitals, surgery centers, and medical offices, and 700 physician groups globally, including 19 of the top 20 U.S. hospitals. In 2021, Provation was acquired by Fortive Corporation, a Fortune 1000 company that builds essential technology and accelerates transformation in high\-impact fields like workplace safety, engineering, and healthcare. For more information about our solutions, visit provationmedical.com and follow us on Twitter, Facebook, and LinkedIn. Our purpose at Provation is to empower providers to deliver quality healthcare for all. To deliver on this commitment, we’re guided by our core values – Provation has a culture of CARES:Community \- We have a shared sense of improving healthcare, enriching the broader world we live in and serve. Accountability \- We own it and get it done with integrity. Respect \- We build diverse teams that collaborate and communicate with positive intent and trust. Excellence \- We welcome new ideas as we innovate quality solutions. Service \- We are passionate about putting customers first.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**Pay Range**  
The salary range for this position (in local currency) is 109,700\.00 \- 183,200\.00
Provation is a leading provider of healthcare software and SaaS solutions for clinical productivity, care coordination, quality reporting, and billing. Our purpose is to empower providers to deliver quality healthcare for all. Provation’s comprehensive portfolio spans the entire patient encounter, from pre\-procedure through post\-procedure, with solutions for physician and nursing documentation (Provation® MD, Provation® Apex, MD\-Reports, Provation® endoPRO®, and Provation® MultiCaregiver), anesthesia documentation (\#1 Best in KLAS Provation® iPro), patient engagement, surgical care coordination, quality reporting, and billing capture (Provation® SurgicalValet™), order set and care plan management (Provation® Order Set Advisor™ and Provation® Care Plans), and EHR embedded clinical documentation (Provation® Clinic Note). Provation has a loyal customer base, serving more than 5,000 hospitals, surgery centers, and medical offices, and 700 physician groups globally, including 19 of the top 20 U.S. hospitals. In 2021, Provation was acquired by Fortive Corporation, a Fortune 1000 company that builds essential technology and accelerates transformation in high\-impact fields like workplace safety, engineering, and healthcare. For more information about our solutions, visit provationmedical.com and follow us on Twitter, Facebook, and LinkedIn. Our purpose at Provation is to empower providers to deliver quality healthcare for all. To deliver on this commitment, we’re guided by our core values – Provation has a culture of CARES:Community \- We have a shared sense of improving healthcare, enriching the broader world we live in and serve. Accountability \- We own it and get it done with integrity. Respect \- We build diverse teams that collaborate and communicate with positive intent and trust. Excellence \- We welcome new ideas as we innovate quality solutions. Service \- We are passionate about putting customers first.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The salary range for this position (in local currency) is 109,700\.00 \- 183,200\.00</t>
        </is>
      </c>
    </row>
    <row r="105">
      <c r="A105" t="inlineStr">
        <is>
          <t>in-12dea63f7336c64e</t>
        </is>
      </c>
      <c r="B105" t="inlineStr">
        <is>
          <t>Data Engineer</t>
        </is>
      </c>
      <c r="C105" t="inlineStr">
        <is>
          <t>RFA Engineering</t>
        </is>
      </c>
      <c r="D105" t="inlineStr">
        <is>
          <t>indeed</t>
        </is>
      </c>
      <c r="E105">
        <f>HYPERLINK("https://www.indeed.com/viewjob?jk=12dea63f7336c64e", "https://www.indeed.com/viewjob?jk=12dea63f7336c64e")</f>
        <v/>
      </c>
      <c r="F105">
        <f>HYPERLINK("https://recruiting2.ultipro.com/RFA1000RFAE/JobBoard/c6360fd1-bd6a-45b8-984f-6d7b65050c8b/OpportunityDetail?opportunityId=04ad584c-1f4e-4077-9926-2ba7d0c43425&amp;postingId=7defa93c-d314-47d2-9af9-6a3c9d4b40fb", "https://recruiting2.ultipro.com/RFA1000RFAE/JobBoard/c6360fd1-bd6a-45b8-984f-6d7b65050c8b/OpportunityDetail?opportunityId=04ad584c-1f4e-4077-9926-2ba7d0c43425&amp;postingId=7defa93c-d314-47d2-9af9-6a3c9d4b40fb")</f>
        <v/>
      </c>
      <c r="G105" t="inlineStr">
        <is>
          <t>Urbandale, IA, US</t>
        </is>
      </c>
      <c r="H105" s="3" t="n">
        <v>46029</v>
      </c>
      <c r="I105" t="inlineStr">
        <is>
          <t>**RFA Engineering (****www.rfamec.com****)** supports industry\-leading clients through the full software development lifecycle to build cutting\-edge precision agriculture, machine guidance, vehicle automation and autonomy applications. We are seeking passionate, talented engineers to work on exciting projects using the latest tools and technologies including robotics, computer\-vision, machine learning, IoT, cloud computing, and much more. Collaborate with a team of industry experts onsite at our client's world\-class engineering center and contribute to developing innovative solutions that drive sustainable agriculture practices.
*This is a full\-time position with a* ***full benefit package*** *listed below that includes opportunities for professional growth, direct hire by our customers, and additional opportunities within our own organization.*
**Senior Data Engineer**
As a Data Engineer, you will enable engineers, analysts, and data scientists to more effectively access, explore, and leverage enterprise data to generate insights, build models, and make data\-driven decisions. This role focuses on designing scalable cloud\-based data solutions, developing high\-quality datasets, and creating data products that empower individual contributors to work independently with complex, high\-volume data.
A key component of this role involves collaborating with embedded and digital engineering teams to define, capture, and analyze system performance, UI, and health metrics. You will help translate raw signals into actionable insights through analytics, dashboards, and monitoring tools.
**Responsibilities**
* Design, build, and maintain cloud\-based data pipelines and data products that support analytics, machine learning, and exploratory data analysis
* Enable self\-service data access by developing well\-structured, documented, and discoverable datasets for individual contributors
* Partner with embedded and digital engineering teams to define required performance, UI, and system health metrics and ensure appropriate data capture
* Perform analytics and data aggregation to translate raw signals into meaningful insights and visualizations
* Develop and maintain production\-ready Python code and data workflows using SQL, PySpark, Databricks, and related technologies
* Manage and optimize storage of diverse data types, including images, raster data, parquet files, time\-series data, geo\-tagged data, text, and other unstructured data
* Build dashboards and interactive data applications using tools such as Tableau, Plotly Dash, or similar web\-based visualization frameworks
* Develop alerting and monitoring solutions (e.g., automated email notifications) to identify system performance issues or data pipeline failures
* Collaborate in code reviews, documentation, and best\-practice development to ensure maintainable and reproducible solutions
* Manage multiple projects, priorities, and milestones while maintaining a strong sense of ownership and accountability
**Requirements**
* Bachelor’s degree or higher in Computer Science, Software Engineering, Data Engineering, or a related technical field, or equivalent professional experience
* Demonstrated experience designing and implementing cloud\-based data solutions in production environments
* Strong proficiency in Python for data engineering and analytics applications
* Experience working with data access and processing technologies such as SQL, PySpark, Databricks, Postgres, and MongoDB
* Experience building and maintaining datasets at scale across multiple data formats and structures
* Familiarity with vehicle or embedded system data, including CAN signals
* Excellent written and verbal communication skills, including the ability to lead meetings, clearly document work, communicate proof\-of\-concepts, and collaborate across teams
**Desired Attributes**
* Experience developing dashboards and visual analytics solutions using tools such as Tableau, Plotly, or similar platforms
* Familiarity with spatial data and visualization tools such as Folium or Plotly
* Experience implementing system monitoring, alerting, and health\-tracking solutions
* Strong analytical and problem\-solving skills with the ability to debug complex data and system issues
* Ability to work effectively in a self\-directed environment with minimal oversight
* Proven ability to manage multiple schedules, deliverables, and stakeholders simultaneously
* Knowledge of off\-highway, agricultural, construction, or industrial equipment data systems is a plus
**Visa sponsorship is NOT available for this position.**
**Salary Range: $80,000\-$120,000/year: Commensurate with experience**
**About RFA Engineering**
RFA Engineering has provided product development and engineering services to industry leading customers since 1943\. Our primary focus is the development of off highway equipment including agricultural, construction, mining, recreational, industrial, and special machines. Our work includes concept development, product design, documentation, problem\-solving, simulation, optimization, and testing of components, systems and complete machines. Our engineering staff is located at our Engineering Center in Minneapolis, branch office in Dubuque, IA, and at numerous customer sites throughout the U.S.  
**Competitive Benefits**
* Health and Dental Insurance
* TelaDoc Healthiest You
* Supplemental Vision Insurance
* Company Paid Life Insurance
* Company Paid Long\-Term Disability
* Short\-term Disability
* Retirement Savings Account (Traditional 401k \&amp; Roth 401k)
* Flexible Spending Plan Dependent Care
* HSA for Medical Expenses
* Bonus Plan (Exempt Employees Only)
* Paid Time Off (PTO)
* Paid Holidays
* Bereavement Leave
* Employee Assistance Programs (EAP)
* Education Assistance
**Equal Opportunity and Veteran Friendly**
#### **Education**
Preferred* Bachelors of Science or better in Data Science or related field
* Bachelors of Science or better in Computer Engineering
* Bachelors of Science or better in Computer Science or related field
#### **Skills**
Preferred* Data Analytics Data Mining
* Data Analytics Big Data
* Data Analytics
Equal Opportunity Employer  
This employer is required to notify all applicants of their rights pursuant to federal employment laws. For further information, please review the Know Your Rights notice from the Department of Labor.</t>
        </is>
      </c>
    </row>
    <row r="106">
      <c r="A106" t="inlineStr">
        <is>
          <t>in-0a4ad71b998cd1fa</t>
        </is>
      </c>
      <c r="B106" t="inlineStr">
        <is>
          <t>Data Engineer (Proposal)</t>
        </is>
      </c>
      <c r="C106" t="inlineStr">
        <is>
          <t>Abt Global</t>
        </is>
      </c>
      <c r="D106" t="inlineStr">
        <is>
          <t>indeed</t>
        </is>
      </c>
      <c r="E106">
        <f>HYPERLINK("https://www.indeed.com/viewjob?jk=0a4ad71b998cd1fa", "https://www.indeed.com/viewjob?jk=0a4ad71b998cd1fa")</f>
        <v/>
      </c>
      <c r="F106">
        <f>HYPERLINK("https://egpy.fa.us2.oraclecloud.com/hcmUI/CandidateExperience/en/sites/CX_3001/requisitions/preview/106837", "https://egpy.fa.us2.oraclecloud.com/hcmUI/CandidateExperience/en/sites/CX_3001/requisitions/preview/106837")</f>
        <v/>
      </c>
      <c r="G106" t="inlineStr">
        <is>
          <t>Rockville, MD, US</t>
        </is>
      </c>
      <c r="H106" s="3" t="n">
        <v>46029</v>
      </c>
      <c r="I106" t="inlineStr">
        <is>
          <t>**The World at Abt**
Solving the world’s most pressing issues and improving the quality of life for people worldwide is what we do every day at Abt. Advancing data\-driven innovations is no small task, but we are driven by big challenges.
We are a team of 2,000\+ people in over 40 countries working in unison and focused on the bigger picture. Only by sharing our commitment, energy, and innovation do we affect change and push the boundaries of what’s possible. We welcome representative ideas, backgrounds, and viewpoints – joining Abt means access to exceptional thinkers at the top of their game.
To thrive at Abt is to embrace flexibility and collaboration. Our open culture allows you to balance your work and personal life as needed to optimize personal well\-being. We create value\-driven partnerships around the world, but our greatest focus is on empowering our employees to advance our mission.
Ready to embrace rewarding and meaningful work? Now’s your chance.
**The Opportunity**
As a Data Engineer, you will design and maintain secure, reliable, and scalable data pipelines that power advanced analytics, reporting, and decision\-making across mission\-driven federal programs. You will support the integration of diverse data sources, optimize cloud\-based data workflows, and enable downstream data science, AI/ML, and business intelligence solutions. This full\-time role is contracted through TSPi, Abt Global’s digital services subsidiary.
**Core Responsibilities**
* Develop, build, and maintain data ingestion, ETL/ELT, and integration pipelines as defined in the data architectures across cloud environments such as Azure GovCloud or AWS GovCloud.
* Clean, validate, and transform large datasets to support analytics, dashboards, operational reporting, and machine learning workflows.
* Develop and support API\-based integrations for seamless data exchange across internal and external systems.
* Automate data workflows and monitor day\-to\-day pipeline operations to ensure performance, reliability, and scalability.
* Implement best practices and controls for data security, governance, lineage, and compliance within regulated cloud environments.
* Optimize data flows to support predictive analytics, semantic models, and reporting tools.
* Collaborate with data scientists, analysts, and cloud engineers to support feature engineering, data modeling, and analytic solution development.
* Contribute to continuous improvement of engineering standards, documentation, and cloud data operations.
* Manage pipeline performance, cost optimization and reliability, including monitoring of SLAs and data quality.
**What We Value**
* Bachelor’s degree with at least nine years, or master’s degree with at least seven years in data engineering, ETL development, or database engineering.
* Strong proficiency in SQL, Python, and cloud\-based data engineering practices.
* Experience building ETL/ELT pipelines using modern orchestration tools and cloud services.
* Strong understanding of data quality, validation, and monitoring techniques.
* Familiarity with cloud platforms (Azure, AWS) and security/compliance frameworks in regulated environments.
* Ability to solve complex problems and collaborate effectively within cross\-functional teams.
* Technical Environment (Experience with One or More is Valued)
	+ Cloud Platforms: Azure GovCloud, AWS GovCloud
	+ Data Storage \&amp; Processing: Cloud data lakes, lakehouse environments; Databricks, PySpark, Python, SQL
	+ Data Integration \&amp; Streaming: Cloud\-native ETL/ELT tools, APIs, Kafka/Event Hubs
	+ Analytics Support: Power BI, semantic modeling concepts
	+ Governance: Metadata, lineage, and access control tools (e.g., Collibra, Immuta)
	+ Applications \&amp; CRM Platforms: Dynamics 365, Salesforce
**Preferred Qualifications**
* Experience with government, healthcare, benefits, or payments data environments.
* Exposure to analytical concepts such as anomaly detection, pattern recognition, entity resolution, or risk scoring.
* Experience supporting ML feature engineering or operational analytics pipelines.
* Familiarity with federal compliance standards such as FISMA, FedRAMP, or similar frameworks.
* Experience working within a data lakehouse architecture
**What We Offer**
We foster an environment where you can Thrive Your Way. Our innovative total rewards programs are designed to help balance your work and personal life. The approach toward your wellbeing centers around comprehensive benefits, flexible schedules, and professional development.
Abt Global Inc. is an Equal Opportunity employer committed to fostering an inclusive work environment. Abt provides market\-competitive salaries and comprehensive employee benefits.
This position offers an anticipated annual base salary range of approximately $120,000 to $193,000 and may vary by ten percent depending on candidate geographic location. Salary offers are made based on internal equity and market analysis.
*Disclaimer: Abt will never ask candidates for money in exchange for an offer of employment.*
\#LI\-LR1</t>
        </is>
      </c>
    </row>
    <row r="107">
      <c r="A107" t="inlineStr">
        <is>
          <t>in-be841bc27b7cab12</t>
        </is>
      </c>
      <c r="B107" t="inlineStr">
        <is>
          <t>GCP Data Engineer</t>
        </is>
      </c>
      <c r="C107" t="inlineStr">
        <is>
          <t>Capgemini</t>
        </is>
      </c>
      <c r="D107" t="inlineStr">
        <is>
          <t>indeed</t>
        </is>
      </c>
      <c r="E107">
        <f>HYPERLINK("https://www.indeed.com/viewjob?jk=be841bc27b7cab12", "https://www.indeed.com/viewjob?jk=be841bc27b7cab12")</f>
        <v/>
      </c>
      <c r="F107">
        <f>HYPERLINK("https://www.capgemini.com/jobs/389182-en_US+sap_btp/", "https://www.capgemini.com/jobs/389182-en_US+sap_btp/")</f>
        <v/>
      </c>
      <c r="G107" t="inlineStr">
        <is>
          <t>Bridgewater, NJ, US</t>
        </is>
      </c>
      <c r="H107" s="3" t="n">
        <v>46029</v>
      </c>
      <c r="I107" t="inlineStr">
        <is>
          <t>Bridgewater, NJ
GCP Data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Description**Core Responsibilities:**
Design and maintain data pipelines on GCP using BigQuery.  
Develop and manage DBT models for data transformation.  
Write optimized SQL queries for ETL and analytics.  
Implement data warehousing solutions ensuring scalability and reliability.  
Automate workflows with Python scripts.  
Ensure data governance, security, and compliance standards.
Skill \&amp; Experience :**Required Skills:**  
Strong SQL expertise.  
Hands\-on experience with BigQuery, DBT, and other GCP services.  
Familiarity with Python for automation.  
Knowledge of data warehousing principles and Git for version control.  
**Training \&amp; Certifications:**  
Internal resources point to Google Professional Data Engineer certification as the benchmark.  
Other relevant certifications include Professional Cloud Architect, Cloud DevOps Engineer, and Machine Learning  
Engineer for advanced roles. \[GCP Trainings]
The base compensation range for this role in the posted location is : $95,000 to $105,000 .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389182\-en\_US
Posted on
08 Jan 2026
Experience level
Experienced Professionals
Contract type
Permanent
Location
Bridgewater, NJ
Business unit
I and D Global Business Line
Brand
Capgemini
Professional communities
Data \&amp; AI</t>
        </is>
      </c>
    </row>
    <row r="108">
      <c r="A108" t="inlineStr">
        <is>
          <t>in-7ecb6407c9f62be2</t>
        </is>
      </c>
      <c r="B108" t="inlineStr">
        <is>
          <t>Data Engineer II (AWS, Python, Angular, Django)</t>
        </is>
      </c>
      <c r="C108" t="inlineStr">
        <is>
          <t>Travelers</t>
        </is>
      </c>
      <c r="D108" t="inlineStr">
        <is>
          <t>indeed</t>
        </is>
      </c>
      <c r="E108">
        <f>HYPERLINK("https://www.indeed.com/viewjob?jk=7ecb6407c9f62be2", "https://www.indeed.com/viewjob?jk=7ecb6407c9f62be2")</f>
        <v/>
      </c>
      <c r="F108">
        <f>HYPERLINK("https://travelersindex.contacthr.com/150549870", "https://travelersindex.contacthr.com/150549870")</f>
        <v/>
      </c>
      <c r="G108" t="inlineStr">
        <is>
          <t>Hartford, CT, US</t>
        </is>
      </c>
      <c r="H108" s="3" t="n">
        <v>46029</v>
      </c>
      <c r="I108"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$126,500\.00 \- $208,700\.00**Target Openings**
1**What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stories found in data by leveraging a variety of data programming techniques. You will leverage your ability to design, build and deploy data solutions that capture, explore, transform, and utilize data to support Artificial Intelligence, Machine Learning and business intelligence/insights.**What Will You Do?**
* Build and operationalize complex data solutions, correct problems, apply transformations, and recommending data cleansing/quality solutions.
* Design complex data solutions
* Perform analysis of complex sources to determine value and use and recommend data to include in analytical processes.
* Incorporate core data management competencies including data governance, data security and data quality.
* Collaborate within and across teams to support delivery and educate end users on complex data products/analytic environment.
* Perform data and system analysis, assessment and resolution for complex defects and incidents and correct as appropriate.
* Test data movement, transformation code, and data components.
* Perform other duties as assigned.
**What Will Our Ideal Candidate Have?**
* Bachelor’s Degree in STEM related field or equivalent.
* Eight years of related experience.
* Strong preference for hands\-on experience with Angular framework for building front\-end web applications.
* Required to have proven experience with Django for building the server\-side (back\-end) of web applications.
* Highly proficient use of tools, techniques, and manipulation including Cloud platforms, programming languages, and a full understanding of modern software engineering practices.
* The ability to deliver work at a steady, predictable pace to achieve commitments, deliver complete solutions but release them in small batches, and identify and negotiate important tradeoffs.
* Demonstrated track record of domain expertise including understanding technical concepts necessary and industry trends, and possess in\-depth knowledge of immediate systems worked on and some knowledge of adjacent systems.
* Strong problem solver who ensures systems are built with longevity and creates innovate ways to resolve issues.
* Strong written and verbal communication skills with the ability to work collaborate well with team members and business partners.
* Ability to lead team members and help create a safe environment for others to learn and grow as engineers. and a proven track record of self\-motivation in identifying opportunities and tracking team efforts.
**What is a Must Have?**
* Bachelor’s degree in computer science, related STEM field, or its equivalent in education and/or work experience.
* 4 additional years of 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09">
      <c r="A109" t="inlineStr">
        <is>
          <t>in-5aa8b5d641132fc2</t>
        </is>
      </c>
      <c r="B109" t="inlineStr">
        <is>
          <t>Data Engineer I (AWS, Python)</t>
        </is>
      </c>
      <c r="C109" t="inlineStr">
        <is>
          <t>Travelers</t>
        </is>
      </c>
      <c r="D109" t="inlineStr">
        <is>
          <t>indeed</t>
        </is>
      </c>
      <c r="E109">
        <f>HYPERLINK("https://www.indeed.com/viewjob?jk=5aa8b5d641132fc2", "https://www.indeed.com/viewjob?jk=5aa8b5d641132fc2")</f>
        <v/>
      </c>
      <c r="F109">
        <f>HYPERLINK("https://travelersindex.contacthr.com/150549863", "https://travelersindex.contacthr.com/150549863")</f>
        <v/>
      </c>
      <c r="G109" t="inlineStr">
        <is>
          <t>Hartford, CT, US</t>
        </is>
      </c>
      <c r="H109" s="3" t="n">
        <v>46029</v>
      </c>
      <c r="I109"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$180,200\.00**Target Openings**
1**What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Looking for someone who has foundational knowledge of data engineering concepts, tools, and programming languages (e.g., SQL, Python, and Cloud Platforms).
* Looking for someone who has a strong understanding of AWS Cloud Analytical Services such as S3, Glue, Athena, Lambda, and CloudWatch.
* Looking for someone who has experience with Infrastructure as Code (IaC) and Terraform.
* Looking for someone who has an eagerness to learn and apply modern data engineering practices to build scalable and reliable data solutions.
* Looking for someone who has a strong interest in working closely with the Data Lake Admin Team to support security, access control, and governance of data platforms.
* Proficient use of tools, techniques, and manipulation including Cloud platforms, programming languages, and an understanding of software engineering practices.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10">
      <c r="A110" t="inlineStr">
        <is>
          <t>in-6c648cc3465d8d90</t>
        </is>
      </c>
      <c r="B110" t="inlineStr">
        <is>
          <t>Data Engineer</t>
        </is>
      </c>
      <c r="C110" t="inlineStr">
        <is>
          <t>Permian Resources</t>
        </is>
      </c>
      <c r="D110" t="inlineStr">
        <is>
          <t>indeed</t>
        </is>
      </c>
      <c r="E110">
        <f>HYPERLINK("https://www.indeed.com/viewjob?jk=6c648cc3465d8d90", "https://www.indeed.com/viewjob?jk=6c648cc3465d8d90")</f>
        <v/>
      </c>
      <c r="F110">
        <f>HYPERLINK("https://permianres.wd12.myworkdayjobs.com/en-US/Permian_Resources_Careers/job/Midland-Texas/Data-Engineer_R-100266", "https://permianres.wd12.myworkdayjobs.com/en-US/Permian_Resources_Careers/job/Midland-Texas/Data-Engineer_R-100266")</f>
        <v/>
      </c>
      <c r="G110" t="inlineStr">
        <is>
          <t>Midland, TX, US</t>
        </is>
      </c>
      <c r="H110" s="3" t="n">
        <v>46029</v>
      </c>
      <c r="I110" t="inlineStr">
        <is>
          <t>**Job Description:**
Permian Resources (NYSE: PR) is currently seeking a Data Engineer reporting to the Enterprise Data Sr. Manager in Midland, Texas or The Woodlands, Texas. This position will be responsible for the below responsibilities. The ideal candidate will have strong technical as well as communication skills and be able to contribute his/her expertise while working on multi\-disciplinary team in a fast\-paced environment.
**General Responsibilities**
* Integrated member of the Data \&amp; Analytics Team responsible for data engineering within Databricks for all the business teams at Permian Resources
* Responsible for designing, building, and optimizing data pipelines from source systems into an analytics ready environment
* Convert raw data into usable formats for data consumers
* Monitor and support the development and production environments within Databricks to ensure system availability and quality
* Continuously develop, test, and manage the data pipelines
* Build data pipelines that transform, clean, and aggregate data from the disparate systems
* Develop data models and pipelines for reporting, dashboards, and machine learning
* Collaborate with multiple business SMEs, data scientists and IT members to provide reliable and clean data
* Work on multiple projects in a fast\-paced environment
**Minimum Qualifications**
* Proven experience within the Databricks Data Engineering platform or similar
* BS/BA in Business Analytics, Computer Science, Statistics, or relevant field
* Proficient knowledge of SQL, Python, R or other similar languages
* Must be self\-motivated and capable of independently integrating within multi\-disciplinary teams
* Must have strong verbal and written communication skills and be able to communicate effectively with all levels of the organization
**Preferred Qualifications**
* 5 plus years of experience, with upstream oil and gas experience strongly preferred
Permian Resource is an equal opportunity employer. We celebrate diversity and are committed to creating an inclusive environment for all employees.</t>
        </is>
      </c>
    </row>
    <row r="111">
      <c r="A111" t="inlineStr">
        <is>
          <t>in-eee775b8dd73734f</t>
        </is>
      </c>
      <c r="B111" t="inlineStr">
        <is>
          <t>Analytics Engineer</t>
        </is>
      </c>
      <c r="C111" t="inlineStr">
        <is>
          <t>Keystone Cooperative</t>
        </is>
      </c>
      <c r="D111" t="inlineStr">
        <is>
          <t>indeed</t>
        </is>
      </c>
      <c r="E111">
        <f>HYPERLINK("https://www.indeed.com/viewjob?jk=eee775b8dd73734f", "https://www.indeed.com/viewjob?jk=eee775b8dd73734f")</f>
        <v/>
      </c>
      <c r="F111">
        <f>HYPERLINK("https://keystone.wd5.myworkdayjobs.com/keystone/job/Indianapolis-IN/Analytics-Engineer_JR102578", "https://keystone.wd5.myworkdayjobs.com/keystone/job/Indianapolis-IN/Analytics-Engineer_JR102578")</f>
        <v/>
      </c>
      <c r="G111" t="inlineStr">
        <is>
          <t>Indianapolis, IN, US</t>
        </is>
      </c>
      <c r="H111" s="3" t="n">
        <v>46029</v>
      </c>
      <c r="I111" t="inlineStr">
        <is>
          <t>**Job Description**
**Job Summary:**
An Analytics Engineer plays a pivotal role in transforming raw data into actionable insights that drive business decisions. This position is ideal for individuals who possess a robust blend of technical proficiency, analytical acumen, and strategic thinking. The Analytics Engineer collaborates with cross\-functional teams to ensure data integrity, optimize data workflows, and facilitate data\-driven decision\-making.
Must be authorized to work in the United States now and in the future, without company sponsorship.
Must be about to work onsite in the corporate office in Indianapolis, Indiana. (This role is not hybrid or remote).
**Duties and Responsibilities:**
* Design, develop, and maintain data pipelines using ETL (Extract, Transform, Load) processes to ensure data is efficiently and accurately integrated from disparate sources into the data warehouse.
* Architect and manage scalable data warehouse solutions to store large volumes of structured and unstructured data, ensuring data is readily accessible for analysis.
* Develop and implement data models that reflect business processes and requirements, enabling effective data analysis and reporting.
* Establish and enforce data quality standards, performing routine data validation and cleansing to maintain high data integrity.
* Optimize data processing and query performance to enhance the efficiency of data retrieval and analysis.
* Work closely with business stakeholders to understand data needs and translate them into technical requirements, ensuring alignment with business goals.
* Create comprehensive technical documentation for data pipelines, data models, and analytics solutions, promoting knowledge sharing and ensuring continuity.
* Keep abreast of emerging technologies and best practices in data engineering and analytics, recommending and implementing innovative solutions where applicable.
 **Required Skills:**
* Proficiency in SQL, Python, and data warehousing technologies. Snowflake and dbt experience a plus.
* Experience with ETL tools such as Fivetran, Airbyte, Azure Data Factory.
* Knowledge of working with development best practices such as Version Control (Github) and working in a CI/CD environment
* Excellent analytical and problem\-solving skills, with a keen ability to troubleshoot and resolve data\-related issues.
* Effective written and verbal communication skills, with an ability to articulate complex technical concepts to non\-technical stakeholders.
* Demonstrated ability to work collaboratively in a team environment, managing multiple projects and priorities simultaneously.
* Ability to adapt to changing business requirements and work in a fast\-paced, dynamic environment.
 **Education \&amp; Qualifications:**
* Educational Background: Bachelor’s or Master’s degree in Computer Science, Statistics, Information Systems, or related quantitative field.
\#LI\-DD1</t>
        </is>
      </c>
    </row>
    <row r="112">
      <c r="A112" t="inlineStr">
        <is>
          <t>in-887b113260a4e6b8</t>
        </is>
      </c>
      <c r="B112" t="inlineStr">
        <is>
          <t>Data Engineer, Lead</t>
        </is>
      </c>
      <c r="C112" t="inlineStr">
        <is>
          <t>Booz Allen Hamilton</t>
        </is>
      </c>
      <c r="D112" t="inlineStr">
        <is>
          <t>indeed</t>
        </is>
      </c>
      <c r="E112">
        <f>HYPERLINK("https://www.indeed.com/viewjob?jk=887b113260a4e6b8", "https://www.indeed.com/viewjob?jk=887b113260a4e6b8")</f>
        <v/>
      </c>
      <c r="F112">
        <f>HYPERLINK("https://careers.boozallen.com/careers/JobDetail?jobId=119353", "https://careers.boozallen.com/careers/JobDetail?jobId=119353")</f>
        <v/>
      </c>
      <c r="G112" t="inlineStr">
        <is>
          <t>Alexandria, VA, US</t>
        </is>
      </c>
      <c r="H112" s="3" t="n">
        <v>46029</v>
      </c>
      <c r="I112" t="inlineStr">
        <is>
          <t>Data Engineer, Lead**The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7\+ years of experience in application development
* 7\+ years of experience designing, developing, operationalizing, and maintaining complex data applications at enterprise scale
* 5\+ years of experience creating software for retrieving, parsing, and processing structured and unstructured data
* 5\+ years of experience developing scalable ETL or ELT workflows for reporting and analytics
* Experience developing scripts and programs for converting various types of data into usable formats and supporting project team to scale, monitor, and operate data platforms
* Experience supervising others and leading projects and deliverables within a collaborative, cross\-functional team environment
* Public Trust
* Bachelor’s degree
**Nice If You Have:**
* 10\+ years of experience using Python, SQL, Scala, or Java
* 5\+ years of experience with Agile engineering practices
* 3\+ years of experience with a public cloud, including AWS, Microsoft Azure, or Google Cloud
* 3\+ years of experience with distributed data or computing tools, including Spark, Databricks, Hadoop, Hive, AWS EMR, or Kafka
* 3\+ years of experience working on real\-time data and streaming applications
* 3\+ years of experience with data warehousing, including AWS Redshift, MySQL, or Snowflake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3">
      <c r="A113" t="inlineStr">
        <is>
          <t>in-2d1c1b629ff52db2</t>
        </is>
      </c>
      <c r="B113" t="inlineStr">
        <is>
          <t>Data Engineer</t>
        </is>
      </c>
      <c r="C113" t="inlineStr">
        <is>
          <t>Cognizant Technology Solutions</t>
        </is>
      </c>
      <c r="D113" t="inlineStr">
        <is>
          <t>indeed</t>
        </is>
      </c>
      <c r="E113">
        <f>HYPERLINK("https://www.indeed.com/viewjob?jk=2d1c1b629ff52db2", "https://www.indeed.com/viewjob?jk=2d1c1b629ff52db2")</f>
        <v/>
      </c>
      <c r="F113">
        <f>HYPERLINK("https://click.appcast.io/t/0FIfS8koC0Mawmc7__GN68jzB6-xSkwiOSqGXaWpXkY=", "https://click.appcast.io/t/0FIfS8koC0Mawmc7__GN68jzB6-xSkwiOSqGXaWpXkY=")</f>
        <v/>
      </c>
      <c r="G113" t="inlineStr">
        <is>
          <t>US</t>
        </is>
      </c>
      <c r="H113" s="3" t="n">
        <v>46029</v>
      </c>
      <c r="I113" t="inlineStr">
        <is>
          <t>### **Position Overview**
We are seeking a motivated Data Engineer to join our Data Engineering team. The ideal candidate will have exposure in Python, and SQL, and will be responsible for designing, developing, and maintaining robust data pipelines for structured, semi\-structured, and unstructured data. This role is ideal for someone passionate about building scalable data solutions and enabling advanced analytics across the organization.
### **Key Responsibilities**
* Design, develop, and optimize data pipelines using Python, Spark, and SQL.
* Ingest, process, and analyze structured (e.g., relational databases), semi\-structured (e.g., JSON, XML), and unstructured data (e.g., text, logs, images) from diverse sources.
* Implement data quality checks, validation, and transformation logic to ensure data integrity and reliability.
* Collaborate with data scientists, analysts, and business stakeholders to understand data requirements and deliver solutions.
* Develop and maintain data models, data dictionaries, and technical documentation.
* Monitor, troubleshoot, and optimize data workflows for performance and scalability.
* Ensure compliance with data governance, security, and privacy policies.
* Support data migration, integration, and modernization initiatives, including cloud\-based solutions (AWS, Azure, GCP).
* Automate repetitive data engineering tasks and contribute to continuous improvement of data infrastructure.
* Knowledge of any of the cloud platforms (AWS, Azure, GCP).
* Understanding of data security, encryption, and compliance best practices.
### **Required Skills \&amp; Qualifications**
* Bachelor’s or Master’s degree in Computer Science, Information Systems, Data Engineering, or a related field
* Good programming skills in Python and SQL
* Good problem\-solving, analytical, and communication skills
* Ability to work collaboratively in a fast\-paced environment
* Familiarity with data orchestration tools (e.g., Airflow, Prefect)
* Exposure to data lake and data warehouse architectures (e.g., Snowflake, Databricks, Big query etc.)
* Knowledge of containerization and CI/CD pipelines (e.g., Docker, Kubernetes, GitHub)
* Familiarity with data visualization tools
* Basic understanding of ETL/ELT concepts, data modeling, and data architecture
### **Location**
New hires will be hired at the Cognizant office in **Plano, TX or Teaneck, NJ,** where you will work alongside other experienced Cognizant associates delivering technology solutions. Applicants must be willing to relocate to this major geographic area. While we attempt to honor candidate location preferences, business needs and position availability will determine final location assignment.
### **Start Date**
New hires will start in **January or February 2026**. While we will attempt to honor candidate start date preferences, business need and position availability will determine final start date assignment. Exact start date will be communicated with enough time for you to plan effectively.
### **Salary and Other Compensation:**
Applications are accepted on an ongoing basis.
The annual salary for this position is $65,000\.00 depending on experience and other qualifications of the successful candidate. This position is also eligible for Cognizant’s discretionary annual incentive program, based on performance and subject to the terms of Cognizant’s applicable plans.
### **Why Choose Us?**
Cognizant delivers solutions that draw upon the full power and scale of our associates. You will be supported by high\-caliber experts and employ some of the most advanced and patented capabilities. Our associate’s diverse backgrounds offer multifaceted perspectives and fuel new ways of thinking. We encourage lively discussions which inspire better results for our clients.
###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 **Disclaimer**
The hourly rate, other compensation, and benefits information is accurate as of the date of this posting. Cognizant reserves the right to modify this information at any time, subject to applicable law.
### **Work Authorization**
Due to the nature of this position, Cognizant cannot provide sponsorship for U.S. work authorization (including participation in a CPT/OPT program) for this role.
*Cognizant is always looking for top talent. We are searching for candidates to fill future needs within the business. This job posting represents potential future employment opportunities with Cognizant. Although the position is not currently available, we want to provide you with the opportunity to express your interest in future employment opportunities with Cognizant. If a job opportunity that you may be qualified for becomes available in the future, we will notify you. At that time you can determine whether you would like to apply for the specific open position. Thank you for your interest in Cognizant career opportunities.*</t>
        </is>
      </c>
    </row>
    <row r="114">
      <c r="A114" t="inlineStr">
        <is>
          <t>in-a211e9972172b4a7</t>
        </is>
      </c>
      <c r="B114" t="inlineStr">
        <is>
          <t>Lead Software Engineer - Data Platform Engineering (Hybrid)</t>
        </is>
      </c>
      <c r="C114" t="inlineStr">
        <is>
          <t>Northwell Health</t>
        </is>
      </c>
      <c r="D114" t="inlineStr">
        <is>
          <t>indeed</t>
        </is>
      </c>
      <c r="E114">
        <f>HYPERLINK("https://www.indeed.com/viewjob?jk=a211e9972172b4a7", "https://www.indeed.com/viewjob?jk=a211e9972172b4a7")</f>
        <v/>
      </c>
      <c r="F114">
        <f>HYPERLINK("https://d.hodes.com/r/tp2?e=se&amp;tv=pixel_tracker&amp;aid=northwell&amp;p=web&amp;se_ca=indeed&amp;se_ac=click&amp;se_la=22783766&amp;u=https%3A%2F%2Feppr.fa.us2.oraclecloud.com%2FhcmUI%2FCandidateExperience%2Fen%2Fsites%2FCX_2%2Fjob%2F174903%2Fapply%2Femail%3Futm_medium%3Dsymphonytalent-jobads%26utm_campaign%3DDefault%2520Campaign%26utm_content%3DLead%2520Software%2520Engineer%2520-%2520Data%2520Platform%2520Engineering%2520(Hybrid)%26utm_term%3D174903%26utm_source%3DIndeed&amp;se_pr=e89741ad2a2fca11&amp;se_va=35&amp;tr_af=organic&amp;ti_id=1962_174903&amp;signature=1hOsBLxFPC-sbNMQtWs7BXoOb29HO_0BXAxdt-Y4xmY", "https://d.hodes.com/r/tp2?e=se&amp;tv=pixel_tracker&amp;aid=northwell&amp;p=web&amp;se_ca=indeed&amp;se_ac=click&amp;se_la=22783766&amp;u=https%3A%2F%2Feppr.fa.us2.oraclecloud.com%2FhcmUI%2FCandidateExperience%2Fen%2Fsites%2FCX_2%2Fjob%2F174903%2Fapply%2Femail%3Futm_medium%3Dsymphonytalent-jobads%26utm_campaign%3DDefault%2520Campaign%26utm_content%3DLead%2520Software%2520Engineer%2520-%2520Data%2520Platform%2520Engineering%2520(Hybrid)%26utm_term%3D174903%26utm_source%3DIndeed&amp;se_pr=e89741ad2a2fca11&amp;se_va=35&amp;tr_af=organic&amp;ti_id=1962_174903&amp;signature=1hOsBLxFPC-sbNMQtWs7BXoOb29HO_0BXAxdt-Y4xmY")</f>
        <v/>
      </c>
      <c r="G114" t="inlineStr">
        <is>
          <t>Melville, NY, US</t>
        </is>
      </c>
      <c r="H114" s="3" t="n">
        <v>46029</v>
      </c>
      <c r="I114" t="inlineStr">
        <is>
          <t>Job Description
We're seeking a hands\-on Lead Software Engineer to help build the future of our data infrastructure. In this role, you'll architect and develop greenfield services while evolving our existing platform into a best\-in\-class data solution that powers analytics, ML, and business intelligence across the organization. Leads team members to provide direct input to the overall engineering process and to team meetings. Coordinates within a team environment which is essential to work on various aspects of the platform and products, as is a devotion of collaboration to problem solve, design sophistically, and increase product quality. You'll split your time between writing code, making architectural decisions, and mentoring the team, all while solving complex problems around data ingestion, processing, storage, and access at scale. This is a rare opportunity to shape critical infrastructure from the ground up.
Job Responsibility
* Leads the design and development of solutions to various problems either independently or in a team environment; designs and maintains efficient code that is reliable.
* Guides the creation of technical documents such as a design specification document.
* Ensures applications are performing at high capacity, responsiveness, and quality.
* Finds solutions to reduce issues and defects.
* Maintains that the platform's code and data are organized, automated, and of high quality.
* Guides junior team personnel by recommending software design and development opportunities/best practices.
* Employees use knowledge and skills to contribute to the development of functional objectives and principles to achieve goals in innovative ways. Problems addressed are of diverse scope and complexity ranging from moderate to substantial.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and progressive experience where team leadership was demonstrated, required.
**HIGHLY PREFERRED**
* **Extensive Google Cloud Platform (GCP) experience**
* **Previous experience as a Data Platform Engineer for a large organization**
* **Experience in/ with Python (FastAPI), Next.JS**
* **Experience with infrastructure as code, specifically Terraform**
* **Experience building and operating GKE**
* **Experience with Airflow, DBT, and/ or Dataform**
* **Experience with OpenLineage, OpenMetadata and data contracts**
* **Additional Salary Detail**
The salary range and/or hourly rate listed is a good faith determination of potential base compensation that may be offered to a successful applicant for this position at the time of this job advertisement and may be modified in the future. When determining a team member's base salary and/or rate, several factors may be considered as applicable (e.g., location, specialty, service line, years of relevant experience, education, credentials, negotiated contracts, budget and internal equity).</t>
        </is>
      </c>
    </row>
    <row r="115">
      <c r="A115" t="inlineStr">
        <is>
          <t>in-f156ab0164444a9d</t>
        </is>
      </c>
      <c r="B115" t="inlineStr">
        <is>
          <t>Lead Data Engineer - Data Platform Engineering (Hybrid)</t>
        </is>
      </c>
      <c r="C115" t="inlineStr">
        <is>
          <t>Northwell Health</t>
        </is>
      </c>
      <c r="D115" t="inlineStr">
        <is>
          <t>indeed</t>
        </is>
      </c>
      <c r="E115">
        <f>HYPERLINK("https://www.indeed.com/viewjob?jk=f156ab0164444a9d", "https://www.indeed.com/viewjob?jk=f156ab0164444a9d")</f>
        <v/>
      </c>
      <c r="F115">
        <f>HYPERLINK("https://d.hodes.com/r/tp2?e=se&amp;tv=pixel_tracker&amp;aid=northwell&amp;p=web&amp;se_ca=indeed&amp;se_ac=click&amp;se_la=22783767&amp;u=https%3A%2F%2Feppr.fa.us2.oraclecloud.com%2FhcmUI%2FCandidateExperience%2Fen%2Fsites%2FCX_2%2Fjob%2F174891%2Fapply%2Femail%3Futm_medium%3Dsymphonytalent-jobads%26utm_campaign%3DDefault%2520Campaign%26utm_content%3DLead%2520Data%2520Engineer%2520-%2520Data%2520Platform%2520Engineering%2520(Hybrid)%26utm_term%3D174891%26utm_source%3DIndeed&amp;se_pr=e89741ad2a2fca11&amp;se_va=35&amp;tr_af=organic&amp;ti_id=1962_174891&amp;signature=1hOsBLxFPC-sbNMQtWs7BXoOb29HO_0BXAxdt-Y4xmY", "https://d.hodes.com/r/tp2?e=se&amp;tv=pixel_tracker&amp;aid=northwell&amp;p=web&amp;se_ca=indeed&amp;se_ac=click&amp;se_la=22783767&amp;u=https%3A%2F%2Feppr.fa.us2.oraclecloud.com%2FhcmUI%2FCandidateExperience%2Fen%2Fsites%2FCX_2%2Fjob%2F174891%2Fapply%2Femail%3Futm_medium%3Dsymphonytalent-jobads%26utm_campaign%3DDefault%2520Campaign%26utm_content%3DLead%2520Data%2520Engineer%2520-%2520Data%2520Platform%2520Engineering%2520(Hybrid)%26utm_term%3D174891%26utm_source%3DIndeed&amp;se_pr=e89741ad2a2fca11&amp;se_va=35&amp;tr_af=organic&amp;ti_id=1962_174891&amp;signature=1hOsBLxFPC-sbNMQtWs7BXoOb29HO_0BXAxdt-Y4xmY")</f>
        <v/>
      </c>
      <c r="G115" t="inlineStr">
        <is>
          <t>Melville, NY, US</t>
        </is>
      </c>
      <c r="H115" s="3" t="n">
        <v>46029</v>
      </c>
      <c r="I115" t="inlineStr">
        <is>
          <t>Job Description
We're looking for a hands\-on Lead Data Engineer to architect and build the data pipelines and infrastructure that power our analytics, ML, and business intelligence capabilities. You'll design greenfield data solutions while modernizing our existing systems to create a scalable, reliable, and performant data platform. Leads the implementation of information systems to manage financial functions for Patient Financial Services/Accounts. Oversees projects and initiatives to meet user requirements. Serves as a liaison between department (user) and vendors. Ensures systems compliance to applicable laws, regulatory standards and policies. This is a unique opportunity to own critical data infrastructure from the ground up. You'll spend your time building robust ETL/ELT pipelines, optimizing data models, building reusable and extensible frameworks, and mentoring the team all while solving complex challenges around data ingestion, transformation, and orchestration at scale.
Job Responsibility
* Coordinates implementation of information system initiatives to meet user requirements.
* Communicates with user departments and project teams regarding implementation activities and system changes to ensure feasibility.
* Develops system specifications that appropriately meet department requirements.
* Develops systems to track data in comprehensive and innovative ways.
* Collaborates with hospital departments and outside vendors to facilitate managed care contract implementation.
* Coordinates and maintains communication between the hospital and vendor(s) regarding system applications.
* Performs periodic post\-installation reviews of system initiatives.
* Conducts system\-wide in\-services with managers and staff, as necessary.
* Ensures systems compliance to applicable laws, regulatory standards and policies.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including technical experience with Apache Hadoop, NoSQL, setting up cloud clusters, Apache Spark, and other advanced data science and big data technologies, required.
**HIGHLY PREFERRED**
* **Extensive Google Cloud Platform (GCP) experience**
* **Previous experience as a Data Platform Engineer/ Data Engineer/ Analytics Engineer for a large organization**
* **Experience in/ with Python (FastAPI, Pandas, Polars, etc.)**
* **Experience with infrastructure as code, specifically Terraform**
* **Extensive experience with Airflow, DBT, and/ or Dataform**
* **Experience with OpenLineage, OpenMetadata and data contracts**
* **Extensive experience with BigQuery, CloudSQL, Pub/ Sub, Dataflow, Cloud Storage, etc.**
* **Experience with the Cloud Healthcare API/ FHIR/ HL7**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116">
      <c r="A116" t="inlineStr">
        <is>
          <t>in-adad8001e88db2a4</t>
        </is>
      </c>
      <c r="B116" t="inlineStr">
        <is>
          <t>Data Engineer</t>
        </is>
      </c>
      <c r="C116" t="inlineStr">
        <is>
          <t>Amazon.com</t>
        </is>
      </c>
      <c r="D116" t="inlineStr">
        <is>
          <t>indeed</t>
        </is>
      </c>
      <c r="E116">
        <f>HYPERLINK("https://www.indeed.com/viewjob?jk=adad8001e88db2a4", "https://www.indeed.com/viewjob?jk=adad8001e88db2a4")</f>
        <v/>
      </c>
      <c r="F116">
        <f>HYPERLINK("https://www.amazon.jobs/jobs/3141339/data-engineer?cmpid=DA_INAD200785B", "https://www.amazon.jobs/jobs/3141339/data-engineer?cmpid=DA_INAD200785B")</f>
        <v/>
      </c>
      <c r="G116" t="inlineStr">
        <is>
          <t>Seattle, WA, US</t>
        </is>
      </c>
      <c r="H116" s="3" t="n">
        <v>46001</v>
      </c>
      <c r="I1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in-98ae9de5169d7157</t>
        </is>
      </c>
      <c r="B117" t="inlineStr">
        <is>
          <t>Data Engineer</t>
        </is>
      </c>
      <c r="C117" t="inlineStr">
        <is>
          <t>Amazon.com</t>
        </is>
      </c>
      <c r="D117" t="inlineStr">
        <is>
          <t>indeed</t>
        </is>
      </c>
      <c r="E117">
        <f>HYPERLINK("https://www.indeed.com/viewjob?jk=98ae9de5169d7157", "https://www.indeed.com/viewjob?jk=98ae9de5169d7157")</f>
        <v/>
      </c>
      <c r="F117">
        <f>HYPERLINK("https://www.amazon.jobs/jobs/3141339/data-engineer?cmpid=DA_INAD200785B", "https://www.amazon.jobs/jobs/3141339/data-engineer?cmpid=DA_INAD200785B")</f>
        <v/>
      </c>
      <c r="G117" t="inlineStr">
        <is>
          <t>San Francisco, CA, US</t>
        </is>
      </c>
      <c r="H117" s="3" t="n">
        <v>46001</v>
      </c>
      <c r="I1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in-ba349d74ebbeb19d</t>
        </is>
      </c>
      <c r="B118" t="inlineStr">
        <is>
          <t>Delivery Consultant - Data Engineer, Data and Machine Learning, WWPS US Federal</t>
        </is>
      </c>
      <c r="C118" t="inlineStr">
        <is>
          <t>Amazon Web Services</t>
        </is>
      </c>
      <c r="D118" t="inlineStr">
        <is>
          <t>indeed</t>
        </is>
      </c>
      <c r="E118">
        <f>HYPERLINK("https://www.indeed.com/viewjob?jk=ba349d74ebbeb19d", "https://www.indeed.com/viewjob?jk=ba349d74ebbeb19d")</f>
        <v/>
      </c>
      <c r="F118">
        <f>HYPERLINK("https://www.amazon.jobs/jobs/3134583/delivery-consultant--data-engineer-data-and-machine-learning-wwps-us-federal?cmpid=DA_INAD200785B", "https://www.amazon.jobs/jobs/3134583/delivery-consultant--data-engineer-data-and-machine-learning-wwps-us-federal?cmpid=DA_INAD200785B")</f>
        <v/>
      </c>
      <c r="G118" t="inlineStr">
        <is>
          <t>Arlington, VA, US</t>
        </is>
      </c>
      <c r="H118" s="3" t="n">
        <v>45991</v>
      </c>
      <c r="I118"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in-2b7b7e81183ca469</t>
        </is>
      </c>
      <c r="B119" t="inlineStr">
        <is>
          <t>Delivery Consultant - Data Engineer, Data and Machine Learning, WWPS US Federal</t>
        </is>
      </c>
      <c r="C119" t="inlineStr">
        <is>
          <t>Amazon Web Services</t>
        </is>
      </c>
      <c r="D119" t="inlineStr">
        <is>
          <t>indeed</t>
        </is>
      </c>
      <c r="E119">
        <f>HYPERLINK("https://www.indeed.com/viewjob?jk=2b7b7e81183ca469", "https://www.indeed.com/viewjob?jk=2b7b7e81183ca469")</f>
        <v/>
      </c>
      <c r="F119">
        <f>HYPERLINK("https://www.amazon.jobs/jobs/3134583/delivery-consultant--data-engineer-data-and-machine-learning-wwps-us-federal?cmpid=DA_INAD200785B", "https://www.amazon.jobs/jobs/3134583/delivery-consultant--data-engineer-data-and-machine-learning-wwps-us-federal?cmpid=DA_INAD200785B")</f>
        <v/>
      </c>
      <c r="G119" t="inlineStr">
        <is>
          <t>Herndon, VA, US</t>
        </is>
      </c>
      <c r="H119" s="3" t="n">
        <v>45991</v>
      </c>
      <c r="I119"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in-173b745579a0189b</t>
        </is>
      </c>
      <c r="B120" t="inlineStr">
        <is>
          <t>Data Engineer III, ITA</t>
        </is>
      </c>
      <c r="C120" t="inlineStr">
        <is>
          <t>Amazon.com</t>
        </is>
      </c>
      <c r="D120" t="inlineStr">
        <is>
          <t>indeed</t>
        </is>
      </c>
      <c r="E120">
        <f>HYPERLINK("https://www.indeed.com/viewjob?jk=173b745579a0189b", "https://www.indeed.com/viewjob?jk=173b745579a0189b")</f>
        <v/>
      </c>
      <c r="F120">
        <f>HYPERLINK("https://www.amazon.jobs/jobs/3071316/data-engineer-iii-ita?cmpid=DA_INAD200785B", "https://www.amazon.jobs/jobs/3071316/data-engineer-iii-ita?cmpid=DA_INAD200785B")</f>
        <v/>
      </c>
      <c r="G120" t="inlineStr">
        <is>
          <t>Arlington, VA, US</t>
        </is>
      </c>
      <c r="H120" s="3" t="n">
        <v>45893</v>
      </c>
      <c r="I120"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in-ad58dd61a1c5e10e</t>
        </is>
      </c>
      <c r="B121" t="inlineStr">
        <is>
          <t>Data Engineer III, ITA</t>
        </is>
      </c>
      <c r="C121" t="inlineStr">
        <is>
          <t>Amazon.com</t>
        </is>
      </c>
      <c r="D121" t="inlineStr">
        <is>
          <t>indeed</t>
        </is>
      </c>
      <c r="E121">
        <f>HYPERLINK("https://www.indeed.com/viewjob?jk=ad58dd61a1c5e10e", "https://www.indeed.com/viewjob?jk=ad58dd61a1c5e10e")</f>
        <v/>
      </c>
      <c r="F121">
        <f>HYPERLINK("https://www.amazon.jobs/jobs/3071316/data-engineer-iii-ita?cmpid=DA_INAD200785B", "https://www.amazon.jobs/jobs/3071316/data-engineer-iii-ita?cmpid=DA_INAD200785B")</f>
        <v/>
      </c>
      <c r="G121" t="inlineStr">
        <is>
          <t>Seattle, WA, US</t>
        </is>
      </c>
      <c r="H121" s="3" t="n">
        <v>45893</v>
      </c>
      <c r="I121"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li-4330477020</t>
        </is>
      </c>
      <c r="B2" t="inlineStr">
        <is>
          <t>Data Engineer</t>
        </is>
      </c>
      <c r="C2" t="inlineStr">
        <is>
          <t>The Walt Disney Company</t>
        </is>
      </c>
      <c r="D2" t="inlineStr">
        <is>
          <t>linkedin</t>
        </is>
      </c>
      <c r="E2" t="inlineStr"/>
      <c r="F2" t="inlineStr"/>
      <c r="G2" t="inlineStr">
        <is>
          <t>Burbank, CA</t>
        </is>
      </c>
      <c r="H2" t="inlineStr"/>
      <c r="I2" t="inlineStr">
        <is>
          <t>At Disney, we’re storytellers. We make the impossible, possible. The Walt Disney Company is a world\-class entertainment and technological leader. Walt’s passion was to continuously envision new ways to move audiences around the world—a passion that remains our touchstone in an enterprise that stretches from theme parks, resorts and a cruise line to sports, news, movies and a variety of other businesses. Uniting each endeavor is a commitment to creating and delivering unforgettable experiences — and we’re constantly looking for new ways to enhance these exciting experiences.
 The Enterprise Technology mission is to deliver technology solutions that align to business strategies while enabling enterprise efficiency and promoting cross\-company collaborative innovation. Our group drives competitive advantage by enhancing our consumer experiences, enabling business growth, and advancing operational excellence.
 The Enterprise Technology FinOps team provides unique insights that help inform the Company’s technology strategy. We partner with engineering teams to ensure optimal system architectures, technology vendors to build data pipelines that enable the extraction of key insights, and our finance team to build reporting that serves as a key input to executive decision\-making and strategy.
**Responsibilities**
* Develop and maintain automated data solutions that ingest, transform and generate insights in the form of curated data.
* Support and maintain the data and infrastructure that powers a shared customer data platform
* Analyze and model data to design data solutions that provide business insights.
* Recognizing patterns and opportunities to consolidate implementations and/or create standards
* Have a growth mindset and a desire to learn
* Be proactive and have initiative
* Provide clear and concise communication to technical and non\-technical audiences
**Must Haves**
* A minimum of 3 years of Data Engineering experience
* A minimum of 3 years of cloud experience (AWS required, Azure and GCP preferred)
* Data Engineering, ETL development and data warehousing experience
* SQL and Python proficiency
* Experience building data pipelines in Databricks
* Data Visualization (Tableau, PowerBI, Databricks AI/BI)
* Data Analysis and Modeling
**Nice to Haves**
* Azure and GCP experience
* PySpark experience
* Experience building and interacting with MCP servers for data analysis
* Experience applying AI to data engineering techniques
**Education**
* Bachelor’s degree in Computer Science, Information Systems, Software, Electrical or Electronics Engineering, or comparable field of study, and/or equivalent work experience
* A plus if you have a Masters Degree
 The hiring range for this position in Burbank, CA is $104,600 to $140,200 per year and in Seattle, WA is $109,500 to $146,800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
      <c r="A3" t="inlineStr">
        <is>
          <t>li-4352131787</t>
        </is>
      </c>
      <c r="B3" t="inlineStr">
        <is>
          <t>Data Engineer</t>
        </is>
      </c>
      <c r="C3" t="inlineStr">
        <is>
          <t>Woodforest National Bank</t>
        </is>
      </c>
      <c r="D3" t="inlineStr">
        <is>
          <t>linkedin</t>
        </is>
      </c>
      <c r="E3" t="inlineStr"/>
      <c r="F3" t="inlineStr"/>
      <c r="G3" t="inlineStr">
        <is>
          <t>The Woodlands, TX</t>
        </is>
      </c>
      <c r="H3" t="inlineStr"/>
      <c r="I3" t="inlineStr">
        <is>
          <t>Take the next step toward your new career today!
 Become a part of the diverse and inclusive team within our nationally recognized award\-winning Bank that is one of the strongest in the nation. Woodforest National Bank is privately owned, and our Employee Stock Ownership Plan is the largest shareholder. We focus on building relationships and discovering opportunities to better serve our communities and understand the financial needs of every customer we serve. At Woodforest we care and prove it by volunteering with local charities and foodbanks to give back to the communities we serve. By joining Woodforest you will become a part of one of the largest employee\-owned banks in the country!
 The Data Engineer’s primary responsibility will be building and maintaining automated pipelines in Azure Devops, maintaining and implementing source control and branching strategies in ADO GIT, building and maintaining Azure Data Factory Pipelines, building and maintaining ELT processes in the SQL catalog. Secondary responsibilities include developing, supporting, and enhancing database programs, creating data marts, shared data sets, and reports using the SQL platform. This senior position typically handles projects of a more complex nature and serves as a resource to junior team members.
**Key Responsibilities**
* Serves as a senior resource to junior team members, assisting with questions, obstacles, and issue resolution.
* Creating and maintaining Pipelines in Azure Data Factory.
* Creating and maintaining effective CI/CD methodologies.
* Creation of data mart databases used for business reporting and operational processes.
* Creation of shared dataset used by the business and other team members for self\-service reporting.
**Competencies Required**
* Excellent customer service, problem solving, and communication skills with the ability to effectively identify and translate business user needs, and to convey complex technical information in a clear and concise manner.
* Strong organizational skills with the ability to manage timelines and prioritize workload in a high\-pressure, results\-oriented environment.
* Self\-starter with the ability to work independently while supporting a team environment.
* Developed analytical and troubleshooting skills with strong attention to detail and high concern for data accuracy.
* Flexibility to provide after hours and weekend support on occasion to support business needs.
* Strong data analysis and mapping skills with intermediate proficiency in Microsoft database and reporting technologies and tools including Office, SharePoint, SQL Server Integration and Reporting Services and Management Studio, Visual Studio, and Team Foundation Server.
**Job**
 Technology Services
**Primary Location**
 Texas\-The Woodlands
**Schedule**
 Full\-time
**Work Locations**
 TX \- Operations Center\-0100
**Unposting Date**
 Ongoing
**Organization**
 Texas \- Houston
**Minimum Qualifications/Experience**
* 6\+ years’ experience in a SQL development role; or a combination of directly related education and experience required.
* 1\+ Years experience in Azure Data Factory Development
* 1\+ Years experience in Azure Devops Pipeline Management
* 1\+ Years experience in GIT
**Formal Education \&amp; Certification**
* High School Diploma or equivalent required.
* Bachelor’s degree in Computer Science, Information Systems, or related field preferred.
**Work Status**
* Full\-Time.
**Supervisory Responsibility**
* None.
**Travel**
* No travel expected.
**Working Conditions**
* Conditions involve lifting no more than ten pounds, sitting most of the time, but may involve walking, moving, or standing for brief periods, and occasionally lifting and carrying articles like files, ledgers, folders, etc.
**Disclaimer**
 This job description is not designed to cover or contain a comprehensive listing of activities, duties or responsibilities that are required of the employee. Nothing herein restricts management’s right to assign or reassign duties and responsibilities to this job at any time.
 Woodforest is an Equal Opportunity Employer, including Disability and Veterans.</t>
        </is>
      </c>
    </row>
    <row r="4">
      <c r="A4" t="inlineStr">
        <is>
          <t>li-4359323869</t>
        </is>
      </c>
      <c r="B4" t="inlineStr">
        <is>
          <t>Data Engineer</t>
        </is>
      </c>
      <c r="C4" t="inlineStr">
        <is>
          <t>University of Michigan</t>
        </is>
      </c>
      <c r="D4" t="inlineStr">
        <is>
          <t>linkedin</t>
        </is>
      </c>
      <c r="E4" t="inlineStr"/>
      <c r="F4" t="inlineStr"/>
      <c r="G4" t="inlineStr"/>
      <c r="H4" t="inlineStr"/>
      <c r="I4" t="inlineStr">
        <is>
          <t>**About The Company**
 The University of Michigan is a distinguished institution committed to excellence in education, research, and community engagement. Renowned for its innovative approach and dedication to societal impact, the university fosters an environment where data\-driven decision\-making and technological advancement are at the forefront. As part of its mission to serve the public good, the university actively leverages data analytics and artificial intelligence to enhance its initiatives, including philanthropy, research, and student success.
 The Office of University Development plays a pivotal role in fostering relationships and securing resources to support the university’s strategic goals. Joining this esteemed institution offers an opportunity to contribute to impactful projects that benefit communities locally and globally, while working in a collaborative, inclusive, and forward\-thinking environment.
**About The Role**
 We are seeking a talented Data Engineer to join our dedicated team of data enthusiasts at the University of Michigan. Reporting directly to the Director of Data Science and Decision Support, this role is integral to transforming complex, raw data into actionable insights that support university fundraising and development efforts. The ideal candidate will possess a strong background in data engineering, with proficiency in managing large datasets, developing data pipelines, and integrating AI tools into workflows.
 This position involves extensive programming, data wrangling, and collaboration with cross\-functional teams to build structured data products used in machine learning and AI applications. The role offers a unique chance to work on impactful projects that harness the power of data for the greater good, fostering innovation while maintaining a mindful approach to inclusion and diversity.
**Qualifications**
* Bachelor's degree in information systems, computer science/engineering, data science, or related field
* Minimum of 3 years of experience with big data storage formats and query tools such as Hadoop, Hive, Parquet, Delta Lake, or NoSQL databases
* At least 2 years of experience with Amazon AWS and Databricks platforms
* Proficiency in SQL and Python for data manipulation, merging large datasets, cleaning messy records, and data transformation
* Experience with modern data engineering workflows, frameworks, and software development best practices, including Agile methodologies and version control
* Knowledge of integrating AI tools into data workflows and developing self\-service analytics tools
* Understanding of machine learning, data mining concepts, and cloud\-based analytics tools
* Strong collaboration skills and curiosity to solve complex data challenges with diverse teams
**Responsibilities**
* Design, develop, and maintain scalable data pipelines and workflows to support university fundraising initiatives
* Extract, transform, and load (ETL) data from various sources, including APIs and external data feeds
* Manage and optimize large datasets using big data technologies and query tools
* Implement AI and machine learning models within data engineering workflows to enhance predictive analytics
* Collaborate with data scientists, analysts, and stakeholders to gather requirements and develop data solutions
* Create documentation and visualizations to communicate data processes and insights effectively
* Build interactive, reusable, and self\-service online analytics tools for end\-users
* Ensure data quality, security, and compliance throughout all data management activities
* Stay updated with emerging data engineering technologies and incorporate them into workflows as appropriate
**Benefits**
* Generous paid time off including vacation, holidays, sick leave, season days, and parental leave
* Retirement plan with two\-for\-one matching contributions and immediate vesting
* Comprehensive health insurance options
* Life insurance and long\-term disability coverage
* Flexible spending accounts for healthcare and dependent care expenses
* Opportunities for professional development and continuous learning
* Work\-life balance with hybrid or remote work options where applicable
 Equal Opportunity
 The University of Michigan is an equal employment opportunity employer. We celebrate diversity and are committed to creating an inclusive environment for all employees. All qualified applicants will receive consideration for employment without regard to race, color, religion, sex, sexual orientation, gender identity, national origin, age, disability, or protected veteran status.</t>
        </is>
      </c>
    </row>
    <row r="5">
      <c r="A5" t="inlineStr">
        <is>
          <t>li-4320803349</t>
        </is>
      </c>
      <c r="B5" t="inlineStr">
        <is>
          <t>Senior Data Engineer</t>
        </is>
      </c>
      <c r="C5" t="inlineStr">
        <is>
          <t>Above Lending</t>
        </is>
      </c>
      <c r="D5" t="inlineStr">
        <is>
          <t>linkedin</t>
        </is>
      </c>
      <c r="E5" t="inlineStr"/>
      <c r="F5" t="inlineStr"/>
      <c r="G5" t="inlineStr">
        <is>
          <t>Chicago, IL</t>
        </is>
      </c>
      <c r="H5" t="inlineStr"/>
      <c r="I5" t="inlineStr">
        <is>
          <t>Above Lending is a next\-generation financial services company. We provide simple and transparent products aimed at helping our clients achieve their personal finance goals. With competitive rates and personalized support, our mission is to simplify the lending process and help borrowers attain financial well\-being. We are committed to making credit more affordable and accessible.
 We are seeking a talented and experienced Senior Data Engineer to join our dynamic team. The ideal candidate will be proficient in building and maintaining robust data infrastructure, designing efficient data models, and visualizing insights to drive strategic decision\-making. As a Data Engineer, you will play a crucial role in optimizing our data pipelines, ensuring reliability, and enhancing data visualization capabilities.
**We Will:** 
* Design, build, and maintain scalable data infrastructure using Snowflake, Airflow, Fivetran, and DBT to support efficient data pipelines
* Maintain expertise in SQL and Python for data manipulation, analysis, and automation
* Leverage business acumen to collaborate with stakeholders on data mart development, addressing issues such as missing, inaccurate, or incomplete data
* Develop and implement comprehensive tests to ensure accurate data ingestion and processing, particularly within DBT data models, ensuring reliability across the pipeline
* Apply site reliability engineering best practices, using tools like Datadog to monitor ETL pipelines and maintain system stability
* Collaborate with cross\-functional teams to gather requirements, identify opportunities, and implement data solutions that provide business value
* Be a team player, working effectively within collaborative environments, while also acting as a self\-starter, driving projects forward independently
**You Have:** 
* At least five years of hands\-on experience in data engineering roles, preferably within the fintech industry
* Bachelors Degree in related fieldProficient in SQL and Python for data manipulation, automation, and optimization
* Strong ability to understand and analyze complex business processes
* Expertise in data infrastructure tools, including Snowflake, Airflow, Fivetran, and DBT
* Excellent communication skills, collaborative mindset, problem\-solving abilities, and adept at troubleshooting complex issues
* Proficient in data modeling techniques, Git version control, and continuous integration/deployment processes, with a focus on cloud technologies, especially AWS
 Join our dynamic team and contribute to Above Lending’s success as we continue to provide innovative lending solutions to our customers.
*Under the California Consumer Privacy Act (“CCPA”), Above Lending is informing California residents who are our job applicants, contractors or prospective employees (together “job applicants”) about the categories of personal information we collect about you and the purposes for which we will use this information. This notice and our Privacy Policy contain important information relating to the CCPA and apply only to personal information that is subject to the CCPA. Please see our website for the full CCPA statement.* 
 \*Above Lending is an equal opportunity Employer\*
*Above Lending does not accept unsolicited resumes from individual recruiters or third\-party recruiting agencies in response to job positions.  No fee will be paid to their parties who submit unsolicited candidates directly to Above Lending employees or the Above Lending Finance and HR teams.  No placement fee will be paid to any third party unless such a request has been made by the Above Lending HR team.*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role is eligible for additional incentives, including an annual bonus. These rewards are allocated based on level, impact and performance in the role. The compensation range is based on the level outlined in the job posting, and compensation decisions are dependent on each applicant's experience, skills and abilities.</t>
        </is>
      </c>
    </row>
    <row r="6">
      <c r="A6" t="inlineStr">
        <is>
          <t>li-4359363170</t>
        </is>
      </c>
      <c r="B6" t="inlineStr">
        <is>
          <t>Data Engineer</t>
        </is>
      </c>
      <c r="C6" t="inlineStr">
        <is>
          <t>Dune</t>
        </is>
      </c>
      <c r="D6" t="inlineStr">
        <is>
          <t>linkedin</t>
        </is>
      </c>
      <c r="E6" t="inlineStr"/>
      <c r="F6" t="inlineStr"/>
      <c r="G6" t="inlineStr">
        <is>
          <t>New York, United States</t>
        </is>
      </c>
      <c r="H6" t="inlineStr"/>
      <c r="I6" t="inlineStr">
        <is>
          <t>**About Dune**
 Dune is on a mission to make crypto data accessible. We’re a collaborative multi\-chain analytics platform used by thousands of developers, analysts, \&amp; investors to understand the on\-chain world and the frontiers of finance. We’re a team of \~60 employees, working together across Europe and eastern US timezones 🌍️. We believe in our mission, and in building a powerful, open product that allows individuals and communities to do deep research into important ecosystems like Bitcoin, Ethereum, Solana, and many more.
 We’re backed by some of the world's best investors. In February 2022, we announced our Series B funding round led by Coatue and Union Square Ventures, an important milestone that allowed us to double down on our mission. We’re using the funds to educate, reward and empower a new generation of onchain analysts aka Wizards 🧙‍♀️
 If you want to have one of the highest impact jobs on the planet, come join our wonderful team of Galaxy brains.
**Learn more about us:**
 Dune's Vision
 Values and working at Dune
**About The Role**
 Dune’s data team turns raw on\-chain activity into trustworthy, reusable datasets that power dashboards, products, and research. We’re hiring a Data Engineer to build and operate reliable pipelines, model complex protocol mechanics into durable schemas, and scale curated datasets across chains. You’ll collaborate with product and our customers, bringing strong data engineering fundamentals and curiosity, with blockchain data intuition as a plus.
****In this role you will****
* Design, implement, and maintain data pipelines that standardize how on\-chain data is consumed by Dune customers
* Establish the right architecture to ensure data quality and timely delivery, including validation gates, SLAs, observability, and lineage\-aware deployments
* Triage, analyze, and fix pipeline issues independently, driving root\-cause analysis and long\-term reliability improvements
* Own end\-to\-end transformation pipelines with robust testing, CI, documentation, and cost awareness from raw to curated layers
* Build and orchestrate reliable pipelines using modern schedulers and control planes to handle high\-volume community contributions
* Partner with product, go\-to\-market, and community contributors to unlock clear user value and faster time to insight
* Replicate curated datasets efficiently into Kafka, Snowflake, BigQuery, and Databricks with appropriate partitioning, compression, and change data capture strategies
****You might be a great fit if you have****
* Strong SQL skills and experience modeling large datasets in modern warehouses, with expertise in at least one of Trino, Snowflake, or ClickHouse
* Proficiency in Python for pipeline development, tooling, and automation
* Proven track record operating robust pipelines and orchestration with tools like Prefect, Airflow, Elementary, or similar
* Solid computer science fundamentals, system design skills, and experience in public cloud and container orchestration (e.g., Kubernetes)
* Ability to analyze, debug, and resolve data pipeline and modeling issues independently in a remote, async environment
* Strong blockchain data intuition, including reading transactions, events, and traces
* Interest in query engine internals and performance optimization
* Experience with data lakes, large\-scale data processing, and systems performance
* Familiarity with CI for data, observability, cost optimization, and leveraging AI tools to accelerate development and operations
**Perks \&amp; Benefits**
* A competitive salary and equity package 🚀. Both salary and equity is top 25% of companies in the space
* Our employee equity scheme has world\-class employee\-friendly terms with a heavily discounted strike price (\~90%) and a 10\-year exercise window
* 5 weeks PTO \+ local public holidays (that can be swapped to suit you) 🏖
* A fully remote\-first approach 🧑‍💻 within a distributed team with flexible working hours; you structure your own day
* Say goodbye to meeting overload! We believe in a healthy mix of async and sync work, so you can focus on what truly matters—no more wasted time on endless meetings!
* Good health is important, so we offer private medical insurance, dental \&amp; vision as standard 🩺
* We believe in paid parental leave �� to help you celebrate this important milestone, transition to your new life, and bond with your new baby. We offer 16 weeks to primary and 6 weeks to secondary caregivers, fully paid. Plus a 2\-week part\-time phased return at full pay to help you get used to your new (and slightly more complex!) schedule
* Quarterly offsites in various exciting locations as a company or team to connect, work together and have fun (so far in Tuscany 🇮🇹 Berlin 🇩🇪 Austria 🇦🇹 and Athens 🇬🇷).
* On top of this 👆each person gets a yearly travel allowance to connect and co\-work with someone or a team of people for a few days.
* An allowance for your at\-home setup, to ensure you are happy, comfortable and productive. If you prefer a local co\-working space, we’ll pay for your desk.
* Work with some of the best people you’ll ever get to meet!
* And of course, you get some awesome Dune swag! ✌️😎
 We are dedicated to building a diverse, inclusive, and authentic workplace, so if you’re excited about this role but your experience doesn’t align perfectly with every qualification in the job description, we encourage you to apply anyway. You may be just the right candidate for this or other roles.</t>
        </is>
      </c>
    </row>
    <row r="7">
      <c r="A7" t="inlineStr">
        <is>
          <t>li-4331052154</t>
        </is>
      </c>
      <c r="B7" t="inlineStr">
        <is>
          <t>Data Engineer</t>
        </is>
      </c>
      <c r="C7" t="inlineStr">
        <is>
          <t>AARATECH</t>
        </is>
      </c>
      <c r="D7" t="inlineStr">
        <is>
          <t>linkedin</t>
        </is>
      </c>
      <c r="E7" t="inlineStr"/>
      <c r="F7" t="inlineStr"/>
      <c r="G7" t="inlineStr"/>
      <c r="H7" t="inlineStr"/>
      <c r="I7"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8">
      <c r="A8" t="inlineStr">
        <is>
          <t>li-4330992785</t>
        </is>
      </c>
      <c r="B8" t="inlineStr">
        <is>
          <t>Senior Data Engineer</t>
        </is>
      </c>
      <c r="C8" t="inlineStr">
        <is>
          <t>Asset Based Lending</t>
        </is>
      </c>
      <c r="D8" t="inlineStr">
        <is>
          <t>linkedin</t>
        </is>
      </c>
      <c r="E8" t="inlineStr"/>
      <c r="F8" t="inlineStr"/>
      <c r="G8" t="inlineStr">
        <is>
          <t>Cherry Hill, NJ</t>
        </is>
      </c>
      <c r="H8" t="inlineStr"/>
      <c r="I8" t="inlineStr">
        <is>
          <t>**Who We Are:**
 Based in New Jersey and established in 2010, Asset Based Lending, LLC (“ABL”) is one of the nation’s leading Hard Money Lenders. We provide fast bridge financing to real estate investors for the purchase, renovation, or new construction of single family, multi\-family and mixed\-use properties as well as DSCR rental loans for long term investors. We have closed thousands of loans since we began lending fourteen years ago, producing nearly $3B in originations. ABL was acquired by a private equity firm in 2021, and with a renewed focus on growth, we’ve set our sights on consistent evolution and cementing our place as the premier private lender in the country.
**Our Mission is Simple:**
* Make Good Loans
* Provide Exceptional Service, Every Time
* Protect The Firm
* Build The Future
**Position Overview** 
 We are seeking a Senior Data Engineer to own and evolve our enterprise data platform, enabling trusted analytics, regulatory reporting, and AI\-ready data at scale. This role will lead the design, implementation, and optimization of our new data lake and data warehouse, integrating multiple internal and external source systems while ensuring strong standards for data quality, governance, security, and reliability.
 This is a hands\-on individual contributor role with significant architectural ownership and technical decision\-making authority. The Senior Data Engineer will work closely with Analytics, AI/Data Science, and business stakeholders to translate complex business and regulatory requirements into scalable, compliant, and high\-performance data solutions that support ABL’s growth and operational excellence.
**Key Responsibilities** 
* Own end\-to\-end design, implementation, and evolution of enterprise data pipelines and core data domains, from source ingestion through analytics and AI\-ready datasets
* Architect, develop, and optimize scalable ETL/ELT pipelines integrating multiple internal and external source systems
* Lead the design and optimization of the data lake and data warehouse to support analytics, regulatory reporting, and operational decision\-making
* Define and enforce standards for data modeling, testing, deployment, and documentation to ensure long term scalability and maintainability
* Implement and maintain data quality, reliability, and observability practices, including automated testing, monitoring, and alerting
* Establish and support data governance, metadata management, lineage, and role\-based access controls in partnership with business and compliance stakeholders
* Design and maintain analytics and ML\-ready datasets to support BI, advanced analytics, and future AI/ML initiatives
* Apply DevOps and DataOps best practices, including CI/CD, version control, and environment management for data pipelines
* Troubleshoot and resolve complex data issues involving legacy systems, custom integrations, and evolving business requirements
* Partner closely with Analytics, AI/Data Science, and business leaders to translate complex business and regulatory requirements into robust technical solutions
* Provide technical guidance, code reviews, and best practices to junior data engineers and analysts, contributing to a high\-quality data engineering practice (no direct people management)
* Create and maintain clear, comprehensive documentation for data models, pipelines, architectures, and governance processes to support scalability, knowledge sharing, and operational continuity
**Experience \&amp; Seniority** 
* Extensive professional experience in data engineering or related roles
* Demonstrated experience owning and operating production\-grade data platforms in a cloud environment
* Proven experience designing and scaling data lakes and data warehouses supporting analytics, reporting, and business critical use cases
* Strong ability to translate complex business and regulatory requirements into reliable, maintainable data solutions
* Experience operating autonomously as a senior individual contributor with accountability for architecture, quality, and delivery
* Senior individual contributor role with no direct people management responsibilities
* This role reports to the Analytics \&amp; AI/Data Science Lead
**Education \&amp; Certifications** 
* Bachelor’s degree in
 **computer science, Engineering, or a related quantitative field**
* Certifications are a plus, and experience with the following cloud platforms:
* AWS, Azure, or Google Cloud Platform
* Data warehousing or analytics certifications
**Technical Skills \&amp; Proficiency** 
* **Programming \&amp; Analytics**
* Strong proficiency in Python, including PySpark, for data engineering, automation, and pipeline development
* Expert\-level SQL for analytical modeling, performance tuning, and data warehouse optimization
* Deep experience with dbt for transformation, testing, and analytics engineering
* Experience supporting BI tools such as Power BI or similar analytics platforms
* **Data \&amp; Platform Technologies**
* Hands\-on experience designing and operating modern cloud data platforms (Snowflake, Databricks, and/or Microsoft Fabric)
* Experience building and managing ELT pipelines using tools such as Fivetran, Airbyte, or equivalent technologies
* Experience implementing data governance, metadata management, lineage, and access controls using tools such as Collibra or Microsoft Purview
* **Data Engineering \&amp; Platform Practices**
* Strong foundation in data modeling (dimensional, analytical, and domain\-oriented models)
* Experience implementing data quality, testing, and observability practices for production data pipelines
* Familiarity with CI/CD, version control, and Infrastructure\-as\-Code concepts applied to data platforms
* Solid understanding of security, privacy, and access control considerations in enterprise data environments"
**Scope \&amp; Impact** 
* Significant ownership and technical decision\-making authority over the enterprise data platform, including architecture, tooling, standards, and implementation approaches
* Direct impact on the reliability, scalability, and compliance of data used for analytics, regulatory reporting, and business decision\-making
* Acts as a key technical partner to Analytics, AI/Data Science, and business stakeholders, influencing data strategy and execution
* Responsible for balancing hands\-on delivery with architectural thinking, scalability planning, and long\-term platform sustainability
* Plays a critical role in establishing and maintaining data quality, governance, security, and access control standards across the organization</t>
        </is>
      </c>
    </row>
    <row r="9">
      <c r="A9" t="inlineStr">
        <is>
          <t>li-4358723896</t>
        </is>
      </c>
      <c r="B9" t="inlineStr">
        <is>
          <t>Analytics Engineer</t>
        </is>
      </c>
      <c r="C9" t="inlineStr">
        <is>
          <t>James Search Group</t>
        </is>
      </c>
      <c r="D9" t="inlineStr">
        <is>
          <t>linkedin</t>
        </is>
      </c>
      <c r="E9" t="inlineStr"/>
      <c r="F9" t="inlineStr"/>
      <c r="G9" t="inlineStr"/>
      <c r="H9" t="inlineStr"/>
      <c r="I9"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10">
      <c r="A10" t="inlineStr">
        <is>
          <t>li-4344326693</t>
        </is>
      </c>
      <c r="B10" t="inlineStr">
        <is>
          <t>Data Engineer 2</t>
        </is>
      </c>
      <c r="C10" t="inlineStr">
        <is>
          <t>Microsoft</t>
        </is>
      </c>
      <c r="D10" t="inlineStr">
        <is>
          <t>linkedin</t>
        </is>
      </c>
      <c r="E10" t="inlineStr"/>
      <c r="F10" t="inlineStr"/>
      <c r="G10" t="inlineStr"/>
      <c r="H10" t="inlineStr"/>
      <c r="I10"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Do you love the excitement and learning opportunity to study, analyze, and deal with the most complex threats to digital security in today's world? Do you have the “learner” mindset, are willing to un\-learn previous skills and learn new ones every day? Are you passionate about solving the challenges of security response teams? If yes, then this opportunity is for you. The Telemetry Enforcement Engineering team, within Cyber Defense Operations is looking for a Data Engineer to drive the centralization of access and curation of critical security data while applying operational rigor to ensure real\-time availability and accuracy of thousands of mission\-critical data sources. About CDO \- Cyber Defense Operations. An organization led by Microsoft’s Chief Information Security Officer enables Microsoft to deliver the most trusted software and services. The CDO vision is to ensure all information and services are protected, secured, and available for appropriate use through innovation and a robust risk \&amp; management framework.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Data\-Driven Analysis \- Analyzes key metrics and key performance indicators (KPIs) and other data sources (e.g., bugs, unhealthy data pipeline) and identifies trends in security issues and escalates appropriately. Recommends improvements and/or metrics to address gaps in measurement.
* Leverages multiple sources of data in conducting and interpreting analysis. Evaluates data sets for anomalies and other patterns.
* Technical Insight: Provides technical insight on incident analysis and management, threat mitigation and an ability to translate into platform requirements, partnering closely with software development teams.
* Operational Rigor: Demonstrates exceptional operational rigor with real\-world experience in cyber security operations, threat mitigation and incident response.
* Stakeholder Management: Manages critical stakeholder calls and meetings (including non\-business hours) while addressing critical security incidents.
* Security Knowledge: Possesses extensive hands\-on knowledge of security concepts including cyber\-attacks, techniques, threat vectors, risk management, and incident management.
* Data Engineering \&amp; Management: Understand and administer data source access, availability, while proactively defining controls \&amp; policies to improve access and availability.
* Participate in oncall rotations/duties
**Other**
* Embody our culture and values.
**Qualifications**
**Required Minimum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OR equivalent experience.
* 1\+ years of experience in a Data Engineer or Software Engineer role with a focus on cloud\-based big data processing.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**Citizenship \&amp; Citizenship Verification:** 
 This position requires verification of citizenship due to citizenship\-based legal restrictions. Specifically, this position supports United States federal, state, and/or local United States government agency customers and is subject to certain citizenship\-based restrictions where required or permitted by applicable law. To meet this legal requirement, and as a condition of employment, the successful candidate’s citizenship will be verified with a valid passport.
**Additional Or Preferred Qualifications**
* 3\+ years of experience in data engineering
* 3\+ years of hands\-on experience with Microsoft Kusto clusters (KQL), Azure Cosmos DB, Azure Access Control methods
* 3\+ years assisting in tuning and optimizing data source and data pipeline availability rules and alerts.
* 3\+ years collaborating with IT, DevOps, and other teams to remediate vulnerabilities and improve security controls/policies.
* 3\+ year pipeline experience, Synapse/Python
* 3\+ years of experience of DRI/Live site Engagement/Oncall experience
* 8\+ years of security operations work experience, with 5 years of experience collaborating with IR/SOC.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
      <c r="A11" t="inlineStr">
        <is>
          <t>li-4358792748</t>
        </is>
      </c>
      <c r="B11" t="inlineStr">
        <is>
          <t>Data Engineer II</t>
        </is>
      </c>
      <c r="C11" t="inlineStr">
        <is>
          <t>Microsoft</t>
        </is>
      </c>
      <c r="D11" t="inlineStr">
        <is>
          <t>linkedin</t>
        </is>
      </c>
      <c r="E11" t="inlineStr"/>
      <c r="F11" t="inlineStr"/>
      <c r="G11" t="inlineStr">
        <is>
          <t>Redmond, WA</t>
        </is>
      </c>
      <c r="H11" t="inlineStr"/>
      <c r="I11" t="inlineStr">
        <is>
          <t>**Overview**
 Are you a customer\-obsessed, AI\-curious problem\-solver who thrives in an inclusive, collaborative global team? Join Engineering Operations (EngOps) – the organization driving operational excellence across the Microsoft Cloud to strengthen quality, reliability, security, and customer trust. As part of EngOps, you’ll design solutions that prevent issues before they happen, embed AI\-powered automation, and turn signals into actions that deliver measurable customer impact. Our culture of empowerment, inclusion, and growth mindset defines how we work.
 Every day, customers stake their business and reputation on our cloud. You can help EngOps keep them secure, resilient, and ready.
 In the new era of AI, this role within Eng Ops Data \&amp; Applied Sciences team will provide you the opportunity to work on cutting\-edge Analytical, GenAI and ML (Machine Learning) solutions that drive specific, measurable, and impactful improvements to key areas of Azure customer experience. In an environment of high opportunity and impact, we are looking for a Data Engineer II who can deliver on key initiatives for Security, Reliability and Quality through advanced AI solutions with a cross\-functional team of Product Managers, Designers, Engineers and Data Scientists.
**Responsibilities**
* Design and maintain data platform to efficiently transform, manage, and access data, ensuring robustness and scalability.
* Contribute to data modeling efforts by drafting design documents and collaborating with Data Scientists to improve data flow and storage.
* Perform tasks necessary to adhere to Engineering Fundamentals standards, implement solutions to minimize failures, monitor data quality, and share insights for continuous improvement.
* Implement monitoring protocols across data pipelines, build visualizations to track data health, and contribute to troubleshooting and support activities.
* Ensure compliance with data handling policies and laws, contribute to data governance and security practices, and help document data lineage and classifications.
* Support productization of AI/ML solutions in collaboration with Product Engineering teams, Data and Applied Scientists
**Qualifications**
**Required Qualifications:**
* Master's Degree in Computer Science, Math, Software Engineering, Computer Engineering, or related field AND 1\+ year(s) experience in business analytics, data science, software development, data modeling, or data engineering OR Bachelor's Degree in Computer Science, Math, Software Engineering, Computer Engineering, or related field AND 2\+ years experience in business analytics, data science, software development, data modeling, or data engineering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Math, Software Engineering, Computer Engineering, or related field AND 3\+ years experience in business analytics, data science, software development, data modeling, or data engineering OR Bachelor's Degree in Computer Science, Math, Software Engineering, Computer Engineering, or related field AND 5\+ years experience in business analytics, data science, software development, data modeling, or data engineeringOR equivalent experience.
* 4\+ year(s) experience with data governance, data compliance and/or data security.
 \#PRIMOjobs
 \#EngOps
 Data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
      <c r="A12" t="inlineStr">
        <is>
          <t>li-4335594710</t>
        </is>
      </c>
      <c r="B12" t="inlineStr">
        <is>
          <t>Data Engineer</t>
        </is>
      </c>
      <c r="C12" t="inlineStr">
        <is>
          <t>Agility Partners</t>
        </is>
      </c>
      <c r="D12" t="inlineStr">
        <is>
          <t>linkedin</t>
        </is>
      </c>
      <c r="E12" t="inlineStr"/>
      <c r="F12" t="inlineStr"/>
      <c r="G12" t="inlineStr">
        <is>
          <t>Columbus, Ohio Metropolitan Area</t>
        </is>
      </c>
      <c r="H12" t="inlineStr"/>
      <c r="I12" t="inlineStr">
        <is>
          <t>**Job Description** 
 We’re seeking a skilled
 **Data Engineer** 
 based in
 **Columbus, OH** 
 , to support a high\-impact data initiative. The ideal candidate will have hands\-on experience with
 **Python, Databricks, SQL** 
 , and
 **version control systems** 
 , and be comfortable building and maintaining robust, scalable data solutions.
**Key Responsibilities** 
* Design, implement, and optimize
 **data pipelines and workflows** 
 within Databricks.
* Develop and maintain
 **data models** 
 and
 **SQL queries** 
 for efficient ETL processes.
* Partner with cross\-functional teams to define data requirements and deliver business\-ready solutions.
* Use
 **version control systems** 
 to manage code and ensure collaborative development practices.
* Validate and maintain
 **data quality, accuracy, and integrity** 
 through testing and monitoring.
**Required Skills** 
* Proficiency in
 **Python** 
 for data engineering and automation.
* Strong, practical experience with
 **Databricks** 
 and distributed data processing.
* Advanced
 **SQL** 
 skills for data manipulation and analysis.
* Experience with
 **Git** 
 or similar version control tools.
* Strong analytical mindset and attention to detail.
**Preferred Qualifications** 
* Experience with
 **cloud platforms** 
 (AWS, Azure, or GCP).
* Familiarity with
 **enterprise data lake** 
 architectures and best practices.
* Excellent communication skills and the ability to work independently or in team environments.</t>
        </is>
      </c>
    </row>
    <row r="13">
      <c r="A13" t="inlineStr">
        <is>
          <t>li-4330972441</t>
        </is>
      </c>
      <c r="B13" t="inlineStr">
        <is>
          <t>Data Engineer</t>
        </is>
      </c>
      <c r="C13" t="inlineStr">
        <is>
          <t>AARATECH</t>
        </is>
      </c>
      <c r="D13" t="inlineStr">
        <is>
          <t>linkedin</t>
        </is>
      </c>
      <c r="E13" t="inlineStr"/>
      <c r="F13" t="inlineStr"/>
      <c r="G13" t="inlineStr"/>
      <c r="H13" t="inlineStr"/>
      <c r="I1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4">
      <c r="A14" t="inlineStr">
        <is>
          <t>li-4344418929</t>
        </is>
      </c>
      <c r="B14" t="inlineStr">
        <is>
          <t>Data Engineer II</t>
        </is>
      </c>
      <c r="C14" t="inlineStr">
        <is>
          <t>IntePros</t>
        </is>
      </c>
      <c r="D14" t="inlineStr">
        <is>
          <t>linkedin</t>
        </is>
      </c>
      <c r="E14" t="inlineStr"/>
      <c r="F14" t="inlineStr"/>
      <c r="G14" t="inlineStr">
        <is>
          <t>Bellevue, WA</t>
        </is>
      </c>
      <c r="H14" t="inlineStr"/>
      <c r="I14" t="inlineStr">
        <is>
          <t>IntePros is seeking an experienced Data Engineer to support high\-impact initiatives focused on cost, safety, and quality. This role is centered on designing, building, and maintaining scalable data solutions, including data models, warehouses, and ETL pipelines that power large, visible projects. The Data Engineer will own their workstreams end to end while partnering closely with product managers and other technical teams to deliver reliable, production\-ready tools.
 This opportunity is ideal for someone who thrives in a hands\-on, independent environment, enjoys diving deep into complex data problems, and is comfortable working across the full software development lifecycle. The team is diverse and collaborative, with a strong emphasis on ownership, technical rigor, and delivering results that have broad organizational impact.
**Key Responsibilities**
**Data Engineering \&amp; Architecture**
* Design, build, and maintain data models, data warehouses, and ETL pipelines.
* Develop scalable data solutions using modern programming languages and distributed systems.
* Build and support data infrastructure using relational and analytical databases, search technologies, and big data platforms.
**Technical Design \&amp; Delivery**
* Create design documents and partner with product managers to define data engineering strategies.
* Build backend and frontend components that support user\-facing data tools.
* Apply software engineering best practices across the full development lifecycle, including code reviews, testing, and deployments.
**Collaboration \&amp; Ownership**
* Communicate effectively with users, technical teams, and management to gather requirements and explain technical decisions.
* Own projects independently while contributing to a collaborative team environment.
* Deliver high\-quality solutions with a strong focus on operational excellence.
**Typical Day in the Role**
 The role follows a Monday–Friday schedule (40 hours per week, with up to a 2\-hour weekly overtime buffer). Day\-to\-day work includes drafting and reviewing design documents, collaborating with product managers, and building data pipelines and system components. The engineer may support multiple initiatives at once and will work closely with other developers and technical stakeholders. This is an onsite role with a chance for extension.
**Skills \&amp; Experience Required**
* 5\+ years of data engineering experience.
* Strong experience with data modeling, data warehousing, and ETL pipeline development.
* Proficiency in at least one modern programming language (Java, JavaScript, Python, Scala, or NodeJS).
* Knowledge of distributed systems for data storage and computation.
* Experience with data infrastructure such as relational analytic databases, search technologies, and big data platforms.
* Bachelor’s degree required.
* Ability to work independently and deliver high\-quality results.
**Top Required Skills**
* Java – Strong experience building and supporting production\-grade data systems.
* JavaScript – Experience supporting application or data\-related components.
* AWS – Hands\-on experience working with cloud\-based data infrastructure and services.</t>
        </is>
      </c>
    </row>
    <row r="15">
      <c r="A15" t="inlineStr">
        <is>
          <t>li-4319494066</t>
        </is>
      </c>
      <c r="B15" t="inlineStr">
        <is>
          <t>Data &amp; Analytics Engineer</t>
        </is>
      </c>
      <c r="C15" t="inlineStr">
        <is>
          <t>Morning Brew Inc.</t>
        </is>
      </c>
      <c r="D15" t="inlineStr">
        <is>
          <t>linkedin</t>
        </is>
      </c>
      <c r="E15" t="inlineStr"/>
      <c r="F15" t="inlineStr"/>
      <c r="G15" t="inlineStr"/>
      <c r="H15" t="inlineStr"/>
      <c r="I15" t="inlineStr">
        <is>
          <t>At Morning Brew Inc., we mix what you need to know with our unique brand of wit to attract, and build real relationships with, the next generation of business leaders. We speak to them like people, ensuring they get the context and insight needed to make decisions every day. Loyalty and trust are our most valuable currencies.
 Whether scrolling, reading, watching, or listening, our audience trusts us for credible, entertaining business content that makes an impact on their personal and professional lives.
 The Morning Brew team is clever, creative, and growing fast. Want in? Read on.
**Overview**
 Join the best engineering team in media. Morning Brew Inc. is looking for a mid\- to senior level Data \&amp; Analytics Engineer to join our small, tight knit Product Engineering team. We build incredible products using modern technology to innovate in the media space. We develop and ship quickly, we test and learn and iterate. We have a high level of ownership. We are subject matter experts who understand the business context and architecture of the entire stack.
**What You'll Do**
* Modeling and serving data that powers our business at every level.
* Improving the data architecture and adapting to new and changing business requirements.
* Working with leadership, product engineering, product management, analytics and insights teams to develop and sustain our first party data strategy.
* Working with the rest of the Product team to ensure the data stack can stay in lock step with the product software stack.
* Working to not only model and serve data but to tell stories with it.
**What You'll Bring**
* 5\+ years of experience in data modeling, querying and developing for cloud data warehouse, and pipeline development.
* Strong proficiency in SQL , with a track record of writing and optimizing complex queries for large datasets.
* Experience with DBT (or similar data transformation tools).
* Experience in Python or a similar scripting language for building data applications.
**Preferred Skills \&amp; Experience**
* Experience mentoring junior or mid\-level engineers.
* Knowledge of data governance, semantic layers, and data and engineering best practices.
* Experience in the digital media and entertainment industry is a plus.
* Familiarity with cloud data platforms like Snowflake, BigQuery, or Redshift.
**OUR DATA STACK**
* Snowflake
* DBT
* Fivetran
* Airflow
* Kafka
* Hightouch
* Lightdash
* Python
**COMPENSATION** 
 $150k\-$170k DOE
 *\*\*Final offers for this job will be made within the parameters of the salary range provided, commensurate with experience. Total offer package to include benefits highlighted under our perks section below.*
**How We Treat Each Other**
**Respectful Cando** 
 r \-\- We believe that engaging in timely, constructive, and open discourse is an act of respect that makes for a more transparent and productive work environment.
**Empathy** 
 \-\- We establish a strong partnership of trust with our co\-workers and partners. We build human connections in order to understand each other.
**Inclusivity** 
 \-\- Morning Brew Inc is deeply committed to fostering a transparently inclusive workplace environment, and people of color, women, people with disabilities, veterans, and LGBTQIA\+ candidates are strongly encouraged to apply.
**How We Treat Our Work**
**Curiosity** 
 \-\- We learn every day through deliberate inquiry and exploration. We re\-examine assumptions to be a better company, offer better products, and become better colleagues.
**Accountability** 
 \-\- We celebrate our successes and own our failures. Taking responsibility for our actions allows us to learn from our experiences.
**Bias Toward Action** 
 \-\- We know speed matters in business so we embrace quick and calculated risk\-taking. We understand that many actions are reversible and therefore we are solutions\-oriented, even when facing obstacles and challenges.
**Challenger Mentality** 
 \-\- We don’t allow ourselves to be comfortable with our success. We are hungry to become the best and create more value for our audience.
**Clarity of Purpose** 
 \-\- We understand the “why” in our work, which helps us to operate at our highest level of performance and efficiency.
**PERKS**
 While being surrounded by a bunch of cool people who look great in crewnecks is its own reward, we have plenty more to offer.
**Brew’s HQ:** 
 Pick an adjustable standing desk or cozy corner and load up on free coffee (duh) and snacks at our new two\-story office space in NYC’s Flatiron District.
**401(k) employer match:** 
 We want to help you prepare for the future, now.
**Premium health, vision, and dental plans:** 
 Your health matters!
**Mental health benefits:** 
 Personalized plans and programs to promote your mental well\-being.
**Extra help when you need it:** 
 Including a care concierge, plus free access to One Medical and the Calm app.
**Family planning:** 
 Want to join \#brewparents? Generous paid parental leave and fertility coverage for eligible employees.
**Employee Resource Groups:** 
 Black Coffee, LGBTQ Brew, AAPI Brew, Cafe Con Leche, and Grounded
**Gym and workout class reimbursements:** 
 It pays to be healthy.
**Annual learning credit:** 
 Want to learn something new? We'll reimburse you.
**BRIEF BREW HISTORY**
 Morning Brew Inc. was founded in 2015 by two entrepreneurial college students who noticed their peers were not consuming legacy media resources about business and finance news, but had a high desire to learn about those topics. What started as a small on\-campus email has since evolved into a multi\-channel media company that operates 20\+ unique content franchises. All while maintaining our witty, honest and engaging tone that millions of loyal MBI audience members rely upon daily to better navigate the world.
 In 2020 a majority stake in MBI was acquired by Axel Springer SE and in February 2025 that position was increased to full ownership of the business. Axel Springer SE is a family\-owned, transatlantic media company headquartered in Berlin and New York that is committed to the values of a free and informed society. To learn more about Axel Springer SE and what defines us, visit http://axelspringer.com/en/what\-defines\-us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
      <c r="A16" t="inlineStr">
        <is>
          <t>li-4330962058</t>
        </is>
      </c>
      <c r="B16" t="inlineStr">
        <is>
          <t>Data Engineer</t>
        </is>
      </c>
      <c r="C16" t="inlineStr">
        <is>
          <t>Precision Technologies</t>
        </is>
      </c>
      <c r="D16" t="inlineStr">
        <is>
          <t>linkedin</t>
        </is>
      </c>
      <c r="E16" t="inlineStr"/>
      <c r="F16" t="inlineStr"/>
      <c r="G16" t="inlineStr">
        <is>
          <t>Texas, United States</t>
        </is>
      </c>
      <c r="H16" t="inlineStr"/>
      <c r="I16" t="inlineStr">
        <is>
          <t>**Job Title:Data Engineer (10\+ Years)** 
**Location:** 
 Texas
 **(Onsite)** 
**Employment:** 
 Full Time/ W2
 **(NO C2C)** 
**Job Summary:** 
 We are seeking a
 **Senior Data Engineer with 10\+ years of hands\-on experience** 
 in designing, building, and optimizing
 **scalable, high\-performance data platforms and pipelines** 
 . The ideal candidate will have deep expertise in
 **data ingestion, ETL/ELT, data warehousing, big\-data processing, cloud\-native architectures, real\-time streaming, and analytics enablement** 
 , and will partner closely with
 **Analytics, Data Science, Product, and Engineering teams** 
 across the
 **full data lifecycle** 
 .
**Key Responsibilities:** 
* Design, develop, and maintain
 **end\-to\-end data pipelines** 
 for
 **structured, semi\-structured, and unstructured data** 
 using
 **batch and real\-time processing frameworks** 
 .
* Build and optimize
 **ETL/ELT pipelines** 
 using
 **Python, SQL, PySpark, Spark SQL** 
 , and orchestration tools such as
 **Apache Airflow, Azure Data Factory, AWS Glue, or Prefect** 
 .
* Develop
 **scalable big\-data solutions** 
 using
 **Apache Spark, Hadoop ecosystem** 
 , and distributed processing techniques for high\-volume data workloads.
* Design and manage
 **cloud\-based data platforms** 
 on
 **AWS, Azure, or GCP** 
 , including
 **Data Lakes, Lakehouse architectures, and Cloud Data Warehouses** 
 .
* Implement and optimize
 **data warehousing solutions** 
 using
 **Snowflake, Amazon Redshift, Google BigQuery, Azure Synapse** 
 , and dimensional modeling techniques.
* Develop
 **data transformation layers** 
 to support
 **analytics, reporting, and machine learning workloads** 
 , ensuring high data quality and performance.
* Build and maintain
 **real\-time and streaming data pipelines** 
 using
 **Apache Kafka, Kafka Streams, Spark Streaming, or Azure Event Hubs** 
 .
* Design and implement
 **data models** 
 using
 **star schema, snowflake schema, and normalized models** 
 , aligned with business and analytics requirements.
* Ensure
 **data quality, validation, reconciliation, and lineage** 
 using
 **data quality frameworks, metadata management, and governance tools** 
 .
* Implement
 **data security, access controls, encryption, and compliance** 
 standards across platforms, supporting
 **PII, GDPR, SOC, and regulatory requirements** 
 .
* Optimize
 **SQL performance, partitioning strategies, indexing, and query tuning** 
 across relational and analytical databases.
* Containerize and deploy data workloads using
 **Docker** 
 and orchestrate pipelines using
 **Kubernetes** 
 where applicable.
* Build and maintain
 **CI/CD pipelines for data engineering workflows** 
 using
 **Jenkins, GitHub Actions, Azure DevOps** 
 , and infrastructure\-as\-code tools.
* Monitor and troubleshoot data pipelines using
 **logging, alerting, and observability tools** 
 to ensure reliability and SLA adherence.
* Collaborate with
 **Data Architects, Data Scientists, BI Developers, and Product teams** 
 to deliver analytics\-ready datasets.
* Support
 **UAT, production releases, incident management, and root cause analysis** 
 for data platforms.
* Lead
 **architecture decisions** 
 , conduct
 **code reviews** 
 , mentor junior engineers, and enforce
 **data engineering best practices** 
 .
* Drive
 **data modernization, cloud migration, and performance optimization initiatives** 
 across enterprise data ecosystems.
**Required Skills:** 
* **Programming \&amp; Querying:** 
 Python, SQL, PySpark, Spark SQL
* **Big Data:** 
 Apache Spark, Hadoop, Kafka
* **Data Integration:** 
 Airflow, Azure Data Factory, AWS Glue
* **Data Warehousing:** 
 Snowflake, Redshift, BigQuery, Azure Synapse
* **Databases:** 
 PostgreSQL, Oracle, SQL Server, MongoDB
* **Cloud Platforms:** 
 AWS / Azure / GCP
* **Streaming:** 
 Kafka, Spark Streaming, Event Hubs
* **DevOps \&amp; Automation:** 
 Docker, Kubernetes, Jenkins, Git
* **Data Modeling:** 
 Star Schema, Snowflake Schema, Dimensional Modeling
* **Methodologies:** 
 Agile, SDLC, DataOps</t>
        </is>
      </c>
    </row>
    <row r="17">
      <c r="A17" t="inlineStr">
        <is>
          <t>li-4358962773</t>
        </is>
      </c>
      <c r="B17" t="inlineStr">
        <is>
          <t>Data Engineer</t>
        </is>
      </c>
      <c r="C17" t="inlineStr">
        <is>
          <t>Hirenza</t>
        </is>
      </c>
      <c r="D17" t="inlineStr">
        <is>
          <t>linkedin</t>
        </is>
      </c>
      <c r="E17" t="inlineStr"/>
      <c r="F17" t="inlineStr"/>
      <c r="G17" t="inlineStr"/>
      <c r="H17" t="inlineStr"/>
      <c r="I17" t="inlineStr">
        <is>
          <t>**About The Company**
 Capital One is a leading diversified financial services company known for its innovative approach to banking and credit services. With a strong focus on technology\-driven solutions, Capital One aims to deliver exceptional customer experiences through digital transformation and data\-driven insights. The company operates across various segments including credit cards, auto loans, and savings accounts, serving millions of customers nationwide. Committed to fostering an inclusive and collaborative work environment, Capital One invests heavily in technology, talent development, and community engagement to maintain its position at the forefront of the financial industry.
**About The Role**
 As a Lead Data Engineer at Capital One, you will play a pivotal role in shaping the future of data infrastructure and analytics within the organization. This position offers an exciting opportunity to lead complex data projects, develop scalable data solutions, and collaborate with cross\-functional teams to unlock insights that drive strategic decision\-making. You will be responsible for designing, implementing, and maintaining advanced data pipelines and architectures that support the company's digital initiatives. The role requires a blend of technical expertise, innovative thinking, and leadership skills to mentor junior engineers and ensure the delivery of high\-quality data products that empower millions of users and stakeholders.
**Qualifications**
 The ideal candidate will possess a strong educational background and extensive experience in data engineering and related fields. A Bachelor's Degree in Computer Science, Information Technology, or a related discipline is required. Candidates should have a minimum of 4 years of application development experience, with at least 2 years dedicated to big data technologies. Experience with cloud computing platforms such as AWS, Microsoft Azure, or Google Cloud is essential. Preferred qualifications include over 7 years of application development experience, proficiency in programming languages like Python, SQL, Scala, or Java, and hands\-on experience with distributed data processing tools such as Hadoop, Spark, Kafka, and data warehousing solutions like Redshift or Snowflake. Familiarity with NoSQL databases, UNIX/Linux environments, and Agile practices will be advantageous.
**Responsibilities**
* Collaborate with Agile teams to design, develop, test, and implement comprehensive data solutions utilizing full\-stack development tools and technologies.
* Lead the development of scalable data pipelines and architectures that support real\-time and batch data processing needs.
* Work closely with data scientists, analysts, and product managers to understand data requirements and translate them into technical specifications.
* Utilize programming languages such as Java, Scala, Python, and open\-source RDBMS and NoSQL databases to build robust data systems.
* Implement and optimize cloud\-based data warehousing solutions like Redshift and Snowflake to enhance data accessibility and performance.
* Mentor junior team members, share best practices, and foster a culture of continuous learning and innovation within the engineering team.
* Conduct code reviews, perform unit testing, and ensure all data solutions adhere to quality, security, and compliance standards.
* Stay abreast of emerging technologies and industry trends, experimenting with new tools and techniques to improve data infrastructure.
* Participate in troubleshooting and resolving complex data issues, ensuring high system availability and reliability.
**Benefits**
 Capital One offers a comprehensive and competitive benefits package designed to support your overall well\-being and professional growth. Employees are eligible for health, dental, and vision insurance, along with wellness programs and mental health resources. The company provides financial benefits such as 401(k) plans, stock options, and performance\-based incentives, including bonuses and long\-term incentives. Additional perks include paid time off, flexible work arrangements, professional development opportunities, and access to a vibrant, inclusive workplace culture. Capital One is dedicated to fostering diversity and inclusion, ensuring all employees feel valued and empowered to contribute their best.
 Equal Opportunity
 Capital One is an equal opportunity employer committed to creating a diverse and inclusive work environment. We do not discriminate based on race, color, religion, sex, national origin, age, disability, veteran status, or any other protected characteristic under applicable law. We are dedicated to providing reasonable accommodations to qualified individuals with disabilities and ensuring fair employment practices. Capital One promotes a culture of respect and opportunity for all employees and applicants, and we welcome candidates from all backgrounds to join our team in shaping the future of financial services.</t>
        </is>
      </c>
    </row>
    <row r="18">
      <c r="A18" t="inlineStr">
        <is>
          <t>li-4331091715</t>
        </is>
      </c>
      <c r="B18" t="inlineStr">
        <is>
          <t>Data Engineer</t>
        </is>
      </c>
      <c r="C18" t="inlineStr">
        <is>
          <t>AARATECH</t>
        </is>
      </c>
      <c r="D18" t="inlineStr">
        <is>
          <t>linkedin</t>
        </is>
      </c>
      <c r="E18" t="inlineStr"/>
      <c r="F18" t="inlineStr"/>
      <c r="G18" t="inlineStr"/>
      <c r="H18" t="inlineStr"/>
      <c r="I18"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9">
      <c r="A19" t="inlineStr">
        <is>
          <t>li-4358565192</t>
        </is>
      </c>
      <c r="B19" t="inlineStr">
        <is>
          <t>Senior Data Engineer (AI)</t>
        </is>
      </c>
      <c r="C19" t="inlineStr">
        <is>
          <t>Microsoft</t>
        </is>
      </c>
      <c r="D19" t="inlineStr">
        <is>
          <t>linkedin</t>
        </is>
      </c>
      <c r="E19" t="inlineStr"/>
      <c r="F19" t="inlineStr"/>
      <c r="G19" t="inlineStr"/>
      <c r="H19" t="inlineStr"/>
      <c r="I19" t="inlineStr">
        <is>
          <t>**Overview**
 With more than 45,000 employees and partners worldwide, the Customer Experience and Success (CE\&amp;S) organization is on a mission to empower customers to accelerate business value through differentiated customer experiences that leverage Microsoft’s products and services, ignited by our people and culture. We drive cross\-company alignment and execution, ensuring that we consistently exceed customers’ expectations in every interaction, whether in\-product, digital, or human\-centered. CE\&amp;S is responsible for all up services across the company, including consulting, customer success, and support across Microsoft’s portfolio of solutions and products. Join CE\&amp;S and help us accelerate AI transformation for our customers and the world.
 The Customer Experience Architecture (CXA) organization leads the design of our AI\-enabled integrated Customer Success and Support motions across CE\&amp;S and drives the implementation requirements across end\-to\-end customer experience architectures, improving the quality and experience KPIs across CE\&amp;S.
 The CE\&amp;S Business Intelligence (BI) Team is responsible for delivering data\-driven decision\-making and self\-serve analytics to optimize customer experience and support operations across Microsoft's assisted and self\-service support surfaces. We build and manage data platforms and data flows, oversee data and measurement governance, develop Machine Learning (ML) models, manage support\-critical data tools, and provide both core and business\-specific analytics resources and guidance.
 We are seeking a goal‑driven
 **Senior Data Engineer (AI)** 
 with deep expertise in building scalable data products, semantic models, and AI‑ready datasets that power intelligent analytics across Microsoft’s support ecosystem. In this role, you will partner closely with engineering and business stakeholders to translate complex requirements into reliable, high‑impact solutions. You will deliver clear insights, shape technical direction, and collaborate across product, program, and data engineering teams to enable data‑driven decision making.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intelligent Data Agents within Microsoft Fabric to enable semantic query capabilities on structured datasets.
* Orchestrate multi\-agent workflows using AI Foundry and Copilot Studio for end to end data coverage and workflow integration.
* Collaborate with cross\-functional teams to develop robust user stories, acceptance criteria, and orchestration requirements that align with business objectives
* Integrate agentic solutions with enterprise data platforms to support conversational experiences and advanced orchestration patterns.
* Evangelize agent development best practices, mentor peers on Fabric agent frameworks and semantic modeling, and contribute to internal communities.
* Develop enterprise semantic models and metadata layers to support BI and AI\-driven applications, ensuring scalability and high performance standards.
* Maintain high standards of data quality, accuracy, timeliness, and compliance with security and privacy requirements.
* Build automation frameworks to accelerate semantic model creation, agent development, and validation processes
* Drive inclusion and security compliance in all engineering and automation initiatives.
**Other**
* Embody our culture and values.
**Qualifications**
**Required/minimum qualifications**
* Master's Degree in Statistics, Mathematics, Analytics, Data Science, Engineering, Computer Science, Business, Economics, or related field AND 3\+ years experience in data modeling, data analysis and reporting, data science, business intelligence, or business and financial analysis
+ OR Bachelor's Degree in Statistics, Mathematics, Analytics, Data Science, Engineering, Computer Science, Business, Economics, or related field AND 4\+ years experience in data modeling, data analysis and reporting, data science, business intelligence, or business and financial analysis
+ OR equivalent experience.
**Other Requirements**
 Ability to meet Microsoft, customer and / 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 / transfer and every two years thereafter.
**Additional Or Preferred Qualifications**
* Master's Degree in Statistics, Mathematics, Analytics, Data Science, Engineering, Computer Science, Business, Economics, or related field AND 6\+ years experience in data modeling, data analysis and reporting, data science, business intelligence, or business and financial analysis
+ OR Bachelor's Degree in Statistics, Mathematics, Analytics, Data Science, Engineering, Computer Science, Business, Economics, or related field AND 8\+ years experience indata modeling, data analysis and reporting, data science, business intelligence, or business and financial analysis
+ OR equivalent experience.
* 5\+ years of experience in enterprise‑scale, data‑intensive environments, translating complex and ambiguous business needs into clear data requirements and solution designs.
* Hands‑on experience with Azure data stack: Fabric (Lakehouse/Warehouse, Data Agents, Pipelines, Semantic Models, OneLake), Synapse, Data Factory. Core programming skills in SQL, Python, Spark.
* Experience with Power BI modeling \&amp; DAX; RLS/OLS; performance optimization; certified dataset lifecycle. Data modeling mastery (dimensional/star schema, SCD, conformed dimensions, KPI standardization).
* Experience with Data reliability engineering: CI/CD (Azure DevOps/GitHub), automated testing, monitoring/alerting, incident response, and cost management.
* Experience with MCP‑based tool integration and modern generative models (e.g., OpenAI, Anthropic), plus familiarity with Azure AI Foundry and/or Copilot Studio for building and operating agentic solutions in enterprise environments, with strong grounding in security, compliance, and governance.
 Data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
      <c r="A20" t="inlineStr">
        <is>
          <t>li-4347563800</t>
        </is>
      </c>
      <c r="B20" t="inlineStr">
        <is>
          <t>Data Engineer</t>
        </is>
      </c>
      <c r="C20" t="inlineStr">
        <is>
          <t>Suno</t>
        </is>
      </c>
      <c r="D20" t="inlineStr">
        <is>
          <t>linkedin</t>
        </is>
      </c>
      <c r="E20" t="inlineStr"/>
      <c r="F20" t="inlineStr"/>
      <c r="G20" t="inlineStr">
        <is>
          <t>New York, NY</t>
        </is>
      </c>
      <c r="H20" t="inlineStr"/>
      <c r="I20"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seeking talented data engineers to join our founding team, working closely with key stakeholders and taking ownership of building and shaping Suno’s core data foundation.
 Check out our Suno version of the job here!
**What You’ll Do**
* Serve as a critical contributor to the Suno products team, providing insights and solutions that influence high\-level decisions and shape the product roadmap.
* Design, develop, and maintain complex data products, systems, platforms, and pipelines to build scalable, secure, and high\-quality big data solutions that seamlessly integrate diverse data sources, process high\-volume real\-time and batch data, and ensure data integrity, quality, and compliance.
* Collaborate with scientists, ML engineers, software developers, business leaders, and product teams to define data requirements, architect solutions, and implement data\-driven opportunities that enhance customer experiences.
* Leverage advanced analytics and data engineering practices to uncover actionable customer insights that drive the development of innovative and enhanced customer experiences for Suno.
* Implement and monitor data systems to ensure high availability, reliability, and scalability while advocating for and applying best practices in big data engineering and analytics.
**What You’ll Need**
* 5\+ years of experience in data engineering, with a strong grasp of Big Data engineering concepts, data architecture design, and performance optimization.
* Experience with data modeling, warehousing and building ETL pipelines.
* Experience with SQL and Python.
* Experience in scaling data pipelines from the ground up (0 to 1\)
* Familiarity with Airflow, DBT, and Snowflake is a strong advantage.
* Passionate about engineering excellence, rapid iteration, learning, and hard work.
* Technical leadership or management experience is a plus.
* A love of music (listening, exploring, making) is a huge plus.
**Additional Notes:** 
 Applicants must be eligible to work in the US.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21">
      <c r="A21" t="inlineStr">
        <is>
          <t>li-4352081115</t>
        </is>
      </c>
      <c r="B21" t="inlineStr">
        <is>
          <t>Data Engineer – OrcaWorks AI</t>
        </is>
      </c>
      <c r="C21" t="inlineStr">
        <is>
          <t>Orcaworks - Meet Your Digital Coworker</t>
        </is>
      </c>
      <c r="D21" t="inlineStr">
        <is>
          <t>linkedin</t>
        </is>
      </c>
      <c r="E21" t="inlineStr"/>
      <c r="F21" t="inlineStr"/>
      <c r="G21" t="inlineStr">
        <is>
          <t>Atlanta, GA</t>
        </is>
      </c>
      <c r="H21" t="inlineStr"/>
      <c r="I21" t="inlineStr">
        <is>
          <t>**Location:** 
 Hybrid / Atlanta, GA
**Experience Level:** 
 Entry\-level (Master’s preferred)
**About OrcaWorks AI** 
 At OrcaWorks AI, we’re building next\-generation AI systems that empower businesses to make data\-driven decisions with intelligence and speed. We’re seeking passionate Data Engineers who love solving real\-world data challenges and want to be part of a growing team building cutting\-edge AI infrastructure.
**Key Responsibilities** 
* Design, develop, and maintain data pipelines using tools like Airbyte and Prefect to feed AI and machine learning models.
* Integrate data from multiple structured and unstructured sources into unified and queryable layers using ElasticSearch or Vespa.
* Implement data validation, transformation, and storage solutions using modern ETL frameworks.
* Collaborate with AI, LLM, and data science teams to ensure reliable and optimized data flow for model training.
* Support database management, SQLModel, and data governance practices across services.
**Required Skills \&amp; Qualifications** 
* Master’s degree (or Bachelor’s with equivalent experience) in Computer Science, Information Systems, or Data Engineering.
* Proficiency in Python and SQL; experience with PySpark or equivalent ETL frameworks.
* Hands\-on experience with Airbyte, Prefect, and DBT.
* Familiarity with search and indexing systems like Vespa or ElasticSearch.
* Knowledge of cloud data platforms (AWS, GCP, or Azure) and API integration.
* Strong understanding of data security and applied AI workflows.</t>
        </is>
      </c>
    </row>
    <row r="22">
      <c r="A22" t="inlineStr">
        <is>
          <t>li-4338983166</t>
        </is>
      </c>
      <c r="B22" t="inlineStr">
        <is>
          <t>Senior Data Engineer, People Analytics</t>
        </is>
      </c>
      <c r="C22" t="inlineStr">
        <is>
          <t>SoFi</t>
        </is>
      </c>
      <c r="D22" t="inlineStr">
        <is>
          <t>linkedin</t>
        </is>
      </c>
      <c r="E22" t="inlineStr"/>
      <c r="F22" t="inlineStr"/>
      <c r="G22" t="inlineStr">
        <is>
          <t>San Francisco, CA</t>
        </is>
      </c>
      <c r="H22" t="inlineStr"/>
      <c r="I22"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is seeking an experienced and motivated Sr Data Engineer to join our People Analytics team. At SoFi, we prioritize building an exceptional culture for our employees. Our People Analytics team is essential in this mission, providing data\-driven insights to support talent decisions. We design, develop, and maintain the People Team’s Enterprise Data Warehouse (EDW), enabling the People Team to integrate cross\-system data, enhance business decisions, and fulfill regulatory requirements.
 We are looking for a talented and detail\-oriented Sr Data Engineer to tackle big data challenges. You will design, build, and maintain critical data pipelines and datasets, supporting areas like recruiting, compensation, talent management, and learning and development. Your work will enhance data accessibility and empower the People Team and business leaders to make informed decisions with high\-quality, reliable data. We're looking for candidates who meet the following criteria:
* Develop and maintain robust data pipelines and datasets.
* Build foundational data products for key business areas.
* Enhance self\-service data capabilities for the People Team.
* Ensure high standards in ETL operations and big data pipeline management.
 What you’ll do:
* Design and develop robust data architectures and data pipelines to support data ingestion, processing, storage, and retrieval. Evaluate and select appropriate technologies, frameworks, and tools to build scalable and reliable data infrastructure.
* Optimize data engineering systems and processes to handle large\-scale data sets efficiently. Design solutions that can scale horizontally and vertically.
* Collaborate with cross\-functional teams, such as other data engineers, people analysts, data scientists,, and business stakeholders, to understand data requirements and deliver solutions that meet business needs. Effectively communicate complex technical concepts to non\-technical stakeholders.
* Optimize data engineering systems and processes to handle large\-scale data sets efficiently. Design solutions that can scale horizontally and vertically,
* Enforce data governance policies and practices to maintain data integrity, security, and compliance with relevant regulations. Collaborate with data governance and security teams to implement robust data protection mechanisms and access controls.
**What you’ll need:**
* A bachelor's degree in Computer Science, Data Science, Engineering, or a related field;
* 3\+ years of experience in data engineering and analytics technical strategy.
* Strong Knowledge in data engineering tools and frameworks; Python / SQL / Orchestration Tools / Containers / etc..
* Proficiency in relational database platforms and cloud database platforms such as Snowflake, Redshift, or GCP
* Thorough knowledge of data modeling, database design, data architecture principles, data operations, OOP, and CI/CD.
* Strong analytical and problem\-solving abilities, with the capability to simplify complex issues into actionable plans.
* Experience in the HR / People function is advantageous.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3">
      <c r="A23" t="inlineStr">
        <is>
          <t>li-4347585761</t>
        </is>
      </c>
      <c r="B23" t="inlineStr">
        <is>
          <t>Data Engineer</t>
        </is>
      </c>
      <c r="C23" t="inlineStr">
        <is>
          <t>Suno</t>
        </is>
      </c>
      <c r="D23" t="inlineStr">
        <is>
          <t>linkedin</t>
        </is>
      </c>
      <c r="E23" t="inlineStr"/>
      <c r="F23" t="inlineStr"/>
      <c r="G23" t="inlineStr">
        <is>
          <t>Boston, MA</t>
        </is>
      </c>
      <c r="H23" t="inlineStr"/>
      <c r="I23"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seeking talented data engineers to join our founding team, working closely with key stakeholders and taking ownership of building and shaping Suno’s core data foundation.
 Check out our Suno version of the job here!
**What You’ll Do**
* Serve as a critical contributor to the Suno products team, providing insights and solutions that influence high\-level decisions and shape the product roadmap.
* Design, develop, and maintain complex data products, systems, platforms, and pipelines to build scalable, secure, and high\-quality big data solutions that seamlessly integrate diverse data sources, process high\-volume real\-time and batch data, and ensure data integrity, quality, and compliance.
* Collaborate with scientists, ML engineers, software developers, business leaders, and product teams to define data requirements, architect solutions, and implement data\-driven opportunities that enhance customer experiences.
* Leverage advanced analytics and data engineering practices to uncover actionable customer insights that drive the development of innovative and enhanced customer experiences for Suno.
* Implement and monitor data systems to ensure high availability, reliability, and scalability while advocating for and applying best practices in big data engineering and analytics.
**What You’ll Need**
* 5\+ years of experience in data engineering, with a strong grasp of Big Data engineering concepts, data architecture design, and performance optimization.
* Experience with data modeling, warehousing and building ETL pipelines.
* Experience with SQL and Python.
* Experience in scaling data pipelines from the ground up (0 to 1\)
* Familiarity with Airflow, DBT, and Snowflake is a strong advantage.
* Passionate about engineering excellence, rapid iteration, learning, and hard work.
* Technical leadership or management experience is a plus.
* A love of music (listening, exploring, making) is a huge plus.
**Additional Notes:** 
 Applicants must be eligible to work in the US.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24">
      <c r="A24" t="inlineStr">
        <is>
          <t>li-4358724824</t>
        </is>
      </c>
      <c r="B24" t="inlineStr">
        <is>
          <t>Senior Data Engineer</t>
        </is>
      </c>
      <c r="C24" t="inlineStr">
        <is>
          <t>JRD Systems</t>
        </is>
      </c>
      <c r="D24" t="inlineStr">
        <is>
          <t>linkedin</t>
        </is>
      </c>
      <c r="E24" t="inlineStr"/>
      <c r="F24" t="inlineStr"/>
      <c r="G24" t="inlineStr"/>
      <c r="H24" t="inlineStr"/>
      <c r="I24" t="inlineStr">
        <is>
          <t>**Job Title \- Senior Data Engineer** 
**Base Location – Remote** 
**Duration – Fulltime** 
**Job Description :** 
 We are seeking an experienced Senior Data Engineer with strong hands\-on data engineering expertise and proven leadership capabilities. The ideal candidate will have 3–5 years of recent development experience using modern data platforms (Databricks, dbt, SQL) along with demonstrated ability to lead teams, manage stakeholders, and drive data initiatives end\-to\-end. This role involves building scalable data pipelines, transforming complex datasets, and working with cloud\-based analytics solutions.
**Key Responsibilities:** 
* Lead a team of data engineers in designing, developing, and maintaining scalable data solutions.
* Collaborate closely with business stakeholders, product managers, and data teams to understand requirements and deliver high\-quality data products.
* Architect, optimize, and maintain data pipelines and workflows using Databricks, SQL, and dbt.
* Ensure best practices in data modeling, data quality, and performance optimization.
* Provide technical leadership, code reviews, and mentorship to junior team members.
* Drive continuous improvements in data engineering processes, tools, and automation.
**Required Skills \&amp; Qualifications:** 
* 3–5 years of recent hands\-on development experience in dbt, Databricks, or SQL.
* 6\+ years of total experience in SQL development, including writing complex queries and performance tuning.
* Strong experience with ETL/ELT frameworks and designing scalable data pipelines.
* Experience working with structured and semi\-structured data (e.g., JSON, Parquet).
* Solid understanding of modern data engineering concepts and cloud data platforms (AWS, Azure, or GCP).
* Strong team leadership abilities with experience managing and mentoring engineers.
* Excellent communication skills with a strong focus on stakeholder engagement and cross\-functional collaboration.
* Problem\-solving mindset and ability to work effectively in fast\-paced environments.</t>
        </is>
      </c>
    </row>
    <row r="25">
      <c r="A25" t="inlineStr">
        <is>
          <t>li-4351949845</t>
        </is>
      </c>
      <c r="B25" t="inlineStr">
        <is>
          <t>Senior Data Engineer, Product Analytics</t>
        </is>
      </c>
      <c r="C25" t="inlineStr">
        <is>
          <t>DataRobot</t>
        </is>
      </c>
      <c r="D25" t="inlineStr">
        <is>
          <t>linkedin</t>
        </is>
      </c>
      <c r="E25" t="inlineStr"/>
      <c r="F25" t="inlineStr"/>
      <c r="G25" t="inlineStr">
        <is>
          <t>California, United States</t>
        </is>
      </c>
      <c r="H25" t="inlineStr"/>
      <c r="I25" t="inlineStr">
        <is>
          <t>**Job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**About DataRobot**
 DataRobot delivers the industry\-leading agentic AI applications and platform that maximize impact and minimize risk for your business. DataRobot’s enterprise AI platform democratizes data science with end\-to\-end automation for building, deploying, and managing machine learning models. This platform maximizes business value by delivering AI at scale and continuously optimizing performance over time. The company’s proven combination of cutting\-edge software and world\-class AI implementation, training, and support services empowers any organization, regardless of size, industry, or resources, to drive better business outcomes with AI.
****About the role:****
 As a technical driver and hands\-on expert, the Senior Data Engineer will shape our end\-to\-end data strategy and guide the team’s technical execution. This role is responsible for building scalable Data Warehouse and Lakehouse solutions on Snowflake, championing the ELT paradigm, and ensuring robust data governance and cost optimization. We are looking for a seasoned engineer who combines deep technical mastery with a passion for mentoring others to build and influence high\-impact, data\-driven solutions.
**Key Responsibilities:**
* Architect and deliver scalable, reliable data warehouses, analytics platforms, and integration solutions. Critical role in supporting our internal AI strategy.
* Partner with Product Manager, Analytics to shape our project roadmap and lead its implementation. Collaborate with and mentor cross\-functional teams to design and execute sophisticated data software solutions that elevate business performance and align to coding standards and architecture.
* Develop, deploy, and support analytic data products, such as data marts, ETL jobs (extract/transform/load), functions (in Python/SQL/DBT) in a cloud data warehouse environment using Snowflake, Stitch/Fivetran/Airflow, AWS services (e.g., EC2, lambda, kinesis).
* Navigate various data sources and efficiently locate data in a complex data ecosystem.
* Work closely with data analysts, and data scientists to build models and metrics to support their analytics needs. Data modeling enhancements caused by upstream data changes.
* Instrument telemetry capture and data pipelines for various environments to provide product usage visibility.
* Maintain and support deployed ETL pipelines and ensure data quality.
* Develop monitoring and alerting systems to provide visibility into the health of data infrastructure, cloud applications, and data pipelines.
* Partner with the IT enterprise applications and engineering teams on integration efforts between systems that impact data \&amp; Analytics
* Work with R\&amp;D to answer complex technical questions about product analytics and corresponding data structure.
****Knowledge, Skills, and Abilities:****
* 5\-7 years of experience in a data engineering or data analyst role.
* Experience building and maintaining product analytics pipelines, including the implementation of event tracking (e.g., Snowplow) and the integration of behavioral data into Snowflake from platforms like Amplitude.
* Strong understanding of data warehousing concepts, working experience with relational databases (Snowflake, Redshift, Postgres, etc.), and SQL.
* Experience working with cloud providers like AWS, Azure, GCP, etc.
* Solid programming foundations and proficiency in data\-related languages like Python, Scala, and R.
* Experience with DevOps workflows and tools like DBT, GitHub, Airflow, etc.
* Experience with an infrastructure\-as\-code tool such as Terraform or CloudFormation
* Excellent communication skills. Ability to effectively communicate with both technical and non\-technical audiences
* Knowledge of real\-time stream technologies like AWS Firehose, Spark, etc.
* Highly collaborative in working with teammates and stakeholders
****Nice to Have:****
* AWS cloud certification is a plus
* BA/BS preferred in a technical or engineering field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 Wow Our Customers
* Set High Standards
* Be Better Than Yesterday
* Be Rigorous
* Assume Positive Intent
* Have the Tough Conversations
* Be Better Together
* Debate, Decide, Commit
* Deliver Results
*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is>
      </c>
    </row>
    <row r="26">
      <c r="A26" t="inlineStr">
        <is>
          <t>li-4351994211</t>
        </is>
      </c>
      <c r="B26" t="inlineStr">
        <is>
          <t>Data Engineer</t>
        </is>
      </c>
      <c r="C26" t="inlineStr">
        <is>
          <t>NextDeavor</t>
        </is>
      </c>
      <c r="D26" t="inlineStr">
        <is>
          <t>linkedin</t>
        </is>
      </c>
      <c r="E26" t="inlineStr"/>
      <c r="F26" t="inlineStr"/>
      <c r="G26" t="inlineStr">
        <is>
          <t>San Jose, CA</t>
        </is>
      </c>
      <c r="H26" t="inlineStr"/>
      <c r="I26" t="inlineStr">
        <is>
          <t>**“You’ll be joining Adobe on a contract opportunity, employed through NextDeavor.”** 
**Benefits You’ll Love** 
* NextDeavor offers health, vision and dental benefits for contract employees
* Paid sick leave eligibility is contingent on state of residence
* Optional 401k Plan (excludes employer match)
* Opportunity to get your foot in the door at a well\-established corporation, with potential for extended or permanent full\-time employment
**Become a Key Player as a Data Engineer** 
 As a Data Engineer, you’ll help Adobe identify and measure its non\-genuine software base and turn those insights into conversion opportunities. You’ll apply Big Data best practices and statistical methods to large datasets, then translate findings into executive\-ready dashboards and recommendations. You’ll partner with the EDA Data Engineering team and senior leaders to scale the piracy conversion program. This is a staffing engagement running from 01/02/2026 to 02/27/2026, based in San Jose, CA.
**Here’s How You’ll Make an Impact on the Team** 
* Write complex SQL queries to identify and measure the non\-genuine software base.
* Apply business logic to categorize the non\-genuine base into conversion opportunities.
* Use Big Data best practices and tools (Hadoop, Hive, Pig) to scale the piracy conversion program.
* Create dashboards in Tableau and Excel to communicate performance and insights.
* Apply statistical methodologies and data mining techniques to large volumes of data.
* Analyze data and deliver clear insights to senior executives.
**Here’s What You’ll Need to Be Successful in This Role** 
* 6–9 years of experience.
* Expertise in SQL.
* Hadoop ecosystem experience; ability to work in Hive and Pig.
* Proficiency building dashboards in Tableau and Excel.
* Strong Excel modeling skills; Power Pivot expertise is a must.
* Solid understanding of statistical concepts and data mining techniques.
* Ability to interpret data and present findings effectively.
* Excellent written and verbal communication skills.
**Pay Range** 
 $81\.13 \- $101\.41/hour
**Ready to Make Your Mark?** 
 This role may fill quickly. Submit your resume to be considered.</t>
        </is>
      </c>
    </row>
    <row r="27">
      <c r="A27" t="inlineStr">
        <is>
          <t>li-4342901720</t>
        </is>
      </c>
      <c r="B27" t="inlineStr">
        <is>
          <t>Senior Data Platform Engineer</t>
        </is>
      </c>
      <c r="C27" t="inlineStr">
        <is>
          <t>Orbis Group</t>
        </is>
      </c>
      <c r="D27" t="inlineStr">
        <is>
          <t>linkedin</t>
        </is>
      </c>
      <c r="E27" t="inlineStr"/>
      <c r="F27" t="inlineStr"/>
      <c r="G27" t="inlineStr"/>
      <c r="H27" t="inlineStr"/>
      <c r="I27" t="inlineStr">
        <is>
          <t>**Senior Data Platform Engineer \- Fintech scale\-up** 
**New York City \- Hybrid (2x days per week in office)** 
**Up to** 
**\~$230,000 base \+ equity** 
 A fast\-growing fintech is rebuilding its core data foundation and hiring a Senior Data Platform Engineer to help design and build the next\-generation platform that powers identity, risk, and compliance decisions across financial products.
 This is an early\-team role where you’ll work on high\-volume, real\-time data systems and have meaningful ownership across the platform.
**What you’ll work on** 
* Design and build streaming and batch data pipelines
* Develop internal data services and platform components
* Build a self\-service data layer used by engineering, product, and GTM teams
* Improve reliability, observability, and data quality across systems
* Make architecture and tooling decisions as the platform scales
* Contribute to shaping the data platform function as it grows
**What we’re looking for** 
* Strong experience building data platforms or large\-scale data infrastructure
* Background in distributed systems and real\-time/streaming workloads
* Expertise in ETL/ELT flows and data ingestion patterns
* Experience with technologies such as Spark, Kafka, Flink, Airflow, or similar
* Ability to design scalable pipelines and internal data services
* Comfortable in early\-stage, high\-ownership environments
**Why this role** 
* Early\-team position with real influence on architecture and direction
* High\-impact work powering critical decisioning systems
* Strong comp package:
 **$192k–$226k base \+ equity**
* Hybrid NYC environment with flexibility
 If you’re interested in helping build a modern data platform from the ground up, apply below!</t>
        </is>
      </c>
    </row>
    <row r="28">
      <c r="A28" t="inlineStr">
        <is>
          <t>li-4352081610</t>
        </is>
      </c>
      <c r="B28" t="inlineStr">
        <is>
          <t>Senior Data Engineer, Product Analytics</t>
        </is>
      </c>
      <c r="C28" t="inlineStr">
        <is>
          <t>DataRobot</t>
        </is>
      </c>
      <c r="D28" t="inlineStr">
        <is>
          <t>linkedin</t>
        </is>
      </c>
      <c r="E28" t="inlineStr"/>
      <c r="F28" t="inlineStr"/>
      <c r="G28" t="inlineStr">
        <is>
          <t>Massachusetts, United States</t>
        </is>
      </c>
      <c r="H28" t="inlineStr"/>
      <c r="I28" t="inlineStr">
        <is>
          <t>**Job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**About DataRobot**
 DataRobot delivers the industry\-leading agentic AI applications and platform that maximize impact and minimize risk for your business. DataRobot’s enterprise AI platform democratizes data science with end\-to\-end automation for building, deploying, and managing machine learning models. This platform maximizes business value by delivering AI at scale and continuously optimizing performance over time. The company’s proven combination of cutting\-edge software and world\-class AI implementation, training, and support services empowers any organization, regardless of size, industry, or resources, to drive better business outcomes with AI.
****About the role:****
 As a technical driver and hands\-on expert, the Senior Data Engineer will shape our end\-to\-end data strategy and guide the team’s technical execution. This role is responsible for building scalable Data Warehouse and Lakehouse solutions on Snowflake, championing the ELT paradigm, and ensuring robust data governance and cost optimization. We are looking for a seasoned engineer who combines deep technical mastery with a passion for mentoring others to build and influence high\-impact, data\-driven solutions.
**Key Responsibilities:**
* Architect and deliver scalable, reliable data warehouses, analytics platforms, and integration solutions. Critical role in supporting our internal AI strategy.
* Partner with Product Manager, Analytics to shape our project roadmap and lead its implementation. Collaborate with and mentor cross\-functional teams to design and execute sophisticated data software solutions that elevate business performance and align to coding standards and architecture.
* Develop, deploy, and support analytic data products, such as data marts, ETL jobs (extract/transform/load), functions (in Python/SQL/DBT) in a cloud data warehouse environment using Snowflake, Stitch/Fivetran/Airflow, AWS services (e.g., EC2, lambda, kinesis).
* Navigate various data sources and efficiently locate data in a complex data ecosystem.
* Work closely with data analysts, and data scientists to build models and metrics to support their analytics needs. Data modeling enhancements caused by upstream data changes.
* Instrument telemetry capture and data pipelines for various environments to provide product usage visibility.
* Maintain and support deployed ETL pipelines and ensure data quality.
* Develop monitoring and alerting systems to provide visibility into the health of data infrastructure, cloud applications, and data pipelines.
* Partner with the IT enterprise applications and engineering teams on integration efforts between systems that impact data \&amp; Analytics
* Work with R\&amp;D to answer complex technical questions about product analytics and corresponding data structure.
****Knowledge, Skills, and Abilities:****
* 5\-7 years of experience in a data engineering or data analyst role.
* Experience building and maintaining product analytics pipelines, including the implementation of event tracking (e.g., Snowplow) and the integration of behavioral data into Snowflake from platforms like Amplitude.
* Strong understanding of data warehousing concepts, working experience with relational databases (Snowflake, Redshift, Postgres, etc.), and SQL.
* Experience working with cloud providers like AWS, Azure, GCP, etc.
* Solid programming foundations and proficiency in data\-related languages like Python, Scala, and R.
* Experience with DevOps workflows and tools like DBT, GitHub, Airflow, etc.
* Experience with an infrastructure\-as\-code tool such as Terraform or CloudFormation
* Excellent communication skills. Ability to effectively communicate with both technical and non\-technical audiences
* Knowledge of real\-time stream technologies like AWS Firehose, Spark, etc.
* Highly collaborative in working with teammates and stakeholders
****Nice to Have:****
* AWS cloud certification is a plus
* BA/BS preferred in a technical or engineering field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 Wow Our Customers
* Set High Standards
* Be Better Than Yesterday
* Be Rigorous
* Assume Positive Intent
* Have the Tough Conversations
* Be Better Together
* Debate, Decide, Commit
* Deliver Results
*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is>
      </c>
    </row>
    <row r="29">
      <c r="A29" t="inlineStr">
        <is>
          <t>li-4330915062</t>
        </is>
      </c>
      <c r="B29" t="inlineStr">
        <is>
          <t>Data Engineer with Pyspark</t>
        </is>
      </c>
      <c r="C29" t="inlineStr">
        <is>
          <t>Rockwoods Inc</t>
        </is>
      </c>
      <c r="D29" t="inlineStr">
        <is>
          <t>linkedin</t>
        </is>
      </c>
      <c r="E29" t="inlineStr"/>
      <c r="F29" t="inlineStr"/>
      <c r="G29" t="inlineStr">
        <is>
          <t>Salt Lake City, UT</t>
        </is>
      </c>
      <c r="H29" t="inlineStr"/>
      <c r="I29" t="inlineStr">
        <is>
          <t>Role: Data Engineer with Pyspark
 Employment Type: Full\-time on W2 BASIS
 Location: Salt Lake City, Utah – 5 days onsite
 Experience: 8\+ Years
 We are seeking an ETL Data Engineer with strong experience in building and supporting large\-scale data pipelines. The role involves designing, developing, and optimizing ETL processes using tools like DataStage, SQL, Python, and Spark. You will work closely with architects, engineers, and business teams to create efficient data solutions. The job includes troubleshooting issues, improving performance, and handling data migration and transformation tasks. You will also support Test, QA, and Production environments while ensuring smooth deployments. Strong skills in databases, scripting, and version control are essential for this position.
 Responsibilities
 Collaborate with architects, engineers, analysts, and business teams to develop and deliver enterprise\-level data platforms that support data\-driven solutions.
 Apply strong analytical, organizational, and problem\-solving skills to design and implement technical solutions based on business requirements.
 Develop, test, and optimize software components for data platforms, improving performance and efficiency.
 Troubleshoot technical issues, identify root causes, and recommend effective solutions.
 Work closely with data operations teams to deploy updates into production environments.
 Provide support across Test, QA, and Production environments and perform additional tasks as needed.
 Required Qualifications
 Bachelor’s degree in Computer Science, Computer Engineering, or a related discipline.
 Strong experience in Data Warehousing, Operational Data Stores, ETL tools, and data management technologies.
 8\+ years of hands\-on expertise in ETL (IBM DataStage), SQL, UNIX/Linux scripting, and Big Data distributed systems.
 4\+ years of experience with Teradata (Vantage), SQL Server, Greenplum, Hive, and delimited text data sources.
 3\+ years of experience with Python programming, orchestration tools, and ETL pipeline development using Python/Pandas.
 Deep understanding of data migration, data analysis, data transformation, large\-volume ETL processing, database modeling, and SQL performance tuning.
 Experience creating DDL scripts, stored procedures, and database functions.
 Practical experience with Git for version control and release processes.
 Familiarity with Spark framework, including RDDs using Python or Scala.</t>
        </is>
      </c>
    </row>
    <row r="30">
      <c r="A30" t="inlineStr">
        <is>
          <t>li-4351977637</t>
        </is>
      </c>
      <c r="B30" t="inlineStr">
        <is>
          <t>Lead Data Engineer</t>
        </is>
      </c>
      <c r="C30" t="inlineStr">
        <is>
          <t>SoTalent</t>
        </is>
      </c>
      <c r="D30" t="inlineStr">
        <is>
          <t>linkedin</t>
        </is>
      </c>
      <c r="E30" t="inlineStr"/>
      <c r="F30" t="inlineStr"/>
      <c r="G30" t="inlineStr">
        <is>
          <t>Plano, TX</t>
        </is>
      </c>
      <c r="H30" t="inlineStr"/>
      <c r="I30" t="inlineStr">
        <is>
          <t>**Job Title: Lead Data Engineer** 
**Location: Plano, Texas, United States** 
**Type: Full Time** 
 Our client is seeking a hands\-on Lead Data Engineer to guide development teams in building scalable, cloud\-native solutions. This leadership role combines technical expertise with mentoring, driving innovation across Agile teams to deliver high\-impact applications using modern full\-stack technologies.
**About the Role** 
 You'll lead developers focused on machine learning, microservices, and full\-stack systems while collaborating with product managers to create robust, performant solutions. Stay ahead of tech trends, experiment with emerging tools, and contribute to engineering communities through mentoring and knowledge sharing.
**Key Responsibilities** 
* Design, develop, test, deploy, and support full\-stack solutions across Agile teams.
* Lead engineering teams specializing in ML, distributed microservices, and cloud systems.
* Build with Java, Scala, Python, RDBMS/NoSQL databases, and cloud data warehouses like Redshift/Snowflake.
* Partner with product managers to deliver cloud\-based applications powering exceptional user experiences.
* Perform unit testing and code reviews for rigorous design, clean code, and peak performance.
* Experiment with new technologies and mentor peers in internal/external tech communities.
 What You Bring
**Required** 
* Bachelor's degree in Computer Science, Engineering, or related field.
* 6\+ years in application development.
* 2\+ years with big data technologies.
* 1\+ year with cloud platforms (AWS, Azure, Google Cloud).
**Preferred** 
* Master's degree.
* 9\+ years in app dev (Python, SQL, Scala, Java).
* 4\+ years public cloud, real\-time streaming, NoSQL (MongoDB/Cassandra), data warehousing.
* 5\+ years distributed tools (Hadoop, Spark, Kafka, etc.).
* 4\+ years UNIX/Linux/shell scripting; 2\+ years Agile practices.</t>
        </is>
      </c>
    </row>
    <row r="31">
      <c r="A31" t="inlineStr">
        <is>
          <t>li-4358596418</t>
        </is>
      </c>
      <c r="B31" t="inlineStr">
        <is>
          <t>Data Engineer</t>
        </is>
      </c>
      <c r="C31" t="inlineStr">
        <is>
          <t>Programming.com</t>
        </is>
      </c>
      <c r="D31" t="inlineStr">
        <is>
          <t>linkedin</t>
        </is>
      </c>
      <c r="E31" t="inlineStr"/>
      <c r="F31" t="inlineStr"/>
      <c r="G31" t="inlineStr"/>
      <c r="H31" t="inlineStr"/>
      <c r="I31" t="inlineStr">
        <is>
          <t>Minimum Qualifications:
* Experience with SQL, Python, Git \&amp; Snowflake (or any other cloud\-based data\-lakes)
* Experience with Linux, Shell \&amp; AWS Cloud Architecture
* Experience in developing \&amp; maintaining complex Data Pipelines
* Experience handling both semi\-structured and unstructured data
* Outstanding written and oral communication skills. Able to communicate sophisticated concepts to a variety of audiences
* Strong analytical and critical thinking skills
 Bonus Points For:
* Experience with AI Engineering \&amp; Dev Ops (Tekton, ArgoCD, Terraform/OpenTofu)
* Experience with dbt \&amp; fivetran
* Proven experience with Apache Kafka \&amp; data streaming to Data Warehouse (preferably Snowflake)</t>
        </is>
      </c>
    </row>
    <row r="32">
      <c r="A32" t="inlineStr">
        <is>
          <t>li-4354518360</t>
        </is>
      </c>
      <c r="B32" t="inlineStr">
        <is>
          <t>Data Engineer ( Snowflake &amp; AWS )</t>
        </is>
      </c>
      <c r="C32" t="inlineStr">
        <is>
          <t>NAM Info Inc</t>
        </is>
      </c>
      <c r="D32" t="inlineStr">
        <is>
          <t>linkedin</t>
        </is>
      </c>
      <c r="E32" t="inlineStr"/>
      <c r="F32" t="inlineStr"/>
      <c r="G32" t="inlineStr">
        <is>
          <t>Cranbury, NJ</t>
        </is>
      </c>
      <c r="H32" t="inlineStr"/>
      <c r="I32" t="inlineStr">
        <is>
          <t>**Data Engineer ( Snowflake \&amp; AWS )** 
**Full Time Position** 
**Onsite at Cranbury, New Jersey** 
**Must Have Skills** 
**Need strong Data Engineer with SQL Skills and Spark Experience** 
 .
* **Data lake**
* **Snowflake**
* **AWS**
* **Matillion Architecture**
* **Data source**
* **Data Modelling**
* **Python**
* **Java**
* **SQL**
* **Shell Scripting**
* **At least One full Data Migration Experience\- Source TO Target**
**About the Role** 
 As a
 **Data Engineer** 
 , you will be responsible for designing and developing modern data architectures and automated ETL/ELT workflows that power analytical, operational, and AI/ML workloads. You will work with diverse data sources, large datasets, and complex transformations to deliver clean, reliable, and governed data to end users.
 This role demands strong technical depth in
 **data integration** 
 ,
 **pipeline design** 
 ,
 **data modeling** 
 , and
 **performance optimization** 
 across
 **Snowflake** 
 and
 **AWS** 
 ecosystems.
**Key Responsibilities** 
**Data Engineering \&amp; ETL/ELT Development** 
* Design, build, and maintain
 **end\-to\-end ETL/ELT data pipelines** 
 to extract, transform, and load data from structured and unstructured sources into
 **Snowflake** 
 and
 **AWS\-based data lakes** 
 .
* Leverage
 **ETL tools** 
 such as
 **AWS Glue, dbt, Informatica, Talend, Matillion, or Apache NiFi** 
 to orchestrate data ingestion and transformation at scale.
* Develop
 **parameterized, reusable, and modular ETL components** 
 that can handle large volumes and complex transformations efficiently.
* Implement
 **incremental data loads** 
 ,
 **CDC (Change Data Capture)** 
 , and
 **real\-time streaming** 
 integrations using
 **Kafka, Kinesis, or Debezium** 
 .
* Integrate data from multiple systems (ERP, CRM, APIs, flat files, relational DBs, and cloud services) into centralized data stores.
* Apply
 **data cleansing, deduplication, enrichment, and validation** 
 logic to ensure accuracy and consistency across data domains.
**Data Architecture \&amp; Modeling** 
* Design and implement
 **data lakehouse and warehouse architectures** 
 using
 **AWS S3** 
 ,
 **Glue** 
 , and
 **Snowflake** 
 .
* Perform
 **conceptual, logical, and physical data modeling** 
 to support analytics, BI, and machine learning use cases.
* Develop
 **dimensional models (Star, Snowflake)** 
 and
 **Data Vault architectures** 
 for analytical workloads.
* Optimize
 **Snowflake** 
 performance through partitioning, clustering, materialized views, and query tuning.
* Manage and document
 **metadata, data lineage, and schema evolution** 
 to ensure traceability and governance.
**Automation, Orchestration \&amp; Monitoring** 
* Automate data workflows using
 **Apache Airflow** 
 ,
 **AWS Step Functions** 
 , or
 **Glue Workflows** 
 for scheduling and dependency management.
* Implement
 **CI/CD pipelines** 
 for ETL code deployment, testing, and version control using
 **Git** 
 ,
 **Jenkins** 
 , or
 **CodePipeline** 
 .
* Set up
 **data quality validation frameworks** 
 and automated reconciliation checks across source and target systems.
* Monitor pipeline performance, data freshness, and SLA adherence using tools such as
 **CloudWatch** 
 ,
 **Datadog** 
 , or
 **Prometheus** 
 .
**Data Governance, Security \&amp; Quality** 
* Establish and maintain
 **data quality rules** 
 , profiling, and monitoring mechanisms.
* Implement
 **data governance and access controls** 
 aligned with enterprise security standards (IAM, encryption, masking, auditing).
* Collaborate with governance and compliance teams to ensure adherence to
 **GDPR** 
 ,
 **SOC 2** 
 , or similar frameworks.
**Collaboration \&amp; Continuous Improvement** 
* Work closely with
 **data architects, analysts, and scientists** 
 to understand data requirements and deliver high\-quality datasets.
* Support the development of
 **data marts** 
 ,
 **semantic layers** 
 , and
 **domain\-oriented data products** 
 .
* Continuously explore and adopt emerging
 **data integration frameworks** 
 ,
 **streaming architectures** 
 , and
 **data observability tools** 
 .
**Required Skills \&amp; Qualifications** 
* Bachelor’s or Master’s degree in
 **Computer Science, Data Engineering, Information Systems** 
 , or a related field.
* **8–10 years of hands\-on experience** 
 in
 **data engineering and ETL/ELT development** 
 within cloud environments.
* Strong proficiency in
 **Snowflake** 
 (schema design, query optimization, performance tuning, and cost management).
* Deep expertise in
 **ETL/ELT tools** 
 :
 **AWS Glue, dbt, Informatica, Talend, Matillion, Apache NiFi, or Azure Data Factory** 
 .
* Experience with
 **AWS data stack** 
 : S3, Redshift, Lambda, Glue, Step Functions, Kinesis, and IAM.
* Advanced
 **SQL** 
 skills and experience in
 **Python** 
 ,
 **Scala** 
 , or
 **Java** 
 for data transformation and automation.
* Solid understanding of
 **data modeling techniques** 
 (3NF, Star Schema, Snowflake Schema, Data Vault 2\.0\).
* Familiarity with
 **data orchestration** 
 ,
 **workflow automation** 
 , and
 **CI/CD** 
 in data environments.
* Experience implementing
 **data validation** 
 ,
 **profiling** 
 , and
 **quality monitoring** 
 frameworks.
* Understanding of
 **data governance** 
 ,
 **metadata management** 
 , and
 **security practices** 
 .
* Bonus: Exposure to
 **real\-time streaming** 
 ,
 **CDC pipelines** 
 ,
 **API\-based data ingestion** 
 , or
 **machine learning data prep** 
 .
**Kindly reply with your resume to Email\- jnehru@nam\-it.com**</t>
        </is>
      </c>
    </row>
    <row r="33">
      <c r="A33" t="inlineStr">
        <is>
          <t>li-4331040839</t>
        </is>
      </c>
      <c r="B33" t="inlineStr">
        <is>
          <t>Senior Data Engineer, Dispensary of Hope</t>
        </is>
      </c>
      <c r="C33" t="inlineStr">
        <is>
          <t>Ascension</t>
        </is>
      </c>
      <c r="D33" t="inlineStr">
        <is>
          <t>linkedin</t>
        </is>
      </c>
      <c r="E33" t="inlineStr"/>
      <c r="F33" t="inlineStr"/>
      <c r="G33" t="inlineStr"/>
      <c r="H33" t="inlineStr"/>
      <c r="I33" t="inlineStr">
        <is>
          <t>Details
* Department: Ascension Data Science Institute
* Schedule: Full time
* Location: Remote
* Salary: $110,240\.00 \- $153,668\.00 per year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*Benefit options and eligibility vary by position. Compensation varies based on factors including, but not limited to, experience, skills, education, performance, location and salary range at the time of the offer.*
**Responsibilities**
 Key Responsibilities
* Design, develop, and maintain robust and scalable data pipelines for ingesting data from various sources, including clinics, pharmacies, and pharmaceutical manufacturers.
* Collaborate with stakeholders to understand data requirements and translate them into effective data solutions.
* Develop and implement data models, schema designs, and table structures to support various data needs, including formulary management, inventory tracking, and patient impact analysis.
* Ensure the quality, accuracy, and completeness of all ingested data.
* Monitor data pipelines for performance, identify and troubleshoot issues, and implement optimizations.
* Work closely with analytics teams to provide clean and accessible data for reporting and insights.
* Implement data governance best practices and ensure compliance with relevant data privacy regulations.
* Evaluate and recommend new data technologies and tools to improve efficiency and effectiveness.
**Requirements**
 Education:
* High School diploma equivalency with 2 years of cumulative experience OR Associate's degree/Bachelor's degree with 1 year of experience OR 5 years of applicable cumulative job specific experience required. 2 years of leadership or management experience preferred.
 Additional Preferences
**Preferred Skills \&amp; Experience**
* Bachelor's degree in Computer Science, Engineering, Data Science, or a related field. Master’s degree in a relevant field HIGHLY preferred.
* 5\+ years of experience in data engineering, with a strong focus on data ingestion, pipeline development, and data warehousing.
* Experience in the healthcare or pharmaceutical industry.
* Proven expertise in designing and implementing data structures, creating tables, and optimizing database performance.
* Proficiency in SQL and experience with relational and/or NoSQL databases.
* Familiarity with data visualization tools (e.g., Tableau, Power BI).
* Experience with real\-time data streaming technologies.
* Experience with cloud\-based data platforms (e.g., AWS, Azure, GCP) and related data services.
* Strong programming skills in at least one relevant language (e.g., Python, Java, Scala).
* Experience with ETL/ELT tools and techniques.
* Solid understanding of data governance, data security, and data quality principles.
* Excellent problem\-solving skills and attention to detail.
* Strong communication and collaboration skills, with the ability to work effectively with diverse teams.
 \#ADSI \#internalops
 Why Join Our Team
 Ascension associates are key to our commitment of transforming healthcare and providing care to all, especially those most in need. Join us and help us drive impact through reimagining how we can deliver a people\-centered healthcare experience and creating the solutions to do it. Explore career opportunities across our ministry locations and within our corporate headquarters.
 Ascension is a leading non\-profit, faith\-based national health system made up of over 134,000 associates and 2,600 sites of care, including more than 140 hospitals and 40 senior living communities in 19 states.
 Our Mission, Vision and Values encompass everything we do at Ascension. Every associate is empowered to give back, volunteer and make a positive impact in their community. Ascension careers are more than jobs; they are opportunities to enhance your life and the lives of the people around you.
 Equal Employment Opportunity Employer
 Ascension provides Equal Employment Opportunities (EEO) to all associates and applicants for employment without regard to race, color, religion, sex/gender, sexual orientation, gender identity or expression, pregnancy, childbirth, and related medical conditions, lactation, breastfeeding, national origin, citizenship, age, disability, genetic information, veteran status, marital status, all as defined by applicable law, and any other legally protected status or characteristic in accordance with applicable federal, state and local laws.
 For further information, view the EEO Know Your Rights (English) poster or EEO Know Your Rights (Spanish) poster.
 As a military friendly organization, Ascension promotes career flexibility and offers many benefits to help support the well\-being of our military families, spouses, veterans and reservists. Our associates are empowered to apply their military experience and unique perspective to their civilian career with Ascension.
 Please note that Ascension will make an offer of employment only to individuals who have applied for a position using our official application. Be on alert for possible fraudulent offers of employment. Ascension will not solicit money or banking information from applicants.
 E\-Verify Statement
 This employer participates in the Electronic Employment Verification Program. Please click the E\-Verify link below for more information.
 E\-Verify</t>
        </is>
      </c>
    </row>
    <row r="34">
      <c r="A34" t="inlineStr">
        <is>
          <t>li-4352121769</t>
        </is>
      </c>
      <c r="B34" t="inlineStr">
        <is>
          <t>Data Engineer II</t>
        </is>
      </c>
      <c r="C34" t="inlineStr">
        <is>
          <t>ZenPoint Solutions LLC</t>
        </is>
      </c>
      <c r="D34" t="inlineStr">
        <is>
          <t>linkedin</t>
        </is>
      </c>
      <c r="E34" t="inlineStr"/>
      <c r="F34" t="inlineStr"/>
      <c r="G34" t="inlineStr">
        <is>
          <t>Arlington, VA</t>
        </is>
      </c>
      <c r="H34" t="inlineStr"/>
      <c r="I34" t="inlineStr">
        <is>
          <t>**Description:** 
 ZenPoint Solutions LLC (“
 **ZenPoint Solutions** 
 ”) is a rapidly expanding Information Technology (IT) services company in the federal sector. We foster a thriving, ambitious work environment that prioritizes employee well\-being and a positive company culture. We invite you to join our team and help us shape a dynamic future as we deliver innovative solutions to address the nation's most critical IT missions.
**Clearance Requirement:** 
 Candidates must be eligible to hold a Public Trust clearance
**Work Location:** 
 Arlington, VA
**Work Schedule (Hybrid):** 
 Requires three (3\) days onsite at the customer's facility and two (2\) remote days per week; Schedule is subject to change at the discretion of the customer and may be adjusted without prior notice
**Position Overview:** 
 One of our federal customers is seeking a highly experienced
 **mid\-level Data Engineer** 
 to lead the design, implementation, and optimization of their data systems. This individual will play a critical role in maintaining existing databases, designing scalable solutions, and ensuring data integrity across the organization. The ideal candidate will possess deep expertise in data management, integration, and architecture, with a demonstrated ability to align technical strategies with business goals. This role requires strong analytical skills, leadership experience, and the ability to thrive in a dynamic, fast\-paced environment.
**Job Duties:** 
* Maintain and support existing databases and data systems
* Collaborate with team members to meet project milestones and deadlines
* Analyze data and perform routine database audits to ensure data quality and accuracy
* Gather and define requirements for new database solutions
* Design, implement, and manage robust database systems
* Identify opportunities for optimization and improvement in existing systems
* Plan and execute data migration strategies from legacy platforms to modern solutions
* Ensure data integrity, consistency, and adherence to data standards
* Develop and deliver enterprise data solutions to improve reporting and decision\-making capabilities
* Perform data cleansing and standardization (e.g., deduplication, sanitization), assess data quality, and eliminate irrelevant data to uncover meaningful patterns and trends
**Required Qualifications:** 
* **Candidate must be a United States Citizen and present proof of Citizenship, if selected**
* 5\+ years of hands\-on experience with data architecture, data management, data analysis, IT process reengineering, systems analysis, design, and implementation, and data modeling
* Proven experience leading teams or managing projects
* Proficiency with reporting and ad\-hoc analysis tools such as Tableau and Power BI
* Expert\-level proficiency in the Microsoft Office Suite (Word, Excel, PowerPoint, SharePoint)
* Familiarity with the ServiceNow platform
* Strong ability to form, articulate, and defend reasoned opinions and decisions
* Advanced understanding of Master Data Management (MDM) principles
* In\-depth knowledge of data integration strategies and best practices
* Hands\-on experience with data migration and integrating multiple data sources into a unified repository
* Strong data analysis skills with experience interpreting complex data sets
* Proficiency in SQL (e.g., ANSI SQL) for querying and managing data
* Exceptional consultative, conflict resolution, negotiation, and facilitation skills; ability to build consensus across matrixed teams
* Demonstrated problem\-solving skills with a creative, solution\-oriented mindset; able to deconstruct complex problems into actionable steps
* Adaptable and thrives in fast\-paced, time\-sensitive environments with shifting priorities
* Comfortable operating in situations with ambiguity and limited guidance
* Proactive and improvement\-focused; seeks out and implements opportunities to enhance processes and systems
* Self\-motivated with a strong work ethic; sets high standards for personal and team performance and demonstrates enthusiasm for organizational goals
***No recruitment agencies, please.***
**Company Benefits:** 
 We take care of your well\-being here at ZenPoint Solutions! Our comprehensive benefits package includes health, dental, and vision insurance to keep you and your family healthy. We also offer group and voluntary life insurance for financial security, and short\-term and long\-term disability insurance to provide peace of mind in case of unexpected illness or injury. You'll have the option to contribute to a 401(k)\-retirement plan with company matching contributions to save for the future. We also offer flexible spending accounts to help manage medical and dependent care costs on a pre\-tax basis. On top of that, you'll enjoy a generous paid leave policy, including federal holidays, to maintain a healthy work\-life balance. To help you grow in your career, we offer professional development opportunities and a tuition assistance program.
**Commitment to Equality:** 
 At ZenPoint Solutions, we value diverse perspectives and are committed to providing equal employment opportunities. We welcome applications from all qualified individuals, regardless of race, color, religion, sex, sexual orientation, gender identity, national origin, disability, veteran status, or any other status protected under applicable federal, state, or local laws.</t>
        </is>
      </c>
    </row>
    <row r="35">
      <c r="A35" t="inlineStr">
        <is>
          <t>li-4320523702</t>
        </is>
      </c>
      <c r="B35" t="inlineStr">
        <is>
          <t>Senior Data Engineer</t>
        </is>
      </c>
      <c r="C35" t="inlineStr">
        <is>
          <t>Trepp, Inc.</t>
        </is>
      </c>
      <c r="D35" t="inlineStr">
        <is>
          <t>linkedin</t>
        </is>
      </c>
      <c r="E35" t="inlineStr"/>
      <c r="F35" t="inlineStr"/>
      <c r="G35" t="inlineStr"/>
      <c r="H35" t="inlineStr"/>
      <c r="I35" t="inlineStr">
        <is>
          <t>Trepp's Data Platform Team is looking for individuals with strong backgrounds in programming to undertake challenging projects in our NYC office.
 The Data Platform Team powers all products at Trepp by using distributed data technologies built on our datalake. The Core Team is dedicated to establishing a robust foundation through architecture reviews, managing observability frameworks, and continuously assessing our processes and technology. The team oversee the maintenance of data ingestion and pipeline frameworks, while also developing new frameworks to empower developers.
 As a member of the Data Platform Core Team, you’ll be using open source and cloud technologies to drive innovation on our data platform.
 You will get the chance to work with teams across different line of business and other engineering teams to tackle complex problems and design scalable solutions. You will be an integral part of a team which is responsible for platform stability and foundational work.
**Responsibilities:**
* Become a Subject Matter Expert (SME) on our frameworks to assist in developing roadmaps and prioritizing initiatives.
* Identify opportunities to improve the platform through technical discussions and project proposals.
* Leverage project planning skills to transform high\-level ideas into design and implementation.
* Demonstrate leadership ability to back decisions with research and the “why,” and articulate several options, the pros and cons for each, and a recommendation
* Implement best practices in Data Engineering to drive innovation and enhance our platform as we scale.
**Basic Qualifications:**
* Bachelor’s Degree
* At least 5 years of experience in application development
* At least 3 years of experience in big data technologies
* At least 1 year of experience with cloud computing (AWS, Microsoft Azure, Google Cloud)
* Experience with Agile and SDLC, Git workflows, and CI/CD
**Preferred Qualifications:**
* 5 \+ years of experience in application development including Python, SQL, Scala, or Java
* 3\+ years of experience with a public cloud (AWS, Microsoft Azure, Google Cloud)
* 5\+ years of experience with Distributed data/computing tools (MapReduce, Hadoop, Hive, EMR, Kafka, Spark)
* 2\+ years of experience working on real\-time data and streaming applications
* 3\+ years of data warehousing experience (Redshift or Snowflake)
* 2\+ years of experience with UNIX/Linux including basic commands and shell scripting
**Salary Range:**
* Base salary starting from $185k plus bonus eligible
**Benefits and Perks:**
* Base \+ target bonus compensation structure
* Medical, Dental, Vision insurance
* 401(k) (with employer match)
* Life insurance, long term disability, short term disability all covered by the company
* Flexible paid time off (PTO)
* Sixteen (16\) weeks paid primary caregiver leave
 *(Biological, adoptive, and foster parents are all eligible)*
* Four (4\) weeks paid parental leave
* Wellness subsidy
* Pet insurance
* Laptop \+ WFH equipment
* Career progression plan
* Pre\-tax commuter benefit with company subsidy
 *(For NYC\-office based employees only)*
* Fun company events and volunteering opportunities
**Workplace Policy:**
*NYC, PA, and London office\-based positions:* 
 Trepp’s offices follows a 3\-2 hybrid\-working policy with the expectation of in\-office work on Tuesday\-Thursday and the option to work from home on Monday and Friday.
 Applicants for employment in the US must have work authorization that does not now or in the future require sponsorship of a visa for employment authorization in the United States and with Trepp (i.e., H1\-B visa, F\-1 visa (OPT), TN visa or any other non\-immigrant status). Trepp maintains a drug\-free workplace.</t>
        </is>
      </c>
    </row>
    <row r="36">
      <c r="A36" t="inlineStr">
        <is>
          <t>li-4338963167</t>
        </is>
      </c>
      <c r="B36" t="inlineStr">
        <is>
          <t>Applied Analytics Engineer</t>
        </is>
      </c>
      <c r="C36" t="inlineStr">
        <is>
          <t>Vulcan Materials Company</t>
        </is>
      </c>
      <c r="D36" t="inlineStr">
        <is>
          <t>linkedin</t>
        </is>
      </c>
      <c r="E36" t="inlineStr"/>
      <c r="F36" t="inlineStr"/>
      <c r="G36" t="inlineStr">
        <is>
          <t>Birmingham, AL</t>
        </is>
      </c>
      <c r="H36" t="inlineStr"/>
      <c r="I36" t="inlineStr">
        <is>
          <t>**Build You** 
**r Career. Build America's Future.**
 Vulcan Materials Company is the nation’s largest producer of construction aggregates and a major producer of aggregates\-based construction materials including asphalt and ready\-mixed concrete. When you join Vulcan, it’s more than starting an exciting career – you get to make a difference for millions of people every day across the country.
 When you join Vulcan, you join a dynamic culture in which career development is encouraged, excellence is rewarded and diversity is valued. No matter the role or the location across the country, every member of the Vulcan team lives through the Vulcan Way:
 *doing the right thing, the right way, at the right time.*
**About The Job**
 We are seeking a highly analytical professional with 3–5 years of demonstrable experience to join our team as an
 **Applied Analytics Engineer** 
 . The successful candidate will be responsible for the full\-spectrum of technical work, with a primary emphasis on building, optimizing, and maintaining robust data pipelines that ingest, clean, and transform large, complex datasets for analytical readiness, and developing, rigorously testing, and deploying high\-impact Machine Learning models into production systems for live use. The ideal candidate will translate complex business problems into measurable, scalable data solutions that drive strategic decision\-making and business outcomes.
**What You’ll Do**
**Machine Learning \&amp; Statistical Analytics**
* Design, build, and rigorously validate machine learning and statistical models (including regression, classification, clustering, and ensemble methods) for predictive and prescriptive analytics.
* Use deep analytical skills and data science knowledge to address complex, real\-world business challenges and drive measurable impact.
* Analyze large amounts of information to discover critical trends and patterns. Apply the scientific method to design experiments, formulate hypotheses, and conduct rigorous testing.
* Apply expertise in natural language processing (NLP) and text mining techniques where applicable.
**Data Pipeline \&amp; Preparation**
* Design, build, and maintain robust and scalable data pipelines to process, transform, and organize large, complex datasets from disparate sources. Identify, assess, and integrate valuable data sources, developing automated processes for continuous data collection and ingestion.
* Hands\-on expertise in data management, programming, and processing large data volumes using technologies such as Python, SQL, and PySpark.
* Undertake meticulous preprocessing, cleansing, and transformation of large structured and unstructured datasets to ensure data quality, usability, and accuracy for modeling.
* Apply understanding of data management and data engineering principles to maintain scalable data architecture.
* Design dimensional data models using methodologies to ensure enterprise data consistency.
**Other Duties**
* Contribute to team efforts, including taking on new tasks as assigned by the supervisor.
* Assist with special projects as needed to support departmental goals.
* Handle cross\-functional support duties, such as helping other departments with specific projects when required.
**Skills You’ll Need**
* 5 years of experience with statistical and programming languages for data analysis, specifically Python (including PySpark, NumPy, Pandas, Scikit\-learn) and SQL.
* 5 years of demonstrable experience in a data\-focused role encompassing data exploration, data cleaning, and data visualization. Experience with cloud platforms (AWS, Azure, GCP)
* Practical experience with big data processing frameworks such as Spark or similar distributed computing environments.
* Extensive experience developing predictive data models, quantitative analyses, and visualization of large data sources, including both structured and unstructured data.
* Experience leading or significantly contributing to the development of complex data solutions.
* Basic idea or hands on with Tableau or similar data visualization tools/stacks.
**Good To Have**
* Hands\-on experience with MLOps, Git Version Control, Unit/Integration/End\-to\-End Testing, CI/CD, and release management processes.
* Hands\-on experience with Snowflake, JIRA or ServiceNow.
* Design and implement data\-grounded AI agents using large language models (LLMs) and specialized toolkits (e.g., LangChain, agent frameworks) to automate complex decision\-making and data querying workflows.
* Familiarity with project management principles and best practices.
**What You'll Like About Us**
**Great Company Culture.** 
 Our people share a competitive drive for excellence in an environment of trust, teamwork, open\-mindedness and communication.
**Safe.** 
 Industry leader in health and safety standards. We are committed to creating a safe work environment and protecting all employees and customers.
**Meaningful Work.** 
 What sets up apart is the work we do impacts daily lives – and every employee contributes. Our aggregates produced are used to build roads, schools, hospitals, airports, and housing throughout the United States.
**Health Benefits.** 
 Medical, Dental, Vision programs, plus much more.
**Rest and Relaxation.** 
 Paid vacation, personal floating days, and paid holidays.
**Prepare for the Future.** 
 401(k) with company match and contribution.
 Training and Development. We see our development programs and helping our employees meet their goals as a key part of our business.
 Vulcan Materials Company is committed to employing a diverse workforce. You will receive consideration without regard to race, color, religion, sex, national origin, age, sexual orientation, gender identity, gender expression, veteran status, or disability. You also have the right to be free from discrimination for medical needs arising from pregnancy, childbirth, or related medical conditions.
**Job**
 Applications \&amp; Software
**Primary Location**
 Alabama\-Birmingham
**Organization**
 GM \- CORPORATE
**Schedule**
 Full\-time
**Job Posting**
 Nov 25, 2025, 11:13:49 AM</t>
        </is>
      </c>
    </row>
    <row r="37">
      <c r="A37" t="inlineStr">
        <is>
          <t>li-4330859914</t>
        </is>
      </c>
      <c r="B37" t="inlineStr">
        <is>
          <t>Senior Analytics Engineer</t>
        </is>
      </c>
      <c r="C37" t="inlineStr">
        <is>
          <t>RemoteHunter</t>
        </is>
      </c>
      <c r="D37" t="inlineStr">
        <is>
          <t>linkedin</t>
        </is>
      </c>
      <c r="E37" t="inlineStr"/>
      <c r="F37" t="inlineStr"/>
      <c r="G37" t="inlineStr"/>
      <c r="H37" t="inlineStr"/>
      <c r="I37" t="inlineStr">
        <is>
          <t>About the Opportunity:
 A financial technology company based in Boston, Massachusetts with team members across the United States, Dominican Republic, and Canada is focused on unlocking capital for small businesses. The Analytics Engineering team plays a central role in the data ecosystem by converting raw data into actionable insights, building and optimizing data infrastructure, and developing data pipelines for business intelligence, advanced analytics, and predictive modeling. The Senior Analytics Engineer will design, construct, and maintain data models while collaborating with teams such as Data Engineering, Data Science, DevOps, and Business Intelligence, managing a modern analytics platform using tools like dbt, Fivetran, Snowflake, Census, and Tableau.
 Responsibilities:
 • Design, develop, and optimize scalable dimensional data models and marts using dbt, enforcing the DRY principle
 • Serve as primary liaison with the Data Science team to convert features into production\-ready data variables for predictive models
 • Collaborate with the Data Engineering team to deploy and orchestrate data variables feeding production machine learning models
 • Partner with Core Technology teams on application schema changes and data migrations, ensuring data accuracy and minimal disruption
 • Work with DevOps to monitor and maintain high\-performance streaming pipelines for real\-time analytics
 • Review Analytics team code, coach junior members, and enforce standards for style, maintainability, and performance
 • Evaluate, integrate, and operationalize third\-party data sources to enrich the data ecosystem
 • Champion data governance and quality through automated data quality checks, data cataloging, and compliance with security and regulatory standards
 Requirements:
 • 4\+ years of experience in Analytics Engineering, Data Engineering, or Business Intelligence
 • 2\+ years of experience developing and maintaining production\-level data transformation pipelines using dbt or equivalent Python scripting
 • 2\+ years experience with cloud\-based data warehouses such as Snowflake or Redshift
 • Advanced proficiency in SQL and data modeling
 • Ability to translate complex business needs and ambiguous requirements into scalable technical data solutions
 • Experience with business intelligence tools like Looker, Tableau, or similar
 • Bonus: Hands\-on experience with Python for data scripting, automation, or predictive modeling support
 Compensation:
 • Annual Targeted Salary: $145,000 to $170,000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flexible location options and premiere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
      <c r="A38" t="inlineStr">
        <is>
          <t>li-4269420614</t>
        </is>
      </c>
      <c r="B38" t="inlineStr">
        <is>
          <t>Senior Data Engineer</t>
        </is>
      </c>
      <c r="C38" t="inlineStr">
        <is>
          <t>Publicis Re:Sources</t>
        </is>
      </c>
      <c r="D38" t="inlineStr">
        <is>
          <t>linkedin</t>
        </is>
      </c>
      <c r="E38" t="inlineStr"/>
      <c r="F38" t="inlineStr"/>
      <c r="G38" t="inlineStr">
        <is>
          <t>Chicago, IL</t>
        </is>
      </c>
      <c r="H38" t="inlineStr"/>
      <c r="I38" t="inlineStr">
        <is>
          <t>**Company Description** 
 Publicis Re:Sources is the backbone of Publicis Groupe, the world’s most valuable agency group. We are the only full\-service, end\-to\-end shared service organization in the industry, enabling Groupe agencies to do what they do best: innovate and transform for their clients.
 Formed in 1998 as a small team to service a few Publicis Groupe firms, Publicis Re:Sources has grown to 5,000\+ employees in over 66 countries. We provide technology solutions and business services including finance, accounting, legal, benefits, procurement, tax, real estate, treasury and risk management.
 We continually transform to keep pace with our ever\-changing communications industry and thrive on a spirit of innovation felt around the globe. Learn more about Publicis Re:Sources and the Publicis Groupe agencies we support at http://www.publicisresources.com/.
**The Publicis Re:Sources Guiding Principles** 
 define who we are and what we stand for. They reflect the mindset and behaviors that shape how we work, how we support one another, and how we drive progress together.
* People First, Driving Success Together
* Problem Solving Mindset
* Respect Each Other
* Partner and Collaborate as One Team
* Commit to Quality and Standards
* Innovate and Embrace the Future
**Overview** 
 We are seeking a skilled and detail\-oriented Data Engineer to join our growing data team. The ideal candidate will be responsible for designing, building, and maintaining scalable data pipelines and infrastructure to support analytics, reporting, and data science initiatives. You will work closely with data analysts, data scientists, and business stakeholders to ensure data is accessible, reliable, and optimized for performance.
**Responsibilities** 
* Collaborate with software engineers, business stake holders and/or domain experts to translate business requirements into product features, tools, projects.
* Develop, implement, and deploy ETL solutions.
* Preprocess and analyze large datasets to identify patterns, trends, and insights.
* Evaluate, validate, and optimize data models to ensure efficiency, and generalizability.
* Monitor and maintain the performance of data pipeline, data models in production environments, identifying opportunities for improvement and update as needed.
* Document development processes, results, and lessons learned to facilitate knowledge sharing and continuous improvement.
**Qualifications** 
* Bachelor's or master’s degree in computer science, Engineering, or a related field.
* Strong programming skills in languages such as Python, PySpark, SQL etc.
* Experience in Build and optimize ETL workflows using tools/technologies such as Spark, Snowflake, Airflow and/or Azure Data factory, Glue, Redshift etc.
* Craft and optimize complex SQL queries and stored procedures for data transformation, aggregation, and analysis.
* Develop and maintain data models ensuring scalability and optimal performance.
* Utilize Snowpark for data processing within the Snowflake platform.
* Integrate Snowflake for efficient data storage and retrieval.
* Exposure to API integrations to facilitate data workflows.
* Experience in implementing CI\-CD pipelines through DevOps platforms.
* Good experience in cloud infrastructure such as Azure, AWS or GCP
**Additional Information** 
 All your information will be kept confidential according to EEO guidelines.
 This job description in no way states or implies that these are the only duties to be performed by the employee(s) currently in this position. Employee(s) will be required to follow any other job related instructions and to perform any other job\-related duties requested by any person authorized to give instructions or assignments.
 A review of this position has excluded the marginal functions of the position that are incidental to the performance of fundamental job duties. All duties and responsibilities are essential job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""at\-will"" relations.
**Work sponsorship is not available for this role.**</t>
        </is>
      </c>
    </row>
    <row r="39">
      <c r="A39" t="inlineStr">
        <is>
          <t>li-4269424466</t>
        </is>
      </c>
      <c r="B39" t="inlineStr">
        <is>
          <t>Senior Data Engineer</t>
        </is>
      </c>
      <c r="C39" t="inlineStr">
        <is>
          <t>Publicis Re:Sources</t>
        </is>
      </c>
      <c r="D39" t="inlineStr">
        <is>
          <t>linkedin</t>
        </is>
      </c>
      <c r="E39" t="inlineStr"/>
      <c r="F39" t="inlineStr"/>
      <c r="G39" t="inlineStr">
        <is>
          <t>Irving, TX</t>
        </is>
      </c>
      <c r="H39" t="inlineStr"/>
      <c r="I39" t="inlineStr">
        <is>
          <t>**Company Description**
 Publicis Re:Sources is the backbone of Publicis Groupe, the world’s most valuable agency group. We are the only full\-service, end\-to\-end shared service organization in the industry, enabling Groupe agencies to do what they do best: innovate and transform for their clients.
 Formed in 1998 as a small team to service a few Publicis Groupe firms, Publicis Re:Sources has grown to 5,000\+ employees in over 66 countries. We provide technology solutions and business services including finance, accounting, legal, benefits, procurement, tax, real estate, treasury and risk management.
 We continually transform to keep pace with our ever\-changing communications industry and thrive on a spirit of innovation felt around the globe. Learn more about Publicis Re:Sources and the Publicis Groupe agencies we support at http://www.publicisresources.com/.
**The Publicis Re:Sources Guiding Principles** 
 define who we are and what we stand for. They reflect the mindset and behaviors that shape how we work, how we support one another, and how we drive progress together.
* People First, Driving Success Together
* Problem Solving Mindset
* Respect Each Other
* Partner and Collaborate as One Team
* Commit to Quality and Standards
* Innovate and Embrace the Future
**Overview**
 We are seeking a skilled and detail\-oriented Data Engineer to join our growing data team. The ideal candidate will be responsible for designing, building, and maintaining scalable data pipelines and infrastructure to support analytics, reporting, and data science initiatives. You will work closely with data analysts, data scientists, and business stakeholders to ensure data is accessible, reliable, and optimized for performance.
**Responsibilities**
* Collaborate with software engineers, business stake holders and/or domain experts to translate business requirements into product features, tools, projects.
* Develop, implement, and deploy ETL solutions.
* Preprocess and analyze large datasets to identify patterns, trends, and insights.
* Evaluate, validate, and optimize data models to ensure efficiency, and generalizability.
* Monitor and maintain the performance of data pipeline, data models in production environments, identifying opportunities for improvement and update as needed.
* Document development processes, results, and lessons learned to facilitate knowledge sharing and continuous improvement.
**Qualifications**
* Bachelor's or master’s degree in computer science, Engineering, or a related field.
* Strong programming skills in languages such as Python, PySpark, SQL etc.
* Experience in Build and optimize ETL workflows using tools/technologies such as Spark, Snowflake, Airflow and/or Azure Data factory, Glue, Redshift etc.
* Craft and optimize complex SQL queries and stored procedures for data transformation, aggregation, and analysis.
* Develop and maintain data models ensuring scalability and optimal performance.
* Utilize Snowpark for data processing within the Snowflake platform.
* Integrate Snowflake for efficient data storage and retrieval.
* Exposure to API integrations to facilitate data workflows.
* Experience in implementing CI\-CD pipelines through DevOps platforms.
* Good experience in cloud infrastructure such as Azure, AWS or GCP
**Additional Information**
 All your information will be kept confidential according to EEO guidelines.
 This job description in no way states or implies that these are the only duties to be performed by the employee(s) currently in this position. Employee(s) will be required to follow any other job related instructions and to perform any other job\-related duties requested by any person authorized to give instructions or assignments.
 A review of this position has excluded the marginal functions of the position that are incidental to the performance of fundamental job duties. All duties and responsibilities are essential job functions and requirements and are subject to possible modification to reasonably accommodate individuals with disabilities. To perform this job successfully, the incumbent(s)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""at\-will"" relations.
 Work aponsorship is not available for this role.</t>
        </is>
      </c>
    </row>
    <row r="40">
      <c r="A40" t="inlineStr">
        <is>
          <t>li-4339144896</t>
        </is>
      </c>
      <c r="B40" t="inlineStr">
        <is>
          <t>Principal Data Engineer</t>
        </is>
      </c>
      <c r="C40" t="inlineStr">
        <is>
          <t>Hasbro</t>
        </is>
      </c>
      <c r="D40" t="inlineStr">
        <is>
          <t>linkedin</t>
        </is>
      </c>
      <c r="E40" t="inlineStr"/>
      <c r="F40" t="inlineStr"/>
      <c r="G40" t="inlineStr">
        <is>
          <t>Pawtucket, RI</t>
        </is>
      </c>
      <c r="H40" t="inlineStr"/>
      <c r="I40" t="inlineStr">
        <is>
          <t>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
 Do you have a passion for data? Then we are looking for you! We are seeking a highly qualified and forward\-thinking Principal Data Engineer to join our high\-visibility Technology Analytics team that is helping Hasbro better reach consumers with compelling products and entertainment! This leadership role is crucial in shaping the architecture, design, and delivery of scalable, high\-performance data solutions that power analytics, machine learning, and operational workloads across the organization.
 This Principal Data Engineer will serve as a technical leader, mentor, and strategic partner – guiding cross\-functional teams through complex data initiatives and ensuring alignment with our long\-term data strategy. You will partner closely with data scientists, analysts, platform engineers, and collaborators to create resilient and future\-ready data pipelines and systems.
**What You'll Do:**
* Architect and Design: Lead the architectural design and development of scalable data pipelines and systems
* End\-to\-End Data Ownership: Oversee the entire data lifecycle—from ingestion to consumption—ensuring quality, reliability, and performance.
* Technology Leadership: Drive best practices in our stack, including Snowflake, DBT, Airflow, Confluent Kafka, and Databricks, across AWS and Azure cloud platforms.
* Mentorship and Guidance: Provide technical leadership and mentorship to data engineers; establish coding standards, conduct peer reviews, and promote knowledge sharing practices. Lead and participate in pull request reviews to uphold engineering standards and mentor contributors.
* Innovation \&amp; Strategy: Evaluate emerging technologies and make recommendations to enhance our data infrastructure and strategy.
**What you'll bring:**
* 5\+ years of hands\-on experience in data engineering or a related field, with at least 3 years in a lead or principal role.
* Expert knowledge in:
* Data Lake \&amp; Warehousing: Snowflake, Databricks (Delta Lake), or equivalent
* ETL/ELT \&amp; Transformation: DBT, Spark
* Orchestration: Airflow, Databricks Asset Bundles
* Streaming: Confluent Kafka, Kafka Streams, or equivalent
* Cloud Platforms: Strong experience with AWS and Azure
* Strong proficiency in SQL and Python
* Familiarity with CI/CD and infrastructure\-as\-code principles.
* Proven track record of leading multi\-functional technical initiatives and mentoring engineers.
* Proficiency in integrating AI solutions into new and existing technologies to improve efficiency, streamline operations, and elevate the consumer experience is required.
* Self\-starter with a passion and curiosity for solving unstructured data problems and ability to manipulate and optimize large data sets.
* Knowledge of metadata management, data lineage, and principles of data governance.
* Hands\-on experience with real\-time data processing and event\-driven architectures
* Excellent written and verbal communication skills – experience working with business and senior leaders.
* Bachelor’s or master’s degree in computer science, information systems or related field.
**Location:** 
 Pawtucket, RI (temporarily). This role will transition to our new Boston, MA HQ office once it opens in Fall 2026\. The position follows a hybrid schedule with on\-site work required Tuesday through Thursday.
**We are an Equal Opportunity**
 Hasbro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$146,600\.00 to $220,000\.00\.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t>
        </is>
      </c>
    </row>
    <row r="41">
      <c r="A41" t="inlineStr">
        <is>
          <t>li-4279814534</t>
        </is>
      </c>
      <c r="B41" t="inlineStr">
        <is>
          <t>Sr. Data Engineer</t>
        </is>
      </c>
      <c r="C41" t="inlineStr">
        <is>
          <t>Jobs via eFinancialCareers</t>
        </is>
      </c>
      <c r="D41" t="inlineStr">
        <is>
          <t>linkedin</t>
        </is>
      </c>
      <c r="E41" t="inlineStr"/>
      <c r="F41" t="inlineStr"/>
      <c r="G41" t="inlineStr">
        <is>
          <t>Bedminster, NJ</t>
        </is>
      </c>
      <c r="H41" t="inlineStr"/>
      <c r="I41" t="inlineStr">
        <is>
          <t>**Benefits Summary**
* Flexible and hybrid work arrangements
* Paid time off/Paid company holidays
* Medical plan options/prescription drug plan
* Dental plan/vision plan options
* Flexible spending and health savings accounts
* 401(k) retirement savings plan with a Roth savings option and company matching contributions
* Educational assistance program
**Overview**
 The Sr. Data Engineer requires expertise in DataOps and is responsible for guaranteeing dependable, scalable and effective data processes and solutions by combining components, functions and skills from data engineering, software engineering and IT Operations. This role is critical to AM Best's goal of developing, maintaining and scaling a sophisticated platform for data and analytics.
**Responsibilities**
**Create and support scalable data solutions:**
* Build high performance data systems including databases, APIs, and data integration pipelines
* Implement a metadata\-driven architecture and infrastructure as code approach to automate and simplify the design, deployment, and management of data systems
* Facilitate the adoption of data and software engineering best practices, including code review, testing, and continuous integration and delivery (CI/CD)
* Develop and establish a data governance framework
* Continuous monitoring of process performance and implement improvements for efficiency including fine\-tuning existing ETL processes, optimizing queries, or refactoring code
* Assess and make optimal use of cloud platforms and technologies, especially Azure and Databricks to enhance system architecture
* Implement data quality checks and build processes to identify and resolve data issues
* Create and maintain documentation for data architecture, standards, and best practices
* Contribute designs, code, tooling, testing, and operational support
**Increase operational efficiency:**
* Identify opportunities for process optimization and automation to enhance data operations efficiency
**Leadership and innovation:**
* Provide technical leadership to the data engineering team and actively lead design discussions
* Ensure that the new data infrastructure remains modern and efficient by staying knowledgeable of the latest tools, technologies, and methodologies in the data and analytics space
**Qualifications**
* 7 plus years of experience working as a Data Engineer, Data Architect, Database Developer or similar roles
* Bachelor's Degree in Computer Science, Data Science, Engineering or related field
**Skills**
* 7\+ years of experience in programming languages such as Python, Scala, Java, Rust or similar
* 7\+ years of experience in Oracle OLTP database design and development
* 7\+ years of experience in building ETL / ELT data pipelines using Apache Spark, Airflow, dbt or similar
* 7 years of experience in developing APIs that include REST, SOAP, RPC, GraphQL or similar
* 7 years of experience in OLAP / data warehouse design and development using dimensional (Kimball star\-schema), data vault or Inmon methodologies
* 5 years of experience in NoSQL database design and development preferably on MongoDB or similar
* 5 years of experience working with message broker platforms like RabbitMQ, Apache Kafka, Red Hat AMQ or similar
* 5 years of experience working with Azure or AWS cloud\-native technologies / services
* Working knowledge of CI/CD automation tools or services like Jenkins, Ansible, Chef, Puppet or similar
* Working knowledge of containerized platform or services like Docker, Kubernetes or similar
* Must be hands\-on, have a passion for data and problem solving, and an innovative mind\-set to help deliver results across projects
 Pluses:
* Experience working with Databricks data intelligence platform
* Experience working with business intelligence tools / platforms like PowerBI, Cognos, Tableau or similar
* Experience working with caching databases: Memcache,Redis or similar
* Experience working with search databases and platforms: Elasticsearch, Apache Solr or similar
* Experience working with data modeling tools: ERwin, ERStudio, Navicat, SqlDBM or similar
* Knowledge of data governance tools: Colibra, Alation or similar
* Knowledge of master data management tools: Informatica, TIBCO, Riversand, Ataccama or similar</t>
        </is>
      </c>
    </row>
    <row r="42">
      <c r="A42" t="inlineStr">
        <is>
          <t>li-4331060706</t>
        </is>
      </c>
      <c r="B42" t="inlineStr">
        <is>
          <t>Data Engineer IV</t>
        </is>
      </c>
      <c r="C42" t="inlineStr">
        <is>
          <t>Jobs via Dice</t>
        </is>
      </c>
      <c r="D42" t="inlineStr">
        <is>
          <t>linkedin</t>
        </is>
      </c>
      <c r="E42" t="inlineStr"/>
      <c r="F42" t="inlineStr"/>
      <c r="G42" t="inlineStr">
        <is>
          <t>Cincinnati, OH</t>
        </is>
      </c>
      <c r="H42" t="inlineStr"/>
      <c r="I42" t="inlineStr">
        <is>
          <t>Dice is the leading career destination for tech experts at every stage of their careers. Our client, Apex Systems, is seeking the following. Apply via Dice today!
**Job\#: 3016133**
**Job Description:**
 Job Title: Data Engineer
 Job Location: Cincinnati, OH (Onsite)
 Job Pay Range: $74/hr\-$79/hr
 Contract Length: 12 months
**Data Engineer \- Machine Learning Data Enablement**
**Location:** 
 Onsite 4 days/week (Monday\-Thursday) in Cincinnati, OH
**Type:** 
 Full\-Time
**About The Role**
 I'm looking for a Data Engineer to join a newly formed Machine Learning Data Enablement team. This group is focused on building high\-quality, scalable data pipelines that support machine learning models across the organization. The work centers on delivering reliable, well\-structured data that powers ML development and deployment in modern cloud environments.
 This is an excellent opportunity for an early\-career professional who wants to grow in a hands\-on data engineering role. If you've supported machine learning projects, partnered with data science teams, or are eager to deepen your experience in ML\-focused data infrastructure, you'll be a great fit.
**What You'll Do**
* Build and maintain scalable data pipelines that support machine learning workflows
* Deliver curated, production\-ready datasets for data scientists and ML engineers
* Collaborate closely with cross\-functional partners to understand data needs and modeling requirements
* Support the development and deployment of ML models by ensuring data quality, consistency, and availability
* Work with modern data tooling and cloud platforms to enhance data delivery processes
* Contribute to shaping how machine learning data is managed and delivered across the organization
* Participate in the early stages of a growing team, helping define best practices and long\-term architecture
**Required Skills**
* Strong SQL skills
* Proficiency in Python
* Experience preparing, cleaning, and transforming data
* Interest in machine learning workflows and data\-driven product development
* Collaborative mindset and willingness to learn new tools and technologies
**Preferred Skills**
* Experience with Snowflake
* Experience with dbt
* Familiarity with cloud data platforms
* Exposure to ML platforms such as SageMaker or Databricks (not required, but helpful)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43">
      <c r="A43" t="inlineStr">
        <is>
          <t>li-4350797708</t>
        </is>
      </c>
      <c r="B43" t="inlineStr">
        <is>
          <t>MDM Data Engineer</t>
        </is>
      </c>
      <c r="C43" t="inlineStr">
        <is>
          <t>Jobs via eFinancialCareers</t>
        </is>
      </c>
      <c r="D43" t="inlineStr">
        <is>
          <t>linkedin</t>
        </is>
      </c>
      <c r="E43" t="inlineStr"/>
      <c r="F43" t="inlineStr"/>
      <c r="G43" t="inlineStr">
        <is>
          <t>Springfield, MA</t>
        </is>
      </c>
      <c r="H43" t="inlineStr"/>
      <c r="I43" t="inlineStr">
        <is>
          <t>**Objectives of the role**
 As an MDM Data Engineer, you will work in a fast\-paced, innovative, and collaborative environment on exciting data management directives. You will design, build, and measure complex Informatica Power Center and MDM processes to master data for different Master Data domains in MassMutual. This role involves working on a range of projects including batch pipelines, data modeling, and Master Data solutions to implement robust data collection and processing pipelines to meet specific business needs.
**The Team**
 The Data Platform Data Engineering team comprises a diverse group of data engineers, analysts, and data architects who are passionate about data integrity and innovation. The team is motivated by the opportunity to drive business decisions through accurate and reliable data. We foster a collaborative culture where knowledge\-sharing and continuous learning are encouraged. Our MDM team is dedicated to mastering data management processes that are essential for MassMutual's data\-driven strategies.
**The Impact:**
* Design, construct, and evaluate intricate ELT/ETL tasks: Assimilate data from diverse sources into a high\-quality, reliable data repository, directly impacting the accuracy of MassMutual's data\-driven decisions.
* Develop Master Data Management (MDM) solutions: Implement solutions across various master data domains within MassMutual, ensuring data consistency and reliability.
* Provide comprehensive support for MDM solutions: Manage data ingestion, master record creation, outbound data extracts, and API integration to maintain seamless data operations.
* Implement data modeling policies and procedures: Establish standards for data modeling, contributing to the efficiency and consistency of data processes.
* Collaborate across departments: Engage with various teams to understand emerging data patterns, translating high\-level business needs into precise technical specifications.
* Actively engage in the development and rollout of MDM Solutions and other Information Management initiatives at MassMutual.
* Establish data quality benchmarks and develop tools/processes to ensure data accuracy.
**The Minimum Qualifications**
* Bachelor’s degree in computer science or engineering.
* 5\+ years of experience with Informatica Power Center.
* 5\+ years of experience in data analytics, data modeling, and database design.
* 3\+ years of coding and scripting (Python, Java, Scala) and design experience.
* 3\+ years of experience with the Informatica MDM platform in the customer/party subject area.
* 3\+ years of experience in ELT methodologies, SQL tuning, and troubleshooting.
* 3\+ years of experience with Oracle database and AWS.
* 2\+ years of experience with basic UNIX commands and shell scripts.
**The Ideal Qualifications**
* Master’s degree in computer science or engineering.
* Familiarity with agile project delivery processes.
* Proficiency in SQL and data access/analysis.
* Ability to manage diverse projects impacting multiple roles and processes.
* Experience with Python, Kafka, and database technologies like Vertica or Redshift.
* Experience designing and implementing automated ETL processes.
* Experience with RESTful APIs and near real\-time mastering via SIF.
* Willingness to provide Level 2 support for batch processing cycles outside business hours.
**What to Expect as Part of MassMutual and the Team**
* Regular collaboration with the Data Management Team.
* Focused one\-on\-one time with your manager.
* Access to mentorship opportunities.
* Networking opportunities, including access to Asian, Hispanic/Latinx, African American, women, LGBTQ, veteran, and disability\-focused Business Resource Groups.
* Access to learning content on Degreed and other informational platforms.
* Your ethics and integrity will be valued by a company with a strong and stable ethical business, with industry\-leading pay and benefits.
 MassMutual is an Equal Employment Opportunity employer Minority/Female/Sexual Orientation/Gender Identity/Individual with Disability/Protected Veteran. We welcome all persons to apply. Note: Veterans are welcome to apply, regardless of their discharge status.
 If you need an accommodation to complete the application process, please contact us and share the specifics of the assistance you need.</t>
        </is>
      </c>
    </row>
    <row r="44">
      <c r="A44" t="inlineStr">
        <is>
          <t>li-4324862552</t>
        </is>
      </c>
      <c r="B44" t="inlineStr">
        <is>
          <t>Member of Technical Staff, Data Engineering</t>
        </is>
      </c>
      <c r="C44" t="inlineStr">
        <is>
          <t>Cohere</t>
        </is>
      </c>
      <c r="D44" t="inlineStr">
        <is>
          <t>linkedin</t>
        </is>
      </c>
      <c r="E44" t="inlineStr"/>
      <c r="F44" t="inlineStr"/>
      <c r="G44" t="inlineStr">
        <is>
          <t>New York, NY</t>
        </is>
      </c>
      <c r="H44" t="inlineStr"/>
      <c r="I44"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As a Data Engineer specializing in pretraining data, you will play a pivotal role in developing the data pipeline that underpins Cohere’s advanced language models. Your responsibilities will encompass the end\-to\-end management of training data, including ingestion, cleaning, filtering, and optimization, as well as data modeling to ensure datasets are structured and formatted for optimal model performance. You will work with diverse data sources, such as web data, code data, and multilingual corpora, to ensure their quality, diversity, and reliability. By combining research and engineering, you will bridge the gap between raw data and cutting\-edge AI models, directly contributing to improvements in critical training metrics like throughput and accelerator utilization.
 Your work will be essential to Cohere’s mission of delivering efficient and reliable language understanding and generation capabilities, driving innovation in natural language processing. If you are passionate about transforming data into the foundation of AI systems, this role offers a unique opportunity to make a meaningful impact.
*Please Note: We have offices in London, Paris, Toronto, San Francisco and New York but also embrace being remote\-friendly! There are no restrictions on where you can be located for this role between EST and EU.*
**As a Member of Technical Staff, Data Engineering, you will:**
* Design and build scalable data pipelines to ingest, parse, filter, and optimize diverse web datasets.
* Conduct data ablations to assess data quality and experiment with data mixtures to enhance model performance.
* Develop robust data modeling techniques to ensure datasets are structured and formatted for optimal training efficiency.
* Research and implement innovative data curation methods, leveraging Cohere’s infrastructure to drive advancements in natural language processing.
* Collaborate with cross\-functional teams, including researchers and engineers, to ensure data pipelines meet the demands of cutting\-edge language models.
**You May Be a Good Fit If You Have**
* Strong software engineering skills, with proficiency in Python and experience building data pipelines.
* Familiarity with data processing frameworks such as Apache Spark, Apache Beam, Pandas, or similar tools.
* Experience working with large\-scale web datasets like CommonCrawl.
* A passion for bridging research and engineering to solve complex data\-related challenges in AI model training.
*Bonus* 
 : paper at top\-tier venues (such as NeurIPS, ICML, ICLR, AIStats, MLSys, JMLR, AAAI, Nature, COLING, ACL, EMNLP).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row>
    <row r="45">
      <c r="A45" t="inlineStr">
        <is>
          <t>li-4359334244</t>
        </is>
      </c>
      <c r="B45" t="inlineStr">
        <is>
          <t>Sr. Distinguished, Data Engineer - Enterprise Data Storage and Consumption Platforms Data Engineer</t>
        </is>
      </c>
      <c r="C45" t="inlineStr">
        <is>
          <t>Capital One</t>
        </is>
      </c>
      <c r="D45" t="inlineStr">
        <is>
          <t>linkedin</t>
        </is>
      </c>
      <c r="E45" t="inlineStr"/>
      <c r="F45" t="inlineStr"/>
      <c r="G45" t="inlineStr">
        <is>
          <t>New York, NY</t>
        </is>
      </c>
      <c r="H45" t="inlineStr"/>
      <c r="I45"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Storage \&amp; Consumption Platform team within Enterprise Data, serving as a Senior Director\-level Individual Contributor (IC). This role demands a visionary and hands\-on leader to drive the technical strategy for consumption platforms leveraged by all lines of business. Your focus is on maturing platform scalability, Operational Excellence, Performance, and Resiliency. We require deep expertise in AWS infrastructure ,Lakehouse architecture, Snowflake, Databricks platform and BI tools to mature these enterprise\-scale systems and execute technical strategy.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Identify, benchmark and contribute towards opportunities to improve system availability, security, reliability, cost optimization and performance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software engineering or data engineering
* At least 5 years of people management experience
* At least 3 years of experience with Big Data and data streaming
* At least 3 years of experience with cloud\-based data platforms (Amazon Web Services, Microsoft Azure, Google Cloud Platform)
* At least 9 years of experience in data engineering writing production quality code with a focus on distributed systems
**Preferred Qualifications:**
* Masters’ Degree
* 10\+ years of experience in data engineering
* 3\+ years of experience implementing big data frameworks and processing solutions
* 3\+ years of data modeling experience
* 2\+ years of experience with ontology standards for defining a domain
* 2\+ years of experience using Python, SQL or Scala
* 1\+ year of experience deploying machine learning models
* 5\+ years of experience with Agile engineering practices
* 8\+ years in\-depth experience with the Hadoop stack (MapReduce, Pig, Hive, Hbase)
* 8\+ years experience with NoSQL implementation (Mongo, Cassandra)
* 8\+ years experience developing Java based software solutions
* 8\+ years experience in at least one scripting language
* 8\+ years experience developing software solutions to solve complex business problems
* 8\+ years experience with Relational Database Systems and SQL
* 8\+ years experience designing, developing, and implementing ETL
* 8\+ years experience with UNIX/Linux including basic commands and shell scripting
* 8\+ years of experience providing technical leadership
* 8\+ years of experience leading the full life\-cycle of IT development and platform support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$286,200 \- $326,700 for Sr. Dir, Data Engineering
 McLean, VA: $314,800 \- $359,300 for Sr. Dir, Data Engineering
 New York, NY: $343,400 \- $392,000 for Sr. Dir, Data Engineering
 Richmond, VA: $286,200 \- $326,700 for Sr. Dir, Data Engineering
 San Francisco, CA: $343,400 \- $392,000 for Sr. Dir,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6">
      <c r="A46" t="inlineStr">
        <is>
          <t>li-4352171075</t>
        </is>
      </c>
      <c r="B46" t="inlineStr">
        <is>
          <t>Senior Data Engineer</t>
        </is>
      </c>
      <c r="C46" t="inlineStr">
        <is>
          <t>Fisher Investments</t>
        </is>
      </c>
      <c r="D46" t="inlineStr">
        <is>
          <t>linkedin</t>
        </is>
      </c>
      <c r="E46" t="inlineStr"/>
      <c r="F46" t="inlineStr"/>
      <c r="G46" t="inlineStr">
        <is>
          <t>Plano, TX</t>
        </is>
      </c>
      <c r="H46" t="inlineStr"/>
      <c r="I46" t="inlineStr">
        <is>
          <t>**Overview**
 It's an exciting time to be a member of the Fisher Investments Technology Department. We're investing in the future of our firm's technology and are building our team to achieve global growth.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 Data to design and deliver modern data solutions using cloud\-based platforms and AI\-driven innovations. You will partner with business, technology, and governance teams to enable scalable, secure and compliant data platforms that power advanced analytics and AI. You will act as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You will report to the AVP of Data Delivery and Data Governance.
**The Day\-to\-Day:**
*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a various platforms to meet business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 15\+ years' experience developing data\-related solutions and software
* 10\+ years of experience working with relational databases and applying it in various applications, including within the Microsoft Azure platform
* 4\+ years of experience with multiple cloud technologies in the Microsoft Stack (Azure IaaS and PaaS) along with familiarity with alternative cloud technologies
* 4\+ years of experience designing and development on\-premises and cloud\-based (Azure) infrastructure and platform components
* 4\+ years of hands\-on development and deployment experience with Azure cloud using T\-SQL, Azure SQL, Azure Storage, Azure Data Factory, Azure Synapse, Cosmos DB, GitHub, Azure DevOps, and CI/CD pipelines
* Advanced knowledge of Extract/Transform/Load (ETL) and/or Extract/Load/Transform (ELT) tools, including both batch and real\-time data transmission applications such as SSIS, Informatica, Kafka, Spark, MuleSoft, or equivalent software
* Advanced knowledge of database technologies such as Microsoft SQL Server, Oracle, or NoSQL databases
* Advanced knowledge of multiple programming languages, such as Python, SQL, Scala, or similar.
* Advanced knowledge of IT infrastructure standards and tools, such as application performance monitoring, IT service management, or DevOps software
* Bachelor's degree in Computer Science, Information Technology, or other relevant field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47">
      <c r="A47" t="inlineStr">
        <is>
          <t>li-4358596202</t>
        </is>
      </c>
      <c r="B47" t="inlineStr">
        <is>
          <t>Sr Director , Data Engineering</t>
        </is>
      </c>
      <c r="C47" t="inlineStr">
        <is>
          <t>McKesson</t>
        </is>
      </c>
      <c r="D47" t="inlineStr">
        <is>
          <t>linkedin</t>
        </is>
      </c>
      <c r="E47" t="inlineStr"/>
      <c r="F47" t="inlineStr"/>
      <c r="G47" t="inlineStr">
        <is>
          <t>Irving, TX</t>
        </is>
      </c>
      <c r="H47" t="inlineStr"/>
      <c r="I4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We are seeking an exceptional
 **Senior Director of Data Engineering** 
 to join McKesson Technology US Pharmaceutical Distribution (USPD) Decision Intelligence organization and lead the data strategy and execution of design, development, and optimization of USPD data products. This role will define and drive the strategic vision for data engineering across various USPD while managing large\-scale data operations built on modern data stack. This role involves collaborating with stakeholders to align data capabilities with business objectives and overseeing data governance, security, and best practices. The successful candidate will combine deep technical expertise with proven leadership capabilities to deliver high\-impact data solutions that power critical business decisions across our USPD portfolio.
* Strategic Leadership
* Develop and execute comprehensive data engineering strategy aligned with business goals and digital transformation initiatives, identifying opportunities to leverage data for competitive advantage
* Partner with executives, business leaders, and technology stakeholders to define data architecture vision and roadmap
* Drive innovation in data engineering practices, emerging technologies, and platform capabilities to maintain competitive advantage
* Establish data engineering standards, best practices, and governance frameworks across the organization
* Technical Excellence
* Design, build, and maintain scalable and secure data platforms leveraging Microsoft Azure ecosystem, ensuring efficient data ingestion, transformation, and storage.
* Lead advanced implementation of Databricks for large\-scale data processing, machine learning workflows, and real\-time analytics
* Design and implement robust data pipelines supporting petabyte\-scale data ingestion, transformation, and distribution
* Ensure data platform security, compliance, and performance optimization across all environments
* Organizational Leadership
* Build, mentor, and lead a high\-performing team of Data Engineering Directors, and technical specialists
* Collaborate cross\-functionally with Operations, Data Science, Analytics, IT, and Business Intelligence teams to deliver integrated solutions
* Establish talent development programs, technical career progression paths, and engineering excellence initiatives
* Foster culture of innovation, continuous learning, and technical excellence within the data engineering organization
* Operational Excellence
* Lead delivery of USPD data engineering products development in alignment with USPD DI Operations uptime, optimal performance, and cost efficiency
* Implement comprehensive monitoring, alerting, and incident response capabilities for mission\-critical data systems
* Partner with Enterprise Data Platform team to implement automation initiatives and DevOps practices to enhance deployment speed and operational reliability
* Manage technology budgets, vendor relationships, and strategic partnerships to optimize total cost of ownership
* USPD Domain Expertise
* Deep understanding of Pharmaceutical BuySide/Sellside concepts, contract data, core distribution models, and pharmaceutical/specialty pharma operations, and customer management.
* Understanding Supply Chain, Manufacturer and enterprise data products
**Minimum Qualifications**
 Master’s in engineering \&amp; science or Equivalent experience. Typically requires 15\+ years of professional experience and 10\+ years of management experience.
**Business Experience**
* Proven success leading digital transformation and complex technology initiatives.
* Demonstrated ability to build and scale enterprise\-grade data engineering organizations.
* Experience with P\&amp;L responsibility, budget management, and technology ROI optimization
* Strong understanding of enterprise data governance, regulatory compliance, and data privacy requirements
* Proven ability to communicate complex technical concepts to executive stakeholders and non\-technical audiences
**Specialized Knowledge/Skills**
* Deep expertise in Microsoft Azure data services ecosystem (Azure Data Factory, Synapse Analytics, Data Lake Storage, Event Hubs, Cosmos DB)
* Advanced proficiency with Databricks platform and advanced analytics workflows
* Extensive experience with BI development, administration, and enterprise deployment
* Strong foundation in modern data architectures: data lakes, data warehouses, real\-time streaming, and event\-driven systems
* Proficiency in multiple programming languages (Python, Scala, SQL, .NET) and infrastructure\-as\-code practices
**Preferred Qualifications**
* Azure certifications (Azure Data Engineer Associate, Azure Solutions Architect Expert)
* Databricks certifications (Professional Data Engineer, Professional ML Practitioner)
* Experience in regulated industries (healthcare, financial services, manufacturing)
* Familiarity with enterprise AI/ML platform development and deployment
* Previous experience at Fortune 100 companies with similar scale and complexity
* Experience with SAP functional data domains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$185,700 \- $309,500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48">
      <c r="A48" t="inlineStr">
        <is>
          <t>li-4336814207</t>
        </is>
      </c>
      <c r="B48" t="inlineStr">
        <is>
          <t>Lead Data Engineer</t>
        </is>
      </c>
      <c r="C48" t="inlineStr">
        <is>
          <t>Cox Communications</t>
        </is>
      </c>
      <c r="D48" t="inlineStr">
        <is>
          <t>linkedin</t>
        </is>
      </c>
      <c r="E48" t="inlineStr"/>
      <c r="F48" t="inlineStr"/>
      <c r="G48" t="inlineStr">
        <is>
          <t>Atlanta, GA</t>
        </is>
      </c>
      <c r="H48" t="inlineStr"/>
      <c r="I48" t="inlineStr">
        <is>
          <t>**CCI CORPORATE SERVICES LLC**
**Lead Data Engineer**
**Job Description**
 Lead Data Engineer positions offered by CCI Corporate Services LLC (Atlanta, GA). Exercise responsibility over technology solutions to support the performance, tracking and measurement of paid media and SEM. Build and maintain environments (in cloud platforms and on\-prem), processes, functionalities, and tools to improve all stages of AdTech solution development, including proof of concepts, prototypes, and production. Define data requirements in collaboration with digital, marketing, and external teams. Automate manual processes into repeatable capabilities. Create and maintain containers to deploy AdTech applications in cloud\-based and on\-prem platforms. Engineer media data and online data transfers to and from Snowflake and Cox's Enterprise Data Warehouse using SQL, HighTouch and custom Python scripts. Develop and follow data engineering best practices with considerations for high data availability, computational efficiency, cost, and quality. Provide hands\-on technical leadership in data engineering design and implementations including data ingestion, data models, data structures, data storage, high\-throughput data processing, data pipelines, and data monitoring at scale. Evaluate and make recommendations on new technologies, tools, and data. Manage timelines and milestones for solution implementations, launches, and QA. Oversee third party data onboarding efforts with technology platforms. Provide guidance/mentorship to keep the team up to date on new technologies, standards and practices. Work closely with external consultants to develop and/or modify existing Python scripts for data ETL. Manage all direct database match efforts including list pulls and match rates by partners. Set up and manage prospect and customer lists. Re\-target logic set up and maintenance across media partners and integration into Cox's Lead Gen system. Present opportunities and communicate insights to cross\-functional teams, including senior leadership. Exercise responsibility over daily maintenance and set up of segment logic, definition of offline\-to\-online capabilities with segments, and integration with other AdTech data stacks.
**Minimum Requirements**
 Requires a bachelor's or foreign equivalent degree in Computer Science, Engineering, Business Analytics, or related field and 6 years of experience in the position offered or 6 years of experience programming with SQL, Python, R, AWS, Snowflake, Oracle or Microsoft DB programming language. Also requires 6 years of experience: utilizing data management platforms, 3rd party data onboarding solutions, and direct database data management synchronizations; working in data warehousing, data engineering, databases, AdTech, APIs and ETL; working with cloud vendors; functionally managing outside technology, vendors, and agency partners; utilizing tag management systems; working with ICOMS; integrating APIs in the telecommunications space; and communicating insights to cross\-functional teams including senior leadership. In lieu of a bachelor's degree and 6 years of experience as stated, the employer will accept a master's or foreign equivalent degree in the aforementioned fields and 4 years of experience as stated, or a Ph.D. or foreign equivalent degree in the aforementioned fields and 1 year of experience as stated. Employee reports to office in Atlanta, GA. Position may work from home, but must live within commuting distance of stated office.
 Compensation includes a base salary of $134,227 \- $181,400\. The base salary may vary within the anticipated base pay range based on factors such as the ultimate location of the position and the selected candidate's knowledge, skills, and abilities. Position may be eligible for additional compensation that may include an incentive program.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 
 GMREQ</t>
        </is>
      </c>
    </row>
    <row r="49">
      <c r="A49" t="inlineStr">
        <is>
          <t>li-4331520028</t>
        </is>
      </c>
      <c r="B49" t="inlineStr">
        <is>
          <t>Sr. Data Engineer</t>
        </is>
      </c>
      <c r="C49" t="inlineStr">
        <is>
          <t>Toyota North America</t>
        </is>
      </c>
      <c r="D49" t="inlineStr">
        <is>
          <t>linkedin</t>
        </is>
      </c>
      <c r="E49" t="inlineStr"/>
      <c r="F49" t="inlineStr"/>
      <c r="G49" t="inlineStr">
        <is>
          <t>Plano, TX</t>
        </is>
      </c>
      <c r="H49" t="inlineStr"/>
      <c r="I49"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*To save time applying, Toyota does not offer sponsorship of job applicants for employment\-based visas or any other work authorization for this position at this time.*
**Who We’re Looking For**
 Toyota’s Data Department is looking for a passionate and highly motivated  Senior Data Engineer. The primary responsibility of this role is to design, develop and maintain scalable cloud infrastructure for data platforms and build data engineering pipelines to support analytics and reporting needs. Reporting to the Data Engineering Manager, the person in this role will support the OneTech Data department's objective to build state of the art Data Platforms and develop Data Products in support of various Analytical needs across the organization.
**What You’ll Be Doing**
* Develop, and maintain scalable, secure, and cost\-optimized cloud infrastructure for Data Lake, Data Warehouse, and analytics platforms using Infrastructure as Code (IaC) tools such as Terraform, AWS CloudFormation, or equivalent.
* Develop automations for provisioning, configuration, and deployment of cloud resources (e.g., AWS S3, Redshift, Databricks, Sagemaker, EMR, Lambda, EC2, SNS, Elastic Cache) to support data engineering workloads.
* Collaborate with data architects and business stakeholders to design effective relational and dimensional data models that simplify data consumption and reporting.
* Build and maintain CI/CD pipelines for data platform components and data engineering workflows using Jenkins, Ansible, Chef, XL Release, XL Deploy, or similar tools.
* Monitor system performance, troubleshoot incidents, and implement continuous improvements to enhance platform reliability and scalability.
* Follow cloud and security standards to implement infrastructure security best practices, including network segmentation, IAM policies, encryption, and compliance controls.
* Build and maintain platform health checks, monitoring, alerting, and resiliency mechanisms to ensure high availability and performance of data systems.
* Develop, and maintain end\-to\-end data engineering pipelines using Apache Spark, Scala, Databricks, and Informatica ETL tools to ingest, transform, and load large\-scale datasets.
* Develop automation frameworks for pipeline testing, validation \&amp; Observability solutions to track data quality, timeliness, and accuracy.
* Stay current with emerging technologies, industry trends, and competitive product stacks to recommend innovative solutions and maintain a competitive edge.
* Document technical designs, operational procedures, and best practices to facilitate knowledge sharing and team onboarding.
**What You Bring**
* Bachelor’s Degree in Information Systems, Computer Science, or related discipline or equivalent work experience
* Hands\-on experience with cloud platforms such as AWS, Microsoft Azure, or Google Cloud Platform (GCP)
* 3\-5 years of developing Infrastructure as Code (IaC) tools with Terraform, AWS CloudFormation, or Azure ARM template for provisioning and managing cloud resources relevant to data platforms (e.g., S3, EC2, Lambda, RDS, SNS, Restful APIs, CloudWatch etc)
* 2\-3 yrs of experience developing data pipelines using Spark, Scala, Python, Databricks or Spark platforms
* Knowledge of ETL/ELT concepts and tools like Informatica and good understanding of relational and dimensional data modeling principles to support simplified data consumption
* Strong experience writing and optimizing SQL queries for data analysis, extraction, transformation, and loading
* Skilled in cloud security fundamentals, including IAM roles, policies, and encryption algorithms
* Proficient in developing monitoring \&amp; alerting solutions for platform availability, data pipelines, infrastructure health checks, performance, and cost observability
* Proven experience with automations using Python, Bash, or PowerShell and building DevOps solutions with GitHub, Jenkins, Ansible, or similar.
* Experience with BI / Analytics platforms like Alteryx, Dataiku, Google Looker, Microsoft PowerBI or similar.
* Strong problem\-solving skills, adept with documenting processes, workflows, and technical solutions clearly
* Good communication skills to collaborate effectively with cross\-functional teams including product owners, architects, and developers
* Eagerness to learn emerging technologies and industry best practices related to cloud data engineering
**Added bonus if you have**
* AWS/GCP cloud or Data Engineering certifications
* DevOps solutions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 care, schools and more
* Tax Advantaged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50">
      <c r="A50" t="inlineStr">
        <is>
          <t>li-4352072557</t>
        </is>
      </c>
      <c r="B50" t="inlineStr">
        <is>
          <t>Data Analytics Engineer (Hybrid, Schaumburg, IL)</t>
        </is>
      </c>
      <c r="C50" t="inlineStr">
        <is>
          <t>Byline Bank</t>
        </is>
      </c>
      <c r="D50" t="inlineStr">
        <is>
          <t>linkedin</t>
        </is>
      </c>
      <c r="E50" t="inlineStr"/>
      <c r="F50" t="inlineStr"/>
      <c r="G50" t="inlineStr">
        <is>
          <t>Schaumburg, IL</t>
        </is>
      </c>
      <c r="H50" t="inlineStr"/>
      <c r="I50" t="inlineStr">
        <is>
          <t>**About Byline Bank**
 Headquartered in Chicago, Byline Bank, a subsidiary of Byline Bancorp, Inc. (NYSE:BY), is a full\-service commercial bank serving small\- and medium\-sized businesses, financial sponsors and consumers. Byline Bank has approximately $9\.7 billion in assets and operates 45 branch locations throughout the Chicago and Milwaukee metropolitan areas. Byline Bank offers a broad range of commercial and community banking products and services, including small\-ticket equipment leasing solutions, and is one of the top U.S. Small Business Administration (SBA) lenders according to the national SBA rankings by volume FY2024\. Byline Bank is a member of FDIC and an Equal Housing Lender.
 At Byline Bank, we take pride in being an award\-winning workplace. Some of our recent recognitions include:
* U.S. News \&amp; World Report named Byline Bank as one of the Best Companies to Work for in the Midwest, Finance \&amp; Overall in 2024\-2025, 2025\-2026\.
* Chicago Sun Times Chicago’s Best Workplaces 2024
* Best Workplaces in Illinois in 2024 by Best Companies Group and Illinois SHRM (Society for Human Resource Management)
* Forbes America’s Best Small Employers 2023
 By joining our team, you will become part of an organization that values growth, collaboration, and innovation. We strive to create an environment where employees feel supported and are empowered to excel in their roles. If you're looking for a career with a company that puts people first and makes a difference in the communities we serve, Byline Bank is the place for you.
 \*\*Hybrid Schedule: Tuesday's in Schaumburg office\*\*
**Objective of Position** 
 : The Data Analytics Engineer is responsible for analyzing, designing, developing, and implementing data analytics solutions. The role provides technical support for data analytics assets as well as evaluates data and analytics platforms and related hardware and software for risk and improvement.
**Duties And Responsibilities**
* Establish and implement standards and best practices.
* Conduct data profiling periodically and update procedures and best practices to effectively manage the data quality, metadata, and data security.
* Gather and document business requirements from end users and perform data analysis.
* Design and implement database models (Relational, Dimensional, Star/Snowflake schema).
* Prepare process and data flow diagrams.
* Develop reports, dashboards, scorecards, data integrations, preliminary analyses, and visualizations.
* Develop queries to extract, load, and transform data.
* Create documentation for end users, reference, training, and technical solutions.
* Develop and document thorough test plans.
* Perform unit, system, integration, and regression testing. Document test results and provide feedback.
* Actively engage end users during UAT (User Acceptance Testing) to obtain sign\-off and validation.
* Support enterprise analytics usage across the organization.
* Perform and document database audits regularly in accordance with Byline Bank policies.
* Attend to user issues on time and resolve issues as per the established Service Level Agreements (SLAs).
* Prepare project plans and clearly articulate roles, project goals, and timelines.
* Manage projects and communicate progress and delays with stakeholders.
* All other duties as assigned.
 Note: Nothing in this job description restricts management’s right to assign or reassign duties and responsibilities to this job at any time.
**Qualifications**
* Bachelor’s degree in computer science, engineering, or relevant field.
* Relevant industry certifications are a plus.
* 4\+ years of experience in designing, developing, and implementing data analytics solutions.
* 3\+ years of hands\-on development using MS SQL Server, Oracle, or other database technologies. Experience with Snowflake and/or Databricks is a plus.
* 3\+ years of experience in developing analytics using tools such as SAP Business Objects, Power BI, Tableau, or SSRS.
* 2\+ years of experience in data warehouse architecture, design principles, systems development, and ETL (Extract, Transform, Load) processes. Experience with DBT is a plus.
* Proven experience in designing data models, including star schemas and data marts, to support end\-user consumption and analytics.
* Experience administering enterprise Power BI / Fabric platforms, including security, lifecycle management, and content governance.
* Must be self\-motivated, team oriented and able to operate with minimal supervision.
* Good analytical, problem solving, and decision\-making skills.
* Experience working in the financial services industry is a plus.
* Ability to identify, evaluate, and diagnose problems.
* Experience with current best practices in IT standards, principles, and security practices.
* Strong interpersonal and communication skills and the ability to work effectively to support a wide range of constituencies. The ability to communicate technical information to non\-technical personnel.
* Self\-starter with excellent organization, administrative, interpersonal and leadership skills.
* Demonstrates strong organizational, analytical, and problem\-solving skills.
* Ability to handle high pressure situations while still being attentive to the detail and delivery requirements.
**Physical Demands/Work Environment**
 Usual office environment with frequent sitting, walking, and standing, and occasional climbing, stooping, kneeling, crouching, crawling, and balancing. Frequent use of eye, hand, and finger coordination enabling the use of office equipment. Oral and auditory capacity enabling interpersonal communication as well as communication through automated devices.
 At Byline Bank, we value work\-life flexibility and support a hybrid work environment for this position. This role allows for a combination of remote and in\-office work, with occasional visits to the office based on business needs. Specific in\-office days may vary and will be discussed during the interview process.
**Compensation \&amp; Benefits**
 Byline Bank offers competitive industry rate salary bands with the goal of retaining and growing talented individuals. We regularly review and adjust our compensation structure as needed to ensure equity across teams and levels.
 The salary range for this position is between $86,000 to $115,000
 In addition, Byline provides benefits including medical coverage, dental, vision, disability, 401k, paid time off and much more! Depending on the specific role, compensation may also include discretionary bonuses and other benefit programs. The actual compensation package may vary based on factors such as skill set, experience level, and candidate's location.
**Additional Information**
 Byline Bank is an Equal Opportunity Employment / Affirmative Action employer dedicated to providing an inclusive workplace where the unique differences of our employees are welcomed, respected, and valued. We are committed to the principle of equal employment opportunity for all employees and to providing employees with a work environment free of discrimination and harassment.
 All employment decisions at Byline Bank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protected veteran status, family medical history or genetic information, family or parental status, or any other status protected by the laws or regulations in the locations where we operate. Byline Bank will not tolerate discrimination or harassment based on any of these characteristics.
 Byline Bank is committed to providing reasonable accommodations for candidates with disabilities in our recruiting process. If you need any assistance or accommodations due to a disability, please contact us directly at 773\-475\-2900, Option \#2\.
 If applying within the US, this role is not eligible for visa sponsorship now or in the future.
**Note To Recruitment Agencies And Third\-Party Recruiters**
 Byline Bank kindly requests that third\-party recruiters, staffing agencies, and recruitment firms refrain from submitting resumes or candidate profiles without a prior agreement in place. Any unsolicited submissions will be considered property of Byline Bank, and no fees will be paid for placements resulting from such submissions. We appreciate your understanding and cooperation.</t>
        </is>
      </c>
    </row>
    <row r="51">
      <c r="A51" t="inlineStr">
        <is>
          <t>li-4359325000</t>
        </is>
      </c>
      <c r="B51" t="inlineStr">
        <is>
          <t>Senior Data Engineer</t>
        </is>
      </c>
      <c r="C51" t="inlineStr">
        <is>
          <t>Kroger Technology &amp; Digital</t>
        </is>
      </c>
      <c r="D51" t="inlineStr">
        <is>
          <t>linkedin</t>
        </is>
      </c>
      <c r="E51" t="inlineStr"/>
      <c r="F51" t="inlineStr"/>
      <c r="G51" t="inlineStr">
        <is>
          <t>Blue Ash, OH</t>
        </is>
      </c>
      <c r="H51" t="inlineStr"/>
      <c r="I51" t="inlineStr">
        <is>
          <t>**THE ROLE** 
* Develop a high\-quality codebase, lead design discussions, execute development against design, and navigate complex codebase
* Responsible for development implementation of technical design within a defined set of teams. Execute against defined technology roadmap to
* support project portfolio and business strategy
* Participate in implementing enterprise standards across domains: operations, infrastructure, data, applications, development, security \&amp; risk, and
* business continuance
* Provide technical clarity between ongoing projects and the strategic objectives of the company
* Drive digital innovation by leveraging innovative new technologies and approaches to renovate, extend, and transform the existing core technology
* base and IT estate
* Implement high\-level migration plans to address the gaps between the current and future state solution
* Lead the analysis of the technology environment to detect critical deficiencies and recommend solutions for improvement
* Mentor team members in software development principles, patterns, processes and, practices
* Must be able to perform the essential job functions of this position with or without reasonable accommodation
**YOU...** 
* Embrace Change
* Believe challenges are best overcome by thinking differently.
* Not afraid to ask questions and understand the answers
* Not afraid to disagree, convincingly, civilly, and honestly.
* Understand that an outcome is more important than output.
* Always concerned with the wellbeing of my employees and peers
**REQUIRED SKILLS** 
* 3 to 5 years’ experience on developing data architectures
* Design and develop data models and date warehouses in snowflake
* Create and maintain views, stored procedures and other data objects
* Design and maintain data pipelines and data integration using snow pipe
* Develop and maintain data quality and data governance processes
* Develop and maintain data warehouse monitoring and alerting solutions
* Develop and maintain data warehouse backup and recovery processes
* Develop and maintain Azure ADF (Azure Data Factory) pipelines
* Develop and maintain Azure Data brick notebooks
* Experience across data platforms such as Oracle and SQL
* Experience in designing data solutions in Azure including data distributions and partitions scalability, disaster recovery and high availability.
**TYPICAL EDUCATION** 
* Bachelor's Degree in Computer Science</t>
        </is>
      </c>
    </row>
    <row r="52">
      <c r="A52" t="inlineStr">
        <is>
          <t>li-4331073332</t>
        </is>
      </c>
      <c r="B52" t="inlineStr">
        <is>
          <t>Data Engineer</t>
        </is>
      </c>
      <c r="C52" t="inlineStr">
        <is>
          <t>Keystone AI</t>
        </is>
      </c>
      <c r="D52" t="inlineStr">
        <is>
          <t>linkedin</t>
        </is>
      </c>
      <c r="E52" t="inlineStr"/>
      <c r="F52" t="inlineStr"/>
      <c r="G52" t="inlineStr">
        <is>
          <t>Washington, DC</t>
        </is>
      </c>
      <c r="H52" t="inlineStr"/>
      <c r="I52" t="inlineStr">
        <is>
          <t>For more than two decades, Keystone has been a premier, tech\-forward strategy and economics consulting firm, helping leading technology companies, global brands, and top law firms solve their most complex challenges in competition, strategy, and regulation.
 Our founders believed that modern consulting should integrate economics, strategy, and technology to drive true digital transformation and business model innovation. That’s what we call our “Triad of Skills." Keystone brings this interdisciplinary approach to the forefront of influential technology cases, changing consumer behavior and regulation laws and impacting society on a global scale, by leveraging the intersection of economics, technology, and business strategy to deliver transformative ideas.
 As we rapidly expand globally, we are redefining what a consulting firm can be.
**Economic, Technology, and Strategy Advisory (ETSA)**
 Keystone’s practices sit within our Economic, Technology, and Strategy Advisory (ETSA) group, which provides expert guidance across high\-stakes business, legal, and technology challenges.
**What We Do**
 ETSA leverages Keystone's connections with leading industry and academic experts to solve complex legal and regulatory issues and win high\-stakes legal cases. Through our Centres of Excellence in Keystone Economics and Keystone Advanced Technology Services, we unite economists, technologists and management scientists to solve the hardest problems facing our clients.
**How We Operate**
 Our tech\-native, internal consultants bring unique insights and experience to evaluate and solve client issues. Our economic, industry, and tech experts carry out in\-depth analysis, build robust data and technology solutions, and produce economic and technology reports that win cases.
**Who We Serve**
 Our ETSA group helps major law firms, Fortune Global 500 companies, leading technology companies, and government agencies.
**Our practice areas**
* Antitrust \&amp; Competition
* Financial Economics, Tax, and Securities (FETS)
* Intellectual Property (IP)
* Information Strategy, Risk and Regulation (ISRR)
* Healthcare and Life Sciences
* Technical Investigations
* Behavioral Insights
* Strategy Consulting
 As a Data Engineer, you will design, build, and optimize data systems that power high\-impact analytical and forensic engagements. You will bridge technical innovation and strategic insight, helping client teams unlock value through scalable, defensible, and data\-driven solutions.
**Role Expectations**
* Partnering with consultants and investigators to architect secure, high\-performance data infrastructure across cloud environments
* Developing reproducible data ingestion pipelines and analytical workflows that transform raw data into strategic insights for clients in regulated sectors
* Building custom software and APIs to automate data discovery, integrate large language models (LLMs), and support digital investigations
* Leveraging modern ETL/ELT pipelines, SQL, and big data technologies to enable efficient processing from diverse data sources
* Implementing tools and libraries that enhance scalability, auditability, and delivery efficiency for technical investigations
* Supporting AI/ML\-driven analysis, including model fine\-tuning, evaluation, and deployment (for example vector databases, retrieval\-augmented generation systems)
* Advising on data governance, cybersecurity, and compliance standards relevant to the MENA region
* Collaborating closely with cross\-functional teams across data science, forensic analysis, and regulatory strategy to deliver innovative client outcomes
**Qualifications**
* Proven experience in data engineering, data science, or ETL/ELT workflows involving large and complex datasets
* Proficiency with one or more major cloud platforms (AWS, GCP, or Azure) and related data services (for example Lambda, Bedrock, Vertex AI)
* Advanced working knowledge of Python, R, and SQL for data manipulation and analysis
* Hands\-on experience with machine learning libraries and frameworks such as PyTorch, TensorFlow, scikit\-learn, Hugging Face, and OpenAI API
* Familiarity with data orchestration tools such as Airflow, dbt, Prefect, or Luigi, and big data platforms such as Snowflake, Spark, or BigQuery
* Understanding of software development lifecycle principles, version control (Git), and CI/CD pipelines
* Exposure to AI/ML/NLP concepts and implementation in production systems
* Experience or interest in digital investigations, compliance analytics, or forensic data work is an advantage
* Bachelor’s degree in Computer Science, Data Engineering, or a related field (Master’s preferred)
* Ability to work across cultures and time zones in a dynamic consulting environment
* Passion for learning, innovation, and solving complex problems in a fast\-evolving region
**Why Keystone**
 Join a fast\-growing, tech\-enabled consulting firm that partners with the world’s leading companies on their most critical challenges and biggest opportunities.
* Work on frontier matters shaping the future of AI, data, and digital regulation
* Collaborate with leading academics and experts from institutions such as Harvard, Stanford, MIT, and Wharton
* Apply a unique blend of management science and computer science to real\-world challenges across technology, litigation, policy, and strategy
* Thrive in a culture defined by collaboration, curiosity, and excellence \- where your ideas have direct, tangible impact
 US Salary Range: $135,000 \- $186,000, 401k contribution, and competitive benefits package. Actual compensation within the range will depend upon the level the individual is hired at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In addition to annual salary, we provide an annual discretionary bonus, 401k contribution, and competitive benefits package. Actual Compensation within the range will depend upon the level the individual is hired into based on their skills, experience, and qualifications.
 Annual Salary Range
 $135,000—$186,000 USD</t>
        </is>
      </c>
    </row>
    <row r="53">
      <c r="A53" t="inlineStr">
        <is>
          <t>li-4331980045</t>
        </is>
      </c>
      <c r="B53" t="inlineStr">
        <is>
          <t>Data Engineer I (AWS, Python)</t>
        </is>
      </c>
      <c r="C53" t="inlineStr">
        <is>
          <t>Travelers</t>
        </is>
      </c>
      <c r="D53" t="inlineStr">
        <is>
          <t>linkedin</t>
        </is>
      </c>
      <c r="E53" t="inlineStr"/>
      <c r="F53" t="inlineStr"/>
      <c r="G53" t="inlineStr">
        <is>
          <t>Hartford, CT</t>
        </is>
      </c>
      <c r="H53" t="inlineStr"/>
      <c r="I53"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
**What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Looking for someone who has foundational knowledge of data engineering concepts, tools, and programming languages (e.g., SQL, Python, and Cloud Platforms).
* Looking for someone who has a strong understanding of AWS Cloud Analytical Services such as S3, Glue, Athena, Lambda, and CloudWatch.
* Looking for someone who has experience with Infrastructure as Code (IaC) and Terraform.
* Looking for someone who has an eagerness to learn and apply modern data engineering practices to build scalable and reliable data solutions.
* Looking for someone who has a strong interest in working closely with the Data Lake Admin Team to support security, access control, and governance of data platforms.
* Proficient use of tools, techniques, and manipulation including Cloud platforms, programming languages, and an understanding of software engineering practices.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54">
      <c r="A54" t="inlineStr">
        <is>
          <t>li-4358914716</t>
        </is>
      </c>
      <c r="B54" t="inlineStr">
        <is>
          <t>Data Engineer (Health Data Metrics)</t>
        </is>
      </c>
      <c r="C54" t="inlineStr">
        <is>
          <t>Keebler Health</t>
        </is>
      </c>
      <c r="D54" t="inlineStr">
        <is>
          <t>linkedin</t>
        </is>
      </c>
      <c r="E54" t="inlineStr"/>
      <c r="F54" t="inlineStr"/>
      <c r="G54" t="inlineStr">
        <is>
          <t>Durham, NC</t>
        </is>
      </c>
      <c r="H54" t="inlineStr"/>
      <c r="I54" t="inlineStr">
        <is>
          <t>**About Keebler Health**
 Keebler Health is building the operating system for value\-based care. Our mission is to help risk\-bearing healthcare organizations thrive in value\-based arrangements by unlocking the full power of their data. We empower leading primary care groups, ACOs, and health plans to act on real\-time insights that improve outcomes, reduce costs, and fuel sustainable growth.
 We're a fast\-moving, high\-performing team, and we’re looking for people who share our bias toward speed, urgency, and excellence. As a member of the team, you won’t just write code or stay in your lane—you’ll shape critical systems, innovate quickly, and set a high bar for a product that supports the future of U.S. healthcare.
**About The Role**
 We are seeking a skilled and motivated
 ****mid level to senior level Data Engineer****
 to join our team and play a critical role in building and optimizing the data infrastructure that powers our healthcare AI solutions. The ideal candidate will bring expertise in modern data engineering tools and techniques, with a specific focus on healthcare quality metrics, population health, and data interoperability standards such as FHIR. Level and salary will commensurate with experience.
**Key Responsibilities**
 Data Engineering and Development
* Design, build, and maintain scalable, efficient data pipelines for ETL/ELT processes on AWS.
* Develop, test, and deploy robust solutions using SQL and Python for data transformation and analysis.
* Implement and manage data warehousing solutions using Redshift Serverless and other AWS data services.
* Leverage dbt (Data Build Tool) for data modeling, transformation, and documentation.
* Utilize workflow orchestration tools such as Temporal for pipeline automation.
 Healthcare Data Expertise
* Work with healthcare quality metrics such for value\-based care and ensure data alignment with industry standards.
* Collaborate with stakeholders to integrate population health tools and analytics into data workflows.
* Develop and maintain familiarity with FHIR data models and healthcare interoperability standards for seamless integration of healthcare data sources.
* Ensure compliance with HIPAA and other healthcare regulatory requirements in all data handling processes.
 Optimization and Innovation
* Identify and resolve performance bottlenecks in data pipelines, ensuring high availability and reliability.
* Optimize data storage and querying performance within Redshift Serverless and AWS infrastructure.
* Stay current with emerging trends in data engineering and healthcare technology, incorporating innovations into the data ecosystem.
 Collaboration and Impact
* Partner with data and engineering teams to ensure data is accessible and meets business requirements.
* Develop scalable solutions for integrating complex healthcare datasets, ensuring data quality and accuracy.
* Contribute to the design and implementation of secure, scalable, and efficient data architecture on AWS.
**Required Qualifications**
* Must be US based. No foreign applicants will be considered.
* Proven experience in data engineering roles with expertise in SQL, Python, and cloud\-based data infrastructure.
* Experience with dbt for data transformation and modeling.
* Familiarity with healthcare data systems, including HEDIS metrics, population health tools, and FHIR data models.
* Knowledge of data warehousing and workflow orchestration tools.
**Preferred Skills**
* Strong understanding of healthcare data standards, including HL7 and CQL.
* Hands\-on experience with AWS services, specifically Redshift Serverless, S3, Lambda, and related tools.
* Experience with HIPAA\-compliant data architectures.
* Demonstrated ability to optimize data pipelines and improve system performance in cloud environments.
* Strong problem\-solving skills and attention to detail in handling complex datasets.
****When applying****
**In Addition To Your Resume, Also Include**
* A highly personalized, bold, and hilarious “Keebler Health–style” introduction that grabs attention \- outgoing, fun, and uniquely you (not uniquely ChatGPT). Think: confident, high\-energy, slightly irreverent (but still professional), with a smart nod to healthcare, value\-based care, and the fact that we’re building something real.
 What We Offer
* Competitive salary and benefits package.
* Opportunity to work in a fast\-paced, innovative environment.
* Professional growth and development opportunities.
* Collaborative and supportive team culture.
* Chance to make a meaningful impact on the healthcare industry.</t>
        </is>
      </c>
    </row>
    <row r="55">
      <c r="A55" t="inlineStr">
        <is>
          <t>li-4358785330</t>
        </is>
      </c>
      <c r="B55" t="inlineStr">
        <is>
          <t>Data Engineer</t>
        </is>
      </c>
      <c r="C55" t="inlineStr">
        <is>
          <t>Consensus</t>
        </is>
      </c>
      <c r="D55" t="inlineStr">
        <is>
          <t>linkedin</t>
        </is>
      </c>
      <c r="E55" t="inlineStr"/>
      <c r="F55" t="inlineStr"/>
      <c r="G55" t="inlineStr"/>
      <c r="H55" t="inlineStr"/>
      <c r="I55" t="inlineStr">
        <is>
          <t>**About Consensus:** 
 Consensus is building the OS for research. Today, our academic search engine helps 8 million students, researchers, and doctors analyze scientific papers and complete literature reviews 10x faster.
 Our Series A was led by USV, with major participation from top AI investors, including Nat Friedman and Daniel Gross. Consensus has been featured in The Wall Street Journal, The Atlantic, The New York Times, Nature, and a16z as one of today’s most exciting and important AI startups.
 Our mission is to empower the world to understand, create, and apply good science. Help us build the future of research.
**Role:** 
 Data Engineer to design, build, and maintain the data pipelines and infrastructure that form the foundation of our product.
**Responsibilities** 
* Build and maintain production pipelines for third\-party data (APIs, files, partner feeds).
* Clean, normalize, and unify raw into clear, consistent tables/datasets.
* Handle de\-duplication / entity resolution so records are canonical and trustworthy.
* Own data quality: validation, monitoring/alerting, and documentation.
* Partner closely with ML/product/backend to design schemas and ship data features that unblock use cases.
* Optimize pipelines for performance and cost, and improve CI/CD \+ testing for data jobs.
**Qualifications** 
* 3\+ years building production data pipelines.
* Strong SQL \+ Python.
* Experience with distributed data processing (Databricks/Spark or similar).
* Experience with an orchestrator (Dagster/Airflow/Prefect); Dagster is a plus.
* Proven ability to ingest from multiple sources and produce clean, well\-modeled datasets.
* Familiar with GitHub \+ CI/CD and data observability practices (validation, logging, monitoring, error handling).
* High ownership, fast execution, and good product instincts around how data impacts UX.
* Interest in the product and mission: science, research, education
**Compensation:** 
* $160\-$230k cash
* Competitive Series A equity
 Final offers are determined by multiple factors and may vary from the amounts listed above.</t>
        </is>
      </c>
    </row>
    <row r="56">
      <c r="A56" t="inlineStr">
        <is>
          <t>li-4354359504</t>
        </is>
      </c>
      <c r="B56" t="inlineStr">
        <is>
          <t>Sr. Data Engineer, AI Data Engineering</t>
        </is>
      </c>
      <c r="C56" t="inlineStr">
        <is>
          <t>Caterpillar Inc.</t>
        </is>
      </c>
      <c r="D56" t="inlineStr">
        <is>
          <t>linkedin</t>
        </is>
      </c>
      <c r="E56" t="inlineStr"/>
      <c r="F56" t="inlineStr"/>
      <c r="G56" t="inlineStr">
        <is>
          <t>Peoria, IL</t>
        </is>
      </c>
      <c r="H56" t="inlineStr"/>
      <c r="I56"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As a Senior Data Engineer on the Helios Data Engineering team, you will be responsible for developing Python data pipelines that build business data objects used to support applications.
**What You Will Do**
* Responsibilities of the incumbents are across functional lines with individuals assigned in new program development.
* Competent to perform all programming, project management, and development assignments without close supervision; normally assigned the more complex aspects of systems work.
* Works directly on complex application/technical problem identification and resolution.
* Interpreting design requirements for engineering implementation
* Building and deploying CICD pipelines
* Implementing source to target mapping as pipeline code
* Responsibility for Unit and Integration testing
* Maintains high standards of software quality within the team by establishing good practices and habits
* Identifies and encourage areas for growth and improvement within the team
* Employee is also responsible for performing other job duties as assigned by Caterpillar management from time to time.
**What You Will Have**
* Decision Making and Critical Thinking: Knowledge of the decision\-making process and associated tools and techniques; ability to accurately analyze situations and reach productive decisions based on informed judgment.
* Effective Communications: Understanding of effective communication concepts, tools and techniques; ability to effectively transmit, receive, and accurately interpret ideas, information, and needs through the application of appropriate communication behaviors.
* Software Development: Extensive knowledge of software development tools and activities; ability to produce software products or systems in line with product requirements.
* Software Development Life Cycle: Knowledge of software development life cycle; ability to use a structured methodology for delivering and managing new or enhanced software products to the marketplace.
* Software Product Design/Architecture: Knowledge of software product design; ability to convert market requirements into the software product design.
* Software Product Technical Knowledge: Knowledge of technical aspects of a software products; ability to design, configure and integrate technical aspects of software products.
* Software Product Testing: Extensive knowledge of software product testing; ability to design, plan, and execute testing strategies and tactics to ensure software product quality and adherence to stated requirements.
**Considerations For Top Candidates**
* Extensive software development experience and solid working knowledge of OOP principles.
* Knowledge and experience with Embedding Models and Concepts for effectively chunking data
* Extensive experience working with Git version control
* Exceptional communication skills with experience working on a cross functional teams.
* Extensive experience deploying software using CI/CD tools such as Jenkins, Github Actions, Azure Devops etc.
* Extensive experience in designing and developing software applications in Python.
* Experience with AWS components such as Bedrock, Lambda, Dynamo, Fargate, S3, Sagemaker, IAM and RDS
* Experience with relational and/or noSQL databases such as PostgreSQL, DynamoDB, MongoDB, Oracle, etc.
* Knowledge and experience with AI technologies such as NLP, LLM, RAG, LangChain frameworks, etc
* Experience working with NVIDIA Jetson or Orin hardware platforms, particularly in the context of AI model deployment
* Hands\-on experience with NVIDIA NeMo or NVIDIA NIM (Inference Microservices) for hosting embedding models
* Demonstrated strong learning ability and a proactive approach to staying current with the latest technologies and industry trends.
**Additional Information**
 This position will have the option to be based out of our Chicago, IL or Peoria, IL offices.
 \#BI (used to post on Built In Chicago)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January 5, 2026 \- January 19,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57">
      <c r="A57" t="inlineStr">
        <is>
          <t>li-4359324901</t>
        </is>
      </c>
      <c r="B57" t="inlineStr">
        <is>
          <t>Azure Data Engineer</t>
        </is>
      </c>
      <c r="C57" t="inlineStr">
        <is>
          <t>Inherent Technologies</t>
        </is>
      </c>
      <c r="D57" t="inlineStr">
        <is>
          <t>linkedin</t>
        </is>
      </c>
      <c r="E57" t="inlineStr"/>
      <c r="F57" t="inlineStr"/>
      <c r="G57" t="inlineStr">
        <is>
          <t>Tampa, FL</t>
        </is>
      </c>
      <c r="H57" t="inlineStr"/>
      <c r="I57" t="inlineStr">
        <is>
          <t>Azure cloud platform
 Python
 SQL
 Postgres
 MongoDB
 Can you describe your experience with Azure cloud platform?
 How do you use Python in data engineering?
 How do you work with SQL databases?
 Can you explain your experience with Postgres?
 How do you handle data transformation and loading across systems?
 Azure Data Engineer
**Job Description/tech Stack**
 We are looking for a proficient Azure Data Engineer to design, build, and maintain scalable data pipelines and
 engineering tools and technologies including Python, SQL, Postgres, MongoDB, PySpark, Databricks, and
 high\-quality, performant data solutions that enable data\-driven decision\-making.
 Key Responsibilities
 Design, develop, and optimize end\-to\-end data pipelines and ETL/ELT processes leveraging Azure Data services and frameworks.
 Build scalable data solutions using Azure Databricks, PySpark, and Snowflake to process both batch and real\-time data workloads.
 Develop and maintain data models and schemas in relational and NoSQL databases such as Postgres and MongoDB.
 Write efficient, reusable, and maintainable code primarily in Python and SQL to transform and load data across various systems.
 Monitor data pipeline performance and implement improvements for reliability, scalability, and optimization.
 Ensure data quality, governance, and compliance within all data engineering efforts.
 Troubleshoot and resolve data\-related issues, working closely with cloud infrastructure and platform teams.
 Document data architecture, workflows, and processes to support ongoing maintenance and knowledge sharing.</t>
        </is>
      </c>
    </row>
    <row r="58">
      <c r="A58" t="inlineStr">
        <is>
          <t>li-4358964519</t>
        </is>
      </c>
      <c r="B58" t="inlineStr">
        <is>
          <t>Sr Data Engineer</t>
        </is>
      </c>
      <c r="C58" t="inlineStr">
        <is>
          <t>LPL Financial</t>
        </is>
      </c>
      <c r="D58" t="inlineStr">
        <is>
          <t>linkedin</t>
        </is>
      </c>
      <c r="E58" t="inlineStr"/>
      <c r="F58" t="inlineStr"/>
      <c r="G58" t="inlineStr">
        <is>
          <t>Austin, TX</t>
        </is>
      </c>
      <c r="H58" t="inlineStr"/>
      <c r="I58"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We are looking to hire a
 **Data Engineer** 
 within our Technology organization. This position will be a key part of the development team, to support and build data models for Enterprise level integration projects.
**Responsibilities:**
* Operate in Agile environment to build and deploy automated processes that populate a graph database used as part of the organizations metadata repo.
* Work with analyst, end customers, and other technical resources to generate solutions from graph datasets
* Design, develop, test and implement data pipelines based existing Informatica PowerCenter and SQL Server technologies.
* Review existing pipelines for opportunities to tune, optimize and harden
* Provide leadership to teammates through technical design, code reviews and implementation of best practices, adhering to LPL’s SDLC and RM processes.
* Collaborate with other Development teams, Enterprise Architecture and Support teams to design, develop, test and maintain the various platforms and the integration with other systems.
* Communicate with technical and non\-technical groups on a regular basis as part of product/project support
**What are we looking for?** 
 We’re looking for strong collaborators who deliver exceptional client experiences and thrive in fast\-paced, team\-oriented environments. Our ideal candidates
 **pursue greatness** 
 ,
 **act with integrity** 
 , and are
 **driven to help our clients succeed** 
 . We value those who embrace creativity, continuous improvement, and contribute to a culture where we
 **win together** 
 and
 **create and share joy** 
 in our work.
**Requirements:**
* 4\+ years experience in design and development of ETL using Snowflake Suite of Tools
* 4\+ years experience in developing scripts in a relational database i.e. SQL Server (TSQL and Stored Procedures) or Oracle using SQL/PLSQL
* 4\+ years experience in performance tuning (Snowflake DBT/Stored Procs)
* 4\+ years experience with effective analytical, troubleshooting and problem\-solving skills
* 3\+ years experience rolling out workflows through GitHub
**Core Competencies:**
* Effective analytical, troubleshooting and problem\-solving skills
* Working knowledge of software development methodologies like Agile \- Scrum experience
**Preferences:**
* Python
* Snowflake Certification
* AWS Glue, Airflow, Lambda
**Pay Range:**
 $104,300\-$173,900/year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59">
      <c r="A59" t="inlineStr">
        <is>
          <t>li-4359374504</t>
        </is>
      </c>
      <c r="B59" t="inlineStr">
        <is>
          <t>Data Engineer (Health Data Metrics)</t>
        </is>
      </c>
      <c r="C59" t="inlineStr">
        <is>
          <t>Keebler Health</t>
        </is>
      </c>
      <c r="D59" t="inlineStr">
        <is>
          <t>linkedin</t>
        </is>
      </c>
      <c r="E59" t="inlineStr"/>
      <c r="F59" t="inlineStr"/>
      <c r="G59" t="inlineStr"/>
      <c r="H59" t="inlineStr"/>
      <c r="I59" t="inlineStr">
        <is>
          <t>**About Keebler Health**
 Keebler Health is building the operating system for value\-based care. Our mission is to help risk\-bearing healthcare organizations thrive in value\-based arrangements by unlocking the full power of their data. We empower leading primary care groups, ACOs, and health plans to act on real\-time insights that improve outcomes, reduce costs, and fuel sustainable growth.
 We're a fast\-moving, high\-performing team, and we’re looking for people who share our bias toward speed, urgency, and excellence. As a member of the team, you won’t just write code or stay in your lane—you’ll shape critical systems, innovate quickly, and set a high bar for a product that supports the future of U.S. healthcare.
**About The Role**
 We are seeking a skilled and motivated
 ****mid level to senior level Data Engineer****
 to join our team and play a critical role in building and optimizing the data infrastructure that powers our healthcare AI solutions. The ideal candidate will bring expertise in modern data engineering tools and techniques, with a specific focus on healthcare quality metrics, population health, and data interoperability standards such as FHIR. Level and salary will commensurate with experience.
**Key Responsibilities**
 Data Engineering and Development
* Design, build, and maintain scalable, efficient data pipelines for ETL/ELT processes on AWS.
* Develop, test, and deploy robust solutions using SQL and Python for data transformation and analysis.
* Implement and manage data warehousing solutions using Redshift Serverless and other AWS data services.
* Leverage dbt (Data Build Tool) for data modeling, transformation, and documentation.
* Utilize workflow orchestration tools such as Temporal for pipeline automation.
 Healthcare Data Expertise
* Work with healthcare quality metrics such for value\-based care and ensure data alignment with industry standards.
* Collaborate with stakeholders to integrate population health tools and analytics into data workflows.
* Develop and maintain familiarity with FHIR data models and healthcare interoperability standards for seamless integration of healthcare data sources.
* Ensure compliance with HIPAA and other healthcare regulatory requirements in all data handling processes.
 Optimization and Innovation
* Identify and resolve performance bottlenecks in data pipelines, ensuring high availability and reliability.
* Optimize data storage and querying performance within Redshift Serverless and AWS infrastructure.
* Stay current with emerging trends in data engineering and healthcare technology, incorporating innovations into the data ecosystem.
 Collaboration and Impact
* Partner with data and engineering teams to ensure data is accessible and meets business requirements.
* Develop scalable solutions for integrating complex healthcare datasets, ensuring data quality and accuracy.
* Contribute to the design and implementation of secure, scalable, and efficient data architecture on AWS.
**Required Qualifications**
* Must be US based. No foreign applicants will be considered.
* Proven experience in data engineering roles with expertise in SQL, Python, and cloud\-based data infrastructure.
* Experience with dbt for data transformation and modeling.
* Familiarity with healthcare data systems, including HEDIS metrics, population health tools, and FHIR data models.
* Knowledge of data warehousing and workflow orchestration tools.
**Preferred Skills**
* Strong understanding of healthcare data standards, including HL7 and CQL.
* Hands\-on experience with AWS services, specifically Redshift Serverless, S3, Lambda, and related tools.
* Experience with HIPAA\-compliant data architectures.
* Demonstrated ability to optimize data pipelines and improve system performance in cloud environments.
* Strong problem\-solving skills and attention to detail in handling complex datasets.
****When applying****
**In Addition To Your Resume, Also Include**
* A highly personalized, bold, and hilarious “Keebler Health–style” introduction that grabs attention \- outgoing, fun, and uniquely you (not uniquely ChatGPT). Think: confident, high\-energy, slightly irreverent (but still professional), with a smart nod to healthcare, value\-based care, and the fact that we’re building something real.
 What We Offer
* Competitive salary and benefits package.
* Opportunity to work in a fast\-paced, innovative environment.
* Professional growth and development opportunities.
* Collaborative and supportive team culture.
* Chance to make a meaningful impact on the healthcare industry.</t>
        </is>
      </c>
    </row>
    <row r="60">
      <c r="A60" t="inlineStr">
        <is>
          <t>li-4358934351</t>
        </is>
      </c>
      <c r="B60" t="inlineStr">
        <is>
          <t>Sr. Data Engineer</t>
        </is>
      </c>
      <c r="C60" t="inlineStr">
        <is>
          <t>INSPYR Solutions</t>
        </is>
      </c>
      <c r="D60" t="inlineStr">
        <is>
          <t>linkedin</t>
        </is>
      </c>
      <c r="E60" t="inlineStr"/>
      <c r="F60" t="inlineStr"/>
      <c r="G60" t="inlineStr">
        <is>
          <t>Charlotte, NC</t>
        </is>
      </c>
      <c r="H60" t="inlineStr"/>
      <c r="I60" t="inlineStr">
        <is>
          <t>**Title: Sr. Data Engineer
 Location:** 
 Remote
**Duration:** 
  6 Month W2 Contract to FTE Hire. 
**Compensation:** 
 $58\-70/HR
**Work Requirements:** 
 US Citizens, GC Holders. 
**Job Summary**
 We are looking for a hands\-on Senior Data Engineer with expertise in developing data ingestion pipelines. This role is crucial in designing, building, and maintaining our data infrastructure, focusing on creating scalable pipelines, ensuring data integrity, and optimizing performance.
 Key skills include strong Snowflake expertise, advanced SQL proficiency, data extraction from APIs using Python and AWS Lambda, and experience with ETL/ELT processes. Workflow automation using AWS Airflow is essential, and experience with Fivetran and DBT is a plus.
**Job Responsibilities** 
* Design, build, test, and implement scalable data pipelines using Python and SQL.
* Maintain and optimize our Snowflake data warehouse's performance, including data ingestion and query optimization.
* Extract data from APIs using Python and AWS Lambda and automate workflows with AWS Airflow.
* Perform analysis and critical thinking to troubleshoot data\-related issues and implement checks/scripts to enhance data quality.
* Collaborate with other data engineers and architect to develop new pipelines and/or optimize existing ones.
* Maintain code via CI/CD processes as defined in our Azure DevOps platform.
**Job Qualifications** 
* 7\+ years of experience in Data Engineering roles, with a focus on building and implementing scalable data pipelines for data ingestion.
* Expertise in Snowflake, including data ingestion and performance optimization.
* Strong SQL skills for writing efficient queries and optimizing existing ones.
* Proficiency in Python for data extraction from APIs using AWS Lambda, Glue, etc.
* Experience with AWS services such as Lambda, Airflow, Glue, S3, SNS, etc.
* Highly self\-motivated and detail\-oriented with strong communication skills.
* Familiarity with ETL/ELT processes.
* Experience with Fivetran and DBT is a plus.
**Our benefits package includes:** 
 * Comprehensive medical benefits
* Competitive pay
* 401(k) retirement plan
*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Information collected and processed through your application with INSPYR Solutions (including any job applications you choose to submit) is subject to INSPYR Solutions’ Privacy Policy and INSPYR Solutions’ AI and Automated Employment Decision Tool Policy: https://www.inspyrsolutions.com/policies/. By submitting an application, you are consenting to being contacted by INSPYR Solutions through phone, email, or text.</t>
        </is>
      </c>
    </row>
    <row r="61">
      <c r="A61" t="inlineStr">
        <is>
          <t>li-4358964656</t>
        </is>
      </c>
      <c r="B61" t="inlineStr">
        <is>
          <t>Data Engineer</t>
        </is>
      </c>
      <c r="C61" t="inlineStr">
        <is>
          <t>Best Job Tool</t>
        </is>
      </c>
      <c r="D61" t="inlineStr">
        <is>
          <t>linkedin</t>
        </is>
      </c>
      <c r="E61" t="inlineStr"/>
      <c r="F61" t="inlineStr"/>
      <c r="G61" t="inlineStr"/>
      <c r="H61" t="inlineStr"/>
      <c r="I61" t="inlineStr">
        <is>
          <t>**About The Company**
 Adtalem Global Education is a leading provider of workforce solutions and higher education programs dedicated to empowering individuals and organizations through innovative learning experiences. With a global presence, Adtalem offers a diverse range of educational offerings across healthcare, technology, finance, and other professional sectors. The company is committed to fostering inclusive learning environments, promoting continuous development, and preparing students and professionals to excel in their respective fields. Adtalem’s strategic focus on quality education and industry relevance has established it as a trusted partner for students, employers, and communities worldwide.
**About The Role**
 We are seeking a dedicated and dynamic individual to join our team as a \[Job Title]. In this role, you will be responsible for overseeing key operational functions, driving strategic initiatives, and ensuring the delivery of high\-quality educational programs. You will collaborate with cross\-functional teams to develop innovative solutions that enhance student success and organizational growth. The ideal candidate will possess strong leadership skills, a passion for education, and a commitment to excellence. This position offers an excellent opportunity to contribute to a global organization that values innovation, diversity, and continuous improvement.
**Qualifications**
 The ideal candidate will have a bachelor’s degree in a relevant field; a master’s degree or higher is preferred. Proven experience in educational management, operations, or a related area is essential. Strong analytical and problem\-solving skills, along with excellent communication and interpersonal abilities, are required. Familiarity with digital learning platforms and educational technologies is highly desirable. Candidates should demonstrate leadership capabilities, strategic thinking, and a commitment to fostering an inclusive environment. Prior experience working in a global or multicultural setting will be considered an asset.
**Responsibilities**
 Develop and implement strategic plans to support the organization’s educational goals and operational efficiency. Oversee the management of academic programs, ensuring compliance with accreditation standards and quality benchmarks. Collaborate with faculty, staff, and external partners to enhance curriculum development and instructional delivery. Monitor key performance indicators and utilize data\-driven insights to inform decision\-making. Lead initiatives to improve student engagement, retention, and success rates. Manage budgets, resources, and staffing to ensure optimal operational performance. Promote a culture of continuous improvement, innovation, and professional development within the team. Represent the organization at industry events and build strong relationships with stakeholders, including students, employers, and regulatory bodies.
**Benefits**
 Adtalem Global Education offers a comprehensive benefits package designed to support the well\-being and professional growth of its employees. This includes competitive salary packages, health insurance, retirement plans, and paid time off. Employees have access to ongoing training and development programs, opportunities for career advancement, and a supportive work environment that values diversity and inclusion. The organization also promotes work\-life balance through flexible working arrangements and wellness initiatives. Joining Adtalem means becoming part of a global community committed to making a meaningful impact through education.
 Equal Opportunity
 Adtalem Global Education is an equal opportunity employer. We celebrate diversity and are committed to creating an inclusive environment for all employees. We do not discriminate based on race, ethnicity, gender, age, sexual orientation, disability, or any other protected characteristic. We believe that a diverse workforce enhances our ability to innovate and serve our global community effectively. All qualified applicants will receive consideration for employment without regard to any protected status. We encourage individuals from all backgrounds to apply and join our mission\-driven organization.</t>
        </is>
      </c>
    </row>
    <row r="62">
      <c r="A62" t="inlineStr">
        <is>
          <t>li-4358775159</t>
        </is>
      </c>
      <c r="B62" t="inlineStr">
        <is>
          <t>BI Engineer</t>
        </is>
      </c>
      <c r="C62" t="inlineStr">
        <is>
          <t>Lightedge</t>
        </is>
      </c>
      <c r="D62" t="inlineStr">
        <is>
          <t>linkedin</t>
        </is>
      </c>
      <c r="E62" t="inlineStr"/>
      <c r="F62" t="inlineStr"/>
      <c r="G62" t="inlineStr">
        <is>
          <t>Des Moines, IA</t>
        </is>
      </c>
      <c r="H62" t="inlineStr"/>
      <c r="I62" t="inlineStr">
        <is>
          <t>LightEdge is seeking a skilled BI Engineer to support data \&amp; analytic functions enterprise\-wide. This individual will deliver end\-to\-end data solutions that includes: gathering business requirements for reporting dashboards, perform data analysis, write SQL queries, ensure data integrity and build dashboards. They will partner closely with stakeholders to build high quality solutions that unlock insights from the data and drives business efficiencies. They will be seen as a data subject matter expert, providing consultation to others on best practices.
**Responsibilities**
* Gather and document business requirements for reporting and analytics requests
* Write SQL queries applying complex joins and business logic to accurately pull data needed for reporting and analytics
* Administer Power BI cloud instance: provide appropriate access to users, train new users, publish and maintain certified data sources
* Build Power BI dashboards by connecting Snowflake data and creating actionable visuals
* Validate, analyze and document new datasources
* Help establish and follow proper data governance, compliance and security practices
* Partner with stakeholders to translate business needs into actionable data insights using Snowflake and Power BI
* Train and mentor less experienced team members
* Collaborate with data engineers to ensure data in Snowflake is correct and supports reporting needs
**Education And Experience**
* 5\+ years of experience in data/analytics roles including writing SQL and building dashboards
* Proficient with python or other coding software
* Experience with a cloud data warehouse (Snowflake, Redshift, Databricks, etc.)
* Proven ability to work with stakeholders to turn business needs into actionable data insights
* Intermediate skills in writing SQL
* Skilled in building dashboards (Tableau, Power BI, Domo, etc.)
* Strong business acumen and communication skills
* Experience with data quality and validation practices
* Basic understanding of Data Governance
* Desire and ability to leverage AI responsibly in order to unlock efficiencies
* Ability to work in a fast\-paced environment with an entrepreneurial mindset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3">
      <c r="A63" t="inlineStr">
        <is>
          <t>li-4331013679</t>
        </is>
      </c>
      <c r="B63" t="inlineStr">
        <is>
          <t>Data Engineer</t>
        </is>
      </c>
      <c r="C63" t="inlineStr">
        <is>
          <t>RemoteHunter</t>
        </is>
      </c>
      <c r="D63" t="inlineStr">
        <is>
          <t>linkedin</t>
        </is>
      </c>
      <c r="E63" t="inlineStr"/>
      <c r="F63" t="inlineStr"/>
      <c r="G63" t="inlineStr"/>
      <c r="H63" t="inlineStr"/>
      <c r="I63" t="inlineStr">
        <is>
          <t>About the Opportunity:
 This team is hiring a junior to mid\-level Data Engineer fluent in SQL and Python to build, debug, and maintain production data pipelines and system integrations. The role involves owning these pipelines end to end, partnering with the Business Intelligence team to deliver reliable data, actionable insights, and process automation across the business. The position requires comfort reading, understanding, and improving existing systems, not just building greenfield solutions. The technology stack includes SQL Server, Snowflake, Fivetran, and Python with an emphasis on the Pandas library. Experience with these exact tools is not required, but a solid foundation in SQL and Python is essential.
 Responsibilities:
 • Build and maintain ETL pipelines that ingest and validate source\-system data with minimal transformation.
 • Design and implement SQL transformation layers to create analyst\-ready data models.
 • Build and maintain data integrations via inbound and outbound APIs.
 • Troubleshoot data failures across the entire data pipeline independently.
 • Automate manual processes to improve data delivery and reliability.
 • Create clear documentation for ETL processes, object usage, and data models.
 • Test and validate code changes.
 Requirements:
 • Strong SQL skills to simplify complex logic and messy data into consistent models.
 • Practical experience with Python; familiarity with Pandas is beneficial.
 • Experience integrating external systems using inbound and outbound APIs.
 • Understanding of logging, error handling, and control flow in production data pipelines.
 • Solid knowledge of data architecture and modeling (normalized/denormalized, star/snowflake schemas).
 • Experience using version control with a team, preferably Git.
 • Excellent analytical thinking, problem solving, and communication skills.
 • Ability to work independently, manage priorities, and deliver in a rapidly changing environment.
 • Bachelor’s degree in Computer Science or equivalent experience; non\-traditional candidates encouraged to share relevant projects.
 • Experience maintaining data pipelines and integrations in SQL Server, Snowflake, or similar environments.
 • Experience supporting data ingestion from enterprise systems such as Workday, ERP, or HR platforms.
 • Experience with BI or reporting platforms; strong fundamentals valued over specific tool experience.
 • Relevant certifications are a plus but not required.
 Benefits \&amp; Perks:
 • Remote role based in the U.S. with working hours aligned to Eastern Time.
 • Candidates in Central Time are welcome if able to work an Eastern Time schedule.
 • Strong preference for candidates based in North Carolina.
 Compensation:
 • Determined by experience, skills, and role fit.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4">
      <c r="A64" t="inlineStr">
        <is>
          <t>li-4358735493</t>
        </is>
      </c>
      <c r="B64" t="inlineStr">
        <is>
          <t>Data Engineer (Remote)</t>
        </is>
      </c>
      <c r="C64" t="inlineStr">
        <is>
          <t>Jobgether</t>
        </is>
      </c>
      <c r="D64" t="inlineStr">
        <is>
          <t>linkedin</t>
        </is>
      </c>
      <c r="E64" t="inlineStr"/>
      <c r="F64" t="inlineStr"/>
      <c r="G64" t="inlineStr">
        <is>
          <t>Illinois, United States</t>
        </is>
      </c>
      <c r="H64" t="inlineStr"/>
      <c r="I64" t="inlineStr">
        <is>
          <t>This position is posted by Jobgether on behalf of a partner company. We are currently looking for a Data Engineer \- REMOTE. In this role, you will play a crucial part in transforming data into actionable insights to help drive decision\-making processes. By leveraging your expertise in SQL and Python, you will design and maintain efficient data pipelines while collaborating with cross\-functional teams. Your contributions will not only enhance operational efficiency but also support our partner's commitment to delivering innovative solutions. Join us and be part of a diverse network dedicated to tackling today's most pressing business challenges.
**Accountabilities**
* Utilize strong SQL \&amp; Python skills to engineer sound data pipelines and conduct routine and ad hoc analysis.
* Build reporting dashboards and visualizations to design, create, and track campaign/program KPIs.
* Perform analyses on large data sets to understand drivers of operational efficiency.
* Manage end\-to\-end process of analytic tooling feature development, including request intake and QA testing.
* Consult with business analysts and cross\-functional partners to understand reporting and data needs.
**Requirements**
* Minimum 5 years of experience as a Data Engineer.
* High School Diploma or GED.
* Experience with programming languages SQL and Python.
**Benefits**
* Competitive compensation.
* Flexible work arrangements with remote options.
* Access to world\-class learning resources.
* Supportive and inclusive work environment.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5">
      <c r="A65" t="inlineStr">
        <is>
          <t>li-4314187789</t>
        </is>
      </c>
      <c r="B65" t="inlineStr">
        <is>
          <t>Data Engineer</t>
        </is>
      </c>
      <c r="C65" t="inlineStr">
        <is>
          <t>H+M Industrial EPC</t>
        </is>
      </c>
      <c r="D65" t="inlineStr">
        <is>
          <t>linkedin</t>
        </is>
      </c>
      <c r="E65" t="inlineStr"/>
      <c r="F65" t="inlineStr"/>
      <c r="G65" t="inlineStr"/>
      <c r="H65" t="inlineStr"/>
      <c r="I65" t="inlineStr">
        <is>
          <t>**Position Title:** 
 Data Engineer
**Reports to:** 
 IT Manager
**Position Status:** 
 Permanent – Full Time
**FLSA Status:** 
 Exempt
**Location:** 
 Pasadena, TX (Remote)
**Work Schedule:** 
 Standard schedule is Monday through Friday.
**Purpose:** 
 We are seeking a skilled Data Engineer with hands\-on experience in Azure Databricks to design, build, and maintain scalable data pipelines and advanced data models. The ideal candidate has a strong background in cloud\-based data engineering, ETL development, and working with large datasets in a distributed environment.
**Core Job Responsibilities** 
* Design, develop, and maintain data pipelines and data models using Azure Databricks and related Azure data services.
* Collaborate with data analysts and business stakeholders to understand data needs and deliver robust, high\-performance solutions.
* Build and optimize data architecture to support data ingestion, processing, and analytics workloads.
* Implement best practices for data governance, security, and performance tuning in a cloud\-native environment.
* Work with structured and unstructured data from various sources including APIs, files, databases, and data lakes.
* Create reusable code and components for data processing and modeling workflows.
* Monitor and troubleshoot jobs, ensuring data quality, reliability, and efficiency.
**Essential Skills \&amp; Qualifications** 
* 3\+ years of experience as a Data Engineer, Big Data Engineer, or similar role.
* Excellent English communication skills (Spoken/Written).
* Experience in developing and maintaining data pipelines using Azure Databricks, Spark, and other Big Data technologies.
* Strong hands\-on experience with Azure Databricks, Apache Spark, and Delta Lake.
* Proficiency in Python, SQL, and PySpark.
* Experience with Azure services: Azure Data Lake Storage (ADLS), Azure Synapse Analytics, Azure Data Factory, Event Hub, or similar.
* Solid understanding of data modeling (dimensional modeling, star/snowflake schemas).
* Familiarity with CI/CD pipelines and version control (e.g., Git).
* Experience working in agile/scrum teams.
* Good problem\-solving, critical thinking, and presentation skills.
* Work diligence and responsibility.
**Physical Requirements** 
* Occasionally lift objects weighing up to 25 pounds
* Sit for long periods of time
* Occasionally stoop, kneel or crouch
* Use hands and arms to reach for, grasp and manipulate objects
**Environment:** 
 Most work time is spent in a home office environment.</t>
        </is>
      </c>
    </row>
    <row r="66">
      <c r="A66" t="inlineStr">
        <is>
          <t>li-4358984329</t>
        </is>
      </c>
      <c r="B66" t="inlineStr">
        <is>
          <t>Data Engineer</t>
        </is>
      </c>
      <c r="C66" t="inlineStr">
        <is>
          <t>TalentAlly</t>
        </is>
      </c>
      <c r="D66" t="inlineStr">
        <is>
          <t>linkedin</t>
        </is>
      </c>
      <c r="E66" t="inlineStr"/>
      <c r="F66" t="inlineStr"/>
      <c r="G66" t="inlineStr"/>
      <c r="H66" t="inlineStr"/>
      <c r="I66" t="inlineStr">
        <is>
          <t>Design and deliver scalable OLTP, Business Intelligence, and Data Warehouse solutions using Microsoft Fabric, SSIS, SQL Server, and related BI technologies. Develop and maintain enterprise reports, support requirements gathering, evaluate and recommend technical approaches, and implement solutions within established timelines.
 This position is hybrid.
 NYC Salary range: $105,000 \- $130,000 annually; compensation is commensurate to geographic location.
* Regardless of seniority or role, uphold UNFCU's mission, core values, and guiding principles by providing an exceptional service experience to colleagues and members alike through consistent demonstration of our service excellence behaviors.
* Develop and maintain ETL/ELT processes using SSIS, Fabric Pipelines, and/or Azure Data Factory, including advanced Script Tasks (C\# or VB.NET) to automate file operations and apply custom business logic.
* Develop and implement solutions in Microsoft PowerBI and Microsoft Fabric, including Lakehouse/Warehouse modeling, Dataflows Gen2, Pipelines, and Semantic Models; support the modernization of existing ETL and reporting assets into Fabric and Azure cloud\-based frameworks.
* Design, develop, and optimize complex T\-SQL stored procedures, functions, and database objects for high\-volume OLTP and Data Warehouse environments, with expertise in transaction isolation levels, table hints, deadlocks, linked servers, OPENQUERY, triggers, and column\-level encryption.
* Perform advanced database performance tuning, including execution plan analysis, indexing strategies, partitioning, and transaction optimization.
* Contribute to the design and enhancement of OLTP and OLAP data models, ensuring alignment with business, analytical, and performance requirements.
* Build and support integrations that consume or expose REST APIs, including testing, validation, and troubleshooting using Postman and related API tools.
* Create and govern dashboards and visual analytics in Power BI or Tableau, ensuring accuracy, compliance with governance standards, and proper alignment with semantic models.
* Verify and maintain data quality and integrity across the data warehouse, semantic models, dashboards, reports, and data extracts.
* Troubleshoot and resolve database, ETL, reporting, data quality, performance, capacity, replication, and distributed data issues; participate in incident resolution and root\-cause remediation.
* Maintain thorough documentation, adhere to change control processes, and support regulatory, cybersecurity, and data protection compliance.
* Collaborate with Product Managers, Analysts, Engineers, and cross\-functional teams to enhance BI and data platform capabilities.
* Stay current with industry trends and participate in relevant training, conferences, and professional development programs. Participate in Credit Union training and development programs.
* Perform additional responsibilities as assigned.
* Ensure compliance with federal and state laws and regulations and UNFCU's Code of Ethics \&amp; Business Conduct.
* Bachelor's degree in Engineering or Computer Science
* 6 years of experience in reports and data warehouse development
* 5 years software development experience on Microsoft BI Platform including, , MS SQL Server
* 4 years of experience in DB Development (OLTP) using MS SQL
* 2 years of experience in building Data Marts using dimensional models
* 2 years of experience in building Dashboards and KPI visualization on Power BI and/or Tableau
* Strong reporting and data warehouse development skills on issues that are complex and evaluative in nature where troubleshooting may call for referencing an advanced knowledge base
* Large data migration experience
* Hands on experience using Oracle
 PDN\-a0ae108d\-47d9\-408a\-aa5e\-854a50922e4b</t>
        </is>
      </c>
    </row>
    <row r="67">
      <c r="A67" t="inlineStr">
        <is>
          <t>li-4358488931</t>
        </is>
      </c>
      <c r="B67" t="inlineStr">
        <is>
          <t>Data Engineer - AWS, Bedrock</t>
        </is>
      </c>
      <c r="C67" t="inlineStr">
        <is>
          <t>VeeRteq Solutions LLC</t>
        </is>
      </c>
      <c r="D67" t="inlineStr">
        <is>
          <t>linkedin</t>
        </is>
      </c>
      <c r="E67" t="inlineStr"/>
      <c r="F67" t="inlineStr"/>
      <c r="G67" t="inlineStr">
        <is>
          <t>Chicago, IL</t>
        </is>
      </c>
      <c r="H67" t="inlineStr"/>
      <c r="I67" t="inlineStr">
        <is>
          <t>Data Engineer specializing in AWS Bedrock Experience: 7\+ Years Location: Chicago, IL 3 days/week What is in it for you?
 A highly skilled Data Engineer specializing in AWS Bedrock and modern data platforms, responsible for designing, building, and optimizing scalable data solutions and pipelines for advanced analytics and AI\-driven applications.
**Responsibilities**
* Design, develop, and maintain robust data pipelines and architecture for large\-scale data processing.
* Implement and optimize data workflows using AWS services (Glue, Lambda, EMR, Kinesis) and Bedrock.
* Collaborate with data scientists and ML engineers to integrate machine learning models into production environments.
* Ensure data quality, security, and compliance across all stages of the data lifecycle.
* Develop CI/CD pipelines for data engineering projects using Git, Terraform, and containerization tools.
* Work with streaming and batch processing frameworks (Spark, Kafka/Kinesis, Spark Streaming).
* Manage and optimize relational (PostgreSQL) and NoSQL databases (Redis, Elasticsearch).
* Monitor and troubleshoot data systems for performance and reliability.
* Stay updated on emerging technologies in big data, AI, and cloud platforms.
* Collaborate closely with teams in an Agile/Scrum environment.
**Educational Qualifications**
* Engineering Degree BE/ME/BTech/MTech/BSc/MSc.
* Technical certification in multiple technologies is desirable.
 Skills: Mandatory Skills:
* Programming: Strong proficiency in Python; ability to learn other languages quickly.
* AWS Expertise: Hands\-on experience with AWS Bedrock, Lambda, Glue, Athena, Kinesis, IAM, EMR/PySpark.
* Big Data Technologies: EMR, Spark, Kafka/Kinesis, Airflow.
* Databases: Advanced SQL (complex queries), PostgreSQL, Redis, Elasticsearch.
* CI/CD \&amp; Infrastructure: Git, Terraform, Docker; experience with agile methodologies.
* Stream Processing: Spark Streaming or similar frameworks.
**Good To Have Skills**
* Knowledge Graph Technologies: Graph DB, OWL, SPARQL.
* Machine Learning Frameworks: TensorFlow, PyTorch, Scikit\-learn, XGBoost.
* Model Deployment: Flask, FastAPI, Docker, Kubernetes, TensorFlow Serving, TorchServe.
* Exposure to Databricks and workflow orchestration tools.</t>
        </is>
      </c>
    </row>
    <row r="68">
      <c r="A68" t="inlineStr">
        <is>
          <t>li-4331900068</t>
        </is>
      </c>
      <c r="B68" t="inlineStr">
        <is>
          <t>Data Engineer</t>
        </is>
      </c>
      <c r="C68" t="inlineStr">
        <is>
          <t>Randstad Digital Americas</t>
        </is>
      </c>
      <c r="D68" t="inlineStr">
        <is>
          <t>linkedin</t>
        </is>
      </c>
      <c r="E68" t="inlineStr"/>
      <c r="F68" t="inlineStr"/>
      <c r="G68" t="inlineStr">
        <is>
          <t>Durham, NC</t>
        </is>
      </c>
      <c r="H68" t="inlineStr"/>
      <c r="I68" t="inlineStr">
        <is>
          <t>**Job Summary**
 Ability to validate, monitor, and solve issues during development, testing, or in production
 Excellent communication skills, both through written and verbal channels
 location: Durham, North Carolina
 job type: Contract
 salary: $69 \- 70 per hour
 work hours: 8am to 5pm
 education: Bachelors
**Responsibilities**
* Bachelor's degree in Computer Science (or closely related)
* 5\+ years of experience in application and REST API development using Java
* Proven experience writing microservices with Java
* Strong in managing API to database connections using different relational database drivers (Oracle, PostgreSQL, etc.)
* Demonstrated experience developing, debugging and tuning complex SQL statements, PL/SQL packages and procedures
* Hands\-on experience building highly resilient, scalable, and efficient solutions using AWS services like Lambda, Glue, step functions, etc.
* Hands\-on experience with Aurora Postgres a big plus
* Experience with DevOps or CI/CD Pipelines using Maven, Jenkins, Terraform, Github, Ansible, etc.
* Experience in managing high volume customer\-facing application traffic for API's
* Knowledge of Messaging Technologies (Kafka, Kinesis, SNS, SQS)
* Desire and ability to learn and implement new technologies
* Keen ability to see complex challenges from multiple perspectives, and leaning in to solve independently or with others
**Qualifications**
 Knowledge of how to develop highly scalable distributed systems using Open\-Source technologies
 Proven knowledge of AWS via Associate, Professional, or Specialty Certification(s) a big plus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69">
      <c r="A69" t="inlineStr">
        <is>
          <t>li-4358567151</t>
        </is>
      </c>
      <c r="B69" t="inlineStr">
        <is>
          <t>Analytics Data Engineer</t>
        </is>
      </c>
      <c r="C69" t="inlineStr">
        <is>
          <t>Veritas Search Group</t>
        </is>
      </c>
      <c r="D69" t="inlineStr">
        <is>
          <t>linkedin</t>
        </is>
      </c>
      <c r="E69" t="inlineStr"/>
      <c r="F69" t="inlineStr"/>
      <c r="G69" t="inlineStr">
        <is>
          <t>Torrance, CA</t>
        </is>
      </c>
      <c r="H69" t="inlineStr"/>
      <c r="I69" t="inlineStr">
        <is>
          <t>**This role requires candidates who are currently authorized to work in the U.S. without sponsorship, and C2C arrangements are not accepted. This role is hybrid in Torrance, CA.** 
**Please submit your resume and send to recruiters@vsearchgroup.com if you are interested. Thank you!** 
**Overview** 
 The
 **Analytics Data Engineer** 
 designs, builds, and maintains scalable data infrastructure and integrations that support enterprise analytics and operational systems. This role focuses on enabling reliable data flow across Warehouse Management Systems (WMS), ERP platforms, and other business applications to ensure high data quality, security, and availability for reporting and decision\-making.
**Key Responsibilities** 
* Design, build, and support data pipelines, databases, and data warehouse/lake architectures
* Develop ETL processes to ensure accurate, consistent, and reliable data across systems
* Build and maintain integrations between WMS, TMS, ERP, and other enterprise platforms using APIs and SQL\-based tools
* Monitor database performance and troubleshoot data and pipeline issues
* Develop database maintenance, optimization, and archiving solutions
* Partner with application, analytics, and business teams to deliver data solutions for reporting and analytics
* Implement data security, access controls, and governance best practices
**Qualifications** 
* Bachelor’s degree in Computer Science, Information Systems, Data Analytics, or related field
* 7\+ years of experience in data engineering, data warehousing, or lakehouse environments
* Strong proficiency in Python and SQL, including stored procedures and data loading processes
* Experience with Microsoft data platforms (e.g., Azure, Fabric, Synapse or similar)
* Hands\-on experience with ETL tools and data integration frameworks
* Experience integrating ERP and WMS platforms
* Experience building analytical datasets and dashboards using Power BI or similar tools</t>
        </is>
      </c>
    </row>
    <row r="70">
      <c r="A70" t="inlineStr">
        <is>
          <t>li-4330972996</t>
        </is>
      </c>
      <c r="B70" t="inlineStr">
        <is>
          <t>Senior Data Platform Engineer</t>
        </is>
      </c>
      <c r="C70" t="inlineStr">
        <is>
          <t>Robert Half</t>
        </is>
      </c>
      <c r="D70" t="inlineStr">
        <is>
          <t>linkedin</t>
        </is>
      </c>
      <c r="E70" t="inlineStr"/>
      <c r="F70" t="inlineStr"/>
      <c r="G70" t="inlineStr">
        <is>
          <t>Frisco, TX</t>
        </is>
      </c>
      <c r="H70" t="inlineStr"/>
      <c r="I70" t="inlineStr">
        <is>
          <t>We’re looking for a Senior Data Platform Engineer to design, build, and operate our next\-generation data platform. You will lead the development of streaming and batch pipelines on Google Cloud Platform (GCP), leveraging Apache Kafka, Apache Flink, and Python to deliver high\-quality, reliable data products and shared infrastructure. You’ll partner with data engineers, analytics engineers, and product teams to set standards, improve performance, and scale our data systems.
**What You’ll Do:**
* Architect \&amp; build data pipelines: Design and implement robust, scalable streaming (Flink/Kafka) and batch (GCP Dataflow/BigQuery) pipelines for mission\-critical data use cases.
* Own platform reliability: Define and enforce SLAs/SLOs, observability (metrics, logs, tracing), and alerting for data services; drive incident response and root\-cause analysis.
* Optimize performance \&amp; cost: Tune Kafka topics/partitions, Flink jobs (state, checkpoints, watermarks), and BigQuery schemas/queries to balance latencies, throughput, and spend.
* Standardize data modeling: Establish modeling conventions, data contracts, schema evolution strategies, and documentation for clear, maintainable datasets.
* Security \&amp; compliance: Implement GCP IAM, network boundaries (VPC, private service access), secrets management, and governance for secure data access.
* Infrastructure as Code: Manage platform components via Terraform and CI/CD; automate deployments, testing, and rollbacks for safe, repeatable changes.
* Cross\-functional leadership: Advise teams on best practices; review architectures and PRs; mentor engineers; contribute to roadmap and platform strategy.
* Continuous improvement: Drive reliability engineering: capacity planning, back\-pressure strategies, schema validation, data quality checks, and self\-healing patterns.
**Minimum Qualifications:**
* Bachelor’s degree in Computer Science, Engineering, or related field.
* 5\+ years of professional experience in data engineering or platform engineering roles.
* Hands\-on expertise with:
* Google Cloud Platform (GCP): BigQuery, Pub/Sub, Dataflow (or similar), IAM, VPC networking.
* Apache Kafka: Topic design, partitions, consumer groups, schema management (e.g., Confluent/Schema Registry), performance tuning.
* Apache Flink: Stream processing, state management, checkpoints, event\-time processing, windows, exactly\-once semantics.
* Python: Production\-grade code (testing, packaging, structure), data tooling, and services/integration work.
* Proven experience designing and operating event\-driven systems with real\-time SLAs.
* Demonstrated ability to lead technical decisions, set standards, and mentor peers.
**Preferred Qualifications:**
* Master’s degree in CS/CE/EE or related field.
* Experience with dbt or similar frameworks for semantic modeling and testing.
* Experience with Airflow (or Cloud Composer) for orchestration of batch workflows.
* Familiarity with containerization (Docker) and Kubernetes/GKE.
* Strong command of observability tooling (e.g., Prometheus/Grafana, OpenTelemetry) and data quality frameworks.
* Background in data governance, access control, and privacy/compliance (e.g., GDPR/CCPA awareness).
* Knowledge of Scala or Java for high\-performance streaming applications (optional but beneficial).
**Core Competencies:**
* Systems Thinking: Ability to design resilient, scalable architectures across ingestion, processing, storage, and consumption layers.
* Reliability Mindset: You prioritize operability, recoverability, and clear SLAs/SLOs.
* Pragmatic Execution: You balance ideal designs with delivery speed and maintainability.
* Collaboration: Strong communication skills; you can align stakeholders across data, product, and infrastructure teams.
* Ownership: You take initiative, drive outcomes, and are comfortable making and documenting tradeoffs.
**Success in the First 6–12 Months:**
* Establish platform standards for streaming and batch pipelines (patterns, templates, IaC, CI/CD).
* Reduce data latency and incident volume through optimized Flink/Kafka configurations and observability upgrades.
* Implement data contracts \&amp; schema evolution processes to protect downstream consumers.
* Deliver at least one cross\-team, high\-impact data capability (e.g., real\-time feature store, event analytics pipeline, or CDC backbone).
* Document and evangelize best practices; mentor engineers and raise the platform bar.
**Tools \&amp; Technologies You’ll Use:**
 GCP (BigQuery, Pub/Sub, Dataflow, IAM, VPC), Apache Kafka, Apache Flink, Python, Terraform, GitHub/GitLab CI, Docker, Kubernetes/GKE, Airflow/Cloud Composer, dbt, Prometheus/Grafana, OpenTelemetry, Confluent/Schema Registry.
**Compensation \&amp; Benefits:**
* Competitive salary
* Equity and performance bonus \[if applicable].
* Comprehensive health benefits.
* 401(k) with company match.
* Professional development budget and learning stipend.
* Flexible PTO and \[remote/hybrid policy].</t>
        </is>
      </c>
    </row>
    <row r="71">
      <c r="A71" t="inlineStr">
        <is>
          <t>li-4358597459</t>
        </is>
      </c>
      <c r="B71" t="inlineStr">
        <is>
          <t>Sr. Data Engineer (Remote)</t>
        </is>
      </c>
      <c r="C71" t="inlineStr">
        <is>
          <t>Jobgether</t>
        </is>
      </c>
      <c r="D71" t="inlineStr">
        <is>
          <t>linkedin</t>
        </is>
      </c>
      <c r="E71" t="inlineStr"/>
      <c r="F71" t="inlineStr"/>
      <c r="G71" t="inlineStr">
        <is>
          <t>Florida, United States</t>
        </is>
      </c>
      <c r="H71" t="inlineStr"/>
      <c r="I71" t="inlineStr">
        <is>
          <t>This position is posted by Jobgether on behalf of a partner company. We are currently looking for a Data Engineer \- REMOTE. In this role, you will play a crucial part in transforming data into actionable insights to help drive decision\-making processes. By leveraging your expertise in SQL and Python, you will design and maintain efficient data pipelines while collaborating with cross\-functional teams. Your contributions will not only enhance operational efficiency but also support our partner's commitment to delivering innovative solutions. Join us and be part of a diverse network dedicated to tackling today's most pressing business challenges.
**Accountabilities**
* Utilize strong SQL \&amp; Python skills to engineer sound data pipelines and conduct routine and ad hoc analysis.
* Build reporting dashboards and visualizations to design, create, and track campaign/program KPIs.
* Perform analyses on large data sets to understand drivers of operational efficiency.
* Manage end\-to\-end process of analytic tooling feature development, including request intake and QA testing.
* Consult with business analysts and cross\-functional partners to understand reporting and data needs.
**Requirements**
* Minimum 5 years of experience as a Data Engineer.
* High School Diploma or GED.
* Experience with programming languages SQL and Python.
**Benefits**
* Competitive compensation.
* Flexible work arrangements with remote options.
* Access to world\-class learning resources.
* Supportive and inclusive work environment.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2">
      <c r="A72" t="inlineStr">
        <is>
          <t>li-4352072483</t>
        </is>
      </c>
      <c r="B72" t="inlineStr">
        <is>
          <t>Consultant, Data Engineer</t>
        </is>
      </c>
      <c r="C72" t="inlineStr">
        <is>
          <t>IBM</t>
        </is>
      </c>
      <c r="D72" t="inlineStr">
        <is>
          <t>linkedin</t>
        </is>
      </c>
      <c r="E72" t="inlineStr"/>
      <c r="F72" t="inlineStr"/>
      <c r="G72" t="inlineStr">
        <is>
          <t>Lisle, IL</t>
        </is>
      </c>
      <c r="H72" t="inlineStr"/>
      <c r="I72"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We are in search of a skilled Consultant Data Engineer to join our expanding team of experts. This role will be pivotal in the design and development of Snowflake Data Cloud solutions, encompassing responsibilities such as constructing data ingestion pipelines, establishing sound data architecture, and implementing stringent data governance and security protocols.
 The ideal candidate brings experience as a proficient data pipeline builder and adept data wrangler, deriving satisfaction from optimizing data systems from their foundational stages. Collaborating closely with database architects, data analysts, and data scientists, the Data Engineer will play a crucial role in ensuring a consistent and optimal data delivery architecture across ongoing customer projects.
 This position demands a self\-directed individual comfortable navigating the diverse data needs of multiple teams, systems, and products. If you are enthusiastic about the prospect of contributing to a startup environment and supporting our customers in their next generation of data initiatives, we invite you to explore this opportunity.
 As of April 2025, Hakkoda has been acquired by IBM and will be integrated in the IBM organization. Your recruitment process will be managed by IBM. IBM will be the hiring entity
 This role can be performed from anywhere in the US.
**Preferred Education**
 Bachelor's Degree
**Required Technical And Professional Expertise**
* Bachelor’s degree in engineering, computer science or equivalent area
* 3\+yrs in related technical roles with experience in data management, database development, ETL, and/or data prep domains.
* Experience developing data warehouses.
* Experience building ETL / ELT ingestion pipelines.
* Proficiency in using cloud platform services for data engineering tasks, including managed database services (Snowflake and its pros and cons vs Redshift, BigQuery etc) and data processing services (AWS Glue, Azure Data Factory, Google Dataflow).
* Skills in designing and implementing scalable and cost\-effective solutions using cloud services, with an understanding of best practices for security and compliance.
* Knowledge of how to manipulate, process and extract value from large disconnected datasets.
* SQL and Python scripting experience require, Scala and Javascript is a plus.
* Cloud experience (AWS, Azure or GCP) is a plus.
* Knowledge of any of the following tools is also a plus: Snowflake, Matillion/Fivetran or DBT.
* Strong interpersonal skills including assertiveness and ability to build strong client relationships.
* Strong project management and organizational skills.
* Ability to support and work with cross\-functional and agile teams in a dynamic environment.
* Advanced English required.</t>
        </is>
      </c>
    </row>
    <row r="73">
      <c r="A73" t="inlineStr">
        <is>
          <t>li-4358537868</t>
        </is>
      </c>
      <c r="B73" t="inlineStr">
        <is>
          <t>Senior Data Engineer - REMOTE</t>
        </is>
      </c>
      <c r="C73" t="inlineStr">
        <is>
          <t>Jobgether</t>
        </is>
      </c>
      <c r="D73" t="inlineStr">
        <is>
          <t>linkedin</t>
        </is>
      </c>
      <c r="E73" t="inlineStr"/>
      <c r="F73" t="inlineStr"/>
      <c r="G73" t="inlineStr">
        <is>
          <t>Kansas, United States</t>
        </is>
      </c>
      <c r="H73" t="inlineStr"/>
      <c r="I73" t="inlineStr">
        <is>
          <t>This position is posted by Jobgether on behalf of a partner company. We are currently looking for a Data Engineer \- REMOTE. In this role, you will play a crucial part in transforming data into actionable insights to help drive decision\-making processes. By leveraging your expertise in SQL and Python, you will design and maintain efficient data pipelines while collaborating with cross\-functional teams. Your contributions will not only enhance operational efficiency but also support our partner's commitment to delivering innovative solutions. Join us and be part of a diverse network dedicated to tackling today's most pressing business challenges.
**Accountabilities**
* Utilize strong SQL \&amp; Python skills to engineer sound data pipelines and conduct routine and ad hoc analysis.
* Build reporting dashboards and visualizations to design, create, and track campaign/program KPIs.
* Perform analyses on large data sets to understand drivers of operational efficiency.
* Manage end\-to\-end process of analytic tooling feature development, including request intake and QA testing.
* Consult with business analysts and cross\-functional partners to understand reporting and data needs.
**Requirements**
* Minimum 5 years of experience as a Data Engineer.
* High School Diploma or GED.
* Experience with programming languages SQL and Python.
**Benefits**
* Competitive compensation.
* Flexible work arrangements with remote options.
* Access to world\-class learning resources.
* Supportive and inclusive work environment.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4">
      <c r="A74" t="inlineStr">
        <is>
          <t>li-4358765472</t>
        </is>
      </c>
      <c r="B74" t="inlineStr">
        <is>
          <t>Lead Data Engineer</t>
        </is>
      </c>
      <c r="C74" t="inlineStr">
        <is>
          <t>Provation</t>
        </is>
      </c>
      <c r="D74" t="inlineStr">
        <is>
          <t>linkedin</t>
        </is>
      </c>
      <c r="E74" t="inlineStr"/>
      <c r="F74" t="inlineStr"/>
      <c r="G74" t="inlineStr"/>
      <c r="H74" t="inlineStr"/>
      <c r="I74" t="inlineStr">
        <is>
          <t>In this position, you'd lead a team of data engineers providing direction, training, and guidance to implement software solutions. Collaborate with a cross functional team, which includes developers, product managers, QA engineers, and business analysts, to implement solutions tightly aligned with business objectives. Partner with other engineering leads to design cloud infrastructure solutions and build with quality, security, and scalability. Use the latest data flow technologies and cloud services to produce exceptional software within a continuous integration/continuous delivery environment.
**Duties \&amp; Responsibilities**
* Work closely with Product Management and other functional teams to evaluate, develop, and maintain product features for Provation products.
* Mentor and provide professional development for team members.
* Help plan and prioritize engineering team activities and backlog.
* Develop product expertise, technical mastery and build a team.
* Ensure standards and framework compliance across the development team.
* Lead team to deliver planned commitments on time.
* Learn, understand, and use innovative technologies to gain competitive advantage.
* Creatively brainstorm and innovate on prototypes as well as future products and features to drive the business forward.
* Proactively research industry trends and best practices to apply them as necessary
* Deliver high\-quality and on\-schedule work according to Agile software development methodology.
* Participate in Agile activities including daily stand ups, estimations, and backlog grooming and reviews.
* Provide internal development support which includes delivering fast and high\-quality fixes to urgent production issues.
* Actively create opportunities for code/component re\-use
* Leverage existing frameworks, platforms, and patterns to increase time to market.
* Promote and ensure standards and framework compliance across the development team.
* Participate in code reviews providing guidance to Development and QA team members.
**Job Requirements**
*Education \&amp; Experience*
* Bachelor’s degree in computer science or related degree preferred or equivalent work experience
* At least 5\-7 years software development experience
* Proficiency with dynamic languages such as Python or compiled languages such as Rust
* Experience with web\-based technologies such as JavaScript, TypeScript, CSS, LESS and HTML5
* Experience with unit testing frameworks such as Pytest
* Experience with SQL and relational databases such PostgreSQL
* Experience with cloud platforms such as Azure or AWS
* Solid knowledge of security and encryption best practices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Provation**
 Provation is a leading provider of healthcare software and SaaS solutions for clinical productivity, care coordination, quality reporting, and billing. Our purpose is to empower providers to deliver quality healthcare for all. Provation’s comprehensive portfolio spans the entire patient encounter, from pre\-procedure through post\-procedure, with solutions for physician and nursing documentation (Provation® MD, Provation® Apex, MD\-Reports, Provation® endoPRO®, and Provation® MultiCaregiver), anesthesia documentation (\#1 Best in KLAS Provation® iPro), patient engagement, surgical care coordination, quality reporting, and billing capture (Provation® SurgicalValet™), order set and care plan management (Provation® Order Set Advisor™ and Provation® Care Plans), and EHR embedded clinical documentation (Provation® Clinic Note). Provation has a loyal customer base, serving more than 5,000 hospitals, surgery centers, and medical offices, and 700 physician groups globally, including 19 of the top 20 U.S. hospitals. In 2021, Provation was acquired by Fortive Corporation, a Fortune 1000 company that builds essential technology and accelerates transformation in high\-impact fields like workplace safety, engineering, and healthcare. For more information about our solutions, visit provationmedical.com and follow us on Twitter, Facebook, and LinkedIn. Our purpose at Provation is to empower providers to deliver quality healthcare for all. To deliver on this commitment, we’re guided by our core values – Provation has a culture of CARES:Community \- We have a shared sense of improving healthcare, enriching the broader world we live in and serve. Accountability \- We own it and get it done with integrity. Respect \- We build diverse teams that collaborate and communicate with positive intent and trust. Excellence \- We welcome new ideas as we innovate quality solutions. Service \- We are passionate about putting customers first.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**Pay Range**
 The salary range for this position (in local currency) is 109,700\.00 \- 183,200\.00
 Provation is a leading provider of healthcare software and SaaS solutions for clinical productivity, care coordination, quality reporting, and billing. Our purpose is to empower providers to deliver quality healthcare for all. Provation’s comprehensive portfolio spans the entire patient encounter, from pre\-procedure through post\-procedure, with solutions for physician and nursing documentation (Provation® MD, Provation® Apex, MD\-Reports, Provation® endoPRO®, and Provation® MultiCaregiver), anesthesia documentation (\#1 Best in KLAS Provation® iPro), patient engagement, surgical care coordination, quality reporting, and billing capture (Provation® SurgicalValet™), order set and care plan management (Provation® Order Set Advisor™ and Provation® Care Plans), and EHR embedded clinical documentation (Provation® Clinic Note). Provation has a loyal customer base, serving more than 5,000 hospitals, surgery centers, and medical offices, and 700 physician groups globally, including 19 of the top 20 U.S. hospitals. In 2021, Provation was acquired by Fortive Corporation, a Fortune 1000 company that builds essential technology and accelerates transformation in high\-impact fields like workplace safety, engineering, and healthcare. For more information about our solutions, visit provationmedical.com and follow us on Twitter, Facebook, and LinkedIn. Our purpose at Provation is to empower providers to deliver quality healthcare for all. To deliver on this commitment, we’re guided by our core values – Provation has a culture of CARES:Community \- We have a shared sense of improving healthcare, enriching the broader world we live in and serve. Accountability \- We own it and get it done with integrity. Respect \- We build diverse teams that collaborate and communicate with positive intent and trust. Excellence \- We welcome new ideas as we innovate quality solutions. Service \- We are passionate about putting customers first.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The salary range for this position (in local currency) is 109,700\.00 \- 183,200\.00</t>
        </is>
      </c>
    </row>
    <row r="75">
      <c r="A75" t="inlineStr">
        <is>
          <t>li-4344291255</t>
        </is>
      </c>
      <c r="B75" t="inlineStr">
        <is>
          <t>Analytics Engineer</t>
        </is>
      </c>
      <c r="C75" t="inlineStr">
        <is>
          <t>Harnham</t>
        </is>
      </c>
      <c r="D75" t="inlineStr">
        <is>
          <t>linkedin</t>
        </is>
      </c>
      <c r="E75" t="inlineStr"/>
      <c r="F75" t="inlineStr"/>
      <c r="G75" t="inlineStr">
        <is>
          <t>Phoenix, AZ</t>
        </is>
      </c>
      <c r="H75" t="inlineStr"/>
      <c r="I75" t="inlineStr">
        <is>
          <t>Analytics Engineer
 Hybrid 3\-4 days onsite
 Location: Phoenix, Arizona
 Salary: $130,000 \- $150,000 base
 A large, operationally complex organization is undergoing a major modernization of its data platform and is building a new, cloud\-native analytics foundation from the ground up. This is a greenfield opportunity for a senior\-level data modeler to establish best practices, influence architecture, and help shape how data is organized and used across the business.
 This role sits at the center of a multi\-year transformation focused on modern analytics, scalable data products, and strong collaboration between data and business teams.
**What You’ll Be Working On** 
* Designing and implementing enterprise data models across conceptual, logical, and physical layers
* Establishing Medallion architecture patterns and reusable modeling assets
* Building dimensional and semantic models that support analytics and reporting
* Partnering closely with domain experts and functional leaders to translate business needs into data structures
* Collaborating with data engineers to align models with ELT pipelines and analytics frameworks
* Helping define modeling standards and upskilling senior engineers in modern data modeling practices
* Contributing hands\-on to data engineering work where needed (SQL, transformations, optimization)
* Proactively identifying analytics opportunities and recommending data structures to support them
 This role is roughly 40% data modeling, 30% hands\-on engineering, and 30% cross\-functional collaboration.
**Must\-Have Experience** 
* Strong, hands\-on experience with data modeling (dimensional, canonical, semantic)
* Deep understanding of Medallion architecture
* Advanced SQL and experience working with a modern cloud data warehouse
* Experience with dbt for transformations and modeling
* Hands\-on experience in cloud\-native data environments (AWS preferred)
* Ability to work directly with business stakeholders and explain technical concepts clearly
* Experience collaborating closely with data engineers on execution
**Nice to Have** 
* Python experience
* Familiarity with Informatica or reverse\-engineering legacy data models
* Exposure to streaming or near\-real\-time data pipelines
* Experience with visualization tools (tool choice is flexible)
**Who Will Thrive in This Role** 
* A senior individual contributor who enjoys building from scratch
* Someone who can act as a modeling expert and mentor in an organization formalizing this practice
* Comfortable working in ambiguity and taking initiative
* Strong communicator who enjoys partnering with both technical and non\-technical teams
* Equally comfortable discussing business concepts and physical data models
**Why This Role Is Unique** 
* Greenfield data modeling initiative with real influence
* Opportunity to define standards that will be used across the organization
* Work on large\-scale, real\-world operational and analytical data
* High visibility within a growing data organization
* Flexible work setup for individual contributors
 If you’re excited about shaping a modern data foundation and want to be the person who defines how data is modeled, understood, and used, this is a rare opportunity to make a lasting impact.</t>
        </is>
      </c>
    </row>
    <row r="76">
      <c r="A76" t="inlineStr">
        <is>
          <t>li-4331560115</t>
        </is>
      </c>
      <c r="B76" t="inlineStr">
        <is>
          <t>Big Data Engineer</t>
        </is>
      </c>
      <c r="C76" t="inlineStr">
        <is>
          <t>Randstad Digital Americas</t>
        </is>
      </c>
      <c r="D76" t="inlineStr">
        <is>
          <t>linkedin</t>
        </is>
      </c>
      <c r="E76" t="inlineStr"/>
      <c r="F76" t="inlineStr"/>
      <c r="G76" t="inlineStr">
        <is>
          <t>Charlotte, NC</t>
        </is>
      </c>
      <c r="H76" t="inlineStr"/>
      <c r="I76" t="inlineStr">
        <is>
          <t>**Job Summary**
 Randstad Digital is hiring and we're looking for someone like YOU to join our team! If you are seeking a new opportunity, looking to grow in your career, or you know someone who is \- we want to hear from you! Take a look at the below opportunity, or feel free to visit RandstadUSA.com to view and apply.
 location: Charlotte, North Carolina
 job type: Contract
 salary: $76\.87 \- 81\.00 per hour
 work hours: 8am to 5pm
 education: Bachelors
**Responsibilities**
 Required Qualifications: 5\+ years of Big Data Engineer. As a
 **Data Engineer** 
 , you will be responsible for designing, developing, and maintaining scalable data pipelines and robust ETL/ELT processes to support our enterprise analytics initiatives. Leveraging your expertise in
 **Python** 
 and
 **PySpark** 
 , you will architect distributed data processing solutions within a
 **Cloudera Hadoop** 
 ecosystem, ensuring high performance and reliability. You will take ownership of workflow orchestration using
 **Apache Airflow** 
 to automate complex data lifecycles and monitor pipeline health.
 Beyond core engineering, you will collaborate with cross\-functional teams to integrate data security best practices, where prior
 **Infosec** 
 experience will be vital in safeguarding sensitive information. As we continue to evolve our infrastructure, you will play a key role in migrating or integrating workloads within
 **Google Cloud Platform (GCP)** 
 . Your mission is to transform raw, disparate data into high\-quality, actionable datasets while maintaining the highest standards of data integrity and security.
**Qualifications**
 Education: Bachelor's or Master's degree in Computer Science, Data Engineering, Information Systems, or a related technical field.
 Python Proficiency: 3\+ years of professional experience in Python development, specifically for data manipulation, automation, and API integrations.
 Big Data Ecosystems: Proven track record of building and optimizing "big data" data pipelines, architectures, and data sets using PySpark and Cloudera Hadoop (Hive, Impala, HDFS).
 Workflow Orchestration: Advanced experience with Apache Airflow for scheduling, monitoring, and managing complex DAGs (Directed Acyclic Graphs).
 SQL Mastery: Strong command of SQL for profiling data, performing complex joins, and tuning query performance in distributed environments.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77">
      <c r="A77" t="inlineStr">
        <is>
          <t>li-4358489071</t>
        </is>
      </c>
      <c r="B77" t="inlineStr">
        <is>
          <t>Senior Staff Data Engineer</t>
        </is>
      </c>
      <c r="C77" t="inlineStr">
        <is>
          <t>Empower Pharmacy</t>
        </is>
      </c>
      <c r="D77" t="inlineStr">
        <is>
          <t>linkedin</t>
        </is>
      </c>
      <c r="E77" t="inlineStr"/>
      <c r="F77" t="inlineStr"/>
      <c r="G77" t="inlineStr"/>
      <c r="H77" t="inlineStr"/>
      <c r="I77" t="inlineStr">
        <is>
          <t>Position Summary
 The Senior Staff Data Engineer plays a critical leadership role in Empower Pharmacy’s data engineering strategy by architecting enterprise\-wide solutions, mentoring senior engineering talent, and spearheading initiatives that drive innovation, scalability, and quality. This role bridges technical execution with strategic foresight, guiding cross\-functional initiatives that accelerate access to affordable, high\-quality medications. This position is ideal for a deeply experienced data engineer with a strong architectural mindset and a desire to grow into a Principal Engineer.
 Duties and Responsibilities
* Design and evolve modern cloud\-native data architecture across teams, including data lakes, lakehouses, data mesh domains, and scalable data marts.
* Own and improve shared Extract Load Transform (ELT) frameworks, data contracts, observability systems, and platform components used across engineering and analytics teams.
* Drive data modernization efforts, including the consolidation of data marts into a unified warehouse and adoption of advanced governance practices.
* Evaluate and introduce new technologies and practices – e.g., data build tool (dbt), Iceberg, streaming, machine learning pipelines – where they add value to platform goals.
* Design secure systems aligned with Health Insurance Portability and Accountability Act, GxP, and other compliance frameworks, in close collaboration with Governance, Risk, and Compliance and InfoSec teams.
 While performing the responsibilities of the job, the employee is required to talk and hear. The employee is often required to remain in a stationary position for a significant amount of the workday and frequently use their hands and fingers to handle or feel in order to access, input, and retrieve information from the computer and other office productivity devices. The employee is regularly required to move about the office and around the corporate campus. The employee is regularly required to stand, walk, reach with arms and hands, climb or balance, and to stoop, kneel, crouch or crawl.
 Knowledge and Skills
* Expertise in designing and implementing Amazon Web Service (AWS) serverless data platforms such as AWS Glue, Lambda, S3, Redshift, Athena, and Lake Formation, along with mastery in data modeling methodologies including Kimball, Inmon, and Data Vault.
* Advanced proficiency in pipeline development using tools like Fivetran, dbt, and custom ELT frameworks; orchestration tools such as Airflow or Dagster; and modern engineering practices including continuous integration/continuous deployment, infrastructure as code (IaC), and GitOps workflows.
 Key Competencies
* Customer Focus: Ability to build strong customer relationships and deliver customer centric solutions.
* Optimizes Work Processes: Know the most effective and efficient processes to get things done, with a focus on continuous improvement.
* Collaborates: Builds partnerships and works collaboratively with others to meet shared objectives.
* Resourcefulness: Secures and deploys resources effectively and efficiently.
* Manages Complexity: Makes sense of complex, high quality, and sometimes contradictory information to effectively solve problems.
* Ensures Accountability: Holds self and others accountable to meet commitments and objectives.
* Situational Adaptability: Adapts approach and demeanor in real time to match shifting demands of different situations.
* Communicates Effectively: Develops and delivers multi\-mode communications that convey a clear understanding of the unique needs of different audiences.
 Values
* People: Our people define who we are as a company, and we believe that understanding and addressing the needs of our team, clients, and community is fundamental to fostering a culture of support and growth.
* Quality: Quality stands at the core of our mission, reflecting our commitment to excellence in every medication we produce.
* Service: We are here to serve others. Every interaction with our patients, providers, employees and other stakeholders comes from a place of service.
* Innovation: By continuously exploring new methodologies and embracing technology, we ensure that every solution we offer is at the forefront of pharmaceutical care.
**Experience And Qualifications**
* Minimum of 12 years of experience in data engineering, including at least 3 years in senior or staff\-level roles with a proven track record of architectural leadership and mentoring senior engineering talent.
* Requires a degree in computer science, engineering, statistics, or related quantitative discipline.
* AWS Certified SysOps Administrator; Certified Kubernetes Administrator or Docker Certified Associate; Apache Airflow Certification.
**Benefits**
 We offer comprehensive benefits to support your health, well\-being, and future, including medical, dental, and vision coverage, paid time off, 401(k) matching, wellness perks, IV therapy, and compounded medications. Learn more: https://careers.empowerpharmacy.com/benefits/</t>
        </is>
      </c>
    </row>
    <row r="78">
      <c r="A78" t="inlineStr">
        <is>
          <t>li-4352061620</t>
        </is>
      </c>
      <c r="B78" t="inlineStr">
        <is>
          <t>Google Cloud Platform Data Engineer</t>
        </is>
      </c>
      <c r="C78" t="inlineStr">
        <is>
          <t>Women in Data®</t>
        </is>
      </c>
      <c r="D78" t="inlineStr">
        <is>
          <t>linkedin</t>
        </is>
      </c>
      <c r="E78" t="inlineStr"/>
      <c r="F78" t="inlineStr"/>
      <c r="G78" t="inlineStr">
        <is>
          <t>Bristol, CT</t>
        </is>
      </c>
      <c r="H78" t="inlineStr"/>
      <c r="I78" t="inlineStr">
        <is>
          <t>* **Location:** 
 The Distillery, Glassfields 1, 2 Avon Street, Bristol, BS2 0GR, United Kingdom, Bristol, United Kingdom
* **Full\-time**
**Company Description** 
**Bringing Ingenuity to Life** 
 We’re an innovation and transformation consultancy that believes in the power of ingenuity to build a positive\-human future in a technology\-driven world. Our diverse teams of experts combine innovative thinking with breakthrough\-technologies to progress further, faster.
 With a global network of FTSE 100 and Fortune 500 clients, we’ll offer you unrivalled opportunities for growth and the freedom to excel. Combining strategies, technologies and innovation, we turn complexity to opportunity and deliver enduring results, enabling you to build a lasting career.
 Isn’t it time you joined us?
**Job Description** 
 As a Principal GCP Data Engineer, you'll be a true subject matter expert in using the data processing and management capabilities of Google Cloud to develop data\-driven solutions for our clients.
 You will typically lead a team or the solution delivery effort, demonstrating technical excellence through leading by example. You could be providing technical support, leading an engineering team or working across multiple teams as a subject matter expert who is critical to the success of a large programme of work.
 Your team members will look to you as a trusted expert and will expect you to define the end\-to\-end software development lifecycle in line with modern best practices. As part of your responsibilities, you will be expected to:
* Develop robust data processing jobs using tools such as Google Cloud Dataflow, Dataproc and BigQuery
* Design and deliver automated data pipelines that use orchestration tools such as Cloud Composer
* Design end\-to\-end solutions and contribute to architecture discussions beyond data processing
* Own the development process for your team, building strong principles and putting robust methods and patterns in place across architecture, scope, code quality and deployments.
* Shape team behaviour for writing specifications and acceptance criteria, estimating stories, sprint planning and documentation.
* Actively define and evolve PA’s data engineering standards and practices, ensuring we maintain a shared, modern and robust approach.
* Lead and influence technical discussions with client stakeholders to achieve the collective buy\-in required to be successful
* Coach and mentor team members, regardless of seniority, and work with them to build their expertise and understanding.
**Qualifications** 
**To be successful in this role, you will need to have:** 
* Experience delivering and deploying production\-ready data processing solutions using BigQuery, Pub/Sub, Dataflow and Dataproc
* Experience developing end\-to\-end solutions using batch and streaming frameworks such as Apache Spark and Apache Beam.
* Expert understanding of when to use a range of data storage technologies including relational/non\-relational, document, row\-based/columnar data stores, data warehousing and data lakes.
* Expert understanding of data pipeline patterns and approaches such as event\-driven architectures, ETL/ELT, stream processing and data visualisation.
* Experience working with business owners to translate business requirements into technical specifications and solution designs that satisfies the data requirements of the business.
* Experience working with metadata management products such as Cloud Data Catalog and Collibra and Data Governance tools like Dataplex
* Experience in developing solutions on GCP using cloud\-native principles and patterns.
* Experience building data quality alerting and data quarantine solutions to ensure downstream datasets can be trusted.
* Experience implementing CI/CD pipelines using techniques including as git code control/branching, automated tests and automated deployments.
* Comfortable working in an Agile team using Scrum or Kanban methodologies.
**In addition to the above, we would be thrilled if you also had:** 
* Experience of working on migrations of enterprise scale data platforms including Hadoop and traditional data warehouses
* An understanding of machine learning model development lifecycle, feature engineering, training and testing
* Good understanding or hands\-on experience of Kafka
* Experience as a DBA or developer on RDBMS such as PostgreSQL, MySQL, Oracle or SQL Server
* Experience designing data applications to meet non\-functional requirements such as performance and availability
**Personal qualities** 
* You are pragmatic and already understand that writing code is only part of what a data engineer does.
* You can clearly communicate with both clients and peers, describing technical issues and solutions in both written and meeting/workshop contexts.
* You are able to clearly explain technical concepts to non technical audiences at all levels of an organisation.
* You are able to influence and persuade senior and specialist client stakeholders, potentially across multiple organisational boundaries without direct authority.
* You are a confident problem solver and troubleshooter.
* You are confident and generous in sharing your specialist knowledge, ideas and solutions.
* You are constantly learning and able to make others better by consciously teaching and unconsciously inspiring.
**Additional Information** 
**Benefits package at PA:** 
* Private medical insurance
* Interest free season ticket loan
* 25 days annual leave with the opportunity to buy 5 additional days
* Company pension scheme
* Annual performance\-based bonus
* Life and Income protection insurance
* Tax efficient benefits (cycle to work, give as you earn, childcare benefits)
* Voluntary benefits (Dental, critical illness, spouse/partner life assurance)
*PA is committed to building an inclusive and supportive culture where diversity thrives, and all of our people can excel. We believe that greater diversity stimulates innovation, enabling us to fulfil our purpose of ‘Bringing Ingenuity to Life’, supporting the growth of our people, and delivering more enduring results for our clients.* 
*We are proud supporters of Women in Data. Connect, engage and belong to the largest free female data community in the UK – visit:
 www.womenindata.co.uk
 to join our community.* 
 Stay connected! Follow us on
 *LinkedIn
 for updates on career opportunities and more.*</t>
        </is>
      </c>
    </row>
    <row r="79">
      <c r="A79" t="inlineStr">
        <is>
          <t>li-4352052501</t>
        </is>
      </c>
      <c r="B79" t="inlineStr">
        <is>
          <t>Consultant, Data Engineer</t>
        </is>
      </c>
      <c r="C79" t="inlineStr">
        <is>
          <t>IBM</t>
        </is>
      </c>
      <c r="D79" t="inlineStr">
        <is>
          <t>linkedin</t>
        </is>
      </c>
      <c r="E79" t="inlineStr"/>
      <c r="F79" t="inlineStr"/>
      <c r="G79" t="inlineStr">
        <is>
          <t>Williston, ND</t>
        </is>
      </c>
      <c r="H79" t="inlineStr"/>
      <c r="I79"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We are in search of a skilled Consultant Data Engineer to join our expanding team of experts. This role will be pivotal in the design and development of Snowflake Data Cloud solutions, encompassing responsibilities such as constructing data ingestion pipelines, establishing sound data architecture, and implementing stringent data governance and security protocols.
 The ideal candidate brings experience as a proficient data pipeline builder and adept data wrangler, deriving satisfaction from optimizing data systems from their foundational stages. Collaborating closely with database architects, data analysts, and data scientists, the Data Engineer will play a crucial role in ensuring a consistent and optimal data delivery architecture across ongoing customer projects.
 This position demands a self\-directed individual comfortable navigating the diverse data needs of multiple teams, systems, and products. If you are enthusiastic about the prospect of contributing to a startup environment and supporting our customers in their next generation of data initiatives, we invite you to explore this opportunity.
 As of April 2025, Hakkoda has been acquired by IBM and will be integrated in the IBM organization. Your recruitment process will be managed by IBM. IBM will be the hiring entity
 This role can be performed from anywhere in the US.
**Preferred Education**
 Bachelor's Degree
**Required Technical And Professional Expertise**
* Bachelor’s degree in engineering, computer science or equivalent area
* 3\+yrs in related technical roles with experience in data management, database development, ETL, and/or data prep domains.
* Experience developing data warehouses.
* Experience building ETL / ELT ingestion pipelines.
* Proficiency in using cloud platform services for data engineering tasks, including managed database services (Snowflake and its pros and cons vs Redshift, BigQuery etc) and data processing services (AWS Glue, Azure Data Factory, Google Dataflow).
* Skills in designing and implementing scalable and cost\-effective solutions using cloud services, with an understanding of best practices for security and compliance.
* Knowledge of how to manipulate, process and extract value from large disconnected datasets.
* SQL and Python scripting experience require, Scala and Javascript is a plus.
* Cloud experience (AWS, Azure or GCP) is a plus.
* Knowledge of any of the following tools is also a plus: Snowflake, Matillion/Fivetran or DBT.
* Strong interpersonal skills including assertiveness and ability to build strong client relationships.
* Strong project management and organizational skills.
* Ability to support and work with cross\-functional and agile teams in a dynamic environment.
* Advanced English required.</t>
        </is>
      </c>
    </row>
    <row r="80">
      <c r="A80" t="inlineStr">
        <is>
          <t>li-4343952069</t>
        </is>
      </c>
      <c r="B80" t="inlineStr">
        <is>
          <t>Healthcare Senior Data Engineer, Analytics Hub</t>
        </is>
      </c>
      <c r="C80" t="inlineStr">
        <is>
          <t>ECG Management Consultants</t>
        </is>
      </c>
      <c r="D80" t="inlineStr">
        <is>
          <t>linkedin</t>
        </is>
      </c>
      <c r="E80" t="inlineStr"/>
      <c r="F80" t="inlineStr"/>
      <c r="G80" t="inlineStr">
        <is>
          <t>Arlington, VA</t>
        </is>
      </c>
      <c r="H80" t="inlineStr"/>
      <c r="I80" t="inlineStr">
        <is>
          <t>**Overview**
 ECG, the most experienced healthcare consulting firm working in the U.S., is ranked as a Best Midsized Firm to Work For 2025 by
 *Consulting Magazine* 
 . At ECG, our primary emphasis is on quality—in our people as well as our services—and we’re seeking others who appreciate our high standards of excellence.
**What’s in It for You: Work with Purpose**
 At ECG, your contribution will have meaningful impact. The work you do will ultimately help health systems optimize performance and meet the needs of the communities they serve—and that’s just the beginning. We’re looking for team players, culture builders, problem\-solvers, and self\-starters to collaborate, take on challenging projects, and find new ways to make a positive impact in the healthcare services sector. ECG is committed to ensuring a supportive, inclusive, and equitable work environment that embraces DEI, where we recognize performance, communicate openly and transparently, and value work\-life balance.
**Join Our Analytics Hub**
 Our growing Analytics Hub works with our consulting teams to deliver new insights, streamlined analysis, and world\-class intelligence to the healthcare organizations we serve as clients. Combined with our consulting teams, you will be helping physician and executive leadership make informed decisions that can alter the course of their enterprises in areas such as physician alignment, mergers and acquisitions, service line planning, provider compensation, financial performance, transforming care models, patient access, managed care portfolio optimization, digital health expansion, and more. ECG uses a Microsoft Azure and Microsoft 365 environment, with Microsoft Power BI as ECG’s current analytics visualization platform. The goal of the position is to further capitalize on the existing ECG infrastructure, as well as implement new features and technologies. The ideal candidate is open to new challenges, exceptional at multitasking, and proficient at implementing new solutions.
 Our detailed plans incorporate qualitative findings with data\-driven strategic, operational, and financial considerations that enable organizations to pursue realistic change. Our consultants bridge the gap between strategic thinking and operational implementation with sensible action plans and tactical recommendations. This approach allows us to stretch our clients’ thinking while ensuring that initiatives with the broadest and deepest impact are prioritized and implementable. Our wide\-ranging engagements often focus on helping our clients:
* Position themselves for value\-based care delivery.
* Align hospitals and physician organizations.
* Strengthen financial performance.
* Enhance clinical programs.
* Develop strategic partnerships and/or mergers.
**Your Opportunity with ECG: Senior Data Engineer**
 As a senior data engineer, you will support the firm’s client delivery and business development efforts, working with consultants and senior leaders to design and maintain a growing analytical infrastructure, manage large data sets, aggregate internal and external data, develop the infrastructure for scalable models and other analyses, and support data visualization and presentation sets. In addition, you will work directly with our internal support teams (IT, business development, and L\&amp;D) and associated vendors for data management and IT solutions, and you will assist with a range of innovative analytic opportunities. Here, no two days or projects are alike, which means you’ll have a lot to learn and plenty of support to help you succeed.
**Your Responsibilities May Include:**
* Gathering and synthesizing data from various sources (e.g., national surveys, proprietary research, client interviews, industries, markets).
* Designing, developing, and maintaining new data capabilities and infrastructure for utilizing ECG, third\-party, and partner data to enhance ECG’s data products and solutions related to consulting services.
* Creating new data pipelines, data transfers, and infrastructure to facilitate seamless data utilization within cloud environments (primarily Microsoft Azure).
* Optimizing and fine\-tuning data pipelines for improved speed, reliability, and efficiency.
* Creating and supporting the ETL to facilitate the accommodation of data in the data lakes.
* Designing and developing systems for the maintenance of ECG’s EDW and data lakes, ETL processes, and business intelligence.
* Identifying existing data capability and infrastructure gaps or opportunities within and across initiatives and providing subject matter expertise in support of remediation.
* Collaborating with the Analytics Hub peers, IT team, and consulting teams to understand data requirements and translate them into technical solutions.
* Working with large data sets, ensuring data quality, accuracy, and performance.
* Implementing data transformation, integration, and validation processes to support analytics and reporting needs.
* Implementing best practices for data storage, retrieval, and archival to ensure data accessibility and security.
* Troubleshooting and resolving data\-related issues, collaborating with the team to identify root causes.
* Documenting data processes, data lineage, and technical specifications for future reference.
* Participating in code reviews, ensuring adherence to coding standards and best practices.
* Collaborating with the Analytics Hub and IT teams to automate deployment and monitoring of data pipelines.
* Integrating into analytical roles to quickly and effectively dissect business requirements for analysis and reporting needs; establishing documentation and maintaining technical specifications for all reports and processes.
* Building relational databases using a Microsoft SQL Server or Microsoft Fabric.
* Communicating market insights to pursuit teams and supporting business development efforts.
* Partnering with various consulting units (strategy, academic healthcare, provider financial services, performance transformation, etc.) to gather requirements related to data analytics.
* Developing, configuring, and maintaining interfaces to exchange data among Microsoft Power BI, SQL databases, and other cloud\-based applications.
* Developing new and innovative methodologies and approaches.
* Contributing to internal education and learning opportunities for consultants and operations members for the Analytics Hub and analytics in general, and supporting education about ECG’s use cases related to analytics in work.
* Assisting the director of data analytics in developing analytics and data strategy to support data analytics capabilities at the firm.
**Our Expectations of You**
* A bachelor’s degree in either computer science or computer engineering, or a related degree that relies heavily on critical thinking, logic, and math
* Five\-plus years of proven experience in data engineering, with a strong track record of designing and implementing data solutions; experience working in the healthcare sector preferred
* Strong knowledge of SQL and NoSQL databases, as well as data integration and transformation tools
* Proficiency in programming languages, such as Python, R, Java, or Scala, and experience with data processing frameworks (Apache Spark, Apache Hadoop, etc.)
* Experience using Fabric
* In\-depth understanding of data warehousing concepts, cloud platforms (AWS, Azure, GCP), and data modeling techniques
* A passion for and engagement with emerging trends in data, AI/ML, analytics, and digital experiences
* Extensive working knowledge of API\- or stream\-based data extraction processes like bulk API
* Experience in data product development, analytical models, and model governance
* Experience in anonymizing data and managing the use of data
* Experience in data hygiene procedures, identity resolution capabilities, or data management a plus
* Comfort in unit testing, regression testing, and other test\-driven development methodologies
* Knowledge of BI tools and visualization tools like Power BI or Tableau a plus
* Comfort with manipulating and synthesizing large data sets
* Strong written and verbal communication skills
* Excellent organizational skills
**Job Locations**
* Boston, Chicago, or Washington, D.C.
* Hybrid work schedule, with a minimum of two days per week in office
**Schedule**
 Full time/exempt
**What You Can Expect Of Us**
 To reward our driven, innovative, and passionate employees, we’ve built a company culture that’s centered on performance. We offer an attractive compensation package, challenging work, and an entrepreneurial environment where you can take ownership of your career—and get out as much as you put in.
 The estimated base salary range for this job is $130,000 \- $160,000 annually. It represents a good faith estimate of the range that ECG reasonably expects to pay at the time of the job posting. The actual salary paid will vary based on multiple factors, including but not limited to years of experience, special skills, and market changes. This job is eligible to participate in ECG’s annual incentive compensation program, which reflects ECG’s pay\-for\-performance philosophy. The job is also eligible to participate in ECG’s benefit plans, which include medical, dental, and vision coverage; a 401(k) matching program; unlimited PTO; and other wellness programs.
**About ECG**
 With knowledge and expertise built over the course of 50\-plus years, ECG is a national consulting firm that is redefining healthcare together with its clients. ECG offers a broad range of strategic, financial, operational, and technology\-enabled consulting services encompassing health system performance improvement, ambulatory care planning, market consolidation, and physician enterprise optimization. ECG is an industry leader offering specialized expertise to clients across the full continuum of care, including hospitals, health systems, medical groups, academic medical centers, children’s hospitals, cancer centers, ambulatory surgery centers, investors, and payers/health plans.
**Apply now and make an impact for years to come.**
 To begin the recruitment process, please submit your resume via our career site at https://careers.ecgmc.com.
*ECG provides equal employment opportunities to all employees and applicants for employment without regard to sex, race, color, religion, national origin, citizenship, ancestry, age, disability, pregnancy, medical condition (cancer and genetic characteristics), genetic information, gender, gender identity or expression, sexual orientation, marital status, military or veteran status, or any other legally protected characteristic. We participate in E\-Verify as part of our onboarding process. Having the permanent legal right to work in the United States is a condition of employment. ECG is not currently able to provide assistance to candidates requiring sponsorship or a visa.*</t>
        </is>
      </c>
    </row>
    <row r="81">
      <c r="A81" t="inlineStr">
        <is>
          <t>li-4358764979</t>
        </is>
      </c>
      <c r="B81" t="inlineStr">
        <is>
          <t>Data Engineer, Lead</t>
        </is>
      </c>
      <c r="C81" t="inlineStr">
        <is>
          <t>Booz Allen Hamilton</t>
        </is>
      </c>
      <c r="D81" t="inlineStr">
        <is>
          <t>linkedin</t>
        </is>
      </c>
      <c r="E81" t="inlineStr"/>
      <c r="F81" t="inlineStr"/>
      <c r="G81" t="inlineStr">
        <is>
          <t>Alexandria, VA</t>
        </is>
      </c>
      <c r="H81" t="inlineStr"/>
      <c r="I81" t="inlineStr">
        <is>
          <t>**Job Number: R0231814**
 Data Engineer, Lead
**The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professional like you to help our clients find answers in their data to impact important missions—from fraud detection to cancer research to national intelligence.
 As a data engineer at Booz Allen, you’ll use your expertise to help build advanced technology solutions and lead data engineering activities on some of the most mission\-driven projects in the industry. You’ll guide data engineering activities by overseeing the development and deployment of pipelines and platforms that organize and make disparate data meaningful.
 Here, you’ll mentor a multi\-disciplinary team of analysts, data engineers, developers, and data consumers in a fast\-paced, agile environment. You’ll use your expertise in analytical exploration and data examination while you oversee the assessment, design, building, and maintenance of scalable platforms for your clients.
 Work with us to use data for good.
 Join us. The world can’t wait.
**You Have:**
* 7\+ years of experience in application development
* 7\+ years of experience designing, developing, operationalizing, and maintaining complex data applications at enterprise scale
* 5\+ years of experience creating software for retrieving, parsing, and processing structured and unstructured data
* 5\+ years of experience developing scalable ETL or ELT workflows for reporting and analytics
* Experience developing scripts and programs for converting various types of data into usable formats and supporting project team to scale, monitor, and operate data platforms
* Experience supervising others and leading projects and deliverables within a collaborative, cross\-functional team environment
* Public Trust
* Bachelor’s degree
**Nice If You Have:**
* 10\+ years of experience using Python, SQL, Scala, or Java
* 5\+ years of experience with Agile engineering practices
* 3\+ years of experience with a public cloud, including AWS, Microsoft Azure, or Google Cloud
* 3\+ years of experience with distributed data or computing tools, including Spark, Databricks, Hadoop, Hive, AWS EMR, or Kafka
* 3\+ years of experience working on real\-time data and streaming applications
* 3\+ years of experience with data warehousing, including AWS Redshift, MySQL, or Snowflake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2">
      <c r="A82" t="inlineStr">
        <is>
          <t>li-4352003415</t>
        </is>
      </c>
      <c r="B82" t="inlineStr">
        <is>
          <t>Senior Data Engineer</t>
        </is>
      </c>
      <c r="C82" t="inlineStr">
        <is>
          <t>Fisher Investments</t>
        </is>
      </c>
      <c r="D82" t="inlineStr">
        <is>
          <t>linkedin</t>
        </is>
      </c>
      <c r="E82" t="inlineStr"/>
      <c r="F82" t="inlineStr"/>
      <c r="G82" t="inlineStr">
        <is>
          <t>Camas, WA</t>
        </is>
      </c>
      <c r="H82" t="inlineStr"/>
      <c r="I82" t="inlineStr">
        <is>
          <t>**Overview**
 It's an exciting time to be a member of the Fisher Investments Technology Department. We're investing in the future of our firm's technology and are building our team to achieve global growth. We are looking for a Senior Data Engineer to support our Enterprise Data Management team. If you are looking for an opportunity to make a difference as we develop scalable and strategic solutions to support our global growth, we want to hear from you!
**The Opportunity:**
 Fisher Investments is looking for a Senior Data Engineer – Data to design and deliver modern data solutions using cloud\-based platforms and AI\-driven innovations. You will partner with business, technology, and governance teams to enable scalable, secure and compliant data platforms that power advanced analytics and AI. You will act as the enterprise expert for designing, developing, and optimizing data processing systems and pipelines used to populate data into transactional databases, data warehouses, data marts, or other data repositories. You will also coordinate with other IT teams to configure and implement security, monitoring, tooling, and related capabilities as they apply to their assigned systems. You will report to the AVP of Data Delivery and Data Governance.
**The Day\-to\-Day:**
* Use Agile practices to elicit and refine requirements through an iterative process of planning, defining acceptance criteria, prioritizing, developing and delivering enterprise data asset solutions in collaboration with business intelligence teams or other IT teams
* Develop, configure, customize and manage integration tools, databases, warehouses and analytical systems with the use of data related software
* Design, build, and deploy data extraction, transformation, and loading processes and pipelines from various sources including databases, APIs, and data files
* Develop and deploy structured, semi\-structured, and unstructured data storage models such as data vault or dimensional modeling on a various platforms to meet business requirements
* Coordinate security, application monitoring, development tooling, and related capabilities with responsible teams
* Provide operational support and incident management for data pipelines and data flows, including proactively updating internal clients and relevant parties on status changes and issues encountered
* Author and maintain accurate and up\-to\-date documentation for processes, procedures, and technical designs
* Coach junior data and business intelligence personnel across the company, including developing material and guiding junior personnel on their technical skill growth
**Your Qualifications:**
* 15\+ years' experience developing data\-related solutions and software
* 10\+ years of experience working with relational databases and applying it in various applications, including within the Microsoft Azure platform
* 4\+ years of experience with multiple cloud technologies in the Microsoft Stack (Azure IaaS and PaaS) along with familiarity with alternative cloud technologies
* 4\+ years of experience designing and development on\-premises and cloud\-based (Azure) infrastructure and platform components
* 4\+ years of hands\-on development and deployment experience with Azure cloud using T\-SQL, Azure SQL, Azure Storage, Azure Data Factory, Azure Synapse, Cosmos DB, GitHub, Azure DevOps, and CI/CD pipelines
* Advanced knowledge of Extract/Transform/Load (ETL) and/or Extract/Load/Transform (ELT) tools, including both batch and real\-time data transmission applications such as SSIS, Informatica, Kafka, Spark, MuleSoft, or equivalent software
* Advanced knowledge of database technologies such as Microsoft SQL Server, Oracle, or NoSQL databases
* Advanced knowledge of multiple programming languages, such as Python, SQL, Scala, or similar.
* Advanced knowledge of IT infrastructure standards and tools, such as application performance monitoring, IT service management, or DevOps software
* Bachelor's degree in Computer Science, Information Technology, or other relevant field
**Compensation:**
* $130,000 \- $185,000 base salary per year for employees in the state of WA. New hires should expect to start at the lower end of the range depending on experience
* Eligible for a discretionary bonus based on firm and individual performance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83">
      <c r="A83" t="inlineStr">
        <is>
          <t>li-4331013261</t>
        </is>
      </c>
      <c r="B83" t="inlineStr">
        <is>
          <t>Data Engineer</t>
        </is>
      </c>
      <c r="C83" t="inlineStr">
        <is>
          <t>Jobs via Dice</t>
        </is>
      </c>
      <c r="D83" t="inlineStr">
        <is>
          <t>linkedin</t>
        </is>
      </c>
      <c r="E83" t="inlineStr"/>
      <c r="F83" t="inlineStr"/>
      <c r="G83" t="inlineStr">
        <is>
          <t>Cincinnati, OH</t>
        </is>
      </c>
      <c r="H83" t="inlineStr"/>
      <c r="I83" t="inlineStr">
        <is>
          <t>Dice is the leading career destination for tech experts at every stage of their careers. Our client, Goldenpick Technologies LLC, is seeking the following. Apply via Dice today!
**Key Responsibilities**
* Design, develop, and maintain scalable ETL/ELT data pipelines using PySpark and Databricks
* Process and transform large volumes of structured and unstructured retail data
* Build and optimize data models to support reporting and analytics
* Develop interactive dashboards and reports using Power BI
* Collaborate with business stakeholders to translate retail requirements into technical solutions
* Ensure data quality, performance tuning, and cost optimization
* Implement data security, governance, and best practices
* Work closely with Data Analysts, BI teams, and cloud architects
* Support production issues and provide ongoing enhancements
**Required Skills \&amp; Qualifications**
* Strong experience as a Data Engineer in enterprise environments
* Hands\-on expertise in Databricks and PySpark
* Solid experience with Power BI (DAX, data modeling, performance tuning)
* Strong SQL skills
* Experience working with retail datasets (sales, POS, inventory, merchandising, customer data)
* Experience with data warehousing concepts and data lake architectures
* Strong problem\-solving and communication skills</t>
        </is>
      </c>
    </row>
    <row r="84">
      <c r="A84" t="inlineStr">
        <is>
          <t>li-4352003946</t>
        </is>
      </c>
      <c r="B84" t="inlineStr">
        <is>
          <t>Mid-Level Data Engineer - SQL, Java, Spring Boot</t>
        </is>
      </c>
      <c r="C84" t="inlineStr">
        <is>
          <t>Charles Schwab</t>
        </is>
      </c>
      <c r="D84" t="inlineStr">
        <is>
          <t>linkedin</t>
        </is>
      </c>
      <c r="E84" t="inlineStr"/>
      <c r="F84" t="inlineStr"/>
      <c r="G84" t="inlineStr">
        <is>
          <t>Southlake, TX</t>
        </is>
      </c>
      <c r="H84" t="inlineStr"/>
      <c r="I84"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At Schwab, you’re empowered to make an impact on your career. Here, innovative thought meets creative problem solving, helping us “challenge the status quo” and transform the finance industry together.
 Schwab is seeking a dynamic software developer who can work with technical and business partners to design and maintain optimal programming and environment solutions. Job activities will involve researching, developing solutions and supporting the tools and processes to gather detailed user requirements, and help drive strategic planning discussions with technical, business, and client stakeholders.
 The position involves a balanced mix of design and hands\-on coding, focused on our mission\-critical client data shared services platform. You will join a development team building resilient, configuration driven shared utilities and frameworks for data pipelines and message delivery. The role centers on designing, developing, and hardening these frameworks and delivering POCs to validate solution designs. It requires collaboration with other engineering teams to ensure seamless system integration. Exposure to technologies includes Kafka, PostgreSQL, Spring Boot, GCP, and Harness.
 Qualified candidates will have experience in Postgres SQL query tuning, performance optimization, data modelling and exposure to building apps with Java/Spring Boot.
**In This Role, You Will**
* Research and development of (functional and technical specifications documents) production and test environments, architecture/design/develop solutions.
* Develop plans for proof of concept and validation of technology/solutions.
* Develop and support the tools and processes to gather detailed user requirements.
* Participate in strategic planning discussions with technical, business, and client stakeholders
* Identify gaps in processes and services across environments.
* Review programming and environment changes and raise awareness for potential impacts.
* Effective and efficient utilization of programming tools.
* Architect and develop effective solutions that are in line with the organization's vision.
* Actively participate in product design and development sessions.
* Provide direction to less experienced Programmer/Analysts.
* Engaging with both onshore and offshore teams to refine development practices.
* Identify gaps in processes and services across production and test environments.
* Write efficient, easy to follow technical documentation.
* Act as liaison between technical and non\-technical counterparts.
* Help improve release process improvements, assisting the Scrum Master with team needs, and synchronizing team efforts for seamless product releases.
 What you have
**Required Qualifications**
* 2\+ years with SQL structured programming, troubleshooting, and performance tuning relational databases on PostgreSQL, MySQL, Oracle, and/or MSSQL for high\-volume, transactional applications
* 1\+ years of experience developing relational and non\-relational data models using enterprise modeling tools such as Erwin or ER/Studio
* 3\+ years of experience with the following: Java, Spring framework, Spring boot.
* 1\+ years of experience with cloud framework: Pivotal Cloud Foundry.
* 1\+ years of experience working with build tools: Gradle/maven.
* 1\+ years of experience working with Cucumber framework – BDD testing.
* 1\+ years of experience working with YugabyteDB and PostgresSQL databases.
* 1\-2 years of experience working with modern messaging system– Kafka.
* Prior experience in system modernization initiatives from legacy to distributed platforms; i.e. migration of events from legacy messaging platform IBM MQ/Rabbit to Kafka etcc
* 1\+ years of experience with continuous build process using Bamboo, Bitbucket/Git, or similar
* Experience with the Atlassian tool stack (JIRA).
**Preferred Qualifications**
* Experience with GCP or GCP developer certified.
* Knowledge of Agile methodology and experience in an Agile working environment.
* Experience in Financial Services industry
* Experience with Test driven development.
* SCRUM developer certified.
* Basic understanding of customer and account data management, how databases are designed to support maximum business value, and delivering optimal solutions based on business context
* Demonstrated ability to quickly investigate and comprehend new data technologies
* Exceptional critical thinking skills and insatiable intellectual curiosity
* Proactive approach to identifying opportunities for continuous improvement and advocating for their prioritization.
* 2\+ years translating business requirements into resilient database designs and collaborating with application developers to connect application object models to relational database designs, ensuring high availability, performance, and transactional throughput/concurrency.
 In addition to the salary range, this role is also eligible for bonus or incentive opportunities.
 Applicants must be currently authorized to work in the United States on a full\-time basis without employer sponsorship.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85">
      <c r="A85" t="inlineStr">
        <is>
          <t>li-4331240409</t>
        </is>
      </c>
      <c r="B85" t="inlineStr">
        <is>
          <t>Data Engineer</t>
        </is>
      </c>
      <c r="C85" t="inlineStr">
        <is>
          <t>Jobs via Dice</t>
        </is>
      </c>
      <c r="D85" t="inlineStr">
        <is>
          <t>linkedin</t>
        </is>
      </c>
      <c r="E85" t="inlineStr"/>
      <c r="F85" t="inlineStr"/>
      <c r="G85" t="inlineStr">
        <is>
          <t>Sunrise, FL</t>
        </is>
      </c>
      <c r="H85" t="inlineStr"/>
      <c r="I85" t="inlineStr">
        <is>
          <t>Dice is the leading career destination for tech experts at every stage of their careers. Our client, INSPYR Solutions, is seeking the following. Apply via Dice today!
**Title: Data Engineer**
**Location: Sunrise, FL**
**Duration: Contract**
**Compensation** 
 :
 **$65\-70 Hourly**
**Work Requirements:** 
 , Holders or Authorized to Work in the U.S
**Data Engineer**
 As a Data Engineer, your duties will be focused on three core areas:
* Data Platform Infrastructure \&amp; DevOps
* Administer, optimize, and scale our Databricks Lakehouse environment, ensuring high performance, cost efficiency, and operational excellence.
* Develop, maintain, and enhance our data platform infrastructure and security configurations using Terraform . This includes provisioning Databricks workspaces, SQL Endpoints, Unity Catalog objects, and network components.
* Manage and enforce Unity Catalog for data governance, access control, and metadata management.
* Implement and manage CI/CD pipelines for data pipelines, dbt projects, and infrastructure deployments using GitHub Actions .
* Automate operational tasks, monitoring, and alerting for the data platform.
* Implement and enforce DevSecOps principles, working closely with security teams to ensure compliance and manage/rotate credentials securely.
* Data Engineering \&amp; Pipeline Development
* Design and implement data ingestion patterns into Databricks using Delta Lake , optimizing for large\-scale data processing and storage.
* Develop, optimize, and troubleshoot complex Spark jobs (PySpark/Scala) for data processing and transformation within Databricks.
* Manage and extend data ingestion pipelines using Airbyte (or similar modern tools like Fivetran, Stitch), including configuring connectors, monitoring syncs, and ensuring data quality and reliability from diverse source systems (e.g., ERP, CRM, marketing, supply chain).
* Orchestrate and automate data pipelines and dbt models using Databricks Workflows and potentially integrating with other orchestration tools.
* Data Modeling \&amp; Collaboration
* Collaborate with Analytics Engineers to translate business requirements into efficient and scalable data models using dbt (Data Build Tool).
* Implement dbt best practices for modularity, testing, documentation, and version control, ensuring seamless integration with Databricks.
* Partner effectively with Analytics Engineers, Data Scientists, and business stakeholders to deliver high\-quality data solutions.
* Provide technical guidance and mentorship to junior team members, and champion data engineering best practices, code quality, and documentation standards.
**Qualifications \&amp; Skills**
* Education: Bachelor's degree in Computer Science, Data Engineering, or a related technical field required.
* Experience: 5\+ years of progressive experience as a Data Engineer, with a strong focus on cloud\-based data platforms.
* Deep Databricks Expertise: Extensive experience with Spark (PySpark/Scala), Delta Lake, Unity Catalog, Databricks SQL, and platform administration.
* Data Modeling: Proven experience with dbt for data modeling, transformation, and testing.
* Infrastructure as Code (IaC): Strong proficiency with Terraform for defining, provisioning, and managing cloud infrastructure and Databricks resources as code.
* DevOps \&amp; CI/CD: Expertise in Git and GitHub Actions for version control and implementing robust CI/CD pipelines.
* Programming: Proficiency in SQL and at least one programming language ( Python strongly preferred, Scala is a plus).
* Data Architecture: Solid understanding of data warehousing, data lake, and lakehouse architectures.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
 Information collected and processed through your application with INSPYR Solutions (including any job applications you choose to submit) is subject to INSPYR Solutions Privacy Policy and INSPYR Solutions AI and Automated Employment Decision Tool Policy: . By submitting an application, you are consenting to being contacted by INSPYR Solutions through phone, email, or text.</t>
        </is>
      </c>
    </row>
    <row r="86">
      <c r="A86" t="inlineStr">
        <is>
          <t>li-4330926028</t>
        </is>
      </c>
      <c r="B86" t="inlineStr">
        <is>
          <t>Data Engineer RMS Data Migration</t>
        </is>
      </c>
      <c r="C86" t="inlineStr">
        <is>
          <t>Jobs via Dice</t>
        </is>
      </c>
      <c r="D86" t="inlineStr">
        <is>
          <t>linkedin</t>
        </is>
      </c>
      <c r="E86" t="inlineStr"/>
      <c r="F86" t="inlineStr"/>
      <c r="G86" t="inlineStr">
        <is>
          <t>Montpelier, VT</t>
        </is>
      </c>
      <c r="H86" t="inlineStr"/>
      <c r="I86" t="inlineStr">
        <is>
          <t>Dice is the leading career destination for tech experts at every stage of their careers. Our client, DatamanUSA, LLC, is seeking the following. Apply via Dice today!
 DatamanUSA is looking for a Data Engineer \- RMS Data Migration for our direct client based in VT. This is a great opportunity for someone who is a quick learner with excellent people skills.
**Job Details:**
 Job Title: Data Engineer \- RMS Data Migration
 Location: Montpelier, VT
 Duration: 12 months
**Job Description:**
* ) Analyze and reverse\-engineer undocumented MySQL and MSSQL database schemas.
* ) Perform data discovery, profiling, and validation across legacy RMS tables.
* ) Design and document logical and physical data models for migration purposes.
* ) Develop optimized, repeatable, and deterministic SQL queries to extract and transform large datasets.
* ) Prepare structured data for ingestion into the new RMS in compliance with vendor\-specific formats and validation rules.
* ) Design and execute ETL processes to support full and incremental data migrations.
* ) Process and migrate binary large objects (BLOBs), including PDFs and other unstructured data.
* ) Support iterative test migrations and adjust SQL scripts, mappings, and transformation logic based on findings.
* ) Identify data quality issues and recommend remediation strategies.
* ) Collaborate with Agency IT staff, RMS vendor teams, and subject matter experts during technical discussions.
* ) Produce clear, complete technical documentation suitable for long\-term Agency maintenance.
* ) Provide knowledge transfer to Agency personnel, including walkthroughs of queries, mappings, and ETL logic.
* ) Communicate progress, risks, and timelines effectively with minimal supervision.
**Required Technical Expertise:**
* ) Advanced SQL, including complex SELECT statements, joins, subqueries, and transformation logic.
* ) Strong experience with MySQL and Microsoft SQL Server, including database architecture and schema discovery.
* ) Solid understanding of data modeling, normalization, and relational database design.
* ) Proven ability to reverse\-engineer undocumented or poorly documented schemas.
* ) Hands\-on experience with ETL methodologies and preparing data for third\-party system ingestion.
* ) Experience processing and migrating BLOBs, PDFs, and unstructured data.
* ) Strong analytical, problem\-solving, and technical documentation skills.
* ) Ability to interpret incomplete, ambiguous, or legacy data structures.
**Preferred Qualifications:**
* ) Experience working with public safety RMS, case management systems, or similarly complex relational data environments.
* ) Prior experience supporting data migrations for government or public\-sector agencies.
* ) Familiarity with RMS vendor ingestion frameworks and validation processes.</t>
        </is>
      </c>
    </row>
    <row r="87">
      <c r="A87" t="inlineStr">
        <is>
          <t>li-4358616641</t>
        </is>
      </c>
      <c r="B87" t="inlineStr">
        <is>
          <t>Sr. Distinguished, Data Engineer - Enterprise Data Storage and Consumption Platforms Data Engineer</t>
        </is>
      </c>
      <c r="C87" t="inlineStr">
        <is>
          <t>Capital One</t>
        </is>
      </c>
      <c r="D87" t="inlineStr">
        <is>
          <t>linkedin</t>
        </is>
      </c>
      <c r="E87" t="inlineStr"/>
      <c r="F87" t="inlineStr"/>
      <c r="G87" t="inlineStr">
        <is>
          <t>McLean, VA</t>
        </is>
      </c>
      <c r="H87" t="inlineStr"/>
      <c r="I87"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Storage \&amp; Consumption Platform team within Enterprise Data, serving as a Senior Director\-level Individual Contributor (IC). This role demands a visionary and hands\-on leader to drive the technical strategy for consumption platforms leveraged by all lines of business. Your focus is on maturing platform scalability, Operational Excellence, Performance, and Resiliency. We require deep expertise in AWS infrastructure ,Lakehouse architecture, Snowflake, Databricks platform and BI tools to mature these enterprise\-scale systems and execute technical strategy.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Identify, benchmark and contribute towards opportunities to improve system availability, security, reliability, cost optimization and performance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software engineering or data engineering
* At least 5 years of people management experience
* At least 3 years of experience with Big Data and data streaming
* At least 3 years of experience with cloud\-based data platforms (Amazon Web Services, Microsoft Azure, Google Cloud Platform)
* At least 9 years of experience in data engineering writing production quality code with a focus on distributed systems
**Preferred Qualifications:**
* Masters’ Degree
* 10\+ years of experience in data engineering
* 3\+ years of experience implementing big data frameworks and processing solutions
* 3\+ years of data modeling experience
* 2\+ years of experience with ontology standards for defining a domain
* 2\+ years of experience using Python, SQL or Scala
* 1\+ year of experience deploying machine learning models
* 5\+ years of experience with Agile engineering practices
* 8\+ years in\-depth experience with the Hadoop stack (MapReduce, Pig, Hive, Hbase)
* 8\+ years experience with NoSQL implementation (Mongo, Cassandra)
* 8\+ years experience developing Java based software solutions
* 8\+ years experience in at least one scripting language
* 8\+ years experience developing software solutions to solve complex business problems
* 8\+ years experience with Relational Database Systems and SQL
* 8\+ years experience designing, developing, and implementing ETL
* 8\+ years experience with UNIX/Linux including basic commands and shell scripting
* 8\+ years of experience providing technical leadership
* 8\+ years of experience leading the full life\-cycle of IT development and platform support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$286,200 \- $326,700 for Sr. Dir, Data Engineering
 McLean, VA: $314,800 \- $359,300 for Sr. Dir, Data Engineering
 New York, NY: $343,400 \- $392,000 for Sr. Dir, Data Engineering
 Richmond, VA: $286,200 \- $326,700 for Sr. Dir, Data Engineering
 San Francisco, CA: $343,400 \- $392,000 for Sr. Dir,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8">
      <c r="A88" t="inlineStr">
        <is>
          <t>li-4358934369</t>
        </is>
      </c>
      <c r="B88" t="inlineStr">
        <is>
          <t>Sr. Distinguished, Data Engineer - Enterprise Data Storage and Consumption Platforms Data Engineer</t>
        </is>
      </c>
      <c r="C88" t="inlineStr">
        <is>
          <t>Capital One</t>
        </is>
      </c>
      <c r="D88" t="inlineStr">
        <is>
          <t>linkedin</t>
        </is>
      </c>
      <c r="E88" t="inlineStr"/>
      <c r="F88" t="inlineStr"/>
      <c r="G88" t="inlineStr">
        <is>
          <t>Richmond, VA</t>
        </is>
      </c>
      <c r="H88" t="inlineStr"/>
      <c r="I88"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Storage \&amp; Consumption Platform team within Enterprise Data, serving as a Senior Director\-level Individual Contributor (IC). This role demands a visionary and hands\-on leader to drive the technical strategy for consumption platforms leveraged by all lines of business. Your focus is on maturing platform scalability, Operational Excellence, Performance, and Resiliency. We require deep expertise in AWS infrastructure ,Lakehouse architecture, Snowflake, Databricks platform and BI tools to mature these enterprise\-scale systems and execute technical strategy.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Identify, benchmark and contribute towards opportunities to improve system availability, security, reliability, cost optimization and performance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software engineering or data engineering
* At least 5 years of people management experience
* At least 3 years of experience with Big Data and data streaming
* At least 3 years of experience with cloud\-based data platforms (Amazon Web Services, Microsoft Azure, Google Cloud Platform)
* At least 9 years of experience in data engineering writing production quality code with a focus on distributed systems
**Preferred Qualifications:**
* Masters’ Degree
* 10\+ years of experience in data engineering
* 3\+ years of experience implementing big data frameworks and processing solutions
* 3\+ years of data modeling experience
* 2\+ years of experience with ontology standards for defining a domain
* 2\+ years of experience using Python, SQL or Scala
* 1\+ year of experience deploying machine learning models
* 5\+ years of experience with Agile engineering practices
* 8\+ years in\-depth experience with the Hadoop stack (MapReduce, Pig, Hive, Hbase)
* 8\+ years experience with NoSQL implementation (Mongo, Cassandra)
* 8\+ years experience developing Java based software solutions
* 8\+ years experience in at least one scripting language
* 8\+ years experience developing software solutions to solve complex business problems
* 8\+ years experience with Relational Database Systems and SQL
* 8\+ years experience designing, developing, and implementing ETL
* 8\+ years experience with UNIX/Linux including basic commands and shell scripting
* 8\+ years of experience providing technical leadership
* 8\+ years of experience leading the full life\-cycle of IT development and platform support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$286,200 \- $326,700 for Sr. Dir, Data Engineering
 McLean, VA: $314,800 \- $359,300 for Sr. Dir, Data Engineering
 New York, NY: $343,400 \- $392,000 for Sr. Dir, Data Engineering
 Richmond, VA: $286,200 \- $326,700 for Sr. Dir, Data Engineering
 San Francisco, CA: $343,400 \- $392,000 for Sr. Dir,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9">
      <c r="A89" t="inlineStr">
        <is>
          <t>li-4331270035</t>
        </is>
      </c>
      <c r="B89" t="inlineStr">
        <is>
          <t>Data Engineer (Only W2 Candidates)</t>
        </is>
      </c>
      <c r="C89" t="inlineStr">
        <is>
          <t>Jobs via Dice</t>
        </is>
      </c>
      <c r="D89" t="inlineStr">
        <is>
          <t>linkedin</t>
        </is>
      </c>
      <c r="E89" t="inlineStr"/>
      <c r="F89" t="inlineStr"/>
      <c r="G89" t="inlineStr">
        <is>
          <t>Phoenix, AZ</t>
        </is>
      </c>
      <c r="H89" t="inlineStr"/>
      <c r="I89" t="inlineStr">
        <is>
          <t>Dice is the leading career destination for tech experts at every stage of their careers. Our client, SANS, is seeking the following. Apply via Dice today!
* Design and implement scalable, reliable, and secure data solutions.
* Proficient in SQL and data modeling concepts.
* Develop data models and schemas optimized for performance and maintainability.
* Build and maintain ETL/ELT pipelines to ingest, transform, and load data from multiple sources.
* Optimize data workflows for efficiency and cost\-effectiveness.
* Collaborate closely with data analysts and business teams to understand their requirements.
* Build frameworks for data ingestion pipelines that handle various data sources, including batch and real\-time data.
* Participate in technical decision\-making.
* Design, develop, test, deploy, and maintain data processing pipelines.
* Design and build scalable, reliable infrastructure with a strong focus on quality, security, and privacy techniques.
* Communicate complex technical concepts effectively to diverse audiences.
* Understand business KPIs and translate them into technical solutions.
* Create detailed technical documentation covering processes, frameworks, best practices, and operational support.
* Provide constructive feedback during code reviews.
**Position Specifications:**
* Bachelor's degree in Computer Science, Computer Engineering, or Information Systems Technology
* 5\+ years of overall experience in software development using Python
* Strong experience with SQL and database technologies (Relational and NoSQL).
* Hands\-on experience with data pipeline frameworks (e.g., Apache Spark, Airflow, Kafka).
* Familiarity with cloud platforms (Google Cloud Platform) and data services.
* Knowledge of data modeling, ETL/ELT processes, and performance optimization.
* Strong analytical and communication skills: verbal and written</t>
        </is>
      </c>
    </row>
    <row r="90">
      <c r="A90" t="inlineStr">
        <is>
          <t>li-4330983263</t>
        </is>
      </c>
      <c r="B90" t="inlineStr">
        <is>
          <t>Lead Google Cloud Platform Data Engineer Dallas, TX</t>
        </is>
      </c>
      <c r="C90" t="inlineStr">
        <is>
          <t>Jobs via Dice</t>
        </is>
      </c>
      <c r="D90" t="inlineStr">
        <is>
          <t>linkedin</t>
        </is>
      </c>
      <c r="E90" t="inlineStr"/>
      <c r="F90" t="inlineStr"/>
      <c r="G90" t="inlineStr">
        <is>
          <t>Dallas, TX</t>
        </is>
      </c>
      <c r="H90" t="inlineStr"/>
      <c r="I90" t="inlineStr">
        <is>
          <t>**Job Title: Lead Google Cloud Platform Data Engineer
 Location: Dallas, TX (Onsite)
 Duration: Long Term Contract (Need Locals Only)
 Looking for W2 Candidates. No C2C**
**Job Description:**
**Must have experience leading a team to meet project requirements and deliverables**
 9\+ years' experience and hands on with Data Warehousing.
 9\+ years of hands on ETL (e.g., Informatica/DataStage) experience
 3\+ years of hands\-on Big query
 3\+ years of hands on Google Cloud Platform
 9\+ years of Teradata hands on experience
 3\+ years of hands\-on experience with Google Cloud Platform services like Big Query, Dataflow, Pub/Sub, and Cloud Storage
 3\+ years of hands\-on experience building modern data pipelines with Google Cloud Platform platform
 3\+ years of experience with Query optimization, data structures, transformation, metadata, dependency, and workload management
 3\+ years of experience with SQL, NoSQL
 3\+ years of experience in data engineering with a focus on microservices\-based data solutions
 3\+ years of containerization (Docker, Kubernetes) and CI/CD for data pipeline
 3\+ years of experience with Python (or a comparable scripting language)
 3\+ years of experience with Big data and cloud architecture
 3\+ years of experience with deployment/scaling of apps on containerized environment (Kubernetes,)
 Excellent oral and written communications skills; ability to interact effectively with all levels within the organization.
**Best Regards:
 Kesav N
 Phone: \+1\-
 Email:**</t>
        </is>
      </c>
    </row>
    <row r="91">
      <c r="A91" t="inlineStr">
        <is>
          <t>li-4330925942</t>
        </is>
      </c>
      <c r="B91" t="inlineStr">
        <is>
          <t>Oracle / Python Data Engineer - Houston TX - LOCAL CADIDATES ONLY</t>
        </is>
      </c>
      <c r="C91" t="inlineStr">
        <is>
          <t>Jobs via Dice</t>
        </is>
      </c>
      <c r="D91" t="inlineStr">
        <is>
          <t>linkedin</t>
        </is>
      </c>
      <c r="E91" t="inlineStr"/>
      <c r="F91" t="inlineStr"/>
      <c r="G91" t="inlineStr">
        <is>
          <t>Houston, TX</t>
        </is>
      </c>
      <c r="H91" t="inlineStr"/>
      <c r="I91" t="inlineStr">
        <is>
          <t>**Oracle / Python Data Engineer**
**Location: Downtown Houston, TX\- Hybrid work schedule of 3 days a week on\-site downtown Houston. Paid parking.**
**Duration: 12\+ Months \- Multi Year Contract**
**Rate: Market Rate**
 Primary skillset is strong Oracle database skills with developing applications in the database. Also need secondary skillset Python and Microservices. Plus is experience with invoicing, financials, and payment systems.</t>
        </is>
      </c>
    </row>
    <row r="92">
      <c r="A92" t="inlineStr">
        <is>
          <t>li-4331083092</t>
        </is>
      </c>
      <c r="B92" t="inlineStr">
        <is>
          <t>Data Engineer W2</t>
        </is>
      </c>
      <c r="C92" t="inlineStr">
        <is>
          <t>Jobs via Dice</t>
        </is>
      </c>
      <c r="D92" t="inlineStr">
        <is>
          <t>linkedin</t>
        </is>
      </c>
      <c r="E92" t="inlineStr"/>
      <c r="F92" t="inlineStr"/>
      <c r="G92" t="inlineStr"/>
      <c r="H92" t="inlineStr"/>
      <c r="I92" t="inlineStr">
        <is>
          <t>Dice is the leading career destination for tech experts at every stage of their careers. Our client, Virtuous Tech Inc, is seeking the following. Apply via Dice today!
**Data Engineer (W2\)**
**Location:** 
 Remote (USA)
**Visa:** 
**USC// H1 TFR**
**Exp : 5\-12 Years**
 We are looking experienced
 **Data Engineers** 
 The ideal candidate will have strong experience in building, optimizing, and maintaining large\-scale data pipelines and data platforms.
**Skills Required:**
* Strong programming experience in Python / SQL
* Hands\-on experience with ETL / ELT pipelines
* Experience with Data Warehousing (Snowflake, Redshift, BigQuery, Synapse)
* Strong knowledge of Data Modeling
* Experience with Big Data tools (Spark, Hadoop)
* Cloud experience: AWS / Azure / Google Cloud Platform
* Experience with Airflow / ADF / Glue or similar orchestration tools
**Nice to Have:**
* Experience with Kafka / Streaming data
* Knowledge of CI/CD for data pipelines
* Exposure to Databricks
* Basic understanding of data governance \&amp; security
**Interested candidates, please share your updated resume**
**Email:**</t>
        </is>
      </c>
    </row>
    <row r="93">
      <c r="A93" t="inlineStr">
        <is>
          <t>li-4331092662</t>
        </is>
      </c>
      <c r="B93" t="inlineStr">
        <is>
          <t>Lead Data Engineer - Houston, TX (Onsite) - Only 15+ Years</t>
        </is>
      </c>
      <c r="C93" t="inlineStr">
        <is>
          <t>Jobs via Dice</t>
        </is>
      </c>
      <c r="D93" t="inlineStr">
        <is>
          <t>linkedin</t>
        </is>
      </c>
      <c r="E93" t="inlineStr"/>
      <c r="F93" t="inlineStr"/>
      <c r="G93" t="inlineStr">
        <is>
          <t>Houston, TX</t>
        </is>
      </c>
      <c r="H93" t="inlineStr"/>
      <c r="I93" t="inlineStr">
        <is>
          <t>Dice is the leading career destination for tech experts at every stage of their careers. Our client, Triunity Software, is seeking the following. Apply via Dice today!
**About The Role**
 We are seeking a Senior Data Engineer (Level 3\) to design, build, and optimize large\-scale, high\-reliability data pipelines and lakehouse architectures. The ideal candidate combines deep data engineering expertise with strong software engineering fundamentals to deliver modular, scalable, and testable data systems. This role involves leading core architectural decisions and end\-to\-end patterns across ingestion, transformation, data modeling, and delivery, including partitioning strategies and partition key design for high\-performance analytics.
 Key Responsibilities
* Design, build, and maintain ELT pipelines across ingestion, transformation, modeling, and delivery layers (bronze → silver → gold).
* Implement incremental loads, change\-data\-capture (CDC), merge/upsert, and idempotent pipeline patterns to ensure reliability and repeatability.
* Define and apply data architectural patterns (e.g., layered lakehouse, domain\-oriented datasets, and semantic models) aligned to business objectives.
* Engineer physical data designs including partitioning strategies, partition key selection, clustering/micro\-partitioning, and compaction for performance and cost efficiency.
* Develop curated datasets and data marts that enable analytics and self\-service BI.
* Implement data quality, observability, and lineage (validations, profiling, SLAs, monitoring, and alerting).
* Optimize performance on cloud data platforms (e.g., Snowflake tasks/streams, compute sizing, query optimization).
* Design and manage Lakehouse table formats (e.g., Apache Iceberg or Delta) on object storage including schema evolution and maintenance.
* Collaborate with Data Architects, Analytics Engineering, and business stakeholders to translate requirements into scalable data solutions.
* Mentor junior engineers, lead design reviews, and contribute to engineering standards and reusable frameworks.
* Automate and optimize the data lifecycle using CI/CD and infrastructure\-as\-code; apply DevOps principles to data pipelines.
**Required Qualifications**
* 7–10\+ years of experience in Data Engineering or closely related Software Engineering roles with a data focus.
* Expert\-level SQL development and data analysis skills, including advanced query optimization and debugging.
* Strong Python engineering skills and familiarity with software design principles and patterns (e.g., SOLID), unit testing, refactoring, and version control.
* Hands\-on experience building ELT/ETL pipelines and orchestration with tools such as Astronomer/Airflow; proficiency with Git and CI/CD.
* Deep understanding of core data engineering patterns: ingestion, transformation, modeling (dimensional/SCDs), and delivery.
* Proven experience with database physical design including partitioning and effective partition key selection; exposure to clustering and micro\-partitioning on MPP/cloud data platforms.
* Experience implementing data quality frameworks, observability/monitoring, and robust operational SLAs.
* Experience with Lakehouse table formats (Apache Iceberg/Delta/Hudi) and columnar storage (Parquet) on object storage (e.g., AWS S3\).
* Strong communication skills with the ability to present complex technical concepts to both technical and business stakeholders.
**Preferred Qualifications**
* Experience optimizing Snowflake workloads (compute sizing, tasks/streams, clustering, micro\-partitioning).
* Experience with dbt, Data Build Tool, or similar for transformation and testing.
* Experience with event streaming (Kafka/Kinesis/Flink) and API\-based data integration.
* Experience with data catalog, governance, and lineage platforms.
* Domain experience in Oil \&amp; Gas midstream operations or industrial IoT/time\-series data.
 Core Competencies
* Architectural thinking and systems design.
* Structured problem\-solving and analytical rigor.
* Clear written and verbal communication; stakeholder engagement.
* Bias for automation, reliability, and maintainability.
 Tools \&amp; Technologies (representative)
* Databases \&amp; Warehouses: Snowflake, MPP databases; dimensional modeling/SCDs.
* Lakehouse \&amp; Storage: Apache Iceberg/Delta/Hudi, Parquet, AWS S3/Object Storage.
* Orchestration \&amp; CI/CD: Astronomer/Airflow, git, CI/CD pipelines.
* Programming: Python, SQL.
* Observability \&amp; Quality: data validation frameworks, monitoring/alerting tools.</t>
        </is>
      </c>
    </row>
    <row r="94">
      <c r="A94" t="inlineStr">
        <is>
          <t>li-4359382536</t>
        </is>
      </c>
      <c r="B94" t="inlineStr">
        <is>
          <t>Senior Manager, Data Engineering</t>
        </is>
      </c>
      <c r="C94" t="inlineStr">
        <is>
          <t>Capital One</t>
        </is>
      </c>
      <c r="D94" t="inlineStr">
        <is>
          <t>linkedin</t>
        </is>
      </c>
      <c r="E94" t="inlineStr"/>
      <c r="F94" t="inlineStr"/>
      <c r="G94" t="inlineStr">
        <is>
          <t>Chicago, IL</t>
        </is>
      </c>
      <c r="H94" t="inlineStr"/>
      <c r="I9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Spark, Python, Java, Databricks, Snowflake, Data Lakehouse or Iceberg
* 4\+ years of experience with a public cloud (AWS, Microsoft Azure, Google Cloud)
* 5\+ years experience with Distributed data/computing tools (Glue, EMR, Kafka, Spark, Gurobi, or MySQL)
* 4\+ year experience working on real\-time data and streaming applications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5">
      <c r="A95" t="inlineStr">
        <is>
          <t>li-4359345245</t>
        </is>
      </c>
      <c r="B95" t="inlineStr">
        <is>
          <t>Cloud Data Engineer (Hybrid)</t>
        </is>
      </c>
      <c r="C95" t="inlineStr">
        <is>
          <t>Globe Life</t>
        </is>
      </c>
      <c r="D95" t="inlineStr">
        <is>
          <t>linkedin</t>
        </is>
      </c>
      <c r="E95" t="inlineStr"/>
      <c r="F95" t="inlineStr"/>
      <c r="G95" t="inlineStr">
        <is>
          <t>Federal Way, WA</t>
        </is>
      </c>
      <c r="H95" t="inlineStr"/>
      <c r="I95" t="inlineStr">
        <is>
          <t>****Job Description:****
 Cloud Data Engineer (Hybrid)
****Primary Duties \&amp; Responsibilities****
 At Globe Life, we are committed to empowering our employees with the support and opportunities they need to succeed at every stage of their career. We take pride in fostering a caring and innovative culture that enables us to collectively grow and overcome challenges in a connected, collaborative, and mutually respectful environment that calls us to help Make Tomorrow Better.
****Role Overview:****
 At Globe Life, we are committed to empowering our employees with the support and opportunities they need to succeed at every stage of their career. Our thriving and dynamic community offers ample room for professional development, increased earning potential, and a secure work environment.
 We take pride in fostering a caring and innovative culture that enables us to collectively grow and overcome challenges in a connected, collaborative, and mutually respectful environment that calls us to help Make Tomorrow Better.
****Role Overview:****
 Could you be our next
 **Cloud Data Engineer** 
 ? Globe Life is looking for a
 **Cloud Data Engineer** 
 to join the team!
 In this role, you will be responsible for supporting Cloud Data Management and Advanced Analytics platforms. In this role, an employee will work with data services, data analysts, and the data scientist team(s) to help the organization build out secure, scalable, fault\-tolerant, and high\-performing cloud\-based architecture to enable and sustain data\-driven decisions.
**This is a hybrid position located in McKinney, Texas ( WFH Monday \&amp; Friday, In Office Tuesday\-Thursday)** 
**.**
****What You Will Do:****
* Design, implement, and support various database services of our Cloud Platform.
* Provide technological guidance on Data Lake and Enterprise Data Warehouse design, development, implementation and monitoring.
* Understand, design, and implement Data Security around cloud infrastructures.
* Provide support and guidance to Data Services and other application development teams on various AWS Database Products.
* Collaborate with leadership on process improvements and strategic initiatives for the Cloud Platform.
****What You Can Bring:****
* Bachelor's degree in Computer Science/Engineering, Information Systems, or equivalent work experience in a technical position.
* 5\+ years of experience in Information Technology.
* 3\+ years of experience in Database Engineering, primarily in AWS Redshift, RDS/Aurora, DynamoDB, DMS, and Glue.
* Proven experience in building data pipelines and database applications
* Strong coding and scripting experience with Python, PowerShell, or similar languages.
* Experience in implementing Amazon EMR or Big Data technologies like Hadoop, Spark, Presto, Hive will be a plus
* Prior domain experience in Life Insurance, Annuity, or Financial Services is a plus.
* AWS Certifications are considered a strong plus.
* Extensive hands\-on experience including design and implementation across a broad range of database services on Amazon Web Services (AWS).
* Experience with AWS Database Migration Service (AWS DMS) and migrating RDBMS (SQL Server/Oracle) from On\-premise to AWS (Aurora/Redshift).
* Solid understanding of various Data Management and Data Pipeline tools available in AWS.
* Working knowledge of primary AWS Services like S3, Lambda, Batch, Glue, Athena, EC2, EBS, CloudWatch, CloudTrail, ECS, ECR, EMR, IAM, SNS, etc.
* Development experience with any major ETL tool, preferably Informatica.
* Good understanding of implementing data lake and data warehouse in the Cloud.
* Experience in creating and deploying CloudFormation Templates (CFTs)
* Experience with Lifecycle Management of S3 Buckets.
* Clear Understanding of Cloud Databases Security involving AWS IAM Users and access, IAM Roles and Policies, Federated Users and permissions.
* Good Understanding of AWS Encryption methodologies and AWS KMS Services.
* Experience with database performance testing and capacity planning.
* Working knowledge and experience with software development life cycle (SDLC) and agile/iterative methodologies.
* Experience with implementing Big Data technologies, such as Hadoop, Spark, Presto, Hive, and Hue, will be a major advantage.
* Knowledge of AWS Machine Learning Offerings is a plus
* Experience with any Data Visualization tools is a plus
* Excellent verbal and written communication skills.
* Ability to work independently and as part of a team.
**Applicable To All Employees of Globe Life Family of Companies:**
 Reliable and predictable attendance of your assigned shift.
 Ability to work full time and/or part time based on the position specifications.
****How Globe Life Will Support You:****
 Looking to continue your career in an environment that values your contribution and invests in your growth? We've curated a benefits package that helps to ensure that you don’t just work, but thrive at Globe Life:
* Competitive compensation designed to reflect your expertise and contribution.
* Comprehensive health, dental, and vision insurance plans because your well\-being is fundamental to your performance.
* Robust life insurance benefits and retirement plans, including company\-matched 401k and pension plan.
* Paid holidays and time off to support a healthy work\-life balance.
* Parental leave to help our employees welcome their new additions.
* Subsidized all\-in\-one subscriptions to support your fitness, mindfulness, nutrition, and sleep goals.
* Company\-paid counseling for assistance with mental health, stress management, and work\-life balance.
* Continued education reimbursement eligibility and company\-paid FLMI and ICA courses to grow your career.
* Discounted Texas Rangers tickets for a proud visit to Globe Life Field.
 Opportunity awaits! Invest in your professional legacy, realize your path, and see the direct impact you can make in a workplace that celebrates and harnesses your unique talents and perspectives to their fullest potential. At Globe Life, your voice matters.
**Applicable To All Employees of Globe Life Family of Companies:**
* Reliable and predictable attendance of your assigned shift.
* Ability to work full time and/or part time based on the position specifications.
****How Globe Life Will Support You:****
 Looking to continue your career in an environment that values your contribution and invests in your growth? We've curated a benefits package that helps to ensure that you don’t just work, but thrive at Globe Life:
* Competitive compensation designed to reflect your expertise and contribution.
* Comprehensive health, dental, and vision insurance plans because your well\-being is fundamental to your performance.
* Robust life insurance benefits and retirement plans, including company\-matched 401k and pension plan.
* Paid holidays and time off to support a healthy work\-life balance.
* Parental leave to help our employees welcome their new additions.
* Subsidized all\-in\-one subscriptions to support your fitness, mindfulness, nutrition, and sleep goals.
* Company\-paid counseling for assistance with mental health, stress management, and work\-life balance.
* Continued education reimbursement eligibility and company\-paid FLMI and ICA courses to grow your career.
* Discounted Texas Rangers tickets for a proud visit to Globe Life Field.
 Opportunity awaits! Invest in your professional legacy, realize your path, and see the direct impact you can make in a workplace that celebrates and harnesses your unique talents and perspectives to their fullest potential. At Globe Life, your voice matters.</t>
        </is>
      </c>
    </row>
    <row r="96">
      <c r="A96" t="inlineStr">
        <is>
          <t>li-4331500354</t>
        </is>
      </c>
      <c r="B96" t="inlineStr">
        <is>
          <t>Senior Data Engineer</t>
        </is>
      </c>
      <c r="C96" t="inlineStr">
        <is>
          <t>Credigy</t>
        </is>
      </c>
      <c r="D96" t="inlineStr">
        <is>
          <t>linkedin</t>
        </is>
      </c>
      <c r="E96" t="inlineStr"/>
      <c r="F96" t="inlineStr"/>
      <c r="G96" t="inlineStr">
        <is>
          <t>Norcross, GA</t>
        </is>
      </c>
      <c r="H96" t="inlineStr"/>
      <c r="I96" t="inlineStr">
        <is>
          <t>Credigy is seeking a
 **Senior Data Engineer** 
 to join our Data and Automation team. This role is responsible for designing, building, and maintaining scalable, reliable data pipelines across both modern cloud platforms and legacy systems. You will own data pipelines end\-to\-end—from ingestion through consumption—while continuously improving reliability, performance, and scalability.
 This is a hands\-on, senior\-level role with a high degree of autonomy. The ideal candidate is comfortable operating in production environments, making architectural decisions, and modernizing existing data systems while continuing to support critical legacy processes.
**Key Responsibilities**
**Data Architecture \&amp; Pipeline Development**
* Design, build, and maintain end\-to\-end data pipelines, including ingestion, transformation, validation, orchestration, and delivery.
* Develop and optimize data pipelines primarily using Snowflake, SQL Server, and Azure\-based services.
* Ensure data is available, secure, and consistently delivered through a well\-defined and scalable data architecture.
* Assemble large, complex datasets that meet functional and non\-functional business requirements.
**Data Quality, Reliability \&amp; Production Support**
* Own the reliability of production data pipelines, including monitoring, troubleshooting, and incident resolution.
* Perform root cause analysis for data issues and implement durable fixes to prevent recurrence.
* Implement and maintain data quality checks and validation frameworks to ensure accuracy and consistency.
* Support multiple teams and systems while maintaining high availability and data integrity.
**Modernization \&amp; Automation**
* Identify and lead opportunities to optimize, automate, and modernize existing data processes and pipelines.
* Maintain and enhance legacy ETL processes, while gradually re\-architecting them toward more scalable, cloud\-native solutions.
* Drive improvements in performance, cost efficiency, and maintainability of the data platform.
**Collaboration \&amp; Stakeholder Partnership**
* Partner closely with Analytics, Business users, and Data scientist teams to understand data needs and translate them into effective technical solutions.
* Communicate clearly with both technical and non\-technical stakeholders, setting expectations and explaining trade\-offs.
* Contribute to data engineering standards, documentation, and best practices.
**DevOps \&amp; Engineering Excellence**
* Use GitHub for version control, code reviews, and collaboration.
* Contribute to and support CI/CD pipelines for data workflows to enable reliable, repeatable deployments.
* Promote engineering best practices, including testing, documentation, and observability.
**Required Qualifications**
* 4\+ years of experience as a Data Engineer, BI Developer, or ETL Developer.
* Strong SQL expertise with MS SQL Server and T\-SQL.
* Hands\-on experience with SSIS and Azure Data Factory (ADF).
* Experience working with Snowflake and cloud\-based data platforms.
* Proven experience designing, building, and optimizing data pipelines and data architectures.
* Experience supporting production data systems in a fast\-paced environment.
* Bachelor’s degree in Computer Science, Information Systems, Statistics, or a related field (or equivalent experience).
**Preferred Qualifications**
* Experience with dbt for data transformation and modeling.
* Experience using Python for data processing and integrations.
* Experience with Informatica.
* Experience implementing CI/CD for data pipelines.
* Strong understanding of data modeling, data quality, and governance best practices.
 Founded in 2001, Credigy is a global specialty finance company with flexibility across the capital structure to acquire or finance a broad range of consumer assets. We are a wholly\-owned subsidiary of National Bank of Canada (NBC) and our $9\.1B\+ portfolio represents 400\+ deals and $32B\+ in total investments life\-to\-date. We are the partner of choice when financial institutions face complex challenges and strategic changes. If you haven’t heard of us yet, we’re okay with that — we focus on serving our business partners, not making a name for ourselves.
 We are proud of our people\-first company culture that has been recognized year\-over\-year as a Top Workplace both in Atlanta and nationally. What matters to you, matters to us so we go beyond the usual benefits to offer meaningful perks that support professional growth, personal connection, and a life outside the office. Early in the hiring process, we partner with you on our innovative, personalized flexible work program to maximize compatibility between your needs and the business from day one. Our priority is hiring top talent and helping you create a career you love.
 Credigy is a workplace that is free of discrimination and full of opportunity. We prioritize diversity, inclusion, and belonging, and we are dedicated to unbiased recruiting, hiring, and employment practices. Authenticity goes a long way at Credigy, and we get excited about the privilege of hiring people from diverse backgrounds. We are proud to be an Equal Opportunity Employer and commit to ensuring all applicants and employees are considered based on their qualifications and merit, without regard to race, ethnicity, religion, national origin, sex, sexual orientation, gender identity, age, veteran status, citizenship, disability, pregnancy, or any other status protected by law. We expect each employee to support this policy in our daily operations and we do not tolerate discriminatory practices or harassment in any form. No matter how you identify, or what background or industry you come from, we welcome you and feel honored you are considering opportunities at Credigy.</t>
        </is>
      </c>
    </row>
    <row r="97">
      <c r="A97" t="inlineStr">
        <is>
          <t>li-4352082800</t>
        </is>
      </c>
      <c r="B97" t="inlineStr">
        <is>
          <t>Data Engineer/Sr Data Engineer, IT Analytics</t>
        </is>
      </c>
      <c r="C97" t="inlineStr">
        <is>
          <t>American Airlines</t>
        </is>
      </c>
      <c r="D97" t="inlineStr">
        <is>
          <t>linkedin</t>
        </is>
      </c>
      <c r="E97">
        <f>HYPERLINK("https://www.linkedin.com/jobs/view/4352082800", "https://www.linkedin.com/jobs/view/4352082800")</f>
        <v/>
      </c>
      <c r="F97" t="inlineStr"/>
      <c r="G97" t="inlineStr">
        <is>
          <t>Dallas, TX</t>
        </is>
      </c>
      <c r="H97" t="inlineStr"/>
      <c r="I97" t="inlineStr">
        <is>
          <t>**Intro**
 Are you ready to explore a world of possibilities, both at work and during your time off? Join our American Airlines family, and you’ll travel the world, grow your expertise and become the best version of you. As you embark on a new journey, you’ll tackle challenges with flexibility and grace, learning new skills and advancing your career while having the time of your life. Feel free to enrich both your personal and work life and hop on board!
**Why you'll love this job**
* You will help enable data engineering solutions at AA
* You will be part of a team that innovates.
* This role is a part of the Data Engineering and Analytics team within our Technology group. You’ll bring your data engineering, collaboration and analytics skills to help cultivate a data driven culture by designing and delivering analytics solutions and making data analytics easier and more effective for American Airlines.
**What You'll Do**
*As noted above, this list is intended to reflect the current job but there may be additional essential functions (and certainly non\-essential job functions) that are not referenced. Management will modify the job or require other tasks be performed whenever it is deemed appropriate to do so, observing, of course, any legal obligations including any collective bargaining obligations.*
* Work closely with source data application teams and product owners to design, implement and support analytics solutions that provide insights to make better decisions
* Implement data migration and data engineering solutions using Azure products and services: (Azure Data Lake Storage, Azure Data Factory, Azure Functions, Event Hub, Azure Stream Analytics, Azure Databricks, etc.) and traditional data warehouse tools.
* Perform multiple aspects involved in the development lifecycle – design, cloud engineering (Infrastructure, network, security, and administration), ingestion, preparation, data modeling, testing, CICD pipelines, performance tuning, deployments, consumption, BI, alerting, prod support.
* Provide technical leadership and collaborate within a team environment as well as work independently.
* Be a part of a DevOps team that completely owns and supports their product
* Implement batch and streaming data pipelines using cloud technologies
* Leads development of coding standards, best practices and privacy and security guidelines.
* Mentors others on technical and domain skills to create multi\-functional teams
**All you'll need for success**
* Minimum Qualifications\- Education \&amp; Prior Job Experience
+ Bachelor's degree in Computer Science, Computer Engineering, Technology, Information Systems (CIS/MIS), Engineering or related technical discipline, or equivalent experience/training
+ 3 years software solution development using agile, DevOps, operating in a product model that includes designing, developing, and implementing large\-scale applications or data engineering solutions
+ 3 years data analytics experience using SQL
+ 2 years of cloud development and data lake experience (prefer Microsoft Azure) including Azure EventHub, Azure Data Factory, Azure Databricks, Azure DevOps, Azure Blob Storage, Azure Data Lake, Azure Power Apps and Power BI.
+ Combination of Development, Administration \&amp; Support experience in several of the following tools/platforms required:
- Scripting: Python, Spark, Unix, SQL
- Data Platforms: Teradata, Cassandra, MongoDB, Oracle, SQL Server, ADLS, Snowflake
- Azure Data Explorer. Administration skills a plus
- Azure Cloud Technologies: Azure Data Factory, Azure Databricks, Azure Blob Storage, Azure Data Lake, Azure Power Apps and Azure Functions
- CI/CD: GitHub, Jenkins, Azure DevOps, Terraform
- BI Analytics Tool Stack \- Cognos, Tableau, Power BI, Alteryx, Denodo, and Grafana
- Data Warehousing: DataStage, Informatica
- Data Governance and Privacy: Informatica Axon and EDC, BigID
* Preferred Qualifications\- Education \&amp; Prior Job Experience
+ 5\+ years software solution development using agile, dev ops, product model that includes designing, developing, and implementing large\-scale applications or data engineering solutions.
+ 5\+ years data analytics experience using SQL
+ 3\+ years full\-stack development experience, preferably in Azure
+ 3\+ years of cloud development and data lake experience (prefer Microsoft Azure) including Azure EventHub, Azure Data Factory, Azure Functions, ADX, ASA, Azure Databricks, Azure DevOps, Azure Blob Storage, Azure Data Lake, Azure Power Apps and Power BI.
+ Airline Industry Experience
* Skills, Licenses \&amp; Certifications
+ Expertise with the Azure Technology stack for data management, data ingestion, capture, processing, curation and creating consumption layers.
+ Expertise in providing practical direction within the Azure Native cloud services.
+ Azure Development Track Certification (preferred)
+ Spark Certification (preferred)
**What You'll Get**
 Feel free to take advantage of all that American Airlines has to offer:
* Travel Perks: Ready to explore the world? You, your family and your friends can reach 365 destinations on more than 6,800 daily flights across our global network.
* Health Benefits: On day one, you’ll have access to your health, dental, prescription and vision benefits to help you stay well. And that’s just the start, we also offer virtual doctor visits, flexible spending accounts and more.
* Wellness Programs: We want you to be the best version of yourself – that’s why our wellness programs provide you with all the right tools, resources and support you need.
* 401(k) Program: Available upon hire and, depending on the workgroup, employer contributions to your 401(k) program are available after one year.
* Additional Benefits: Other great benefits include our Employee Assistance Program, pet insurance and discounts on hotels, cars, cruises and more
**Feel free to be yourself at American**
 From the team members we hire to the customers we serve, inclusion and diversity are the foundation of the dynamic workforce at American Airlines. Our 20\+ Employee Business Resource Groups are focused on connecting our team members to our customers, suppliers, communities and shareholders, helping team members reach their full potential and creating an inclusive work environment to meet and exceed the needs of our diverse world.
 Are you ready to feel a tremendous sense of pride and satisfaction as you do your part to keep the largest airline in the world running smoothly as we care for people on life’s journey? Feel free to be yourself at American.</t>
        </is>
      </c>
    </row>
    <row r="98">
      <c r="A98" t="inlineStr">
        <is>
          <t>li-4358589793</t>
        </is>
      </c>
      <c r="B98" t="inlineStr">
        <is>
          <t>Data Engineer</t>
        </is>
      </c>
      <c r="C98" t="inlineStr">
        <is>
          <t>Mayo Clinic</t>
        </is>
      </c>
      <c r="D98" t="inlineStr">
        <is>
          <t>linkedin</t>
        </is>
      </c>
      <c r="E98">
        <f>HYPERLINK("https://www.linkedin.com/jobs/view/4358589793", "https://www.linkedin.com/jobs/view/4358589793")</f>
        <v/>
      </c>
      <c r="F98" t="inlineStr"/>
      <c r="G98" t="inlineStr">
        <is>
          <t>Rochester, MN</t>
        </is>
      </c>
      <c r="H98" t="inlineStr"/>
      <c r="I98" t="inlineStr">
        <is>
          <t>City Rochester
 State MN
 Remote YES
 Department Information Technology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Data Engineer gains access to data across the organization and provides ongoing analysis of the data by monitoring, profiling and analyzing databases. Requires a mix of functional, data and technical skills. The right candidate must be able to understand business requirements, translate them into information needs and implement those requirements using data available. The hire will be responsible for expanding and optimizing data architecture, as well as optimizing data flow and collection for cross functional teams. The ideal candidate is an experienced data pipeline builder and data wrangler who enjoys optimizing data systems. The Data Engineer will support our software developers, database architects, and data analysts and data scientists on data initiatives and will ensure optimal data delivery architecture is consistent throughout ongoing projects.
**Core Job Duties Include**
* Assemble large, complex data sets that meet functional / non\-functional business requirements.
* Strong knowledge of SQL required. Ability to identify sets and subsets of information across multiple joins or unions of tables is preferred in addition to writing and troubleshooting SQL queries for data mining
* Perform complex data analysis and investigation for customer requests to explain results and to make appropriate recommendations.
* Strong understanding of data modeling concepts
* Problem solver with the initiative to think critically to identify improvement opportunities (error detection, error correction, root cause analysis)
* Understand ETL that will aid in verification and testing of data
* Build processes supporting data transformation, data structures, metadata, dependency and workload management.
* A successful history of manipulating, processing and extracting value from large disconnected datasets.
* Analyze business objectives and develop data solutions to meet customer needs.
* Demonstrated ability to effectively participate in multiple, concurrent projects
* Improve and customize current data solutions to meet business functional and non\-functional requirements.
* Research new and existing data sources in order to contribute to new development, improve data management processes, and make recommendations for data quality initiatives.
* Perform periodic data quality reviews for internal and external data.
* Ensure timely resolution of queries and data issues.
* Look for new ways to find and collect data by researching potential new sources of information.
* Work with data and analytics experts to strive for greater functionality in our data systems.
 This is a full time, remote position within the United States. Mayo Clinic will not sponsor or transfer visas for this position including F1 OPT STEM.
**Qualifications**
 Bachelor's degree in Computer Science, Engineering, or related field from an accredited University or College; OR an Associate’s degree in Computer Science, Engineering, or related field from an accredited University or College with 2 years of experience. Demonstrated ability to analyze and profile data as a means to address various business problems through leveraging advanced data modeling, source system databases, or data mining techniques, is required. May provide consultative services to departments/divisions and committees. Demonstrated application of several problem\-solving methodologies, planning techniques, continuous improvement methods, and analytical tools and methodologies (e.g. data analysis, data profiling, modeling, etc.) required. Incumbent must have ability to manage a varied workload of projects with multiple priorities and stay current on healthcare trends and enterprise changes. Interpersonal skills and time management skills are required. Requires strong analytical skills and the ability to identify and recommend solutions, advanced computer application skills and a commitment to customer service. Experience with data analysis, quality, and profiling; including data exploration tools including but not limited to Rapid SQL, AQT, Information Analyzer, and Informatics.
 Experience with Python, Oracle OCI/FDI/ODI, Automation/AI Experiences, Google Cloud and/or Microsoft Azure data engineering preferred.
**Exemption Status**
 Exempt
**Compensation Detail**
 $ 100,339\.20 \- $140,462\.40 / year
**Benefits Eligible**
 Yes
**Schedule**
 Full Time
**Hours/Pay Period**
 80
**Schedule Details**
 Monday \- Friday, 8am \- 5pm. Rotating on\-call 24x7 schedule.
**Weekend Schedule**
 As needed for rotating on\-call 24x7 schedule.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 Mayo Clinic participates in E\-Verify and may provide the Social Security Administration and, if necessary, the Department of Homeland Security with information from each new employee's Form I\-9 to confirm work authorization.
**Recruiter**
 Ted Keefe</t>
        </is>
      </c>
    </row>
    <row r="99">
      <c r="A99" t="inlineStr">
        <is>
          <t>li-4352093395</t>
        </is>
      </c>
      <c r="B99" t="inlineStr">
        <is>
          <t>Data Engineer</t>
        </is>
      </c>
      <c r="C99" t="inlineStr">
        <is>
          <t>Seed Health</t>
        </is>
      </c>
      <c r="D99" t="inlineStr">
        <is>
          <t>linkedin</t>
        </is>
      </c>
      <c r="E99">
        <f>HYPERLINK("https://www.linkedin.com/jobs/view/4352093395", "https://www.linkedin.com/jobs/view/4352093395")</f>
        <v/>
      </c>
      <c r="F99" t="inlineStr"/>
      <c r="G99" t="inlineStr"/>
      <c r="H99" t="inlineStr"/>
      <c r="I99" t="inlineStr">
        <is>
          <t>Seed Health is a microbiome science company pioneering clinically validated innovations for gut and whole\-body health. Rooted in rigorous research and peer\-reviewed studies, Seed is setting new standards for efficacy, safety, and trust in the biotics category. Our flagship innovation, DS\-01® Daily Synbiotic, is a pre\- and probiotic studied in multiple human clinical trials and trusted by over one million people for its systemic benefits, including gut, skin, immune, and heart health. Our pipeline of gut\-directed innovations, developed in collaboration with world\-renowned researchers and clinicians, harnesses the microbiome as a driver of longevity, systemic health, and daily well\-being. Grounded in the ethos that human and planetary health are interconnected, our environmental research division, SeedLabs, advances microbial interventions to enhance biodiversity and help restore ecosystems impacted by human activity.
* seed.com
**You**
 As our Data Engineer, you will be the architect and steward of Seed's data infrastructure. You have a deep passion for building reliable, scalable data systems that empower teams to make data\-driven decisions. You will own our data pipelines, warehouse infrastructure, and custom integrations—ensuring data quality, accessibility, and performance across the organization.
 This role requires both strategic vision and hands\-on execution. You're as comfortable architecting data warehouse schemas as you are debugging a failed Fivetran sync at 9am. You bring both systems\-level thinking and meticulous attention to data quality in everything you build.
* 4\+ years of professional data engineering experience
* Expert\-level knowledge of modern data stack (Snowflake, dbt, Fivetran, Airflow)
* Experience building custom ETL/ELT pipelines and API integrations
* Proven ability to design data warehouse architectures and optimize query performance
* Deep knowledge of SQL, Python, and data modeling best practices
* Strong collaboration and communication skills across technical and non\-technical teams
**What You'll Do**
 Own the Data Infrastructure
* Build and maintain production\-ready data pipelines that power business intelligence, experimentation, and scientific discovery
* Manage and optimize our Snowflake data warehouse—monitoring performance, costs, and query efficiency
* Make technical architectural decisions about data modeling, warehouse design, and pipeline orchestration
* Drive reliability and observability across the data stack through monitoring, alerting, and documentation
* Partner with Analytics and Reporting team to ensure the infrastructure serves both technical and business needs
 Champion Data Quality \&amp; Reliability
* Act as the engineering checkpoint for data integrity, ensuring accuracy, completeness, and timeliness
* Implement robust data quality testing, validation, and monitoring frameworks
* Design and maintain data governance policies, access controls, and security standards
* Troubleshoot and resolve data pipeline failures with urgency and precision
 Lead Custom Integration Development
* Build custom ETL/ELT solutions for data sources not supported by out\-of\-the\-box connectors
* Design API integrations with third\-party platforms (Amazon Seller Central, advertising platforms, etc.)
* Develop scalable, maintainable code with comprehensive error handling and logging
* Deploy and orchestrate jobs using Heroku, Airflow, or similar scheduling tools
* Monitor production systems and respond to failures proactively
 Bridge Data \&amp; Business
* Translate stakeholder data requirements into technical solutions
* Collaborate with Analytics, Product, and Marketing teams on feasibility and technical guidance
* Participate in data architecture discussions with Engineering leadership
**Skills You Bring**
 Technical Expertise
* Snowflake and SQL: Query optimization, warehouse management, access controls
* Modern data stack: Fivetran, dbt, Airflow, and cloud data warehouses
* Python: ETL/ELT scripting and API integrations
* Data modeling: Dimensional modeling, star schemas, slowly changing dimensions
* Orchestration: Airflow, Dagster, or similar scheduling tools
* Data quality: Great Expectations, dbt tests, or similar frameworks
* DevOps: Version control and CI/CD for data pipelines
 Nice to Have
* Experience with e\-commerce platforms (Amazon Seller Central, Shopify) and advertising APIs
* Familiarity with BI tools (Tableau, Looker)
* Knowledge of data science workflows and ML pipelines
* Background in health, wellness, or science\-focused consumer brands
* Experience at high\-growth DTC or subscription companies
**Compensation**
**Salary Range:** 
 $135,000 \- $155,000 annually \+ equity \+ benefits
 The annual pay range for this full\-time position is based across all US locations (this position is 100% remote\-US). Our pay ranges are guided by discipline, level and experience required. Within the range, individual pay may vary based on additional factors, including your specific location, desired skills/technical competency, relevant experience and advanced education/training.
**Benefits \+ Perks:**
***Health \&amp; Wellness***
 : Choose from multiple medical, dental, and vision plans, with generous employer contributions and coverage options to meet your needs. Enjoy access to top\-tier virtual care and a complimentary Aaptiv membership for fitness and mental wellness. We also provide an HSA with employer contributions, along with Fullscript discounts for supplements.
***Mental Health Support***
 : All employees and eligible dependents receive 12 free therapy sessions per year, plus coaching, meditation, and 24/7 access to Spring Health’s digital tools and care navigation.
***Long Term Wealth Planning***
 : Invest in your future with our 401(k) plan through Betterment, featuring a 100% match on the first 3% and 50% on the next 2% of contributions—fully vested from day one.
***Supporting Families***
 : Our Parental Leave Policy includes 18 weeks of fully paid leave, with the flexibility to phase your return. We also offer four weeks of paid transition time at 80% capacity or four days per week.
***Time to Recharge***
 : Seed offers 15 vacation days, 7 sick/safe days, 2 personal days, 10 Recharge Days (Summer \+ Winter), and 15 paid company holidays each year.
***Work Flexibly***
 : Thrive in a remote\-first culture that prioritizes autonomy and clarity. You’ll also receive a $750 one\-time remote work setup stipend and ongoing access to a $450 quarterly wellness and workplace stipends via JOON.
***And More***
 : Access pet insurance, life and disability coverage, learning \&amp; development, and a vibrant culture rooted in science and impact.
*Seed is an equal opportunity employer. For us, diversity isn’t an HR metric—it is the result of billions of years of evolution; it’s our nature. To serve our community inclusively means to cultivate a relative abundance of perspectives, backgrounds, geographies, and experiences. Like in biology, each role and its function is key to the productivity, sustainability, and resilience of our ecosystem.*
*Seed Health does not accept unsolicited resumes from individual recruiters or third party recruiting agencies in response to job postings. No fee will be paid to third parties who submit unsolicited candidates directly to our hiring managers or any employee of the Seed team. All candidates must be submitted via our Applicant Tracking System by approved Seed Health vendors who have been requested to make a submission by our Talent Acquisition team for a specific job opening.*</t>
        </is>
      </c>
    </row>
    <row r="100">
      <c r="A100" t="inlineStr">
        <is>
          <t>li-4331900412</t>
        </is>
      </c>
      <c r="B100" t="inlineStr">
        <is>
          <t>Data Engineer</t>
        </is>
      </c>
      <c r="C100" t="inlineStr">
        <is>
          <t>PrePass</t>
        </is>
      </c>
      <c r="D100" t="inlineStr">
        <is>
          <t>linkedin</t>
        </is>
      </c>
      <c r="E100">
        <f>HYPERLINK("https://www.linkedin.com/jobs/view/4331900412", "https://www.linkedin.com/jobs/view/4331900412")</f>
        <v/>
      </c>
      <c r="F100" t="inlineStr"/>
      <c r="G100" t="inlineStr">
        <is>
          <t>Phoenix, AZ</t>
        </is>
      </c>
      <c r="H100" t="inlineStr"/>
      <c r="I100" t="inlineStr">
        <is>
          <t>**About PrePass**
 PrePass® is North America's most trusted weigh station bypass and toll management platform. We're transforming how the transportation industry operates—creating solutions that keep trucks moving safely, efficiently, and compliantly. This means making bold decisions and building systems that support not only fleets but the broader economy. It all starts with enabling commercial vehicles to keep rolling with seamless toll management, weigh station bypass, and safety solutions. It's what we do best, and we do it to meet the demands of the road every day.
 That's why people join us: our solutions are implemented in real\-time, on highways and interstates across the nation, helping fleets go farther, faster. This work challenges and rewards, presenting complex problems that need ambitious answers. We hire bold thinkers with a heart for impact, a passion for progress, and the optimism to shape the future of transportation.
**About The Role**
 We're looking for a skilled Data Engineer to join our team in the transportation sector. In this role, you'll work with modern cloud technologies to build and maintain data pipelines that support analytics, reporting, and operational insights. You'll be part of a collaborative team focused on delivering reliable, scalable data solutions that help drive smarter decision\-making across the organization.
 This is a great opportunity for someone with solid experience in backend data systems who enjoys solving real\-world problems and working with evolving data platforms. This is a hybrid position located at our office in downtown Phoenix.
**Key Responsibilities**
* Design, develop, and maintain cloud\-native data pipelines leveraging Databricks, Microsoft Azure Data Factory, and Microsoft Fabric to support robust data integration and analytics solutions
* Implement incremental and real\-time data ingestion strategies using medallion architecture for data lake storage
* Write and optimize complex SQL queries to transform, integrate, and analyze data across enterprise systems
* Support and troubleshoot legacy data platforms built on SSIS and SQL Server, ensuring high availability and performance of critical data processes
* Develop features with a focus on scalability, maintainability, and testability
* Troubleshoot and resolve data integration and quality issues, ensuring reliable data delivery
* Participate in proof\-of\-concept projects, providing technical analysis and recommendations
**Requirements**
****Required****
* 5\+ years of experience designing and building data solutions
* Strong proficiency in SQL and Python for data analytics and transformation
* Experience with ETL pipeline development and automation
* Solid understanding of Data Lake architecture and design principles
* Excellent collaboration skills and the ability to adapt in a dynamic environment
**Preferred**
* Experience with Azure Cloud services and cloud\-based ETL tools
* Familiarity with data visualization tools such as Power BI or Tableau
* Understanding of event\-driven architectures, including queues, batch processing, and pub/sub models
* Exposure to NoSQL databases like MongoDB or Cassandra
**Bonus Points For**
* Experience in Data Science or Machine Learning, particularly in model deployment or feature engineering
**Benefits**
****How We Will Take Care of You****
* Robust benefit package that includes medical, dental, and vision that start on date of hire
* Paid Time Off, to include vacation, sick, holidays, and floating holidays
* 401(k) plan with employer match
* Company\-funded "lifestyle account" upon date of hire for you to apply toward your physical and mental well\-being (i.e., ski passes, retreats, gym memberships)
* Tuition Reimbursement Program
* Voluntary benefits, to include but not limited to Legal and Pet Discounts
* Employee Assistance Program (available at no cost to you)
* Company\-sponsored and funded "Culture Team" that focuses on the Physical, Mental, and Professional well\-being of employees
* Community Give\-Back initiatives
* Culture that focuses on employee development initiatives
**Join Us**
**At PrePass, our mission drives us.**
 We invest in relationships. We challenge ourselves to innovate and improve. We win together. Simply put, we live our Core Values.
**Ready to help move the transportation industry forward? Join us and let's drive progress—together.**</t>
        </is>
      </c>
    </row>
    <row r="101">
      <c r="A101" t="inlineStr">
        <is>
          <t>li-4352143220</t>
        </is>
      </c>
      <c r="B101" t="inlineStr">
        <is>
          <t>Data Engineer</t>
        </is>
      </c>
      <c r="C101" t="inlineStr">
        <is>
          <t>City of McKinney</t>
        </is>
      </c>
      <c r="D101" t="inlineStr">
        <is>
          <t>linkedin</t>
        </is>
      </c>
      <c r="E101">
        <f>HYPERLINK("https://www.linkedin.com/jobs/view/4352143220", "https://www.linkedin.com/jobs/view/4352143220")</f>
        <v/>
      </c>
      <c r="F101" t="inlineStr"/>
      <c r="G101" t="inlineStr">
        <is>
          <t>McKinney, TX</t>
        </is>
      </c>
      <c r="H101" t="inlineStr"/>
      <c r="I101" t="inlineStr">
        <is>
          <t>**Summary**
**WORKING FOR THE CITY OF MCKINNEY**
 Working for the City of McKinney is more than a job. It is an opportunity to make a meaningful difference in the lives of others. It is also an opportunity to have a hand in the development of one of the fastest growing communities in the nation. Proudly recognized on the Top Workplaces USA list by USA TODAY, our team is dedicated to making McKinney one of the best places to work, live, and raise a family. That’s why we exist. Join us and start making a difference today.
**OUR CORE VALUES**
 City of McKinney employees work hard and at a very fast pace. However, we also look after and support one another. All of us are guided by four employee\-inspired values – Respect, Integrity, Service, and Excellence (RISE). We are also supported by servant\-based leaders who foster and support a healthy, family\-oriented culture. All new employees are expected to embrace and live by our core values and commit to helping us sustain our exceptional work environment as a high\-performance organization (HPO).
**Summary Of Position**
 The Data Engineer is responsible for building, optimizing, and maintaining data pipelines and models that support data\-driven decision making and actionable business insights; identifying, collecting, and analyzing data and workflows to create innovative and advanced solutions that can improve operational and service\-level efficiencies, while also creating and implementing special programs and initiatives that further the goals and objectives of the City. The Data Engineer collaborates with cross\-functional teams, including data architects, analysts, and business stakeholders, to translate business requirements into technical solutions, ensuring data integrity, accessibility, and security.
**Essential Functions/Knowledge, Skills, \&amp; Abilities**
**GENERAL EXPECTATIONS FOR ALL EMPLOYEES**
 In order for us to continue to achieve our primary function of making McKinney a better place to live, work, and raise a family, we hold these expectations for all employees.
* Learn and demonstrate an understanding of how team, department, and City goals are interconnected.
* Contribute to a positive work culture.
* Maintain regular and reliable attendance.
* Ability to assess his/her work performance or the work performance of the team.
* Contribute to the development of others and/or the working unit or overall organization.
* Ability and willingness to work as part of a team, to demonstrate team skills, and to perform a fair share of team responsibilities.
* Ability to continuously learn and develop through a mix of internal and external training opportunities, and if applicable, encourage subordinates to do the same.
**Essential Duties And Responsibilities**
* Identify, collect, organize, and analyze data and workflows to support advanced solutions that are customer\-focused and lead to improved operational and service\-level efficiencies.
* Collaborate with internal customers to understand data requirements.
* Design and implement scalable and efficient data pipelines from data warehouses or data lakes to the end business user.
* Apply data transformation techniques to cleanse, validate, and enrich incoming data, ensuring its quality, integrity, and consistency.
* Design and construct data warehouse schemas and tables to optimize data storage, retrieval, integration, and analytics performance.
* Develop and maintain data models to support reporting, analytics, and visualization needs.
* Continuously monitor and enhance data pipelines and warehouse performance, identifying and resolving bottlenecks, and optimizing data retrieval and processing times.
* Create and maintain comprehensive documentation for data pipelines, data models, and data dictionaries to facilitate knowledge sharing and support data governance initiatives.
* Maintain an extensive knowledge of the datasets associated with the applications used by the City while maintaining a broad understanding of the services offered by City employees and how the two may correlate.
* Design, develop, and integrate scripts that automate business processes, spatial and non\-spatial tasks, and procedures using tools such as SQL, Python, and/or R.
* Establish and enforce data governance policies, ensuring data accuracy, security, and compliance with industry regulations (e.g., PCI\-DSS, HIPAA, CJIS).
* Assess and recommend tools, technologies, and platforms to support data engineering needs.
* Maintain awareness of new technologies and advances in the profession; reading professional literature; attending workshops and training sessions as appropriate.
* Produce detailed, consistent, error\-free work based on defined parameters.
* Adhere to assigned work schedule and department attendance policies and procedures.
* Travel to meetings, trainings, and City events as necessary.
* Comply with all written City policies and procedures.
**Other Job Functions**
* Perform other duties as assigned or directed.
**Knowledge, Skills, Abilities, And Behaviors**
* Ability to embrace and embody the City’s core values of Respect, Integrity, Service, and Excellence (R.I.S.E.).
* Ability to communicate effectively with peers, supervisors, subordinates, and people to whom service is provided.
* Ability to produce desired work outcomes, including quality, quantity, and timeliness.
* Ability to plan and organize work, time, and resources, and if applicable, that of subordinates.
* Ability to forge strong professional relationships with internal staff, in an outgoing and friendly way.
* Proficiency with software tools, applications, and languages including, but not limited to, SQL, Python, Cloud Computing, YAML, Snowflake), Power BI, Shell, and/or JSON.
* Skill to evaluate, audit, deduce, and/or analyze data.
- Skilled and proactive project manager with ability to independentlyplan,coordinate,andorganizework;setpriorities,andmeetcriticaldeadlines.
- Ability to identify and resolve problems in atimely,efficient,andeffectivemanner.
- Ability to summarize complicated technical issues in a brief, common\-sense manner.
- Technical writing experience in relevant areas, including queries, reports, and presentations.
- Ability to quickly gain job knowledge and technical competency through independent learning, collaborative training, and supportive coaching from management and peers.
* Ability to learn and effectively communicate about professional fields which may be outside the employee’s previous experience.
* Ability to exercise the independent judgment, decisiveness, and creativity required in situations involving the evaluation of data against measurable or verifiable criteria.
* Skill in facilitating discussions and interaction with potentially large groups of individuals.
* Ability to work in ateamenvironment;contributeasateammemberandtreatco\-workers,subordinates,andcustomerswithrespect.
* Ability to multi\-task in a high activity/energy professional environment that includes multiple and concurrent projects and project deadlines
* Exhibits flexibility and adaptability, especially during times of change.
**Required Qualifications**
**MINIMUM QUALIFICATIONS**
**Any work related experience resulting in acceptable proficiency levels in the below Minimum Qualifications may be an acceptable substitute.**
 Bachelor’s degree in Computer Science, Information Systems, Software/Computer Engineering, Data Science, or a related field. Three (3\) years of experience in ELT/ETL pipeline development, data warehousing/modeling, data quality and governance.
**Preferred Qualifications**
* Master’s degree in Computer Science, Information Systems, Data Science, Data Engineering, or a related field.
* Industry\-recognized certifications such as Cloud Data Engineering Certificates (Data Engineer Associate, AWS Certified Data Engineer Associate, or Google Professional Data Engineer); dbt Developer/Fundamentals; Certified Data Management Professional (CDMP);: Microsoft Power BI Data Analyst.
* Two (2\) years of experience with data lakehouse architectures and tools (e.g., Snowflake, Databricks).
**CONDITIONS OF EMPLOYMENT**
* Must pass a drug screen and background check.
* Must have Class C Texas Driver’s License.
* Must have or obtain CJIS Certification within 30 days of hire.
* Must obtain Snowflake SnowPro Core within 6 months of hire.
* Must obtain Snowflake SnowPro Advanced: Data Engineer within 12 months of hire.
**Physical Demands/Supplemental**
**PHYSICAL** 
**DEMANDS**
 Tasks involve the ability to exert light physical effort in sedentary to light work, but which may involve some lifting, carrying, pushing, and/or pulling of objects and materials of light weight (5\-10 pounds). Tasks may involve extended periods of time at a keyboard or workstation. Some tasks require visual and sound perception and discrimination and oral communications ability.
**WORK ENVIRONMENT**
 There is limited exposure to environmental conditions.
 The above statements describe the general nature and level of work being performed as of the date of preparation and approval. They are not to be construed as an exhaustive list of all responsibilities, duties, and skills required of the position. Employees holding this position will be required to perform any other job\-related duties as requested by management. The job description does not constitute an employment agreement between the employer and employee, and all requirements are subject to possible modification to reasonably accommodate individuals with disabilities.
 The City of McKinney is an equal opportunity employer (EOE) committed to an alcohol / drug free workplace and to providing equal opportunities regardless of age, race, color, gender, religion, national origin, marital status, veteran status, disability or any other legally protected status.</t>
        </is>
      </c>
    </row>
    <row r="102">
      <c r="A102" t="inlineStr">
        <is>
          <t>li-4359640911</t>
        </is>
      </c>
      <c r="B102" t="inlineStr">
        <is>
          <t>Data Engineer P-135</t>
        </is>
      </c>
      <c r="C102" t="inlineStr">
        <is>
          <t>SMASH</t>
        </is>
      </c>
      <c r="D102" t="inlineStr">
        <is>
          <t>linkedin</t>
        </is>
      </c>
      <c r="E102">
        <f>HYPERLINK("https://www.linkedin.com/jobs/view/4359640911", "https://www.linkedin.com/jobs/view/4359640911")</f>
        <v/>
      </c>
      <c r="F102" t="inlineStr"/>
      <c r="G102" t="inlineStr">
        <is>
          <t>Utah, United States</t>
        </is>
      </c>
      <c r="H102" t="inlineStr"/>
      <c r="I102" t="inlineStr">
        <is>
          <t>**SMASH, Who we are?**
 We believe in long\-lasting relationships with our talent. We invest time getting to know them and understanding what they seek as their professional next step.
 We aim to find the perfect match. As agents, we pair our talent with our US clients, not only by their technical skills but as a cultural fit. Our core competency is to find the right talent fast.
*This position is remote within the United States. You must have U.S. citizenship or a valid U.S. work permit to apply for this role.*
**Role Summary**
 You will design and operate scalable ETL and streaming pipelines that process contracts and invoices at high volume with strong data quality guarantees. This role focuses on building reliable data platforms that power analytics, ROI reporting, and compliance through robust governance, validation, and observability.
**Responsibilities**
* Design and maintain ETL pipelines to ingest contracts and invoices from PDF, DOCX, CSV, Excel, and webhook sources.
* Build scalable workflows for historical data migrations (10K\+ invoices per customer).
* Implement real\-time streaming pipelines for event\-driven integrations.
* Develop and manage an analytics data warehouse to support reporting, metrics, and trend analysis.
* Model customer\-specific datasets for ROI, savings, and exception reporting.
* Implement data validation checks for completeness, accuracy, and consistency.
* Build data quality monitoring, alerting, and dead\-letter queue handling.
* Implement PII/PHI detection, masking, and data retention policies (5\-year audit trail).
* Track data lineage from source through transformation to consumption.
* Optimize SQL queries and data models for performance and scalability.
* Collaborate with product, engineering, and analytics teams to evolve data requirements.
**Requirements – Must\-haves**
* Strong experience building and operating ETL pipelines in production environments.
* Proficiency in Python for data processing (pandas, numpy, pyspark).
* Advanced SQL skills with PostgreSQL, including data modeling and query optimization.
* Hands\-on experience with workflow orchestration tools (Airflow, Prefect, or similar).
* Experience designing and operating data warehouses (Redshift, BigQuery, or Snowflake).
* Familiarity with streaming platforms such as Kafka or Kinesis.
* Experience implementing data quality frameworks (Great Expectations or similar).
* Strong understanding of data validation, error handling, and monitoring best practices.
* Ability to design scalable systems handling large datasets and schema complexity.
**Nice\-to\-haves (optional)**
* Experience processing semi\-structured or unstructured data (PDF parsing, OCR).
* Exposure to healthcare, financial, or compliance\-driven data environments.
* Experience with data governance, lineage tools, or cataloging platforms.
* Familiarity with cloud\-native architectures and infrastructure\-as\-code.
* Experience building metrics pipelines for operational or customer\-facing analytics.</t>
        </is>
      </c>
    </row>
    <row r="103">
      <c r="A103" t="inlineStr">
        <is>
          <t>li-4329948151</t>
        </is>
      </c>
      <c r="B103" t="inlineStr">
        <is>
          <t>Data Engineer</t>
        </is>
      </c>
      <c r="C103" t="inlineStr">
        <is>
          <t>Solace</t>
        </is>
      </c>
      <c r="D103" t="inlineStr">
        <is>
          <t>linkedin</t>
        </is>
      </c>
      <c r="E103">
        <f>HYPERLINK("https://www.linkedin.com/jobs/view/4329948151", "https://www.linkedin.com/jobs/view/4329948151")</f>
        <v/>
      </c>
      <c r="F103" t="inlineStr"/>
      <c r="G103" t="inlineStr"/>
      <c r="H103" t="inlineStr"/>
      <c r="I103" t="inlineStr">
        <is>
          <t>*Solace is a healthcare advocacy marketplace that connects patients and families to experts who help them understand and take charge of their personal health*
**About The Role**
 At Solace, we are building the data foundation that will power patient outcomes. We are a small but growing team where everyone wears many hats and moves fast. We are looking for a Data Engineer who loves solving hard problems with clean, maintainable code and thrives in this high\-growth startup environment.
 In this role, you will architect the infrastructure that allows us to scale. You will be a core builder of our data platform, establishing the frameworks, standards, and best practices that will define our engineering culture for years to come. From raw data ingestion to complex modeling, your work will ensure that our data is not just available, but trusted, reliable, and ready for action.
**About Solace**
 Healthcare in the U.S. is fundamentally broken. The system is so complex that 88% of U.S. adults do not have the health literacy necessary to navigate it without help. Solace cuts through the red tape of healthcare by pairing patients with expert advocates and giving them the tools to make better decisions—and get better outcomes.
 We're a Series B startup, founded in 2022 and backed by Inspired Capital, Craft Ventures, Torch Capital, Menlo Ventures, and Signalfire. Our fully remote U.S. team is lean, mission\-driven, and growing quickly.
 Solace isn't a place to coast. We're here to redefine healthcare—and that demands urgency, precision, and heart. If you're looking to stretch yourself, sharpen your edge, and do the best work of your life alongside a team that cares deeply, you're in the right place. We’re intense, and we like it that way.
***Read more in our Wall Street Journal funding announcement***
***here.***
 What You’ll Do
* Architect Robust Pipelines: Design, build, and optimize scalable data pipelines using Airflow, Python, dbt, and Snowflake. You will replace brittle manual processes with resilient, automated workflows.
* Build Infrastructure as Code: Manage and evolve our cloud infrastructure (AWS/GCP) using Terraform, ensuring our platform is reproducible, secure, and scalable.
* Elevate Code Quality: Write clean, production\-grade code for complex data processing. You will champion engineering best practices, including code reviews, testing, and CI/CD.
* Optimize Data Models: Collaborate with analysts to design performant SQL transformations and data models in Snowflake (experience with dbt is a huge plus).
* Ensure Data Reliability: Implement observability and monitoring to catch issues before they impact stakeholders. You are the first line of defense for data quality.
* Partner Cross\-Functionally: Work closely with Data Analysts and Product Managers to understand their data needs and deliver high\-quality data products that empower decision\-making.
 What You Bring to the Table
* trong Python Proficiency: You are comfortable writing modular, testable, and efficient Python code for data processing and automation.
* Advanced SQL \&amp; Snowflake: You have deep expertise in SQL and cloud data warehousing (Snowflake preferred), understanding how to optimize queries for performance and cost.
* Orchestration Mastery: Proven experience building and maintaining complex workflows using Airflow (or similar tools).
* Infrastructure Mindset: Familiarity with Terraform and cloud services (AWS or GCP). You understand how to provision and manage the resources your pipelines run on.
* Security \&amp; Stewardship: You understand the gravity of handling sensitive medical data. You are experienced in properly handling PHI and PII, implementing secure access controls (RBAC), and adhering to strict governance standards.
* Startup DNA: You are a self\-starter who is comfortable with ambiguity. You take ownership of problems and are willing to wear many hats to get the job done.
* Communication Skills: You can translate complex technical challenges into clear options for non\-technical stakeholders.
 Bonus Points
* dbt Expertise: Experience using dbt to manage transformations and implement testing/documentation standards.
* Healthcare Background: Experience working with healthcare data standards or strictly regulated environments (HIPAA) a plus.
* Containerization: Experience with Docker and Kubernetes for deploying data applications.
 Our Tech Stack
* Compute \&amp; Storage: Snowflake, Postgres
* Orchestration: Airflow
* Infrastructure: Terraform, AWS/GCP
* Transformation: dbt, SQL, Python
*Applicants must be based in the United States.*
**Up for the Challenge?**
 We look forward to meeting you.
**Fraudulent Recruitment Advisory:** 
 Solace Health will
 **NEVER** 
 request bank details or offer employment without an interview. All legitimate communications come from official solace.health emails only or ashbyhq.com. Report suspicious activity to recruiting@solace.health or advocate@solace.health.</t>
        </is>
      </c>
    </row>
    <row r="104">
      <c r="A104" t="inlineStr">
        <is>
          <t>li-4359660648</t>
        </is>
      </c>
      <c r="B104" t="inlineStr">
        <is>
          <t>Analytics Engineer (Deployments)</t>
        </is>
      </c>
      <c r="C104" t="inlineStr">
        <is>
          <t>Base Power Company</t>
        </is>
      </c>
      <c r="D104" t="inlineStr">
        <is>
          <t>linkedin</t>
        </is>
      </c>
      <c r="E104">
        <f>HYPERLINK("https://www.linkedin.com/jobs/view/4359660648", "https://www.linkedin.com/jobs/view/4359660648")</f>
        <v/>
      </c>
      <c r="F104" t="inlineStr"/>
      <c r="G104" t="inlineStr">
        <is>
          <t>Austin, TX</t>
        </is>
      </c>
      <c r="H104" t="inlineStr"/>
      <c r="I104" t="inlineStr">
        <is>
          <t>**About Base**
 Base is America’s next\-generation power company. We’re rebuilding the foundation of modern civilization–electricity–by deploying a vast network of distributed batteries that is transforming today’s fragile, centralized grid into a resilient and abundant system. We are engineers, operators, and creatives solving some of the most complex, interdisciplinary challenges of our time.
**About The Role**
 Base is looking for a Deployment Engineer to architect the process for rapid deployments of hardware throughout the state of Texas. This pivotal role is focused on ensuring a positive customer experience and increased uptime of battery systems.
**What You'll Do**
* Audit data with SQL or similar tools to ensure the integrity and accuracy of deployment\-related data across various systems.
* Design and implement internal processes for scaling the deployment pipeline, focusing on data collection, quality assurance, and workflow efficiency.
* Build internal tools and dashboards (e.g., using Python, JavaScript, and various dashboarding platforms) to automate workflows and provide real\-time visibility into key operational metrics.
* Perform data analytics on the deployment pipeline to identify bottlenecks, measure process effectiveness, and drive continuous improvement initiatives.
* Collaborate with engineering and operations teams to translate operational needs into technical requirements for internal tools and data models.
* Set up and maintain data collection systems that enable comprehensive tracking of hardware deployment and performance.
* Develop and maintain documentation for internal tools, data models, and new operational processes.
**What You'll Bring**
* Degree in Engineering, Computer Science, or equivalent experience.
* 2\+ years of experience in a role focused on data analysis, process engineering, or internal tools development.
* Comfortable with SQL or similar database query languages; ability to write complex queries to extract and analyze data.
* A strong data\-driven mindset and proven ability to transform data into clear, actionable insights and recommendations.
* Demonstrated experience in building and developing processes that are scalable, repeatable, and documented.
* Proficiency in at least one scripting language (e.g., Python, JavaScript) for tool development and data manipulation.
* Experience with business intelligence or data visualization tools (e.g., Tableau, Looker, Metabase).
**Our Values**
* First Principles Thinking: Question assumptions. Principles \&gt; rules.
* Operate at Base Pace: Focus on what matters, act quickly, and learn by doing.
* Give \&amp; Get Feedback: Be direct, be humble, and maintain a growth mindset.
* Everyone’s an Owner: Follow through on commitments and own results.
* Strong Opinions, Loosely Held: Drive clarity and make calls with imperfect information.
* Committed to the Mission: Rebuilding the grid is a big challenge. We work hard because we care deeply about the impact we’re creating. We work in\-person. It’s not a 9\-to\-5\. We are all\-in.
* Fun \&amp; Optimism Coexist with Grit: Collaboration and celebration coincide with the intensity of building real things.
**Do the best work of your life at Base.**</t>
        </is>
      </c>
    </row>
    <row r="105">
      <c r="A105" t="inlineStr">
        <is>
          <t>li-4328813674</t>
        </is>
      </c>
      <c r="B105" t="inlineStr">
        <is>
          <t>Data Engineer</t>
        </is>
      </c>
      <c r="C105" t="inlineStr">
        <is>
          <t>PlanetArt</t>
        </is>
      </c>
      <c r="D105" t="inlineStr">
        <is>
          <t>linkedin</t>
        </is>
      </c>
      <c r="E105">
        <f>HYPERLINK("https://www.linkedin.com/jobs/view/4328813674", "https://www.linkedin.com/jobs/view/4328813674")</f>
        <v/>
      </c>
      <c r="F105" t="inlineStr"/>
      <c r="G105" t="inlineStr">
        <is>
          <t>Calabasas, CA</t>
        </is>
      </c>
      <c r="H105" t="inlineStr"/>
      <c r="I105" t="inlineStr">
        <is>
          <t>**Company And Vision**
 PlanetArt's vision is to be the leading seller of personalized and make\-on\-demand products worldwide. We provide consumers with unmatched tools and content and an unparalleled end\-to\-end customer experience that result in high\-quality, meaningful finished products and memorable celebrations of live events.
 The company's brands include the popular FreePrints and FreePrints Photobooks apps and the industry leading SimplytoImpress card and stationery site, as well as Personal Creations, CafePress and ISeeMe! Visit www.planetart.com to learn more about our brands.
 We have more than 500 team members across multiple offices, primarily in Calabasas CA, San Diego CA, Woodridge IL, Minneapolis, MN and Pleasanton, CA. We also have team members in two company\-owned offices in China, as well as in Europe.
**Job Overview**
 PlanetArt is looking for a Data Engineer to support the company's Forecasting \&amp; Pricing Group. This role is responsible for ETL of data from production systems into data warehouse for Data Science projects.
 PLEASE NOTE: Candidates much be local to or willing to relocate to the Calabasas area as we operate on a hybrid work model (3 days onsite, 2 remote)
**What You'll Do**
**Key Responsibilities**
* Creating data pipelines using extract, transform and load processes to streamline and manage data from different sources and make it understandable, accessible and usable
* Optimizing database systems for performance and integrating types of databases, warehouses and analytical systems.
* Implementing algorithms for data transformation and use and machine learning models to make data useful
* Partner with cross\-functional teams (Data Science, Sales, Finance, Supply Chain, Marketing, Operations) particularly to align forecasts with strategic and operational planning
* Identify key risks and opportunities within forecast assumptions and present recommendations to leadership
* Monitor deployed forecast model performance, track variances, and continuously refine methodologies
* Troubleshooting data\-related issues by identifying the main cause and fixing common issues in data pipelines.
* Design and deliver recurring reports, dashboards, and presentations for senior leadership
* Mentor and provide guidance to junior analysts on best practices in analytics
**Requirements**
**What You Should Have**
**Skills, Qualifications, And Requirements**
* 3\+ years of data engineering experience designing and developing large data pipelines using Apache Kafka, Apache Spark, and workflow management tools (Airflow) required
* 2\+ years of experience with data warehousing and data lake management including Amazon Redshift, and AWS S3 data lakes required
* 2\+ years of experience working with cloud\-based services like AWS Glue, serverless computing with AWS Lambda, and using Airflow on AWS required
* 3\+ years of experience using analytic SQL, working with traditional relational databases and/or distributed systems (Amazon S3, Redshift, MySQL, SQLServer), required
* 3\+ years of experience programming languages (e.g. Python, Pyspark, Spark) required
* 2\+ years of experience of data visualization with Tableau and PowerBI dashboards and reports required
* Strong understanding of data modeling principles including Dimensional modeling, data normalization principles
* Ability to independently perform performance optimization and troubleshooting for data pipelines and ML deployments
* Strong communication skills \- written and verbal presentations
* Excellent conceptual and analytical reasoning competencies
* Comfortable working in a fast\-paced and highly collaborative environment
* Familiarity with Agile Scrum principles and Atlassian software (Jira, Confluence)
**What You Can Expect**
**Working Conditions**
* Work is performed in an office environment with low to moderate noise levels
* Occasional lifting of up to 20 pounds
* Position requires regular, continuous use of computer
* Position requires regular sitting and standing
* Position requires regular interaction with team members through the following methods: in\-person, phone, Zoom, Slack, or email
* May require occasional travel
* This is a hybrid position; employees are expected to be in the office three days per week (Monday, Tuesday, and Thursday) with the option of working remotely two days (Wednesday and Friday)
**Benefits**
 The compensation range for this position is $92,000\-$100,000 annual salary.
**PlanetArt offers a comprehensive benefits package, including:**
* Health, Dental, and Vision Insurance
* Life Insurance
* Mental Health Benefits
* Pet Insurance
* 401(k) with matching</t>
        </is>
      </c>
    </row>
    <row r="106">
      <c r="A106" t="inlineStr">
        <is>
          <t>li-4359651512</t>
        </is>
      </c>
      <c r="B106" t="inlineStr">
        <is>
          <t>Senior Data Engineer</t>
        </is>
      </c>
      <c r="C106" t="inlineStr">
        <is>
          <t>GreenLite</t>
        </is>
      </c>
      <c r="D106" t="inlineStr">
        <is>
          <t>linkedin</t>
        </is>
      </c>
      <c r="E106">
        <f>HYPERLINK("https://www.linkedin.com/jobs/view/4359651512", "https://www.linkedin.com/jobs/view/4359651512")</f>
        <v/>
      </c>
      <c r="F106" t="inlineStr"/>
      <c r="G106" t="inlineStr">
        <is>
          <t>New York, NY</t>
        </is>
      </c>
      <c r="H106" t="inlineStr"/>
      <c r="I106" t="inlineStr">
        <is>
          <t>****Our Company****
 The U.S. construction permitting process is a black box. Over 500,000 forms and 20,000 processes, yet 95% of cities use the same building code. Every permitting delay costs businesses revenue, stalls expansion, and disrupts construction schedules.
 Founded in 2022 by builders, entrepreneurs, and industry experts, GreenLite eliminates permitting uncertainty for developers nationwide.
 We combine AI\-powered technology with an in\-house team of registered architects, engineers, and city planners to deliver the fastest, most predictable path to permit approval. Our expert\-led compliance process ensures plans are code\-ready before submission, reducing revisions, delays, and costs.
 GreenLite has raised
 **$86M in venture funding** 
 from leading investors including Insight Partners, Energize Capital, Craft Ventures, LiveOak Ventures, Trust Ventures, and Chicago Ventures. National brands, including Walgreens, TD Bank, and Driven Brands, trust us to accelerate approvals, reduce risk, and unlock growth.
 Why this role matters
 We’re a Series A startup re‑imagining how architects and municipalities collaborate on construction drawings. Our mission \-\- to cut municipal review time from months to days \-\- hinges on data that is both trustworthy and instantly accessible.
 As a key hire in our AI engineering organization, you’ll operate with a founder mindset, help in defining our long‑term data strategy, and align multiple squads behind it. Our product roadmap includes computer‑vision and large‑language‑model (LLM) capabilities; but those future models will only be as good as the data pipelines that feed them. As a Data Engineer, you will design, build, and own the batch‑and‑stream pipelines, quality gates, and metadata systems that make trustworthy data instantly available for ML experimentation and eventual production deployment: directly influencing company OKRs.
 What you’ll do
* Architect \&amp; implement end‑to‑end ETL/ELT workflows on AWS using state of the art tooling for this.
* Model the source‑of‑truth for drawings, annotations, reviewer feedback, and regulatory metadata; enforce data contracts through automated tests.
* Instrument \&amp; monitor lineage, freshness, and cost observability; drive clear SLOs for pipeline reliability that unblock ML training runs.
* Collaborate tightly with ML engineers and domain experts to prioritize new data sources, labeling strategies, and feature‑store requirements.
* Mentor teammates on data‑engineering craft; contribute to interviewing and onboarding to raise the bar.
* Continuously improve: identify systemic inefficiencies, automate away toil, and introduce tooling that accelerates model‑development velocity and monitors costs.
 You may be a fit if you
* Have 4‑7 years building data platforms at high‑growth companies or startups.
* Are fluent in Python, SQL and at least one modern orchestration framework. Bonus for having experience with Typescript and full stack development.
* Have shipped cloud‑native data stacks (Terraform/IaC a plus) and understand cost/performance trade‑offs.
* Familiarity with SOC2 Type 2 compliance and building compliant systems.
* Thrive in “debate, decide, deliver” cultures—turning ambiguous product goals into concrete, maintainable systems.
 Operating principles in action
**Own It** 
 : You act like the CEO of our data layer—no broken pipelines on your watch.
**Solve Real Problems** 
 : Every schema, pipeline, and quality check exists to deliver ML‑ready data that shortens training cycles and lifts model performance—turning raw construction files into fuel for CV \&amp; LLM models.
**Full Send** 
 : You move with urgency, never at the expense of data integrity.
**Be Real** 
 : Radical candor about trade‑offs and technical debt keeps the team honest.
**Ready to build the data backbone that will power cutting‑edge CV and LLM agents \&amp; models?**
****Thrive With GreenLite****
* Competitive Compensation \- Generous base salary \&amp; access to our Employee Equity Program, so you can grow with us.
* Performance\-Based Annual Bonuses \- Rewards for high\-impact results and contributions that move the needle.
* Premium Health Coverage \- Comprehensive medical, dental, and vision insurance for full\-time team members and their families.
* 401(k) Retirement Plan \- Helping you invest in your future with smart saving options.
* Parental Leave \- Generous parental leave for all parents to support your growing family.
* Wellness Support \- Monthly Wellness Stipend and full access to Wellhub, Talkspace, \&amp; Teladoc for your physical and mental well\-being.
* Weekly Team Lunches \- Enjoy catered lunches every week in our NYC office. Great food, better company.
* Company\-Wide Team All Hands \- Held twice a year, fostering transparency, alignment, and inspiration.
* Team\-Building Events \- Regular opportunities to connect, collaborate, and celebrate as a team.
* Unlimited PTO \- Flexible time off so you can recharge, travel, or take care of life as needed.
* Hybrid Work Environment – Our team thrives on collaboration, so we’re in the office 4 days per week. In the summer, from Memorial Day to Labor Day, we switch to a 3\-day in\-office schedule to give everyone extra flexibility.
****Equal Opportunity Statement****
 GreenLite values people from all walks of life and professional backgrounds. We understand not everyone will meet all the above qualifications on day one. That's okay. If you’re passionate about the construction industry and want the opportunity to grow in your career, we encourage you to apply.
*GreenLite is an equal employment opportunity employer,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t>
        </is>
      </c>
    </row>
    <row r="107">
      <c r="A107" t="inlineStr">
        <is>
          <t>li-4359661020</t>
        </is>
      </c>
      <c r="B107" t="inlineStr">
        <is>
          <t>Data Engineer I (US)</t>
        </is>
      </c>
      <c r="C107" t="inlineStr">
        <is>
          <t>TD</t>
        </is>
      </c>
      <c r="D107" t="inlineStr">
        <is>
          <t>linkedin</t>
        </is>
      </c>
      <c r="E107">
        <f>HYPERLINK("https://www.linkedin.com/jobs/view/4359661020", "https://www.linkedin.com/jobs/view/4359661020")</f>
        <v/>
      </c>
      <c r="F107">
        <f>HYPERLINK("https://td.wd3.myworkdayjobs.com/fr-CA/TD_Bank_Careers/job/Mount-Laurel-New-Jersey/Data-Engineer-I\u002d\u002dUS-_R_1455440-1?source=LinkedIn&amp;urlHash=5x4r", "https://td.wd3.myworkdayjobs.com/fr-CA/TD_Bank_Careers/job/Mount-Laurel-New-Jersey/Data-Engineer-I\u002d\u002dUS-_R_1455440-1?source=LinkedIn&amp;urlHash=5x4r")</f>
        <v/>
      </c>
      <c r="G107" t="inlineStr">
        <is>
          <t>Mount Laurel, NJ</t>
        </is>
      </c>
      <c r="H107" t="inlineStr"/>
      <c r="I107" t="inlineStr">
        <is>
          <t>**Work Location:**
 Mount Laurel, New Jersey, États\-Unis d'Amérique
**Hours**
 40
**Pay Details**
 $32\.22 \- $61\.06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Solutions technologiques
**Job Description**
 The Data Engineer I provides a broad range of data engineering functions including data modeling, data quality, data profiling, data acquisition and ingestion, extract transform load (ETL), metadata enrichment and management, data provenance and lineage, and other specialized data management functions.
**Depth \&amp; Scope**
* Foundational knowledge of data engineering frameworks, technologies, tools, processes, patterns, and procedures
* Performs moderately complex technical tasks independently
* Performs complex technical tasks under general supervision
* Foundational knowledge of TD applications, systems, networks, innovation, design activities, business, organization, best practices, and standards
* Designs and develops to meet business and technical requirements; analyzes, adapts, integrates, codes, tests, debugs, and executes
* Uses and evolves established patterns to solve routine problems; contributes to new patterns where necessary
**Education \&amp; Experience**
* Degree, Postgraduate Degree, or Technical Certificate in Data Management or related discipline (e.g. Computer Science, Engineering), or equivalent practical experience
* 2\+ years of relevant experience
**Customer Accountabilities**
* Performs data analysis and assesses data management requirements for a specific Platform or Journey
* Maintains foundational knowledge of upstream data, including knowledge provided through data profiling, data quality reporting, and via the production of metadata
* Supports the acquisition and ingestion of data
* Articulates technical design and development details to non\-technical business partners
* Elicits, analyzes, and understands business and data requirements to develop complete business solutions under the guidance of senior peers and managers, including data models (entity relationship diagrams, dimensional data models), ETL and business rules, data life\-cycle management, governance, lineage, and metadata
* Ensures data is maintained in compliance with enterprise data standards, policies, and guidelines
* Develops and maintains data models using industry standard modeling tools
* Develops and maintains ETL jobs using the Bank's standard tools
* Provides support to the development and testing teams to resolve data issues
* Supports partners and stakeholders in interpreting and analyzing data
* Builds effective working relationships to collaborate with peers and partners on personal deliverables
* Provides data governance and availability support
**Shareholder Accountabilities**
* Coordinates with technology work teams such as ITS, ARE, etc. to ensure overall delivery success
* Supports the QA team with any data loads and data analysis/investigations as part of SIT/UAT/PAT testing
* Provides post implementation support to the production support team during the warranty period
* Executes code check\-in/ check\-out into source code repository as part of source code management
* Works closely with ITS/ ARE teams to support code packaging \&amp; deployment (CI \&amp; CD) into higher environments
* Is an active participant in the design \&amp; architecture reviews of the application
* Raises service\-now requests and works with the change management team to support release management activities
* Understands data engineering initiatives and capabilities, data governance principles and how they apply across the organization
* Ensures metadata and data lineage is captured and compatible with enterprise metadata and data management tools and processes
* Adheres to standard security coding practices to ensure application is free of most common coding vulnerabilities
* Ensures privacy, security, governance, and access controls are properly adhered to
* Ensures technical decisions, technical risks and lessons learned are clearly documented and enhancements are accordingly implemented
* Protects the interests of the organization – identifies and manages risks, and escalates non\-standard, high\-risk activities as necessary
* Adheres to internal policies/procedures and applicable regulatory guidelines
**Employee/Team Accountabilities**
* Participates fully as a member of the team, supports a positive work environment that promotes service to the business, quality, innovation and teamwork and ensures timely communication of issues / points of interest
* Supports the team by continuously enhancing knowledge / expertise in own area and participates in knowledge transfer within the team and business unit
* Keeps current on emerging trends / developments and grows knowledge of the business, related tools and techniques
* Participates in personal performance management and development activities, including cross training within own team
* Keeps others informed and up\-to\-date about the status / progress of projects and / or all relevant or useful information related to day\-to\-day activities
* Contributes to the success of the team by willingly assisting others in the completion and performance of work activities; provides training, coaching and/or guidance as appropriate
* Contributes to a fair, positive and equitable environment that supports a diverse workforce
* Acts as a brand ambassador for your business area/function and the bank, both internally and/or externally
**Preferred Qualifications**
* Databricks
* Azure
* Python
* PySpark
* ADF
* Data Products
* Banking domain experience strongly desired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108">
      <c r="A108" t="inlineStr">
        <is>
          <t>li-4331282198</t>
        </is>
      </c>
      <c r="B108" t="inlineStr">
        <is>
          <t>Data Engineer</t>
        </is>
      </c>
      <c r="C108" t="inlineStr">
        <is>
          <t>Permian Resources</t>
        </is>
      </c>
      <c r="D108" t="inlineStr">
        <is>
          <t>linkedin</t>
        </is>
      </c>
      <c r="E108">
        <f>HYPERLINK("https://www.linkedin.com/jobs/view/4331282198", "https://www.linkedin.com/jobs/view/4331282198")</f>
        <v/>
      </c>
      <c r="F108" t="inlineStr"/>
      <c r="G108" t="inlineStr">
        <is>
          <t>Midland, TX</t>
        </is>
      </c>
      <c r="H108" t="inlineStr"/>
      <c r="I108" t="inlineStr">
        <is>
          <t>**Job Description**
 Permian Resources (NYSE: PR) is currently seeking a Data Engineer reporting to the Enterprise Data Sr. Manager in Midland, Texas or The Woodlands, Texas. This position will be responsible for the below responsibilities. The ideal candidate will have strong technical as well as communication skills and be able to contribute his/her expertise while working on multi\-disciplinary team in a fast\-paced environment.
**General Responsibilities**
* Integrated member of the Data \&amp; Analytics Team responsible for data engineering within Databricks for all the business teams at Permian Resources
* Responsible for designing, building, and optimizing data pipelines from source systems into an analytics ready environment
* Convert raw data into usable formats for data consumers
* Monitor and support the development and production environments within Databricks to ensure system availability and quality
* Continuously develop, test, and manage the data pipelines
* Build data pipelines that transform, clean, and aggregate data from the disparate systems
* Develop data models and pipelines for reporting, dashboards, and machine learning
* Collaborate with multiple business SMEs, data scientists and IT members to provide reliable and clean data
* Work on multiple projects in a fast\-paced environment
**Minimum Qualifications**
* Proven experience within the Databricks Data Engineering platform or similar
* BS/BA in Business Analytics, Computer Science, Statistics, or relevant field
* Proficient knowledge of SQL, Python, R or other similar languages
* Must be self\-motivated and capable of independently integrating within multi\-disciplinary teams
* Must have strong verbal and written communication skills and be able to communicate effectively with all levels of the organization
**Preferred Qualifications**
* 5 plus years of experience within the upstream oil and gas industry
 Permian Resource is an equal opportunity employer. We celebrate diversity and are committed to creating an inclusive environment for all employees.</t>
        </is>
      </c>
    </row>
    <row r="109">
      <c r="A109" t="inlineStr">
        <is>
          <t>li-4359471282</t>
        </is>
      </c>
      <c r="B109" t="inlineStr">
        <is>
          <t>Data Engineer</t>
        </is>
      </c>
      <c r="C109" t="inlineStr">
        <is>
          <t>Krasan Consulting Services</t>
        </is>
      </c>
      <c r="D109" t="inlineStr">
        <is>
          <t>linkedin</t>
        </is>
      </c>
      <c r="E109">
        <f>HYPERLINK("https://www.linkedin.com/jobs/view/4359471282", "https://www.linkedin.com/jobs/view/4359471282")</f>
        <v/>
      </c>
      <c r="F109" t="inlineStr"/>
      <c r="G109" t="inlineStr"/>
      <c r="H109" t="inlineStr"/>
      <c r="I109" t="inlineStr">
        <is>
          <t>**Data Engineering** 
 This position requires strong leadership in the analysis, conversion, and integration of application, system, and operational data. You will be responsible for defining and implementing strategies for data migration and synchronization that ensure the integrity and continuity of mission\-critical services during system transformation.
**Key Responsibilities:** 
**Data Engineering \&amp; Analytics Platform Development** 
* Design, build, and maintain enterprise\-scale data pipelines using Azure Data Factory (ADF).
* Develop and optimize Azure SQL\-based data warehouses, data marts, and complex transformation logic.
* Architect and implement Power BI semantic models with DAX, Power Query (M), and dimensional modeling (star schema) best practices.
* Ensure data pipelines are efficient, reliable, and meet performance and security standards.
**Leadership, Collaboration \&amp; Governance** 
* Collaborate cross\-functionally with business users, system integrators, architects, and data scientists.
* Evaluate and enhance the existing data architecture, driving innovation and scalability.
**Required Skills and Experience:** 
* 8\+ years of progressive experience in Data Warehouse/Data Mart environments, with a focus on cloud\-based solutions.
* **Advanced expertise with Azure Data Factory (ADF) and Azure SQL Server.**
* **Proven ability to deliver enterprise\-grade Power BI semantic models, including advanced DAX and Power Query transformations.**
* Demonstrated experience in legacy data migration, including strategy definition, mapping, cleansing, and execution.
* **Proficient in SQL and experienced with data modeling methodologies (e.g., Kimball, Inmon, Boyce\-Codd).**
* Strong understanding of data governance, security, and compliance principles.
* Excellent problem\-solving, debugging, and analytical skills, particularly within large and complex data ecosystems.
* Proven ability to lead cross\-functional teams and communicate effectively with both technical and non\-technical stakeholders.
**Preferred Qualifications:** 
* Exposure to DevOps practices for data operations and delivery.
* Knowledge of data cataloging, metadata management, and data lineage tools.
* Integration with Dynamics365
* **Advanced expertise with Azure Data Factory (ADF) and Azure SQL Server.**
* **Proven ability to deliver enterprise\-grade Power BI semantic models, including advanced DAX and Power Query transformations.**
* Demonstrated experience in legacy data migration, including strategy definition, mapping, cleansing, and execution.
* **Proficient in SQL and experienced with data modeling methodologies (e.g., Kimball, Inmon, Boyce\-Codd).**
 1753</t>
        </is>
      </c>
    </row>
    <row r="110">
      <c r="A110" t="inlineStr">
        <is>
          <t>li-4352220430</t>
        </is>
      </c>
      <c r="B110" t="inlineStr">
        <is>
          <t>Data Engineer</t>
        </is>
      </c>
      <c r="C110" t="inlineStr">
        <is>
          <t>Lone Wolf Technologies</t>
        </is>
      </c>
      <c r="D110" t="inlineStr">
        <is>
          <t>linkedin</t>
        </is>
      </c>
      <c r="E110">
        <f>HYPERLINK("https://www.linkedin.com/jobs/view/4352220430", "https://www.linkedin.com/jobs/view/4352220430")</f>
        <v/>
      </c>
      <c r="F110" t="inlineStr"/>
      <c r="G110" t="inlineStr"/>
      <c r="H110" t="inlineStr"/>
      <c r="I110" t="inlineStr">
        <is>
          <t>**Company Description**
 Lone Wolf Technologies is an E\-Verify recruitment agency committed to connecting exceptional talent with leading companies across various industries. Our focus is on delivering outstanding recruitment services that create meaningful impact and value for both our clients and candidates. We are dedicated to fostering successful professional partnerships and aligning top\-tier talent with opportunities that fit their aspirations.
**Role Description**
 This is a full\-time remote position for a Data Engineer. The Data Engineer will be responsible for designing, building, and maintaining efficient data pipelines and systems. Core responsibilities include implementing data modeling techniques, developing and managing Extract, Transform, Load (ETL) processes, building and optimizing data warehouses, and supporting data analytics initiatives to generate actionable insights. Collaboration with cross\-functional teams and ensuring data accuracy and availability is a key aspect of the role.
**Qualifications**
* Proficiency in Data Engineering and experience with building and optimizing data pipelines
* Strong skills in Data Modeling and Data Warehousing
* Expertise in designing and implementing Extract, Transform, Load (ETL) processes
* Experience with Data Analytics to support business intelligence and decision\-making needs
* Proficiency in programming languages such as Python, Java, or SQL
* Strong problem\-solving skills and ability to work remotely and independently
* Experience with cloud platforms (e.g., AWS, Azure, Google Cloud) is a plus
* Bachelor's degree in Computer Science, Data Science, or a related field</t>
        </is>
      </c>
    </row>
    <row r="111">
      <c r="A111" t="inlineStr">
        <is>
          <t>li-4359412582</t>
        </is>
      </c>
      <c r="B111" t="inlineStr">
        <is>
          <t>Senior Data Engineer P-133</t>
        </is>
      </c>
      <c r="C111" t="inlineStr">
        <is>
          <t>SMASH</t>
        </is>
      </c>
      <c r="D111" t="inlineStr">
        <is>
          <t>linkedin</t>
        </is>
      </c>
      <c r="E111">
        <f>HYPERLINK("https://www.linkedin.com/jobs/view/4359412582", "https://www.linkedin.com/jobs/view/4359412582")</f>
        <v/>
      </c>
      <c r="F111" t="inlineStr"/>
      <c r="G111" t="inlineStr">
        <is>
          <t>Utah, United States</t>
        </is>
      </c>
      <c r="H111" t="inlineStr"/>
      <c r="I111" t="inlineStr">
        <is>
          <t>**SMASH, Who we are?**
 We believe in long\-lasting relationships with our talent. We invest time getting to know them and understanding what they seek as their professional next step.
 We aim to find the perfect match. As agents, we pair our talent with our US clients, not only by their technical skills but as a cultural fit. Our core competency is to find the right talent fast.
*This position is remote within the United States. You must have U.S. citizenship or a valid U.S. work permit to apply for this role.*
**Role Summary**
 You will design and deliver scalable, GCP\-native data solutions that power machine learning and analytics initiatives. This role focuses on building high\-quality, domain\-driven data products and decentralized data infrastructure that enable rapid iteration, measurable outcomes, and long\-term value creation.
**Responsibilities**
* Design and implement a scalable, GCP\-native data strategy aligned with machine learning and analytics initiatives.
* Build, operate, and evolve reusable data products that deliver compounding business value.
* Architect and govern squad\-owned data storage strategies using BigQuery, AlloyDB, ODS, and transactional systems.
* Develop high\-performance data transformations and analytical workflows using Python and SQL.
* Lead ingestion and streaming strategies using Pub/Sub, Datastream (CDC), and Cloud Dataflow (Apache Beam).
* Orchestrate data workflows using Cloud Composer (Airflow) and manage transformations with Dataform.
* Modernize legacy data assets and decouple procedural logic from operational databases into analytical platforms.
* Apply Dataplex capabilities to enforce data governance, quality, lineage, and discoverability.
* Collaborate closely with engineering, product, and data science teams in an iterative, squad\-based environment.
* Drive technical decision\-making, resolve ambiguity, and influence data architecture direction.
* Ensure data solutions are secure, scalable, observable, and aligned with best practices.
**Requirements – Must\-haves**
* 8\+ years of professional experience in data engineering or a related discipline.
* Expert\-level proficiency in Python and SQL for scalable data transformation and analysis.
* Deep expertise with Google Cloud Platform data services, especially BigQuery.
* Hands\-on experience with AlloyDB (PostgreSQL) and Cloud SQL (PostgreSQL).
* Strong understanding of domain\-driven data design and data product thinking.
* Proven experience architecting ingestion pipelines using Pub/Sub and Datastream (CDC).
* Expertise with Dataform, Cloud Composer (Airflow), and Cloud Dataflow (Apache Beam).
* Experience modernizing legacy data systems and optimizing complex SQL/procedural logic.
* Ability to work independently and lead initiatives with minimal guidance.
* Strong critical thinking, problem\-solving, and decision\-making skills.
**Nice\-to\-haves (optional)**
* Experience applying Dataplex for data governance and quality management.
* Exposure to proprietary SQL dialects (T\-SQL, PL/pgSQL).
* Experience supporting machine learning or advanced analytics workloads.
* Background working in decentralized, squad\-based or product\-oriented data teams.
* Experience influencing technical direction across multiple teams or domains.</t>
        </is>
      </c>
    </row>
    <row r="112">
      <c r="A112" t="inlineStr">
        <is>
          <t>li-4358760531</t>
        </is>
      </c>
      <c r="B112" t="inlineStr">
        <is>
          <t>Data Engineer II</t>
        </is>
      </c>
      <c r="C112" t="inlineStr">
        <is>
          <t>Redfin</t>
        </is>
      </c>
      <c r="D112" t="inlineStr">
        <is>
          <t>linkedin</t>
        </is>
      </c>
      <c r="E112">
        <f>HYPERLINK("https://www.linkedin.com/jobs/view/4358760531", "https://www.linkedin.com/jobs/view/4358760531")</f>
        <v/>
      </c>
      <c r="F112">
        <f>HYPERLINK("https://careers.redfin.com/us/en/job/REFREDUS59561EXTERNALENUS/Data-Engineer-II?utm_source=linkedin&amp;utm_medium=phenom-feeds&amp;urlHash=hSbp", "https://careers.redfin.com/us/en/job/REFREDUS59561EXTERNALENUS/Data-Engineer-II?utm_source=linkedin&amp;utm_medium=phenom-feeds&amp;urlHash=hSbp")</f>
        <v/>
      </c>
      <c r="G112" t="inlineStr">
        <is>
          <t>Seattle, WA</t>
        </is>
      </c>
      <c r="H112" t="inlineStr"/>
      <c r="I112" t="inlineStr">
        <is>
          <t>This position is a hybrid role requiring employees to work from our headquarters location in Seattle, WA every Tuesday and Wednesday, and remote all other days.
 Redfin is revolutionizing the $75 billion real estate industry. We use data, beautiful software, and innovative design to put customers first at every step in the home\-buying and selling process. Get ready to dive headfirst into our award\-winning website and mobile apps, solving complex business problems in a highly visible, customer\-centric way. If you value doing great work in a collaborative environment, join our team!
 As a Data Engineer II, you will share ownership of Redfin’s Data Platform, owning business critical data integrations and operational excellence. You will work closely with Engineering and Analytics teams to create and support data pipelines and transformations. The ideal candidate is a data pipeline builder who enjoys optimizing existing systems as well as building new systems from the ground up. We are also looking for someone who is self\-directed and comfortable supporting the data needs of multiple systems and teams.
**Responsibilities**
* Design, develop, and support complex data pipelines from a wide variety of data sources for Redfin
* Work with other Engineering teams to design and implement data exchange systems from structured and unstructured data sources
* Work with end users to gather requirements and design solutions that provide the the data they need in the format they need it in
* Ensure 100% accuracy in everything you do \- make sure that all code and processes are fully tested and verified before running in production
* Identify and implement internal process improvements by automating manual processes and optimizing for accuracy, performance and coding best practices
* Support and maintain dev / test / prod environments
* Serve as part of weekly on call rotation
**Qualifications**
* 3\+ years experience with a modern programming language (Python, Java, etc). Python is preferred
* 3\+ years experience with complex SQL, data modeling and database technologies (Postgres, MySQL, Snowflake, etc). Snowflake is preferred
* Experience creating and maintaining complex data pipelines
* Experience with batch and streaming data pipelines
* Experience with both structured and unstructured data sets
* Ability to translate business needs into technical requirements
* Experience with Git / Jenkins / Airflow / Docker / Kubernetes / Spark is a plus
* Experience with API development is a plus
* Experience with cloud services (AWS / Azure / GCP) is a plus. AWS is preferred
* Ability to structure data to make it accessible, performant, and resilient to change
* Experience with message queuing and stream processing data is a plus
* Ability to handle ambiguity and function in a fast paced, constantly changing environment
* Ability to communicate well with both technical and non technical users
 Illinois, Maryland, Minnesota, Massachusetts, Colorado, New York City, New Jersey, Jersey City, California, D.C. and Washington candidates only:
 Base Pay Range: $108,300\.00 \- 162,200\.00\.
 The position may also be eligible for an annual bonus, incentives, and other employment\-related benefits including, but not limited to, medical, dental, and vision benefits, 401K retirement plan, and paid time off. More information regarding these benefits and others can be found here. The information regarding compensation and other benefits included in this paragraph is only an estimate and is subject to revision from time to time as the Company, in its sole and exclusive discretion, deems appropriate. The Company may determine during its review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**Redfin is an equal opportunity employer committed to hiring a diverse workforce.**
 A diverse,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row>
    <row r="113">
      <c r="A113" t="inlineStr">
        <is>
          <t>li-4358589053</t>
        </is>
      </c>
      <c r="B113" t="inlineStr">
        <is>
          <t>Data Engineer</t>
        </is>
      </c>
      <c r="C113" t="inlineStr">
        <is>
          <t>MBK Real Estate Companies</t>
        </is>
      </c>
      <c r="D113" t="inlineStr">
        <is>
          <t>linkedin</t>
        </is>
      </c>
      <c r="E113">
        <f>HYPERLINK("https://www.linkedin.com/jobs/view/4358589053", "https://www.linkedin.com/jobs/view/4358589053")</f>
        <v/>
      </c>
      <c r="F113" t="inlineStr"/>
      <c r="G113" t="inlineStr">
        <is>
          <t>Irvine, CA</t>
        </is>
      </c>
      <c r="H113" t="inlineStr"/>
      <c r="I113" t="inlineStr">
        <is>
          <t>MBK Real Estate (MBK) is an industry leader in real estate operations and development. Through its subsidiaries, MBK Rental Living, MBK Industrial Properties and MBK Senior Living, MBK Real Estate is renowned for building award\-winning new home and apartment communities, state\-of\-art distribution facilities and for its reputation in providing exceptional high standards of service throughout its senior living communities.
 MBK is a privately held real estate development firm with roots in the business dating back to 1996\. MBK's extensive activities through its operating divisions, along with the size and scale of our development and building activities represent the continuation and commitment to American enterprise.
**Job Description**
 MBK Real Estate is hiring a Data Engineer to join our team at our Home Office in Irvine, CA!
 This role will be hybrid with 3 days in office and 2 days remote.
**Job Summary**
 We are seeking a highly skilled Data Engineer with strong experience in Microsoft Azure, Microsoft Fabric, SQL, Python, and Power BI to help design, build, and optimize our cloud\-based data ecosystem. This role will work closely with our data/business intelligence team to ensure scalable, reliable, and high\-quality data solutions that support our enterprise data strategy.
**Supervisory Responsibilities**
* N/A
**Duties \&amp; Responsibilities**
* Design, build, and maintain cloud\-native data pipelines using Azure Synapse and Microsoft Fabric.
* Develop and optimize ETL/ELT workflows for ingestion, transformation, and processing of large\-scale datasets.
* Create and manage data models, warehouses, and lakehouse environments within Microsoft Fabric.
* Write high\-performance SQL for data transformation, report automation, modeling, and analytics.
* Build reusable Python components for data processing, automation, and orchestration.
* Implement best practices for data quality, governance, observability, security, and performance tuning.
* Collaborate with data analysts and business teams to translate requirements into scalable solutions.
* Monitor, troubleshoot, and improve pipelines to ensure high availability and reliability.
* Contribute to cloud architecture, tooling selection, performance tuning, and overall platform modernization efforts.
**Salary: $120,000\-$130,000 \+ Bonus**
* Candidates must be legally authorized to work in the United States. This position does not offer sponsorship now or in the future
**Education Requirements**
* A bachelor’s Degree in a computer science\-related field is strongly preferred.
**Experience Requirements (in Years)**
* 5\+ years of professional experience as a Data Engineer or similar role.
* Strong hands\-on experience (3\+ years) with Azure cloud services (e.g., Azure Synapse, Azure Data Lake Storage, Azure Functions preferred).
* Practical experience (1\+ years) working with Microsoft Fabric (Data Factory, Lakehouse, Pipelines, Notebooks, and Power BI integration).
* Advanced proficiency (3\+ years) in SQL (query optimization, performance tuning, complex joins, stored procedures).
* Strong Python programming skills (2\+ years) for data processing, automation, and scripting.
**Required Competencies/Licenses/Certifications**
* Experience building scalable, production\-grade data pipelines for structured and unstructured data.
* Understanding of data modeling, data warehousing concepts, and ELT/ETL patterns.
* Familiarity with CI/CD, Git\-based workflows, and modern DevOps practices.
* Microsoft Suite competency.
* Strong problem\-solving and analytical mindset.
* Excellent communication skills and ability to partner across technical and business teams.
* Detail\-oriented, organized, and able to manage multiple priorities.
* Growth mindset and eagerness to work with emerging Azure/Fabric technologies.
**Preferred Qualifications**
* Experience with Delta Lake, parquet, or similar big data file formats.
* Familiarity with Power BI, semantic models, and Fabric integrated analytics.
* Knowledge of Spark, Databricks, or distributed data processing.
* Exposure to data governance frameworks, metadata management, and lineage tools.
* Azure and/or certifications (e.g., DP\-203, Azure Data Engineer Associate, DP\-700, Fabric Data Engineer Associate).
**Physical Demands \&amp; Work Environment**
* Must be mobile and able to perform the physical requirements of the job, bending, kneeling, stooping, pushing, pulling and repetitive motion.
* Ability to sit and work at a computer for long periods of time.
* Able to move intermittently throughout the workday and between divisions.
 We offer a rich benefits package comprising of the following: competitive salaries with opportunities for growth; 401(k) retirement plan with up to 4% employer matching; comprehensive industry leading medical, dental and vision insurance; company\-provided life, disability and AD\&amp;D insurance; flexible spending accounts, generous paid time off including vacation and sick time, holidays, and bereavement leave; and a variety of programs including leadership development, training, and personal coaching; education loan assistance and scholarships; daily living, financial and legal services; childcare and eldercare assistance; employee discounts; and health and wellness resources that include virtual yoga, mindfulness, and financial readiness for employees and their family members.
 If you are ready to meet the challenges of this critical role, we want to hear from you!
**MBK is an equal opportunity employer.** 
 All qualified applicants will receive consideration for employment without regard to race, color, religion, sex, disability, age, sexual orientation, gender identity, national origin, veteran status, genetic information, or other protected reason. Our company is committed to providing access, equal opportunity and reasonable accommodation for qualifying individuals in employment, its services, programs, and activities. To request reasonable accommodation, contact talentacquisition@mbk.com.
**Regulatory Disclosures for Senior Living Communities with Medicaid Residents:** 
 An “Excluded Party” is a person that the federal or state government found not eligible to provide care and services in a facility that receives Medicare or Medicaid funding. If employed at one of our senior living communities that receives Medicare or Medicaid funding, team members must not be considered an “Excluded Party” as defined by the U.S. Department of Health and Human Services, any state Medicaid Programs, and any additional federal and state government contract programs. If, as a team member, you learn that you are an Excluded Party at any time, you must present your Excluded Party notice letter to your supervisor immediately.
**Other Regulatory Requirements:** 
 If employed at one of our senior living communities, team members must continually comply with certain laws and regulations that impact the company, including, but not limited to, as applicable, state licensing regulations, the Health Insurance Portability and Accountability Act of 1996 (HIPAA), Resident Rights as defined by the U.S. Department of Health and Human Services, and any other federal or state laws relating to team members’ professional licenses.
**HIPAA Disclosure**
*All Team Members prior to commencing employment and once employed must not be considered an “Excluded Party” as defined by the Medicare and state Medicaid Programs as well as other federal and state government contract programs. If as an associate you learn you are an Excluded Party, you must present your Excluded Party notice letter to your supervisor immediately. An Excluded Party is a person that the federal or state government found not eligible to provide care and services in a Community that receives Medicare or Medicaid funding. In addition, at all times, during your employment, all associates must be in compliance with certain laws and regulations that affect the company, including but not limited to Resident Rights, HIPAA, State licensing regulations, and those laws relating you an associates’ professional license.*</t>
        </is>
      </c>
    </row>
    <row r="114">
      <c r="A114" t="inlineStr">
        <is>
          <t>li-4359384368</t>
        </is>
      </c>
      <c r="B114" t="inlineStr">
        <is>
          <t>Data Engineer, Low Voltage</t>
        </is>
      </c>
      <c r="C114" t="inlineStr">
        <is>
          <t>Tesla</t>
        </is>
      </c>
      <c r="D114" t="inlineStr">
        <is>
          <t>linkedin</t>
        </is>
      </c>
      <c r="E114">
        <f>HYPERLINK("https://www.linkedin.com/jobs/view/4359384368", "https://www.linkedin.com/jobs/view/4359384368")</f>
        <v/>
      </c>
      <c r="F114" t="inlineStr"/>
      <c r="G114" t="inlineStr">
        <is>
          <t>Palo Alto, CA</t>
        </is>
      </c>
      <c r="H114" t="inlineStr"/>
      <c r="I114" t="inlineStr">
        <is>
          <t>**What To Expect**
 The Field Reliability Engineering team is on a mission to enhance customer experience by identifying and resolving vehicle field issues. In this role, you will contribute to the team not only as a Data Engineer, but also as a Data Analyst, to empower our Reliability Engineers with actionable data insights for the purposes of prioritization and root cause analysis. To that end, you will ensure that our data pipeline, dashboards, and reporting are maintained and developed to the utmost standards of robustness, flexibility, scalability, and efficiency.
**What You'll Do**
- Collect and interpret complex business logic and implement in the simplest, most elegant way possible, but at the same time keeping pace with project timelines
- Extract and communicate actionable insights from data and identify field failure trends to support Reliability Engineers in driving product improvements
- Perform Fleet Reliability analyses
- Maintain, optimize, and develop ETL pipelines (in SQL and Python) and dashboards
- Create visualizations using various tools such as Tableau, in\-house dashboard platform, Matplotlib, etc
- Implement new processes leveraging Splunk, Spark, Kubernetes, AWS.
- Continually expand the envelope of your data engineering and analysis skill set
- Contribute to ongoing efforts for continuous improvement at Tesla, actively driving activities towards enhancing vehicle reliability, contributing to the continual optimization of Tesla's products and processes
**What You'll Bring**
- Bachelors or higher in Mathematics, Computer Science, Software Engineering, Electrical Engineering, Physics, or equivalent evidence of exceptional ability
- Broad technical background, with previous experience in problem solving
- Previous experience in a manufacturing environment a plus
- Demonstrated success in applying statistical methods in data analysis, especially if related to reliability
- Evidence of having mastered a skill, or implemented it to great effect, in a short amount of time
- Proficiency in programming language(s)
- Proficiency in data visualization
- Mastery in software tool(s)
- Obsession in excellence
- Strong ability to collaborate with stakeholders and interpersonal \&amp; communication skills are an absolute requirement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$80,000 \- $162,000/annual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 Tesla</t>
        </is>
      </c>
    </row>
    <row r="115">
      <c r="A115" t="inlineStr">
        <is>
          <t>li-4331972008</t>
        </is>
      </c>
      <c r="B115" t="inlineStr">
        <is>
          <t>Big Data Engineer - Advertising Attribution</t>
        </is>
      </c>
      <c r="C115" t="inlineStr">
        <is>
          <t>BIGO</t>
        </is>
      </c>
      <c r="D115" t="inlineStr">
        <is>
          <t>linkedin</t>
        </is>
      </c>
      <c r="E115">
        <f>HYPERLINK("https://www.linkedin.com/jobs/view/4331972008", "https://www.linkedin.com/jobs/view/4331972008")</f>
        <v/>
      </c>
      <c r="F115" t="inlineStr"/>
      <c r="G115" t="inlineStr">
        <is>
          <t>California, United States</t>
        </is>
      </c>
      <c r="H115" t="inlineStr"/>
      <c r="I115" t="inlineStr">
        <is>
          <t>Job Responsibilities:
 Primarily responsible for building and maintaining the advertising attribution system, optimizing attribution models to help the advertising platform accurately evaluate the contributions of various channels and touchpoints, thereby improving ad delivery ROI. Additionally, involved in big data\-related tasks, including data desensitization, data layering, data mining, and more. Drive business breakthroughs from a technical perspective to generate greater value for the department.
 Job Requirements:
 1\.Solid programming skills with a strong foundation in data structures and algorithms, excellent logical reasoning, and learning abilities.
 2\.Proficient in at least one of the following programming languages: C\+\+, Java, Golang, or Python; with 3\+ years of development experience in medium\-to\-large\-scale production projects.
 3\.Familiar with attribution models and the advertising ecosystem (DSP/SSP, RTB); knowledgeable about third\-party attribution, self\-attribution, and other attribution modes.
 4\.Proficient in big data technologies (e.g., Spark, Hadoop, Flink, Kafka, Hive) with strong SQL skills; experience in real\-time stream processing, data modeling, and ETL pipelines; familiarity with machine learning frameworks.
 5\.Candidates with development experience in internet advertising systems or anti\-fraud mechanisms will be prioritized."</t>
        </is>
      </c>
    </row>
    <row r="116">
      <c r="A116" t="inlineStr">
        <is>
          <t>li-4331980270</t>
        </is>
      </c>
      <c r="B116" t="inlineStr">
        <is>
          <t>Data Engineer</t>
        </is>
      </c>
      <c r="C116" t="inlineStr">
        <is>
          <t>Insight Global</t>
        </is>
      </c>
      <c r="D116" t="inlineStr">
        <is>
          <t>linkedin</t>
        </is>
      </c>
      <c r="E116">
        <f>HYPERLINK("https://www.linkedin.com/jobs/view/4331980270", "https://www.linkedin.com/jobs/view/4331980270")</f>
        <v/>
      </c>
      <c r="F116" t="inlineStr"/>
      <c r="G116" t="inlineStr">
        <is>
          <t>Atlanta, GA</t>
        </is>
      </c>
      <c r="H116" t="inlineStr"/>
      <c r="I116" t="inlineStr">
        <is>
          <t>**Position:** 
 Data Engineer
**Type:** 
 Direct Placement, Full\-time
**Location: Atlanta, GA 30313** 
 – 2 days a week onsite in Midtown
**Compensation:** 
 $100,000 \- 120,000
 Note: Can not Sponsor
 My Fortune 500 Client is looking for a Data Engineer who is strong in SQL and working with large, complex data sets. Additional experience in Power apps and ADF would be a plus.
**REQUIRED SKILLS AND EXPERIENCE** 
* Robust SQL skills \-\- should be able to write code from scratch (not just modifying existing queries) including building an application in SQL.
* Strong experience working with large sets of complex data such as financial, sales, supply chain, logistics data, etc.
* Hands\-on experience with ETL, preferably with Azure Data Factory (ADF), but open to other comparable ETL tools.
* Strong experience with some form of BI tool such as Power BI, Tableau, Alteryx, etc.
* Extremely strong communication skills with proven experience in speaking to technical audiences and business leaders alike and influencing stakeholders and project partners to achieve results.
* Strong experience developing a variety of PowerApps and other Microsoft Power Platform applications/solutions for customers.</t>
        </is>
      </c>
    </row>
    <row r="117">
      <c r="A117" t="inlineStr">
        <is>
          <t>li-4352072801</t>
        </is>
      </c>
      <c r="B117" t="inlineStr">
        <is>
          <t>Senior Data Engineer</t>
        </is>
      </c>
      <c r="C117" t="inlineStr">
        <is>
          <t>Akkodis</t>
        </is>
      </c>
      <c r="D117" t="inlineStr">
        <is>
          <t>linkedin</t>
        </is>
      </c>
      <c r="E117">
        <f>HYPERLINK("https://www.linkedin.com/jobs/view/4352072801", "https://www.linkedin.com/jobs/view/4352072801")</f>
        <v/>
      </c>
      <c r="F117" t="inlineStr"/>
      <c r="G117" t="inlineStr">
        <is>
          <t>Omaha, NE</t>
        </is>
      </c>
      <c r="H117" t="inlineStr"/>
      <c r="I117" t="inlineStr">
        <is>
          <t>Akkodis is seeking a Sr. Data Engineer for
 **Direct Hire/ Full Time** 
 position with our Direct Client located in
 **Omaha, NE (Hybrid)** 
 .
**Pay Range: $120k\- $130k/Annum;** 
 The rate may be negotiable based on experience, education, geographic location, and other factors.
**Job Description:** 
 The primary responsibilities of a Data Engineer are to focus on building our data lake using Databricks, Synapse Analytics and Azure Data Factory in the Azure ecosystem. In this role you will work with a team of developers, data product owners, scrum masters, business analysts and business customers in an agile environment. You will participate in the entire software development lifecycle, including: working with various departments on requirements gathering, translating business requirements into detailed system and technical requirements, functional and technical design, development, testing, deployment, and support. You will contribute to all data management aspects, including data governance, data quality management, master data management, enterprise data integration by analyzing raw data, writing data pipelines in Azure Data Factory, SQL, Python, and Spark, and solving data issues as they arise during development and after deployment.
**Must have** 
 skillset is Azure Databricks, Azure Data Factory, Python, PySpark
 The Data Engineer is expected to:
* Design, develop and implement scalable batch/real\-time data pipelines to integrate data from a variety of sources into an Azure data warehouse and data lake
* Partner with analytics and actuarial team to understand the current use cases and supply clean and consistent data models
* Build consistent data models that act as the source of truth for all metrics within the company
* Identify data needs \&amp; build comprehensive business intelligence solutions to help the team make faster \&amp; better decisions, backed by data
* Handle ad hoc data and analytics requests, while addressing long\-term stakeholder needs and driving insights for the executive leadership team
* Proactively manage stakeholder expectations, monitor and manage data integrity, and resolve data issues
* Create and maintain technical documentation.
* Guide and deliver meaningful and thorough code reviews.
* Design, code, test, document, and troubleshoot deliverables
* Maintain awareness of and ensure adherence to the standards regarding security and privacy.
* Ability to perform Data Analysis and Data Quality tests and create audits for the ETLs.
* Perform Continuous Integration and deployment using Azure DevOps and git
* Must be a very good communicator and should be analytically sound
* Create and maintain optimal data pipeline/flow architecture.
* Identify, design, and implement internal process improvements: automating manual processes, optimizing data delivery, re\-designing infrastructure for greater scalability, etc.
**Qualifications** 
**Education:** 
* Bachelor’s degree or equivalent work experience required.
**Experience:** 
* 3\+ Years similar work experience
**Knowledge Requirements:** 
* Experience/familiarity with tools like Azure Databricks, Azure Synapse Analytics and Azure Data Factory, Delta Lake, Parquet, and Spark SQL
* Experience with Data Lakes, Data Warehouse Concepts, and Dimensional Data Models.
* Experience with Tableau, Power BI, Qlik or similar as visualization tool development
* Experience building and maintaining production data pipelines, ETL, or databases
* Good written and verbal communication skills
* Experience in SQL – Python, Powershell and Spark helpful but not necessary
* Experience working with Microsoft BI stack (SSIS/SSRS/SSAS) and Microsoft SQL Server.
 If you are interested in this role, then please click APPLY NOW. For other opportunities available at Akkodis, or any questions, please contact
 **Ayush Garg** 
 at
 **610\-735\-6513** 
 or
 **ayush.garg@akkodisgroup.com.** 
**Equal Opportunity Employer/Veterans/Disabled** 
 Benefit offerings include medical, dental, vision, term life insurance, short\-term disability insurance, additional voluntary benefits, commuter benefits, and a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*To read our Candidate Privacy Information Statement, which explains how we will use your information, please visit https://www.akkodis.com/en/privacy\-policy.* 
*The Company will consider qualified applicants with arrest and conviction records.*</t>
        </is>
      </c>
    </row>
    <row r="118">
      <c r="A118" t="inlineStr">
        <is>
          <t>li-4331510667</t>
        </is>
      </c>
      <c r="B118" t="inlineStr">
        <is>
          <t>Data Engineer</t>
        </is>
      </c>
      <c r="C118" t="inlineStr">
        <is>
          <t>Brooksource</t>
        </is>
      </c>
      <c r="D118" t="inlineStr">
        <is>
          <t>linkedin</t>
        </is>
      </c>
      <c r="E118">
        <f>HYPERLINK("https://www.linkedin.com/jobs/view/4331510667", "https://www.linkedin.com/jobs/view/4331510667")</f>
        <v/>
      </c>
      <c r="F118" t="inlineStr"/>
      <c r="G118" t="inlineStr">
        <is>
          <t>Cleveland, OH</t>
        </is>
      </c>
      <c r="H118" t="inlineStr"/>
      <c r="I118" t="inlineStr">
        <is>
          <t>**DBA/ETL Engineer** 
**Location: Cleveland, OH (Onsite, 5 days/week)** 
**Type: 12 month Contract\-to\-Hire** 
 About the Role:
 We’re looking for a hands\-on DBA/ETL Engineer to join a dynamic team working on our
 Fortune 200 retail client’s enterprise data platform. This role is critical to managing and
 transforming data from 5,000\+ retail locations, ensuring accuracy, reliability, and
 scalability as we modernize our systems.
 What You’ll Do:
 • Develop and maintain ETL jobs to process data from store POS systems (SMIS,
 StoreKey).
 • Validate and cleanse large volumes of sales and payment data for downstream
 consumers.
 • Collaborate with the team to rewrite legacy databases and integrate with modern
 tools like Kafka and Databricks.
 • Support DevOps initiatives, containerization, and deployment processes.
 • Troubleshoot production issues and ensure data integrity across systems.
 • Work in an Agile environment using Jira for sprint planning and issue tracking.
 • Partner with business stakeholders to understand requirements and deliver
 solutions that meet consumer needs.
 Key Skills:
 • SQL and ETL development experience.
 • Familiarity with Databricks, Kafka, and DevOps/containerization.
 • Strong understanding of data validation and integration patterns.
 • Experience with Java and messaging systems like MQ.
 What We’re Looking For:
 • A strong developer who loves solving complex problems and isn’t afraid to try new
 things.
 • Ability to work collaboratively, share ideas, and learn quickly in a fast\-moving
 environment.
 • Comfortable working onsite and engaging with diverse personalities.
 • Embraces a “fail fast, learn fast” mindset.
*Eight Eleven Group provides equal employment opportunities (EEO) to all employees and* 
*applicants for employment without regard to race, color, religion, national origin, age,* 
*sex, citizenship, disability, genetic information, gender, sexual orientation, gender* 
*identity, marital status, amnesty or status as a covered veteran in accordance with* 
*applicable federal, state, and local laws.*</t>
        </is>
      </c>
    </row>
    <row r="119">
      <c r="A119" t="inlineStr">
        <is>
          <t>li-4346676373</t>
        </is>
      </c>
      <c r="B119" t="inlineStr">
        <is>
          <t>Data Engineer - Columbus, OH</t>
        </is>
      </c>
      <c r="C119" t="inlineStr">
        <is>
          <t>Abbott</t>
        </is>
      </c>
      <c r="D119" t="inlineStr">
        <is>
          <t>linkedin</t>
        </is>
      </c>
      <c r="E119">
        <f>HYPERLINK("https://www.linkedin.com/jobs/view/4346676373", "https://www.linkedin.com/jobs/view/4346676373")</f>
        <v/>
      </c>
      <c r="F119" t="inlineStr"/>
      <c r="G119" t="inlineStr">
        <is>
          <t>Columbus, OH</t>
        </is>
      </c>
      <c r="H119" t="inlineStr"/>
      <c r="I119"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**Data Engineer \- Columbus, OH**
**Working at Abbott**
 At Abbott, you can do work that matters, grow, and learn, care for yourself and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Our nutrition business develops science\-based nutrition products for people of all ages, from helping babies and children grow, to keeping adult bodies strong and active. Millions of people around the world count on our leading brands – including Similac®, PediaSure®, Pedialyte®, Ensure®, Glucerna® and Juven® – to help get the nutrients they need to live their healthiest life.
 Our location in
 **Columbus, OH** 
 , currently has an opportunity for a Data Engineer. This position requires a balance of technical skills, teamwork, strong communication and critical thinking. Responsible for refining and maintaining the data environment for the Therapeutic Nutrition Sales Analytics team and associated field sales segments. Additionally, the position will be a key player in the development of tools to help assist management and the field sales teams in driving results for the business. The candidate must be capable of working under general direction while leveraging input from team members and functionality of available tools/resources to deliver efficient and timely results. Must demonstrate the willingness to learn the business, challenge the status quo and balance multiple priorities while keeping a positive and inquisitive mind\-set.
**What You'll Do**
* Continuous upkeep and improvement of the data environment which requires input from multiple sources. The candidate must possess the ability to understand key performance indicators and metrics through engagement with various cross\-functional partners, develop efficient methods of preparing the data and the ability to clearly communicate effective use of the data to team members.
* Consistently staying abreast of industry/company direction and evaluate different options to help shape the long\-term direction of the team. Key contact for internal IT and all third\-party data tool vendors.
* Delivering timely inputs to sales and other cross\-functional teams. Key member of informal project teams tasked with development of sales reporting, incentive measurement, customer\-facing deliverables and other items as required.
* Other related tasks as assigned by manager.
**Education And Experience You’ll Bring**
* Bachelor's degree or equivalent experience required.
* Typically requires 4\-6 years of progressive finance, operations, analytics, or IT experience which includes analytics and/or sales support responsibility.
* In depth knowledge Azure SQL Server/Synapse \- Transact\-SQL (DDL \&amp; DML)
+ Know how to create tables, views, stored procedures, functions using only SQL scripts
+ In depth knowledge of SQL Server SELECT (window functions, sub selects, recursive relationships, etc).
+ Understand how to performance tune / index tables, add constraints
+ Explain data types and general differences varchar, integer, bigint, decimal, real.
* Understand and be able to explain data flow from/to a reporting tool like Tableau (possibly Power BI). ex : explain the flow of data from an Azure Synapse database all the way to an (on premise physical) Tableau server user using a web browser.
* Familiarity with Azure Data Factory
* Ability to convey message clearly, concisely, and accurately, both verbally and through report development.
* Demonstrates initiative, critical thinking and problem\-solving skills.
* Strong attention to detail.
* Ability to work effectively both independently and in team settings.
* Willingness and aptitude to balance day\-to\-day responsibilities and new projects/challenges to help the business and team evolve.
* Ability to form interpersonal, professional relationships across the internal and field sales teams.
**Preferred**
* Familiarity with Azure Logic Apps, Alteryx, Tableau, Power BI
* Fundamental understanding of authentication/authorization concepts Example understand difference between windows and SQL Server authentication. understand concept of what “row level security” means.
* Fundamental cloud concepts Difference between ETL and ELT
* Fundamental data warehousing/data mart concepts.
* Understand and be able to explain “star schema” and why is it important?
* Explain difference between OLTP and OLAP.
**Learn more about our benefits that add real value to your life to help you live fully :** 
 www.abbottbenefits.com
 Follow your career aspirations to Abbott for diverse opportunities with a company that provides the growth and strength to build your future. Abbott is an Equal Opportunity Employer, committed to employee diversity.
 Connect with us at www.abbott.com, on Facebook at www.facebook.com/Abbott and on Twitter @AbbottNews and @AbbottGlobal.
 The base pay for this position is $61,300\.00 – $122,700\.00\. In specific locations, the pay range may vary from the range posted.</t>
        </is>
      </c>
    </row>
    <row r="120">
      <c r="A120" t="inlineStr">
        <is>
          <t>li-4359620559</t>
        </is>
      </c>
      <c r="B120" t="inlineStr">
        <is>
          <t>Senior Data Engineer, Marketing &amp; Analytics</t>
        </is>
      </c>
      <c r="C120" t="inlineStr">
        <is>
          <t>Teladoc Health</t>
        </is>
      </c>
      <c r="D120" t="inlineStr">
        <is>
          <t>linkedin</t>
        </is>
      </c>
      <c r="E120">
        <f>HYPERLINK("https://www.linkedin.com/jobs/view/4359620559", "https://www.linkedin.com/jobs/view/4359620559")</f>
        <v/>
      </c>
      <c r="F120" t="inlineStr"/>
      <c r="G120" t="inlineStr"/>
      <c r="H120" t="inlineStr"/>
      <c r="I120" t="inlineStr">
        <is>
          <t>**Join the team leading the next evolution of virtual care.**
 At Teladoc Health, you are empowered to bring your true self to work while helping millions of people live their healthiest lives.
 Here you will be part of a high\-performance culture where colleagues embrace challenges, drive transformative solutions, and create opportunities for growth. Together, we’re transforming how better health happens.
**Summary Of Position**
 Our team of data engineers aggregate and interpret substantial amounts of health data and information to create actionable, personalized, and timely health signals to support various marketing programs and initiatives. This approach helps deliver better clinical and financial outcomes while creating a different and better healthcare experience for people everywhere.
 As Senior Data Engineer, you will help lead the design and create data pipelines using a modern tech stack (Snowflake, Databricks, dbt, and Salesforce Data360, etc.). This role combines technical expertise with strategic collaboration \- partnering with marketing and data science teams to unlock new capabilities and deliver actionable insights. You will be responsible for testing programs for efficiency, performance and troubleshoot and correct problems.
 In addition to these core responsibilities, the Senior Data Engineer will work closely with marketing teams to understand requirements and develop a strong understanding of marketing objectives to ensure data solutions deliver measurable value and actionable insights. The candidate will consult and be a trusted advisor with marketing and data science to identify new opportunities and guide marketing teams on data\-driven strategies that exploit the new tech stack.
 We are transitioning to a modern data stack leveraging Snowflake, Databricks, dbt, and Salesforce, while maintaining and migrating existing logic from Redshift. The ideal candidate will be comfortable working with both environments, helping to refactor and migrate rules and pipelines into the new architecture.
 The role also involves championing innovation by leveraging AI\-enabled tools and modern architectures to accelerate development and improve team productivity.
**Essential Duties And Responsibilities**
* Partner with data science, marketing, and engineering teams across the enterprise to design, build, and maintain scalable data pipelines using modern tools such as dbt and Snowflake.
* Collaborate closely with marketing teams to understand business requirements and translate them into actionable data solutions.
* Lead efforts to migrate and refactor existing Redshift logic into the modern data stack (Snowflake/dbt/Salesforce).
* Plan and execute development work within Agile frameworks, including CI/CD pipelines and 2\-week sprint cycles.
* Ensure data quality and reliability through testing, documentation, peer reviews, and adherence to coding standards.
* Continuously evaluate and improve system processes, architecture, and data governance practices.
* Collaborate with data science teams to ensure data solutions support predictive modeling and advanced analytics.
* Serve as a trusted advisor to marketing teams, identifying opportunities to use Snowflake/Data360 for advanced segmentation and personalization.
* Leverage GitHub and AI\-enabled tools (e.g., Copilot) to accelerate understanding of legacy code and refactor pipelines into the modern stack.
 The time spent on each responsibility reflects an estimate and is subject to change dependent on business needs.
**Supervisory Responsibilities**
 No
**Qualifications Expected For Position**
* 8\+ years of experience in data engineering, analytics engineering, or SQL/data development roles.
* 2\+ years of hands\-on experience with dbt and modern cloud data platforms such as Snowflake and/or Databricks.
* Extensive experience designing and building ETL/ELT pipelines for large\-scale data systems.
* Strong expertise in data analysis/data mining.
* Proven ability to work with large, complex datasets, including performance tuning and optimization.
* Experience with version control (Git/GitHub) and collaborative data development workflows.
* Excellent communication skills and the ability to partner effectively with cross\-functional stakeholders.
**Bonus Qualifications**
* Experience working with Salesforce Data360 (formerly Data Cloud), Marketing Cloud is a plus.
* Experience with GitHub Copilot preferred.
 The base salary range for this position is $150,000 \- $170,000\. In addition to a base salary, this position is eligible for a performance bonus and benefits (subject to eligibility requirements) listed here: Teladoc Health Benefits 2026\. Total compensation is based on several factors including, but not limited to, type of position, location, education level, work experience, and certifications. This information is applicable for all full\-time positions.
 As part of our hiring process, we verify identity and credentials, conduct interviews (live or video), and screen for fraud or misrepresentation. Applicants who falsify information will be disqualified.
 Teladoc Health will not sponsor or transfer employment work visas for this position. Applicants must be currently authorized to work in the United States without the need for visa sponsorship now or in the future.
**Why join Teladoc Health?**
* Teladoc Health is transforming how better health happens. Learn how when you join us in pursuit of our impactful mission.
* Chart your career path with meaningful opportunities that empower you to grow, lead, and make a difference.
* Join a multi\-faceted community that celebrates each colleague’s unique perspective and is focused on continually improving, each and every day.
* Contribute to an innovative culture where fresh ideas are valued as we increase access to care in new ways.
* Enjoy an inclusive benefits program centered around you and your family, with tailored programs that address your unique needs.
* Explore candidate resources with tips and tricks from Teladoc Health recruiters and learn more about our company culture by exploring \#TeamTeladocHealth on LinkedIn.
*As an Equal Opportunity Employer, we never have and never will discriminate against any job candidate or employee due to age, race, religion, color, ethnicity, national origin, gender, gender identity/expression, sexual orientation, membership in an employee organization, medical condition, family history, genetic information, veteran status, marital status, parental status, or pregnancy). In our innovative and inclusive workplace, we prohibit discrimination and harassment of any kind.*
*Teladoc Health respects your privacy and is committed to maintaining the confidentiality and security of your personal information. In furtherance of your employment relationship with Teladoc Health, we collect personal information responsibly and in accordance with applicable data privacy laws, including but not limited to, the California Consumer Privacy Act (CCPA). Personal information is defined as: Any information or set of information relating to you, including (a) all information that identifies you or could reasonably be used to identify you, and (b) all information that any applicable law treats as personal information. Teladoc Health’s Notice of Privacy Practices for U.S. Employees’ Personal information is available* 
*at this link* 
*.*</t>
        </is>
      </c>
    </row>
    <row r="121">
      <c r="A121" t="inlineStr">
        <is>
          <t>li-4331960524</t>
        </is>
      </c>
      <c r="B121" t="inlineStr">
        <is>
          <t>Data Engineer</t>
        </is>
      </c>
      <c r="C121" t="inlineStr">
        <is>
          <t>Haystack</t>
        </is>
      </c>
      <c r="D121" t="inlineStr">
        <is>
          <t>linkedin</t>
        </is>
      </c>
      <c r="E121">
        <f>HYPERLINK("https://www.linkedin.com/jobs/view/4331960524", "https://www.linkedin.com/jobs/view/4331960524")</f>
        <v/>
      </c>
      <c r="F121" t="inlineStr"/>
      <c r="G121" t="inlineStr"/>
      <c r="H121" t="inlineStr"/>
      <c r="I121" t="inlineStr">
        <is>
          <t>**Data Integration \&amp; Analytics Engineer \| United States \| Remote** 
 We're working with Aquent Talent on this exciting opportunity.
 Are you a Data Integration \&amp; Analytics Engineer passionate about transforming raw data into actionable insights? Join our client, a leader in consumer electronics, and leverage your expertise in Python, Tableau, and data pipeline development to build robust data solutions that drive strategic decisions. This is your chance to make a significant impact within a dynamic and innovative environment.
**The Role** 
 • Design, build, and maintain robust data integration pipelines between Wrike and Tableau.
 • Utilize Python for ETL/ELT scripting to clean, map, and synchronize data objects.
 • Create automated reporting and compelling data visualization solutions in Tableau.
 • Build and scale maintainable data infrastructures and end\-to\-end reporting solutions.
 • Identify trends and patterns for diagnostic and predictive analytics efforts.
**What You'll Need** 
 • 5\+ years experience in tools, platforms, or applications implementation.
 • Proficient programming skills and working experience in Python.
 • Proficient experience with Tableau for data visualization.
 • Expert knowledge of data management and metric building.
 • Experience implementing data pipelines and flows, with a focus on Wrike integration.
**What's On Offer** 
 • Work with a leading, innovative company in consumer electronics.
 • Opportunity to make a significant impact in a fast\-paced environment.
 • Access to Aquent Talent's benefits, including subsidized health, vision, and dental plans.
 • Be part of a company that is always pushing the boundaries of innovation.
**Apply via Haystack today!**</t>
        </is>
      </c>
    </row>
    <row r="122">
      <c r="A122" t="inlineStr">
        <is>
          <t>li-4352152100</t>
        </is>
      </c>
      <c r="B122" t="inlineStr">
        <is>
          <t>Lead Data Engineer, Remote</t>
        </is>
      </c>
      <c r="C122" t="inlineStr">
        <is>
          <t>GXO Logistics, Inc.</t>
        </is>
      </c>
      <c r="D122" t="inlineStr">
        <is>
          <t>linkedin</t>
        </is>
      </c>
      <c r="E122">
        <f>HYPERLINK("https://www.linkedin.com/jobs/view/4352152100", "https://www.linkedin.com/jobs/view/4352152100")</f>
        <v/>
      </c>
      <c r="F122" t="inlineStr"/>
      <c r="G122" t="inlineStr"/>
      <c r="H122" t="inlineStr"/>
      <c r="I122" t="inlineStr">
        <is>
          <t>**Logistics at full potential.**
 At GXO, we’re constantly looking for talented individuals at all levels who can deliver the caliber of service our company requires. You know that a positive work environment creates happy employees, which boosts productivity and dedication. On our team, you’ll have the support to excel at work and the resources to build a career you can be proud of.
 As the Lead Data Engineer, you will lead the design and development of robust and scalable data pipelines on a modern data platform. You will work closely with cross\-functional teams to understand data requirements, implement efficient solutions, and ensure the reliability and performance of our data infrastructure. The ideal candidate will have a strong background in data engineering, expertise in working with cloud platforms such as Google Cloud Platform (GCP), and experience with modern data warehousing solutions like Snowflake. The Lead Data Engineer will mentor less experienced developers and collaborate with cross\-functional teams, stakeholders, and vendors to achieve project milestones and deliver a robust and scalable data lake solution.
**Pay, Benefits And More.**
 We are eager to attract the best, so we offer competitive compensation and a generous benefits package, including full health insurance (medical, dental and vision), 401(k), life insurance, disability and the opportunity to participate in a company incentive plan.
**What you’ll do on a typical day:**
* Data Pipeline Design and Development: Lead the design, implementation, and maintenance of data pipelines to support data ingestion, transformation, and storage on GCP and Snowflake.
* Collaboration: Collaborate with data scientists, analysts, and other stakeholders to understand data requirements and deliver data solutions that meet business objectives.
* Platform Optimization: Optimize and enhance the performance, scalability, and reliability of existing data pipelines, ensuring efficient data processing and storage.
* Technology Stack: Stay abreast of industry trends and emerging technologies in data engineering and incorporate them into the data architecture where applicable. Experience with the following modern data stack highly preferred: GCP, Snowflake, Fivetran, and dbt.
* Quality Assurance: Implement best practices for data quality, validation, and testing to ensure the accuracy and integrity of data throughout the pipeline.
* Documentation: Create and maintain comprehensive documentation for data pipelines, ensuring knowledge transfer and supportability.
**What you need to succeed at GXO:**
 At a minimum, you’ll need:
* Bachelor’s degree in Computer Science, Data Science,or equivalent related work
* 5\+ in designing and building data pipelines on cloud platforms, preferably GCP and Snowflake.
* Expertise in working with modern data warehousing solutions such as Snowflake, ie, Snowpipe Streaming, Warehouse Optimization, and clustering. Highly preferred, real\-time data processing experience using Kafka.
* Python and Advanced SQL: Must be adept at scripting in Python, particularly for data manipulation and integration tasks, and have a solid grasp of advanced SQL techniques for querying, transformation, and performance optimization.
* Data Modeling: Understanding of best practices for data modeling, including star schemas, snowflake schemas, and data normalization techniques. A good understanding of the data structures that support email targeting.
* ETL/ELT Processes: Experience in designing, building, and optimizing ETL/ELT pipelines to process large datasets using dbt.
* Apache Airflow: Experience in building, deploying, and optimizing DAGs in Airflow or a similar tool.
* GitHub: Experience with version control, branching, and collaboration on GitHub.
* Data Visualization: Knowledge of tools like Superset, Looker or Python visualization libraries (Matplotlib, Seaborn, Plotly…etc)
* Collaboration and Communication: Ability to work closely with data scientists, analysts, and other stakeholders to translate business requirements into technical solutions. Strong documentation skills for pipeline design and data flow diagrams.
* Data Privacy: Knowledge of data privacy laws including an understanding of GDPR, CCPA, and other regulations to ensure compliance in data privacy practices.
 It’d be great if you also have:
* Master’s degree
* Snowflake Certification (highly preferred)
* GCP Certification (highly preferred)
**We engineer faster, smarter, leaner supply chains.**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We are proud to be an Equal Opportunity employer including Disabled/Veterans.
 GXO adheres to CDC, OSHA and state and local requirements regarding COVID safety. All employees and visitors are expected to comply with GXO policies which are in place to safeguard our employees and customers.
 All applicants who receive a conditional offer of employment may be required to take and pass a pre\-employment drug test.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t>
        </is>
      </c>
    </row>
    <row r="123">
      <c r="A123" t="inlineStr">
        <is>
          <t>li-4314643747</t>
        </is>
      </c>
      <c r="B123" t="inlineStr">
        <is>
          <t>Big Data Engineer</t>
        </is>
      </c>
      <c r="C123" t="inlineStr">
        <is>
          <t>Robert Half</t>
        </is>
      </c>
      <c r="D123" t="inlineStr">
        <is>
          <t>linkedin</t>
        </is>
      </c>
      <c r="E123">
        <f>HYPERLINK("https://www.linkedin.com/jobs/view/4314643747", "https://www.linkedin.com/jobs/view/4314643747")</f>
        <v/>
      </c>
      <c r="F123" t="inlineStr"/>
      <c r="G123" t="inlineStr">
        <is>
          <t>Westfield, IN</t>
        </is>
      </c>
      <c r="H123" t="inlineStr"/>
      <c r="I123" t="inlineStr">
        <is>
          <t>We are looking for a skilled Big Data Engineer to join our team in Westfield, Indiana. This role involves leveraging advanced technologies to design, implement, and optimize big data solutions that drive our business objectives. The ideal candidate will have extensive experience in data engineering and a passion for building scalable systems.
 Responsibilities:
 • Design, develop, and implement scalable big data solutions using Python, Apache Spark, and other relevant technologies.
 • Build and optimize ETL pipelines to efficiently handle large volumes of structured and unstructured data.
 • Manage and process data using frameworks such as Apache Hadoop and Apache Kafka.
 • Collaborate with cross\-functional teams to understand data requirements and translate them into technical solutions.
 • Utilize cloud platforms like Amazon Web Services (AWS) to deploy and maintain data systems.
 • Ensure the security, reliability, and performance of big data architectures.
 • Troubleshoot and resolve issues related to data systems and pipelines.
 • Monitor and analyze system performance to identify opportunities for improvement.
 • Stay updated on emerging technologies and incorporate them into data engineering practices as appropriate.
 • A minimum of 10 years of experience in big data engineering or a related field.
 • Proficiency in programming languages such as Python.
 • Strong expertise in data processing frameworks, including Apache Spark, Hadoop, and Kafka.
 • Solid experience with ETL processes and pipeline development.
 • Familiarity with cloud platforms, particularly Amazon Web Services (AWS).
 • Proven ability to design and implement scalable data architectures.
 • Excellent problem\-solving skills and attention to detail.
 • Strong communication skills to collaborate effectively with technical and non\-technical teams.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124">
      <c r="A124" t="inlineStr">
        <is>
          <t>li-4358589018</t>
        </is>
      </c>
      <c r="B124" t="inlineStr">
        <is>
          <t>Azure Data Engineer</t>
        </is>
      </c>
      <c r="C124" t="inlineStr">
        <is>
          <t>Akkodis Group Nordics</t>
        </is>
      </c>
      <c r="D124" t="inlineStr">
        <is>
          <t>linkedin</t>
        </is>
      </c>
      <c r="E124">
        <f>HYPERLINK("https://www.linkedin.com/jobs/view/4358589018", "https://www.linkedin.com/jobs/view/4358589018")</f>
        <v/>
      </c>
      <c r="F124">
        <f>HYPERLINK("https://www.akkodis.com/en-us/careers/jobs/azure-data-engineer-tampa/US_EN_6_971601_1611230&amp;urlHash=7yFm", "https://www.akkodis.com/en-us/careers/jobs/azure-data-engineer-tampa/US_EN_6_971601_1611230&amp;urlHash=7yFm")</f>
        <v/>
      </c>
      <c r="G124" t="inlineStr">
        <is>
          <t>Tampa, FL</t>
        </is>
      </c>
      <c r="H124" t="inlineStr"/>
      <c r="I124" t="inlineStr">
        <is>
          <t>Akkodis is seeking an
 **Azure Data Engineer** 
 for a
 **Contract** 
 with a client in
 **Tampa, FL.** 
 You will design and build scalable data pipelines and architectures on the Azure cloud platform, ensuring high performance and reliability.
**Rate Range:** 
 $42/hour to $44/hour; The rate may be negotiable based on experience, education, geographic location, and other factors.
**Azure Data Engineer Job Responsibilities Include**
* Design, develop, and optimize end\-to\-end data pipelines and ETL/ELT processes using Azure Data services and frameworks.
* Build scalable data solutions leveraging Azure Databricks, PySpark, and Snowflake for batch and real\-time data processing.
* Develop and maintain data models and schemas in relational and NoSQL databases such as Postgres and MongoDB.
* Write efficient, reusable code in Python and SQL to transform and load data across multiple systems.
* Collaborate with cross\-functional teams including data scientists, analysts, and business stakeholders to deliver high\-quality data solutions.
* Monitor and improve data pipeline performance, ensuring reliability, scalability, and compliance with data governance standards.
**Required Qualifications**
* Bachelor’s or master’s degree in computer science, Data Engineering, or a related field.
* Minimum 5\+ years of experience in data engineering with strong expertise in Azure cloud services.
* Hands\-on experience with Azure Databricks, PySpark, Snowflake, and building scalable data pipelines and architectures.
* Strong proficiency in Python and SQL, with experience in relational and NoSQL databases (Postgres, MongoDB) and ETL/ELT processes.
 If you are interested in this role, then please click APPLY NOW. For other opportunities available at Akkodis, or any questions, feel free to contact me at
 **Gopal.Gupta@** 
**akkodisgroup.com.**
**Pay Details:** 
 $42\.00 to $44\.00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25">
      <c r="A125" t="inlineStr">
        <is>
          <t>li-4359641874</t>
        </is>
      </c>
      <c r="B125" t="inlineStr">
        <is>
          <t>Data Engineer - Viasat Government</t>
        </is>
      </c>
      <c r="C125" t="inlineStr">
        <is>
          <t>Viasat</t>
        </is>
      </c>
      <c r="D125" t="inlineStr">
        <is>
          <t>linkedin</t>
        </is>
      </c>
      <c r="E125">
        <f>HYPERLINK("https://www.linkedin.com/jobs/view/4359641874", "https://www.linkedin.com/jobs/view/4359641874")</f>
        <v/>
      </c>
      <c r="F125">
        <f>HYPERLINK("https://careers.viasat.com/jobs/5566?lang=en-us&amp;iis=Job+Board&amp;iisn=LinkedIn&amp;source=LinkedIn&amp;urlHash=mL-o", "https://careers.viasat.com/jobs/5566?lang=en-us&amp;iis=Job+Board&amp;iisn=LinkedIn&amp;source=LinkedIn&amp;urlHash=mL-o")</f>
        <v/>
      </c>
      <c r="G125" t="inlineStr">
        <is>
          <t>Germantown, MD</t>
        </is>
      </c>
      <c r="H125" t="inlineStr"/>
      <c r="I125"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this Data Engineering role, you will be accountable for building datasets and dashboarding capabilities based on real time streaming data and large data sets. You will be responsible for creating streaming and batch ETLs in a cloud environment. You will architect datasets that enable the use of AI and support ML initiatives. The data sets you create will provide business intelligence and informative insights to our business leaders and deliver game changing value to our customers.
**The day\-to\-day**
 As a senior member of our Data Engineering team, you’ll help set direction, mentor junior team members, and build datasets and visualizations that power business intelligence and empower data driven decision making.
 We look for:
* The ability to communicate clearly and work well with both technical and non\-technical teams.
* The ability to take on projects with vague requirements, distill them into data engineering tasks, and complete them with the help of junior engineers.
* Proven ability to develop data architectures that scale well and provide meaningful insights.
* The ability to construct well\-organized schemas and data interfaces for consumption by data reporting teams, data scientists, or AI systems
**What You'll Need**
* 5\+ years proven data engineering experience using common data engineering languages (Java or Python) and common data engineering framework and tools like DBT, Spark, and Flink.
* Familiarity with RDBMS technologies (PostgreSQL, MySQL, Oracle, etc.)
* Experience in Linux based systems, docker, and code versioning tooling (Git/CI/CD).
* Familiarity with at least one cloud provider such as AWS, GCP, or Azure.
* Experience with at least one of Looker, Tableau, or Palantir
* Experience in design and implementation of robust and highly scalable Data services
* Proven team player with the ability to manage multiple projects simultaneously in a fast\-paced dynamic agile work environment.
* Bachelor’s degree in computer science, computer engineering, or electrical engineering or equivalent technical background and experience.
* Ability to travel up to 10%.
* Must be a US Citizen and eligible to obtain a US Security Clearance
**What Will Help You On The Job**
* Understanding of distributed and parallel computing architectures.
* Experience with Big Data and Streaming technologies like Kafka, Flink, Spark, DBT, Airflow, Big Query, and Trino.
* Knowledge/Understanding of Satellite systems and technologies.
* Previous work in business or customer analytics.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26">
      <c r="A126" t="inlineStr">
        <is>
          <t>li-4359491847</t>
        </is>
      </c>
      <c r="B126" t="inlineStr">
        <is>
          <t>Data Engineer - Viasat Government</t>
        </is>
      </c>
      <c r="C126" t="inlineStr">
        <is>
          <t>Viasat</t>
        </is>
      </c>
      <c r="D126" t="inlineStr">
        <is>
          <t>linkedin</t>
        </is>
      </c>
      <c r="E126">
        <f>HYPERLINK("https://www.linkedin.com/jobs/view/4359491847", "https://www.linkedin.com/jobs/view/4359491847")</f>
        <v/>
      </c>
      <c r="F126">
        <f>HYPERLINK("https://careers.viasat.com/jobs/5566?lang=en-us&amp;iis=Job+Board&amp;iisn=LinkedIn&amp;source=LinkedIn&amp;urlHash=mL-o", "https://careers.viasat.com/jobs/5566?lang=en-us&amp;iis=Job+Board&amp;iisn=LinkedIn&amp;source=LinkedIn&amp;urlHash=mL-o")</f>
        <v/>
      </c>
      <c r="G126" t="inlineStr">
        <is>
          <t>Tempe, AZ</t>
        </is>
      </c>
      <c r="H126" t="inlineStr"/>
      <c r="I126"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this Data Engineering role, you will be accountable for building datasets and dashboarding capabilities based on real time streaming data and large data sets. You will be responsible for creating streaming and batch ETLs in a cloud environment. You will architect datasets that enable the use of AI and support ML initiatives. The data sets you create will provide business intelligence and informative insights to our business leaders and deliver game changing value to our customers.
**The day\-to\-day**
 As a senior member of our Data Engineering team, you’ll help set direction, mentor junior team members, and build datasets and visualizations that power business intelligence and empower data driven decision making.
 We look for:
* The ability to communicate clearly and work well with both technical and non\-technical teams.
* The ability to take on projects with vague requirements, distill them into data engineering tasks, and complete them with the help of junior engineers.
* Proven ability to develop data architectures that scale well and provide meaningful insights.
* The ability to construct well\-organized schemas and data interfaces for consumption by data reporting teams, data scientists, or AI systems
**What You'll Need**
* 5\+ years proven data engineering experience using common data engineering languages (Java or Python) and common data engineering framework and tools like DBT, Spark, and Flink.
* Familiarity with RDBMS technologies (PostgreSQL, MySQL, Oracle, etc.)
* Experience in Linux based systems, docker, and code versioning tooling (Git/CI/CD).
* Familiarity with at least one cloud provider such as AWS, GCP, or Azure.
* Experience with at least one of Looker, Tableau, or Palantir
* Experience in design and implementation of robust and highly scalable Data services
* Proven team player with the ability to manage multiple projects simultaneously in a fast\-paced dynamic agile work environment.
* Bachelor’s degree in computer science, computer engineering, or electrical engineering or equivalent technical background and experience.
* Ability to travel up to 10%.
* Must be a US Citizen and eligible to obtain a US Security Clearance
**What Will Help You On The Job**
* Understanding of distributed and parallel computing architectures.
* Experience with Big Data and Streaming technologies like Kafka, Flink, Spark, DBT, Airflow, Big Query, and Trino.
* Knowledge/Understanding of Satellite systems and technologies.
* Previous work in business or customer analytics.
**Salary range**
 $135,500\.00 \- $214,000\.00 / annually. For specific work locations within San Jose, the San Francisco Bay area and New York City metropolitan area, the base pay range for this role is $168,500\.00\- $252,500\.00/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127">
      <c r="A127" t="inlineStr">
        <is>
          <t>li-4359730087</t>
        </is>
      </c>
      <c r="B127" t="inlineStr">
        <is>
          <t>Lead Data Engineer - Databricks (Remote)</t>
        </is>
      </c>
      <c r="C127" t="inlineStr">
        <is>
          <t>Lumenalta</t>
        </is>
      </c>
      <c r="D127" t="inlineStr">
        <is>
          <t>linkedin</t>
        </is>
      </c>
      <c r="E127">
        <f>HYPERLINK("https://www.linkedin.com/jobs/view/4359730087", "https://www.linkedin.com/jobs/view/4359730087")</f>
        <v/>
      </c>
      <c r="F127" t="inlineStr"/>
      <c r="G127" t="inlineStr"/>
      <c r="H127" t="inlineStr"/>
      <c r="I127" t="inlineStr">
        <is>
          <t>**What We’re Building** 
 We partner with global enterprises to design and scale data platforms that power products used by millions of users. Our work involves large\-scale data systems, complex pipelines, and high\-impact business use cases across multiple industries.
 This role focuses on
 **technical leadership** 
 , architectural ownership, and
 **mentoring** 
 while remaining hands\-on.
**Your Role as a Tech Lead** 
 As a
 **Tech Lead, Data Engineering** 
 , you will own the technical direction of data initiatives while remaining hands\-on. You’ll act as the bridge between architecture, execution, and people leadership.
**What You’ll Do** 
* **Own the technical direction and architecture** 
 of data engineering projects
* Design and build
 **scalable, production\-grade data pipelines** 
 using
 **Databricks, PySpark, AWS, and SQL**
* Lead by example with
 **hands\-on development** 
 , code reviews, and technical decision\-making
* **Mentor and guide data engineers** 
 , promoting best practices, clean code, and high engineering standards
* Drive architectural discussions, trade\-offs, and long\-term technical vision
* Collaborate closely with
 **product, data, and engineering stakeholders**
* Tackle
 **enterprise\-scale data challenges** 
 with real\-world business impact business outcomes
**What We’re Looking For** 
* **10\+ years of experience** 
 in Data Engineering or related roles
* **Proven experience as a Tech Lead, Lead Data Engineer, or similar role**
* Strong hands\-on expertise with:
 **Python \&amp; SQL, PySpark, Databricks and AWS**
* Solid background in
 **data architecture, pipeline design, and distributed systems**
* Experience mentoring engineers and leading technical initiatives
* Strong communication skills and the ability to influence technical decisions
* Fluent in English (spoken and written)
**Salary** 
 Salary range: $65,000 \- $130\.000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128">
      <c r="A128" t="inlineStr">
        <is>
          <t>li-4331281898</t>
        </is>
      </c>
      <c r="B128" t="inlineStr">
        <is>
          <t>Data Engineer</t>
        </is>
      </c>
      <c r="C128" t="inlineStr">
        <is>
          <t>Jobs via Dice</t>
        </is>
      </c>
      <c r="D128" t="inlineStr">
        <is>
          <t>linkedin</t>
        </is>
      </c>
      <c r="E128">
        <f>HYPERLINK("https://www.linkedin.com/jobs/view/4331281898", "https://www.linkedin.com/jobs/view/4331281898")</f>
        <v/>
      </c>
      <c r="F128" t="inlineStr"/>
      <c r="G128" t="inlineStr">
        <is>
          <t>Cincinnati, OH</t>
        </is>
      </c>
      <c r="H128" t="inlineStr"/>
      <c r="I128" t="inlineStr">
        <is>
          <t>Dice is the leading career destination for tech experts at every stage of their careers. Our client, Drunix Solution Inc, is seeking the following. Apply via Dice today!
**Job Title:** 
 Data Engineer
**Work Authorization:** 
**ONLY**
**Job Description**
 We are seeking an experienced
 **Data Engineer** 
 with strong hands\-on expertise in building scalable data pipelines and analytics platforms. The ideal candidate will work closely with business and analytics teams to design, develop, and optimize data solutions that support reporting, insights, and decision\-making.
**Key Responsibilities**
* Design, develop, and maintain ETL/ELT data pipelines for batch and large\-scale data processing
* Build and optimize data solutions using Databricks and PySpark
* Develop and maintain data models and data architecture for analytics and reporting
* Create and support dashboards and reports using Power BI
* Write and optimize complex SQL queries for performance and scalability
* Work with cloud platforms, preferably Azure (ADF, ADLS, Synapse), to support data workflows
* Ensure data quality, reliability, and governance across data platforms
* Collaborate with cross\-functional teams including analysts, BI developers, and stakeholders
**Required Skills**
* Strong experience as a Data Engineer
* Hands\-on experience with Databricks and PySpark
* Proficiency in Power BI (reports, dashboards, data modeling)
* Strong SQL skills with performance tuning experience
* Solid understanding of data modeling and data architecture
* Working knowledge of Azure cloud services (preferred)</t>
        </is>
      </c>
    </row>
    <row r="129">
      <c r="A129" t="inlineStr">
        <is>
          <t>li-4331901559</t>
        </is>
      </c>
      <c r="B129" t="inlineStr">
        <is>
          <t>Databricks Data Engineer</t>
        </is>
      </c>
      <c r="C129" t="inlineStr">
        <is>
          <t>Jobs via Dice</t>
        </is>
      </c>
      <c r="D129" t="inlineStr">
        <is>
          <t>linkedin</t>
        </is>
      </c>
      <c r="E129">
        <f>HYPERLINK("https://www.linkedin.com/jobs/view/4331901559", "https://www.linkedin.com/jobs/view/4331901559")</f>
        <v/>
      </c>
      <c r="F129" t="inlineStr"/>
      <c r="G129" t="inlineStr">
        <is>
          <t>San Jose, CA</t>
        </is>
      </c>
      <c r="H129" t="inlineStr"/>
      <c r="I129" t="inlineStr">
        <is>
          <t>Dice is the leading career destination for tech experts at every stage of their careers. Our client, Rays Techsolutions Inc., is seeking the following. Apply via Dice today!
**Title:** 
 Databricks Data Engineer
**Location:** 
 San Jose, CA
**Duration of the Contract:** 
 12\+months
**Job Description**
 We are seeking a
 **Databricks Data Engineer** 
 to design, build, and optimize scalable data solutions that empower B2B operations. This role involves working closely with business stakeholders, data scientists, and analysts to transform raw enterprise data into actionable insights. The ideal candidate will have strong expertise in Databricks, cloud data platforms, and modern data engineering practices, with a focus on enabling B2B workflows such as customer analytics, partner integrations, and operational intelligence.
**Key Responsibilities:**
* Design, develop, and maintain scalable ETL/ELT pipelines using Databricks and cloud\-native tools.
* Ingest and process structured, semi\-structured, and unstructured data from multiple B2B sources (APIs, CRM, ERP, partner feeds).
* Optimize pipelines for performance, reliability, and cost efficiency in large\-scale B2B environments.
* Partner with business stakeholders to translate B2B requirements into technical solutions.
* Work closely with data scientists and analysts to enable advanced analytics and machine learning use cases.
* Provide technical guidance to cross\-functional teams on Databricks best practices.
**Additional Responsibilities:**
* Manage marketing technology and automation, with hands\-on experience in Marketo administration, configuration, and production.
* Integrate marketing automation tools with platforms such as Salesforce or Dynamics.
* Design, develop, automate, and maintain RESTful and GraphQL APIs for secure, scalable system integrations.
* Collaborate with engineering and product teams to gather data and integration requirements, delivering robust solutions aligned with business needs.
* Build and optimize cloud\-native data pipelines and ETL processes for ingesting and transforming data from diverse sources.
* Ensure data consistency, reliability, and performance across integrated systems to support analytics and operational workflows.
* Implement comprehensive monitoring, logging, and alerting for integration services to ensure high availability and rapid issue resolution.
* Document integration workflows, API specifications, and engineering processes to promote maintainability, scalability, and cross\-team knowledge sharing.
**Skills Required:**
* Primary: B2B, Data Engineering, Databricks
* Secondary: Project Management, Stakeholder Handling
* Good to Have: MarTech / Marketo, Salesforce or Dynamics, API development (RESTful \&amp; GraphQL), Cloud Platforms (Azure/AWS/Google Cloud Platform)</t>
        </is>
      </c>
    </row>
    <row r="130">
      <c r="A130" t="inlineStr">
        <is>
          <t>li-4358214563</t>
        </is>
      </c>
      <c r="B130" t="inlineStr">
        <is>
          <t>Senior Staff Data Engineer</t>
        </is>
      </c>
      <c r="C130" t="inlineStr">
        <is>
          <t>NBCUniversal</t>
        </is>
      </c>
      <c r="D130" t="inlineStr">
        <is>
          <t>linkedin</t>
        </is>
      </c>
      <c r="E130">
        <f>HYPERLINK("https://www.linkedin.com/jobs/view/4358214563", "https://www.linkedin.com/jobs/view/4358214563")</f>
        <v/>
      </c>
      <c r="F130">
        <f>HYPERLINK("https://jobs.smartrecruiters.com/NBCUniversal3/744000101907875-senior-staff-data-engineer&amp;urlHash=PbW2", "https://jobs.smartrecruiters.com/NBCUniversal3/744000101907875-senior-staff-data-engineer&amp;urlHash=PbW2")</f>
        <v/>
      </c>
      <c r="G130" t="inlineStr">
        <is>
          <t>New York, NY</t>
        </is>
      </c>
      <c r="H130" t="inlineStr"/>
      <c r="I130"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We are seeking a
 **Senior Staff Data Engineer** 
 looking to build the next generation of data pipelines and applications across the development of innovative new systems and solutions using a rapidly changing landscape of emerging technologies including generative AI and large language models. Working across the practices, techniques and tools used for the operational management of large language models in production environments – the Senior Staff Data Engineer role is proper for you if you're a subject matter expert in designing data integration frameworks and pipelines and still love to jump in and be "hands\-on" when needed. This team is focused on proving the value of new tech and bringing it to production quickly.
 In the Senior Staff Data Engineer role, you'll have the opportunity to partner with internal stakeholders, data engineers, visualization experts, data scientists, and other technologists across the businesses. You've come to the right place if you love to take large, disparate data sets and build them into flexible and scalable analytics applications and warehouses. Here, you can create the extraordinary. Join us. The ideal candidate should be well\-versed in designing, building, and supporting APIs, machine learning services and frameworks, LLMs, lang\-chain, and foundational data warehousing technologies. In addition, the candidate should be excited about the possibilities that Generative AI can be leveraged to accelerate various parts of the business.
 Your primary focus will be building reliable, scalable, and efficient pipelines for use in LLMs and crafting our vision for LLM analytics. You will be essential in defining the team's strategy, evaluating, and integrating data patterns and technologies, and building pipelines alongside domain experts and data scientists.
**Responsibilities:**
* Design, build, and scale data pipelines across a variety of source systems and streams (internal, third\-party, and cloud\-based), distributed/elastic environments, and downstream applications and self\-service solutions.
* Deep understanding of Machine Learning best practices (e.g., training/serving, feature engineering, feature/model selection, imbalance data, RAG patterns) and algorithms (e.g., deep learnings, optimization)
* Solid understanding of data modeling, warehousing, and architecture principles.
* Implement appropriate design patterns while optimizing performance, cost, security, and scale and end\-user experience.
* Collaborate with cross\-functional teams to understand data requirements and develop efficient data acquisition and integration strategies.
* Interface with other technology teams to extract, load, and transform data from a wide variety of data sources using cloud\-native data engineering principles.
* Become a subject matter expert for data engineering\-related technologies and designs.
* Coach and guide others within the organization to build scalable pipelines based on foundational data engineering principles.
* Participate in development sprints, demos, and retrospectives alongside releases and deployment.
* Build and manage relationships with supporting engineering teams to deliver work products to production effectively.
* Have worked well with data scientists, business analysts, and machine learning infrastructure to connect the dots between business and technology partners.
* Develop automated tests for your code, ensuring every function, service, and object is compatible with your team's work and with the many systems within the NBCUniversal system portfolio and cross\-device and browser compatibility.
* Create documentation for developers and business users to help them understand our products.
* Work collaboratively with a multidisciplinary team within a matrixed organization, leveraging strong interpersonal skills to navigate system complexities and deploy solutions efficiently.
* Deploy to cloud\-based platforms and troubleshoot application, cloud, and configuration issues when necessary.
* Utilize tools for code \&amp; test generation to dramatically accelerate the delivery of features and components you create.
**Qualifications**
* 10\+ years of experience in a data engineering role, with a strong emphasis on leading data engineering teams
* Ability to think critically about problems, decipher user preferences versus challenging requirements, and effectively use online and onsite resources to find appropriate solutions.
* Proven ability to thrive in an agile development environment, adept at incorporating feedback and adjusting to changing priorities.
* Understanding REST\-based APIs, vectorized embeddings, and other Retrieval Augmented Generation AI workload components.
* Direct experience with data modeling, ETL/ELT development principles, cloud development, and data warehousing concepts
* Knowledge of cloud technologies such as AWS, Azure, GCP
* Knowledge of data management fundamentals and data storage principles
* Experience in building data pipelines using Python/SQL or similar programming languages.
* General understanding of cloud data engineering design patterns and use cases
* Bachelor's degree in computer science, Data Science, Statistics, Informatics, Information Systems or related field.
**Desired Characteristics:**
* Familiarity with integrating large language models and AI\-generated content technologies into applications.
* Familiarity with the development ecosystem evolving around LLM integration, such as langchain.
* Proven adaptability in a fast\-paced, evolving technology landscape, with a strong problem\-solving ability and quick learning curve.
* Effective communication skills, capable of working collaboratively across diverse teams and navigating a large, matrixed organization efficiently.
* Ability to translate business needs into clear technical requirements.
* Analytical – You have experience in delivering self\-service analytics solutions that promote data discovery.
	+ Experience with Snowflake, Amazon Web Services, or related cloud platforms a plus
	+ Understanding of big data technology stacks (Hive / Spark etc) is a plus
	+ Experience moving on prem technologies to the cloud is a plus
* Action\-oriented – You're constantly figuring out new problems and are regularly showing results with a positive attitude, always displaying ethical behavior, integrity, and building trust
	+ Strong understanding of Agile principles and best practices
	+ You’ve dealt with ambiguity and can make quality decisions in a dynamic, fast\-paced environment
**Additional Requirements:**
* **Fully Remote:** 
 This position has been designated as fully remote, meaning that the position is expected to contribute from a non\-NBCUniversal worksite, most commonly an employee’s residence.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$150,000 \- $185,000
 *(bonus eligible)*
 We are accepting applications for this position on an ongoing basis.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131">
      <c r="A131" t="inlineStr">
        <is>
          <t>li-4331951547</t>
        </is>
      </c>
      <c r="B131" t="inlineStr">
        <is>
          <t>Data Engineer - Databricks Expert</t>
        </is>
      </c>
      <c r="C131" t="inlineStr">
        <is>
          <t>Jobs via Dice</t>
        </is>
      </c>
      <c r="D131" t="inlineStr">
        <is>
          <t>linkedin</t>
        </is>
      </c>
      <c r="E131">
        <f>HYPERLINK("https://www.linkedin.com/jobs/view/4331951547", "https://www.linkedin.com/jobs/view/4331951547")</f>
        <v/>
      </c>
      <c r="F131" t="inlineStr"/>
      <c r="G131" t="inlineStr">
        <is>
          <t>San Jose, CA</t>
        </is>
      </c>
      <c r="H131" t="inlineStr"/>
      <c r="I131" t="inlineStr">
        <is>
          <t>Dice is the leading career destination for tech experts at every stage of their careers. Our client, STAFFWORXS LLC, is seeking the following. Apply via Dice today!
**At Staffworxs, we don’t just connect talent — we power transformation.** 
 Headquartered in Frisco, TX, with teams in Bengaluru and Hyderabad, we combine global reach with deep expertise. Our Digital \&amp; Data Analytics practice drives growth and innovation for some of the world’s top CPG brands, who continue to retain us as their trusted partner. If you’re ready to make an impact, you’re in the right place.
**Job Details**
**Title:** 
 Databricks Data Engineer
**Location:** 
 San Jose, CA
**Duration of the Contract:** 
 12\+ Months
**Pay Rate:** 
 Open, DOE
**Client Industry:** 
 B2B / Technology / Digital Analytics
**Skills Required:**
* Primary: B2B, Data Engineering, Databricks
* Secondary: Project Management, Stakeholder Handling
* Good to Have: MarTech / Marketo, Salesforce or Dynamics, API development (RESTful \&amp; GraphQL), Cloud Platforms (Azure/AWS/Google Cloud Platform)
**Job Description**
 We are seeking a
 **Databricks Data Engineer** 
 to design, build, and optimize scalable data solutions that empower B2B operations. This role involves working closely with business stakeholders, data scientists, and analysts to transform raw enterprise data into actionable insights. The ideal candidate will have strong expertise in Databricks, cloud data platforms, and modern data engineering practices, with a focus on enabling B2B workflows such as customer analytics, partner integrations, and operational intelligence.
**Key Responsibilities:**
* Design, develop, and maintain scalable ETL/ELT pipelines using Databricks and cloud\-native tools.
* Ingest and process structured, semi\-structured, and unstructured data from multiple B2B sources (APIs, CRM, ERP, partner feeds).
* Optimize pipelines for performance, reliability, and cost efficiency in large\-scale B2B environments.
* Partner with business stakeholders to translate B2B requirements into technical solutions.
* Work closely with data scientists and analysts to enable advanced analytics and machine learning use cases.
* Provide technical guidance to cross\-functional teams on Databricks best practices.
**Additional Responsibilities:**
* Manage marketing technology and automation, with hands\-on experience in Marketo administration, configuration, and production.
* Integrate marketing automation tools with platforms such as Salesforce or Dynamics.
* Design, develop, automate, and maintain RESTful and GraphQL APIs for secure, scalable system integrations.
* Collaborate with engineering and product teams to gather data and integration requirements, delivering robust solutions aligned with business needs.
* Build and optimize cloud\-native data pipelines and ETL processes for ingesting and transforming data from diverse sources.
* Ensure data consistency, reliability, and performance across integrated systems to support analytics and operational workflows.
* Implement comprehensive monitoring, logging, and alerting for integration services to ensure high availability and rapid issue resolution.
* Document integration workflows, API specifications, and engineering processes to promote maintainability, scalability, and cross\-team knowledge sharing.
**Staffworxs is an Equal Opportunity Employer.** 
 We celebrate diversity and are committed to creating an inclusive workplace for all employees, regardless of race, color, religion, gender, sexual orientation, national origin, age, disability, or veteran status.</t>
        </is>
      </c>
    </row>
    <row r="132">
      <c r="A132" t="inlineStr">
        <is>
          <t>li-4332210770</t>
        </is>
      </c>
      <c r="B132" t="inlineStr">
        <is>
          <t>Data Engineer</t>
        </is>
      </c>
      <c r="C132" t="inlineStr">
        <is>
          <t>Jobs via Dice</t>
        </is>
      </c>
      <c r="D132" t="inlineStr">
        <is>
          <t>linkedin</t>
        </is>
      </c>
      <c r="E132">
        <f>HYPERLINK("https://www.linkedin.com/jobs/view/4332210770", "https://www.linkedin.com/jobs/view/4332210770")</f>
        <v/>
      </c>
      <c r="F132" t="inlineStr"/>
      <c r="G132" t="inlineStr">
        <is>
          <t>Maryland, United States</t>
        </is>
      </c>
      <c r="H132" t="inlineStr"/>
      <c r="I132" t="inlineStr">
        <is>
          <t>**Job Summary:**
 The Senior Data Engineer (Matillion for Snowflake) will be responsible for development and delivery of the Allegis Analytics Warehouse in our cloud\-based Data Platform. The Engineer will perform Code reviews, estimate the effort based on solutions guided by Architects and participate in Databases Designs, Development, and ELT solutions to support all consumers across the entire Enterprise
**Responsibilities**
**Essential Functions:**
* Assist in writing and reviewing the design and Code specifications for solutions as identified by Data/Domain Architects.
* Maintains a working knowledge of new technologies and adopts suitable concepts for the organization to help move their organizations forward.
* Code, test and support existing and new systems as necessary to support Analytics and Reporting applications.
* Ability to Code, design and deliver data solutions that are reliable, scalable, and perform at a high\-level to meet the service levels associated with mission\-critical reporting and AI/ML used cases.
* Conduct code reviews and handles continuous Integration and deployment.
* Streamlines existing applications and systems to ensure integration and ease of use.
* Monitors systems? technical performance and identifies opportunities to deliver data as quickly as possible
* Collaborates with developers, architects, project managers and business analysts in developing new reporting structures that will stand the test of time.
* Responds to support incidents and resolve issues for newly released code
* Works collectively with Global team and architects, with guidance in delivering solutions
* Communicates difficult or sensitive topics and works to build consensus.
* Ability to tune SQL statements/queries; knowledge of optimal tuning techniques.
* Ability to analyze data and abstract relationships, meaning, and forensics from data profiling
* Demonstrated level of technical knowledge and understanding of architecture, application systems design and data integration
* Ability to mentor and guide junior team members
* Experience working on technical initiatives from concept to implementation while ensuring alignment with broader team goals.
**Qualifications**
**Minimum Education and/or Experience:**
* 8 \+ years of overall experience with:
* 5\+ years leading and implementing data lake and warehouse platforms
* Designing and developing database systems and/or applications in a diverse environment
* Experience in Snowflake (preferred) or other modern cloud data lake and warehouse platforms
* Extensive experience with ELT preferably with Matillion or other analogous modern ELT technologies for cloud data and integration
* Ability to tune SQL statements/queries, knowledge of optimal tuning techniques.
* Experience programming in Python or modern programming languages
* Knowledge in building AI\-Driven data solutions, including feature engineering, embeddings or ML/LLM enabled pipelines with preference for Snowflake based implementations
* Well verse with Dimensional Modeling
* Mentoring and guiding team members
**Skills/Abilities:**
* Team\-oriented, can\-do, self\-starter attitude
* Ability to solve complex technical and/or logic challenges
* Ability to work in a fast passed environment
**Benefits Overview:**
 Benefits are subject to change and may be subject to specific elections, plan, or program terms. This role is eligible for the following:
* Medical, dental \&amp; vision
* Hospital plans
* 401(k) Retirement Plan ? Pre\-tax and Roth post\-tax contributions available
* Life Insurance (Company paid Basic Life and AD\&amp;D as well as voluntary Life \&amp; AD\&amp;D for the employee and dependents)
* Company paid Short and long\-term disability
* Health \&amp; Dependent Care Spending Accounts (HSA \&amp; DCFSA)
* Transportation benefits
* Employee Assistance Program
* Tuition Assistance
* Time Off/Leave (PTO, Allegis Group Paid Family Leave, Parental Leave)
**Salary Range:**
* $98,000\-$147,000
* The position is bonus eligible
**Office Requirements:**
* Required in office 2 days a week out of our headquarters in Hanover, MD or offices in Jacksonville, FL
**Core Competencies:**
* Building Relationships
* Develop People
* Lead Change
* Inspire Others
* Think Critically
* Communicate Clearly
* Create Accountability
 ?
 *Individual compensation offered for this position within this range will depend on many factors, including qualifications, skills, relevant experience, job knowledge, geographic location, internal equity, and other pertinent job\-related factors* 
 .?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email Lauren Lara at* 
*or call for other accommodation options.*</t>
        </is>
      </c>
    </row>
    <row r="133">
      <c r="A133" t="inlineStr">
        <is>
          <t>li-4331931519</t>
        </is>
      </c>
      <c r="B133" t="inlineStr">
        <is>
          <t>Lead Data Engineer - Data Platform Engineering (Hybrid)</t>
        </is>
      </c>
      <c r="C133" t="inlineStr">
        <is>
          <t>Jobs via Dice</t>
        </is>
      </c>
      <c r="D133" t="inlineStr">
        <is>
          <t>linkedin</t>
        </is>
      </c>
      <c r="E133">
        <f>HYPERLINK("https://www.linkedin.com/jobs/view/4331931519", "https://www.linkedin.com/jobs/view/4331931519")</f>
        <v/>
      </c>
      <c r="F133" t="inlineStr"/>
      <c r="G133" t="inlineStr">
        <is>
          <t>Melville, NY</t>
        </is>
      </c>
      <c r="H133" t="inlineStr"/>
      <c r="I133" t="inlineStr">
        <is>
          <t>**Job Description**
 We're looking for a hands\-on Lead Data Engineer to architect and build the data pipelines and infrastructure that power our analytics, ML, and business intelligence capabilities. You'll design greenfield data solutions while modernizing our existing systems to create a scalable, reliable, and performant data platform. Leads the implementation of information systems to manage financial functions for Patient Financial Services/Accounts. Oversees projects and initiatives to meet user requirements. Serves as a liaison between department (user) and vendors. Ensures systems compliance to applicable laws, regulatory standards and policies. This is a unique opportunity to own critical data infrastructure from the ground up. You'll spend your time building robust ETL/ELT pipelines, optimizing data models, building reusable and extensible frameworks, and mentoring the team all while solving complex challenges around data ingestion, transformation, and orchestration at scale.
 Job Responsibility
* Coordinates implementation of information system initiatives to meet user requirements.
* Communicates with user departments and project teams regarding implementation activities and system changes to ensure feasibility.
* Develops system specifications that appropriately meet department requirements.
* Develops systems to track data in comprehensive and innovative ways.
* Collaborates with hospital departments and outside vendors to facilitate managed care contract implementation.
* Coordinates and maintains communication between the hospital and vendor(s) regarding system applications.
* Performs periodic post\-installation reviews of system initiatives.
* Conducts system\-wide in\-services with managers and staff, as necessary.
* Ensures systems compliance to applicable laws, regulatory standards and policies.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including technical experience with Apache Hadoop, NoSQL, setting up cloud clusters, Apache Spark, and other advanced data science and big data technologies, required.
**Highly Preferred**
* Extensive Google Cloud Platform (Google Cloud Platform) experience
* Previous experience as a Data Platform Engineer/ Data Engineer/ Analytics Engineer for a large organization
* Experience in/ with Python (FastAPI, Pandas, Polars, etc.)
* Experience with infrastructure as code, specifically Terraform
* Extensive experience with Airflow, DBT, and/ or Dataform
* Experience with OpenLineage, OpenMetadata and data contracts
* Extensive experience with BigQuery, CloudSQL, Pub/ Sub, Dataflow, Cloud Storage, etc.
* Experience with the Cloud Healthcare API/ FHIR/ HL7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134">
      <c r="A134" t="inlineStr">
        <is>
          <t>li-4331511688</t>
        </is>
      </c>
      <c r="B134" t="inlineStr">
        <is>
          <t>Snowflake Data Engineer-Chicago, IL-Onsite</t>
        </is>
      </c>
      <c r="C134" t="inlineStr">
        <is>
          <t>Jobs via Dice</t>
        </is>
      </c>
      <c r="D134" t="inlineStr">
        <is>
          <t>linkedin</t>
        </is>
      </c>
      <c r="E134">
        <f>HYPERLINK("https://www.linkedin.com/jobs/view/4331511688", "https://www.linkedin.com/jobs/view/4331511688")</f>
        <v/>
      </c>
      <c r="F134" t="inlineStr"/>
      <c r="G134" t="inlineStr">
        <is>
          <t>Chicago, IL</t>
        </is>
      </c>
      <c r="H134" t="inlineStr"/>
      <c r="I134" t="inlineStr">
        <is>
          <t>Dice is the leading career destination for tech experts at every stage of their careers. Our client, Infomerica, Inc, is seeking the following. Apply via Dice today!
 Location: Chicago, IL \- onsite
 Duration: 6 months
 Senior Data Engineer \- Snowflake
 Key Responsibilities
 Data Integration
* Implement and maintain data synchronization between on\-premises Oracle databases and Snowflake using Kafka and CDC tools.
 Support Data Modeling
* Assist in developing and optimizing the data model for Snowflake, ensuring it supports our analytics and reporting requirements.
 Data Pipeline Development
* Design, build, and manage data pipelines for the ETL process, using Airflow for orchestration and Python for scripting, to transform raw data into a format suitable for our new Snowflake data model.
 Reporting Support
* Collaborate with data architect to ensure the data within Snowflake is structured in a way that supports efficient and insightful reporting.
 Technical Documentation
* Create and maintain comprehensive documentation of data pipelines, ETL processes, and data models to ensure best practices are followed and knowledge is shared within the team.
 Tools and Skillsets
* Data engineering proven track record of developing and maintaining data pipelines and data integration projects
 Databases
* Strong experience with Oracle, Snowflake, and Databricks.
 Data Integration Tools
* Proficiency in using Kafka and CDC tools for data ingestion and synchronization.
 Orchestration Tools
* Expertise in Airflow for managing data pipeline workflows.
 Programming
* Advanced proficiency in Python and SQL for data processing tasks.
 Data Modeling
* Understanding of data modeling principles and experience with data warehousing solutions.
 Cloud Platforms
* Knowledge of cloud infrastructure and services, preferably Azure, as it relates to Snowflake and Databricks integration.
 Collaboration Tools
* Experience with version control systems (like Git) and collaboration platforms.
 CICD Implementation
* Utilize CICD tools to automate the deployment of data pipelines and infrastructure changes, ensuring high\-quality data processing with minimal manual intervention.
 Communication
* Excellent communication and teamwork skills, with a detail\-oriented mindset.
* Strong analytical skills, with the ability to work independently and solve complex problems.</t>
        </is>
      </c>
    </row>
    <row r="135">
      <c r="A135" t="inlineStr">
        <is>
          <t>li-4331281864</t>
        </is>
      </c>
      <c r="B135" t="inlineStr">
        <is>
          <t>Job Title: Lead AWS Data Engineer with Python - C2C - Direct Client</t>
        </is>
      </c>
      <c r="C135" t="inlineStr">
        <is>
          <t>Jobs via Dice</t>
        </is>
      </c>
      <c r="D135" t="inlineStr">
        <is>
          <t>linkedin</t>
        </is>
      </c>
      <c r="E135">
        <f>HYPERLINK("https://www.linkedin.com/jobs/view/4331281864", "https://www.linkedin.com/jobs/view/4331281864")</f>
        <v/>
      </c>
      <c r="F135">
        <f>HYPERLINK("https://click.appcast.io/t/T0ORpfTuop0DejUFzJUdiV61QhySk9uhQnWkidU9eSY=&amp;urlHash=dG3m", "https://click.appcast.io/t/T0ORpfTuop0DejUFzJUdiV61QhySk9uhQnWkidU9eSY=&amp;urlHash=dG3m")</f>
        <v/>
      </c>
      <c r="G135" t="inlineStr">
        <is>
          <t>Houston, TX</t>
        </is>
      </c>
      <c r="H135" t="inlineStr"/>
      <c r="I135" t="inlineStr">
        <is>
          <t>Dice is the leading career destination for tech experts at every stage of their careers. Our client, ResolveTech Solutions Inc., is seeking the following. Apply via Dice today!
**Job Title: Lead AWS Data Engineer with Python**
**Duration: 12\+ Months**
**Location:** 
**Houston** 
**, TX (Onsite)**
**About The Role**
 We are seeking a lead Data Engineer (Level 3\) to design, build, and optimize large\-scale, high\-reliability data pipelines and lakehouse architectures. The ideal candidate combines deep data engineering expertise with strong software engineering fundamentals to deliver modular, scalable, and testable data systems. This role involves leading core architectural decisions and end\-to\-end patterns across ingestion, transformation, data modeling, and delivery, including partitioning strategies and partition key design for high\-performance analytics.
**Key Responsibilities**
* Design, build, and maintain ELT pipelines across ingestion, transformation, modeling, and delivery layers (bronze silver gold).
* Implement incremental loads, change\-data\-capture (CDC), merge/upsert, and idempotent pipeline patterns to ensure reliability and repeatability.
* Define and apply data architectural patterns (e.g., layered lakehouse, domain\-oriented datasets, and semantic models) aligned to business objectives.
* Engineer physical data designs including partitioning strategies, partition key selection, clustering/micro\-partitioning, and compaction for performance and cost efficiency.
* Develop curated datasets and data marts that enable analytics and self\-service BI.
* Implement data quality, observability, and lineage (validations, profiling, SLAs, monitoring, and alerting).
* Optimize performance on cloud data platforms (e.g., Snowflake tasks/streams, compute sizing, query optimization).
* Design and manage Lakehouse table formats (e.g., Apache Iceberg or Delta) on object storage including schema evolution and maintenance.
* Collaborate with Data Architects, Analytics Engineering, and business stakeholders to translate requirements into scalable data solutions.
* Mentor junior engineers, lead design reviews, and contribute to engineering standards and reusable frameworks.
* Automate and optimize the data lifecycle using CI/CD and infrastructure\-as\-code; apply DevOps principles to data pipelines.
**Required Qualifications**
* 14\+ years of experience in Data Engineering or closely related Software Engineering roles with a data focus.
* Expert\-level SQL development and data analysis skills, including advanced query optimization and debugging.
* Strong Python engineering skills and familiarity with software design principles and patterns (e.g., SOLID), unit testing, refactoring, and version control.
* Hands\-on experience building ELT/ETL pipelines and orchestration with tools such as Astronomer/Airflow; proficiency with Git and CI/CD.
* Deep understanding of core data engineering patterns: ingestion, transformation, modeling (dimensional/SCDs), and delivery.
* Proven experience with database physical design including partitioning and effective partition key selection; exposure to clustering and micro\-partitioning on MPP/cloud data platforms.
* Experience implementing data quality frameworks, observability/monitoring, and robust operational SLAs.
* Experience with Lakehouse table formats (Apache Iceberg/Delta/Hudi) and columnar storage (Parquet) on object storage (e.g., AWS S3\).
* Strong communication skills with the ability to present complex technical concepts to both technical and business stakeholders.
**Preferred Qualifications**
* Experience optimizing Snowflake workloads (compute sizing, tasks/streams, clustering, micro\-partitioning).
* Experience with dbt, Data Build Tool, or similar for transformation and testing.
* Experience with event streaming (Kafka/Kinesis/Flink) and API\-based data integration.
* Experience with data catalog, governance, and lineage platforms.
**Core Competencies**
* Architectural thinking and systems design.
* Structured problem\-solving and analytical rigor.
* Clear written and verbal communication; stakeholder engagement.
* Bias for automation, reliability, and maintainability.
**Tools \&amp; Technologies (representative)**
* Databases \&amp; Warehouses: Snowflake, MPP databases; dimensional modeling/SCDs.
* Lakehouse \&amp; Storage: Apache Iceberg/Delta/Hudi, Parquet, AWS S3/Object Storage.
* Orchestration \&amp; CI/CD: Astronomer/Airflow, git, CI/CD pipelines.
* Programming: Python, SQL.
* Observability \&amp; Quality: data validation frameworks, monitoring/alerting tools.
**Education \&amp; Work Conditions**
 Bachelor s degree in Computer Science, Data Engineering, Information Systems, or related field; advanced degree a plus.
 Location: Houston, TX (in\-office, no remote/hybrid).</t>
        </is>
      </c>
    </row>
    <row r="136">
      <c r="A136" t="inlineStr">
        <is>
          <t>li-4331931592</t>
        </is>
      </c>
      <c r="B136" t="inlineStr">
        <is>
          <t>AI Quality Assurance Data Engineer</t>
        </is>
      </c>
      <c r="C136" t="inlineStr">
        <is>
          <t>Jobs via Dice</t>
        </is>
      </c>
      <c r="D136" t="inlineStr">
        <is>
          <t>linkedin</t>
        </is>
      </c>
      <c r="E136">
        <f>HYPERLINK("https://www.linkedin.com/jobs/view/4331931592", "https://www.linkedin.com/jobs/view/4331931592")</f>
        <v/>
      </c>
      <c r="F136" t="inlineStr"/>
      <c r="G136" t="inlineStr">
        <is>
          <t>Atlanta, GA</t>
        </is>
      </c>
      <c r="H136" t="inlineStr"/>
      <c r="I136" t="inlineStr">
        <is>
          <t>Dice is the leading career destination for tech experts at every stage of their careers. Our client, Denken Solutions, is seeking the following. Apply via Dice today!
 Currently, we are looking for talented resources for one of our listed clients. If interested please reply to me with your updated resume or feel free to reach out to me for more details at
**Hybrid role**
**Job Description:**
* Bachelor s degree in Computer Science, Information Technology, or a related field.
* Understanding of machine learning concepts and algorithms.
* Experience performing integrated application quality assurance and project management.
* Extensive experience with developing and testing data analytical solutions.
* Strong analytical and problem\-solving ability.
* Familiarity with automation testing frameworks and tools (Tricentis Tosca).
* Experience working with Microsoft Azure services, including DataBricks.
* Strong understanding of Python, SQL.
* Proficient in Jira and Zephyr Scale.
* Excellent problem\-solving skills and attention to detail.
**Estimated Start Date:**
* 2/1/2026
**Estimated Duration of Job Assignment:**
* 12/31/2026
**Key responsibilities:**
* Develop and execute comprehensive test plans based on project requirements and specifications.
* Create and maintain detailed testing documentation including test cases, test scripts, and test results.
* Execute function, regression, and performance testing to identify and resolve issues.
* Collaborate with data scientists, data engineers, and developers to maintain high standards of data quality and enhance model performance.
* Identify, log, and track defects in the systems, working with cross\-functional teams to resolve them in a timely manner.
* Ensure AI models meet user requirements through close collaboration with product managers.
* Advocate for best practices in QA and contribute to the development of automated testing strategies.
* Uphold standards of data integrity and contribute to continuous improvement initiatives within the QA process.
**About us:**
 At our organization, we take our mission and values to heart! We are on a mission to offer more and better jobs all over the world! Our goal is to care for you while you care for our clients and get you paid the highest pay possible. All our associates working with us are expected to embrace our RACE values: R \- Results Matter, A\- Approachable, C \- Care, and E \- Emergency i.e. work with a sense of urgency.
**For more relevant job opportunities please visit our website:**</t>
        </is>
      </c>
    </row>
    <row r="137">
      <c r="A137" t="inlineStr">
        <is>
          <t>li-4331591623</t>
        </is>
      </c>
      <c r="B137" t="inlineStr">
        <is>
          <t>AZURE Data Engineer (W2 only)</t>
        </is>
      </c>
      <c r="C137" t="inlineStr">
        <is>
          <t>Jobs via Dice</t>
        </is>
      </c>
      <c r="D137" t="inlineStr">
        <is>
          <t>linkedin</t>
        </is>
      </c>
      <c r="E137">
        <f>HYPERLINK("https://www.linkedin.com/jobs/view/4331591623", "https://www.linkedin.com/jobs/view/4331591623")</f>
        <v/>
      </c>
      <c r="F137" t="inlineStr"/>
      <c r="G137" t="inlineStr">
        <is>
          <t>Hamilton Township, NJ</t>
        </is>
      </c>
      <c r="H137" t="inlineStr"/>
      <c r="I137" t="inlineStr">
        <is>
          <t>Dice is the leading career destination for tech experts at every stage of their careers. Our client, cloudingest inc, is seeking the following. Apply via Dice today!
**Sr Data Engineer**
 Location:
 **Hamilton Township, NJ \| Onsite \- No Hybrid**
 Job Description:
 Must have at least 10 years of implementation knowledge of large and complex Data platforms.
 At least three years of professional experience in designing and engineering/architecting a data platform (Entity based).
 Expertise in Data Architecture, Data Strategy, and in implementing large\-scale end\-to\-end Data management.
 Expertise in Data Quality, Data Profiling.
 Deep understanding of ETL, data ingestion/cleansing, and engineering skills
 Strong problem\-solving, influencing, communication, and presentation skills.
 Technical experience and knowledge, with depth / Subject Matter Expertise in
* Microsoft Data Platform Cloud solutions
* Data Ingestion and Storage, including Azure Data Factory, Azure Databricks, Azure Data Lake
* Data Engineering, including Azure Data Factory and Azure Databricks, with experience with Python and T\-SQL.
* Relational Databases, including Azure SQL, NoSQL Databases, including Cosmos DB</t>
        </is>
      </c>
    </row>
    <row r="138">
      <c r="A138" t="inlineStr">
        <is>
          <t>li-4331981315</t>
        </is>
      </c>
      <c r="B138" t="inlineStr">
        <is>
          <t>Senior Data Engineer with Scala, Java &amp; Spark - W2 Role</t>
        </is>
      </c>
      <c r="C138" t="inlineStr">
        <is>
          <t>Jobs via Dice</t>
        </is>
      </c>
      <c r="D138" t="inlineStr">
        <is>
          <t>linkedin</t>
        </is>
      </c>
      <c r="E138">
        <f>HYPERLINK("https://www.linkedin.com/jobs/view/4331981315", "https://www.linkedin.com/jobs/view/4331981315")</f>
        <v/>
      </c>
      <c r="F138">
        <f>HYPERLINK("https://click.appcast.io/t/XOddy6Vd8SeLvvH9EclcSCwUMNHoZYhGG0T352rfOQw=&amp;urlHash=fsIf", "https://click.appcast.io/t/XOddy6Vd8SeLvvH9EclcSCwUMNHoZYhGG0T352rfOQw=&amp;urlHash=fsIf")</f>
        <v/>
      </c>
      <c r="G138" t="inlineStr">
        <is>
          <t>San Francisco, CA</t>
        </is>
      </c>
      <c r="H138" t="inlineStr"/>
      <c r="I138" t="inlineStr">
        <is>
          <t>Dice is the leading career destination for tech experts at every stage of their careers. Our client, Info Dinamica Inc, is seeking the following. Apply via Dice today!
**Role: Senior Data Engineer**
**Location: San Francisco, CA (Hybrid \- 3 days a week onsite)**
**Job Type: W2 Contract**
**Length: 1 year, can be extended**
**Must Have:** 
**Scala, Java \+ Spark (can strong Java with some Scala \+ Spark)**
**Minimum Qualifications:**
* 2\-5\+ years of Scala, Java development experience.
* 2\+ years of SQL and NoSQL experience (handling structured and unstructured data).
* 1\+ years of extensive experience with Spark Processing engine.
* 1\+ years of experience with Big data tools / technologies/ Streaming (Hive, Impala, OOZIE, Airflow, NIFI, Kafka)
* 1\+ years experience with Data Modeling.
* Experience analyzing data to discover opportunities and address gaps.
* Experience working with cloud or on\-prem Big Data platform(i.e. Netezza, Teradata, AWS Redshift, Google BigQuery, Azure Data Warehouse, or similar)
* Candidates Must work 3 days a week onsite from office.</t>
        </is>
      </c>
    </row>
    <row r="139">
      <c r="A139" t="inlineStr">
        <is>
          <t>li-4359651722</t>
        </is>
      </c>
      <c r="B139" t="inlineStr">
        <is>
          <t>Data Engineer/Architect</t>
        </is>
      </c>
      <c r="C139" t="inlineStr">
        <is>
          <t>JLL</t>
        </is>
      </c>
      <c r="D139" t="inlineStr">
        <is>
          <t>linkedin</t>
        </is>
      </c>
      <c r="E139">
        <f>HYPERLINK("https://www.linkedin.com/jobs/view/4359651722", "https://www.linkedin.com/jobs/view/4359651722")</f>
        <v/>
      </c>
      <c r="F139">
        <f>HYPERLINK("https://jll.wd1.myworkdayjobs.com/jllcareers/job/Mountain-View-CA/Data-Engineer-Architect_REQ475159&amp;urlHash=4GdR", "https://jll.wd1.myworkdayjobs.com/jllcareers/job/Mountain-View-CA/Data-Engineer-Architect_REQ475159&amp;urlHash=4GdR")</f>
        <v/>
      </c>
      <c r="G139" t="inlineStr">
        <is>
          <t>Mountain View, CA</t>
        </is>
      </c>
      <c r="H139" t="inlineStr"/>
      <c r="I139" t="inlineStr">
        <is>
          <t>****What this job involves \-****
 As the Data Engineer/Architect, you are the principal technical owner of the data infrastructure that powers our innovation in managing our client's critical facilities and labs. You will be responsible for designing, building, and optimizing the data architecture on a leading global cloud service provider.
 Your primary mission is to consolidate and structure complex operational data (from BMS, equipment logs, work orders, etc.) to enable the development of deep analysis tools. This role is foundational to our efforts in predictive maintenance, proactive intelligence, and automated remediation using ML/AI, all within our client’s leading global cloud service provider environment.
****Key Responsibilities****
**Data Architecture \&amp; Engineering**
* Design and build a scalable, secure, and reliable data architecture on GCP, specifically tailored for critical facilities and operational data.
* Develop and maintain robust ETL/ELT pipelines to ingest, consolidate, and process data from diverse and disconnected sources (e.g., BMS, EPMS, equipment logs, sensor data).
* Utilize core GCP services (e.g., BigQuery, Pub/Sub, Dataflow, Cloud Storage) to warehouse and manage large\-scale data.
* Structure and optimize data models in BigQuery to support high\-performance queries, advanced analytics, and BI visualization in tools like Looker Studio.
* Implement data governance, quality checks, and monitoring to ensure data integrity and reliability.
****Innovation \&amp; AI/ML Enablement****
* Partner with the Director of Innovation to translate strategic goals into technical data solutions.
* Prepare and productionalize large\-scale datasets for use in Machine Learning (ML) and Artificial Intelligence (AI) models on GCP (e.g., Vertex AI).
* Engineer the data foundation required to build and deploy models for predictive maintenance, proactive operational intelligence, and automated remediation workflows.
* Operationalize critical building/space data, making it accessible and actionable for operational teams and analysts.
****Collaboration \&amp; Technical Support****
* Act as the lead technical expert on data architecture and engineering for the client account.
* Collaborate closely with operations teams, data analysts, and our client’s stakeholders to understand data requirements and deliver solutions.
* Troubleshoot and resolve complex data\-related issues, ensuring minimal disruption to analytics and operational tools.
****Sound like you? To apply you need:****
* 5\-7\+ years of hands\-on experience in a data engineering or data architect role.
* Expert\-level knowledge and proven experience with a leading global cloud service providerr, especially BigQuery, Pub/Sub, Dataflow, and IAM.
* Mandatory, demonstrable experience with operationalizing Building Management System (BMS), EPMS, or other critical facilities/OT data for analytics.
* Strong proficiency in SQL, Python, and data modeling techniques for data warehousing.
* Experience in preparing data for and supporting ML/AI models in a production environment (MLOps experience is a major plus).
* Familiarity with BI tools like Looker Studio or Tableau and how they connect to data warehouses.
* Strong problem\-solving and analytical skills with a focus on continuous improvement and optimization.
* Bachelor's degree in Computer Science, Engineering, Data Science, or a related technical field.
* GCP certification (e.g., Professional Data Engineer, Professional Cloud Architect) is highly desirable.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2026-01-09T03:07:44Z</dcterms:created>
  <dcterms:modified xsi:type="dcterms:W3CDTF">2026-01-09T03:07:44Z</dcterms:modified>
</cp:coreProperties>
</file>