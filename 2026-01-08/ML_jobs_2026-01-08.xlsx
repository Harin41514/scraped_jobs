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in-b8f07a4955523579</t>
        </is>
      </c>
      <c r="B2" t="inlineStr">
        <is>
          <t>Applied Scientist, Skill Builder, AWS Training and Certifications</t>
        </is>
      </c>
      <c r="C2" t="inlineStr">
        <is>
          <t>Amazon Web Services</t>
        </is>
      </c>
      <c r="D2" t="inlineStr">
        <is>
          <t>indeed</t>
        </is>
      </c>
      <c r="E2" t="inlineStr"/>
      <c r="F2" t="inlineStr"/>
      <c r="G2" t="inlineStr">
        <is>
          <t>Seattle, WA, US</t>
        </is>
      </c>
      <c r="H2" s="2" t="n">
        <v>46000</v>
      </c>
      <c r="I2"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in-c7080a222921d49e</t>
        </is>
      </c>
      <c r="B3" t="inlineStr">
        <is>
          <t>Applied Scientist, Skill Builder, AWS Training and Certifications</t>
        </is>
      </c>
      <c r="C3" t="inlineStr">
        <is>
          <t>Amazon Web Services</t>
        </is>
      </c>
      <c r="D3" t="inlineStr">
        <is>
          <t>indeed</t>
        </is>
      </c>
      <c r="E3" t="inlineStr"/>
      <c r="F3" t="inlineStr"/>
      <c r="G3" t="inlineStr">
        <is>
          <t>Arlington, VA, US</t>
        </is>
      </c>
      <c r="H3" s="2" t="n">
        <v>46000</v>
      </c>
      <c r="I3"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in-d6a74799056117aa</t>
        </is>
      </c>
      <c r="B4" t="inlineStr">
        <is>
          <t>Applied Scientist, Skill Builder, AWS Training and Certifications</t>
        </is>
      </c>
      <c r="C4" t="inlineStr">
        <is>
          <t>Amazon Web Services</t>
        </is>
      </c>
      <c r="D4" t="inlineStr">
        <is>
          <t>indeed</t>
        </is>
      </c>
      <c r="E4" t="inlineStr"/>
      <c r="F4" t="inlineStr"/>
      <c r="G4" t="inlineStr">
        <is>
          <t>Bellevue, WA, US</t>
        </is>
      </c>
      <c r="H4" s="2" t="n">
        <v>46000</v>
      </c>
      <c r="I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in-e6a127bae0e1bd20</t>
        </is>
      </c>
      <c r="B5" t="inlineStr">
        <is>
          <t>Principal Applied Scientist, Artificial General Intelligence</t>
        </is>
      </c>
      <c r="C5" t="inlineStr">
        <is>
          <t>Amazon.com</t>
        </is>
      </c>
      <c r="D5" t="inlineStr">
        <is>
          <t>indeed</t>
        </is>
      </c>
      <c r="E5" t="inlineStr"/>
      <c r="F5" t="inlineStr"/>
      <c r="G5" t="inlineStr">
        <is>
          <t>San Francisco, CA, US</t>
        </is>
      </c>
      <c r="H5" s="2" t="n">
        <v>45978</v>
      </c>
      <c r="I5"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in-6450fd1d5a856208</t>
        </is>
      </c>
      <c r="B6" t="inlineStr">
        <is>
          <t>Sr. Applied Scientist, AGI Foundations</t>
        </is>
      </c>
      <c r="C6" t="inlineStr">
        <is>
          <t>Amazon.com</t>
        </is>
      </c>
      <c r="D6" t="inlineStr">
        <is>
          <t>indeed</t>
        </is>
      </c>
      <c r="E6" t="inlineStr"/>
      <c r="F6" t="inlineStr"/>
      <c r="G6" t="inlineStr">
        <is>
          <t>Bellevue, WA, US</t>
        </is>
      </c>
      <c r="H6" s="2" t="n">
        <v>45978</v>
      </c>
      <c r="I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in-f18a5e26fe48daec</t>
        </is>
      </c>
      <c r="B7" t="inlineStr">
        <is>
          <t>Applied Scientist, Artificial General Intelligence</t>
        </is>
      </c>
      <c r="C7" t="inlineStr">
        <is>
          <t>Amazon.com</t>
        </is>
      </c>
      <c r="D7" t="inlineStr">
        <is>
          <t>indeed</t>
        </is>
      </c>
      <c r="E7" t="inlineStr"/>
      <c r="F7" t="inlineStr"/>
      <c r="G7" t="inlineStr">
        <is>
          <t>Seattle, WA, US</t>
        </is>
      </c>
      <c r="H7" s="2" t="n">
        <v>45974</v>
      </c>
      <c r="I7"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in-8ac6c058bb4d4fe0</t>
        </is>
      </c>
      <c r="B8" t="inlineStr">
        <is>
          <t>Applied Scientist, Artificial General Intelligence</t>
        </is>
      </c>
      <c r="C8" t="inlineStr">
        <is>
          <t>Amazon.com</t>
        </is>
      </c>
      <c r="D8" t="inlineStr">
        <is>
          <t>indeed</t>
        </is>
      </c>
      <c r="E8" t="inlineStr"/>
      <c r="F8" t="inlineStr"/>
      <c r="G8" t="inlineStr">
        <is>
          <t>Sunnyvale, CA, US</t>
        </is>
      </c>
      <c r="H8" s="2" t="n">
        <v>45974</v>
      </c>
      <c r="I8"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in-d99a724bc927acf6</t>
        </is>
      </c>
      <c r="B9" t="inlineStr">
        <is>
          <t>Applied Scientist, Artificial General Intelligence</t>
        </is>
      </c>
      <c r="C9" t="inlineStr">
        <is>
          <t>Amazon.com</t>
        </is>
      </c>
      <c r="D9" t="inlineStr">
        <is>
          <t>indeed</t>
        </is>
      </c>
      <c r="E9" t="inlineStr"/>
      <c r="F9" t="inlineStr"/>
      <c r="G9" t="inlineStr">
        <is>
          <t>Boston, MA, US</t>
        </is>
      </c>
      <c r="H9" s="2" t="n">
        <v>45974</v>
      </c>
      <c r="I9"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in-3d7e7384b97ad870</t>
        </is>
      </c>
      <c r="B10" t="inlineStr">
        <is>
          <t>Applied Scientist, Sponsored Products and Brands</t>
        </is>
      </c>
      <c r="C10" t="inlineStr">
        <is>
          <t>Amazon.com</t>
        </is>
      </c>
      <c r="D10" t="inlineStr">
        <is>
          <t>indeed</t>
        </is>
      </c>
      <c r="E10" t="inlineStr"/>
      <c r="F10" t="inlineStr"/>
      <c r="G10" t="inlineStr">
        <is>
          <t>New York, NY, US</t>
        </is>
      </c>
      <c r="H10" s="2" t="n">
        <v>45965</v>
      </c>
      <c r="I1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in-d9d3c79722cadb24</t>
        </is>
      </c>
      <c r="B11" t="inlineStr">
        <is>
          <t>Applied Scientist, Sponsored Products and Brands</t>
        </is>
      </c>
      <c r="C11" t="inlineStr">
        <is>
          <t>Amazon.com</t>
        </is>
      </c>
      <c r="D11" t="inlineStr">
        <is>
          <t>indeed</t>
        </is>
      </c>
      <c r="E11" t="inlineStr"/>
      <c r="F11" t="inlineStr"/>
      <c r="G11" t="inlineStr">
        <is>
          <t>Seattle, WA, US</t>
        </is>
      </c>
      <c r="H11" s="2" t="n">
        <v>45965</v>
      </c>
      <c r="I1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in-b8be0e24ad760d16</t>
        </is>
      </c>
      <c r="B12" t="inlineStr">
        <is>
          <t>Principal Applied Scientist, Amazon AGI</t>
        </is>
      </c>
      <c r="C12" t="inlineStr">
        <is>
          <t>Amazon.com</t>
        </is>
      </c>
      <c r="D12" t="inlineStr">
        <is>
          <t>indeed</t>
        </is>
      </c>
      <c r="E12" t="inlineStr"/>
      <c r="F12" t="inlineStr"/>
      <c r="G12" t="inlineStr">
        <is>
          <t>Boston, MA, US</t>
        </is>
      </c>
      <c r="H12" s="2" t="n">
        <v>45964</v>
      </c>
      <c r="I12"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in-c39bbe5fa7648b8c</t>
        </is>
      </c>
      <c r="B13" t="inlineStr">
        <is>
          <t>Sr. Applied Scientist, AGI Foundations</t>
        </is>
      </c>
      <c r="C13" t="inlineStr">
        <is>
          <t>Amazon.com</t>
        </is>
      </c>
      <c r="D13" t="inlineStr">
        <is>
          <t>indeed</t>
        </is>
      </c>
      <c r="E13" t="inlineStr"/>
      <c r="F13" t="inlineStr"/>
      <c r="G13" t="inlineStr">
        <is>
          <t>Boston, MA, US</t>
        </is>
      </c>
      <c r="H13" s="2" t="n">
        <v>45963</v>
      </c>
      <c r="I1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in-23cc3fec1cbdd6be</t>
        </is>
      </c>
      <c r="B14" t="inlineStr">
        <is>
          <t>Sr. Applied Scientist, AGI Foundations</t>
        </is>
      </c>
      <c r="C14" t="inlineStr">
        <is>
          <t>Amazon.com</t>
        </is>
      </c>
      <c r="D14" t="inlineStr">
        <is>
          <t>indeed</t>
        </is>
      </c>
      <c r="E14" t="inlineStr"/>
      <c r="F14" t="inlineStr"/>
      <c r="G14" t="inlineStr">
        <is>
          <t>Bellevue, WA, US</t>
        </is>
      </c>
      <c r="H14" s="2" t="n">
        <v>45963</v>
      </c>
      <c r="I1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in-a4c9d056bf861b24</t>
        </is>
      </c>
      <c r="B15" t="inlineStr">
        <is>
          <t>Sr. Applied Scientist, AGI Foundations</t>
        </is>
      </c>
      <c r="C15" t="inlineStr">
        <is>
          <t>Amazon.com</t>
        </is>
      </c>
      <c r="D15" t="inlineStr">
        <is>
          <t>indeed</t>
        </is>
      </c>
      <c r="E15" t="inlineStr"/>
      <c r="F15" t="inlineStr"/>
      <c r="G15" t="inlineStr">
        <is>
          <t>New York, NY, US</t>
        </is>
      </c>
      <c r="H15" s="2" t="n">
        <v>45963</v>
      </c>
      <c r="I1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in-639f93381af44dfc</t>
        </is>
      </c>
      <c r="B16" t="inlineStr">
        <is>
          <t>Sr. Applied Scientist , AMX Science</t>
        </is>
      </c>
      <c r="C16" t="inlineStr">
        <is>
          <t>Amazon.com</t>
        </is>
      </c>
      <c r="D16" t="inlineStr">
        <is>
          <t>indeed</t>
        </is>
      </c>
      <c r="E16" t="inlineStr"/>
      <c r="F16" t="inlineStr"/>
      <c r="G16" t="inlineStr">
        <is>
          <t>New York, NY, US</t>
        </is>
      </c>
      <c r="H16" s="2" t="n">
        <v>45958</v>
      </c>
      <c r="I16"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in-478157046f22b37a</t>
        </is>
      </c>
      <c r="B17" t="inlineStr">
        <is>
          <t>Sr. Applied Scientist , AMX Science</t>
        </is>
      </c>
      <c r="C17" t="inlineStr">
        <is>
          <t>Amazon.com</t>
        </is>
      </c>
      <c r="D17" t="inlineStr">
        <is>
          <t>indeed</t>
        </is>
      </c>
      <c r="E17" t="inlineStr"/>
      <c r="F17" t="inlineStr"/>
      <c r="G17" t="inlineStr">
        <is>
          <t>Seattle, WA, US</t>
        </is>
      </c>
      <c r="H17" s="2" t="n">
        <v>45958</v>
      </c>
      <c r="I17"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in-fe4c988b05a66103</t>
        </is>
      </c>
      <c r="B18" t="inlineStr">
        <is>
          <t>Applied Scientist, Prime Video - Content Understanding, Localization &amp; Enrichment Team</t>
        </is>
      </c>
      <c r="C18" t="inlineStr">
        <is>
          <t>Amazon.com</t>
        </is>
      </c>
      <c r="D18" t="inlineStr">
        <is>
          <t>indeed</t>
        </is>
      </c>
      <c r="E18" t="inlineStr"/>
      <c r="F18" t="inlineStr"/>
      <c r="G18" t="inlineStr">
        <is>
          <t>San Francisco, CA, US</t>
        </is>
      </c>
      <c r="H18" s="2" t="n">
        <v>45943</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in-ba9143552aca9a28</t>
        </is>
      </c>
      <c r="B19" t="inlineStr">
        <is>
          <t>Applied Scientist, Prime Video - Content Understanding, Localization &amp; Enrichment Team</t>
        </is>
      </c>
      <c r="C19" t="inlineStr">
        <is>
          <t>Amazon.com</t>
        </is>
      </c>
      <c r="D19" t="inlineStr">
        <is>
          <t>indeed</t>
        </is>
      </c>
      <c r="E19" t="inlineStr"/>
      <c r="F19" t="inlineStr"/>
      <c r="G19" t="inlineStr">
        <is>
          <t>Seattle, WA, US</t>
        </is>
      </c>
      <c r="H19" s="2" t="n">
        <v>45943</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in-585739027ae29588</t>
        </is>
      </c>
      <c r="B20" t="inlineStr">
        <is>
          <t>Principal Applied Scientist, Advertiser Growth, Amazon Sponsored Products &amp; Brands</t>
        </is>
      </c>
      <c r="C20" t="inlineStr">
        <is>
          <t>Amazon.com</t>
        </is>
      </c>
      <c r="D20" t="inlineStr">
        <is>
          <t>indeed</t>
        </is>
      </c>
      <c r="E20" t="inlineStr"/>
      <c r="F20" t="inlineStr"/>
      <c r="G20" t="inlineStr">
        <is>
          <t>New York, NY, US</t>
        </is>
      </c>
      <c r="H20" s="2" t="n">
        <v>45942</v>
      </c>
      <c r="I2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in-d4ba7e644ca5ed7b</t>
        </is>
      </c>
      <c r="B21" t="inlineStr">
        <is>
          <t>Principal Applied Scientist, Advertiser Growth, Amazon Sponsored Products &amp; Brands</t>
        </is>
      </c>
      <c r="C21" t="inlineStr">
        <is>
          <t>Amazon.com</t>
        </is>
      </c>
      <c r="D21" t="inlineStr">
        <is>
          <t>indeed</t>
        </is>
      </c>
      <c r="E21" t="inlineStr"/>
      <c r="F21" t="inlineStr"/>
      <c r="G21" t="inlineStr">
        <is>
          <t>Seattle, WA, US</t>
        </is>
      </c>
      <c r="H21" s="2" t="n">
        <v>45942</v>
      </c>
      <c r="I2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in-5e266bbee7aa039f</t>
        </is>
      </c>
      <c r="B22" t="inlineStr">
        <is>
          <t>Principal Applied Scientist, Advertiser Growth, Amazon Sponsored Products &amp; Brands</t>
        </is>
      </c>
      <c r="C22" t="inlineStr">
        <is>
          <t>Amazon.com</t>
        </is>
      </c>
      <c r="D22" t="inlineStr">
        <is>
          <t>indeed</t>
        </is>
      </c>
      <c r="E22" t="inlineStr"/>
      <c r="F22" t="inlineStr"/>
      <c r="G22" t="inlineStr">
        <is>
          <t>Palo Alto, CA, US</t>
        </is>
      </c>
      <c r="H22" s="2" t="n">
        <v>45942</v>
      </c>
      <c r="I2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in-1d16bf6b1685b4d6</t>
        </is>
      </c>
      <c r="B23" t="inlineStr">
        <is>
          <t>Applied Scientist, Artificial General Intelligence</t>
        </is>
      </c>
      <c r="C23" t="inlineStr">
        <is>
          <t>Amazon.com</t>
        </is>
      </c>
      <c r="D23" t="inlineStr">
        <is>
          <t>indeed</t>
        </is>
      </c>
      <c r="E23" t="inlineStr"/>
      <c r="F23" t="inlineStr"/>
      <c r="G23" t="inlineStr">
        <is>
          <t>Bellevue, WA, US</t>
        </is>
      </c>
      <c r="H23" s="2" t="n">
        <v>45937</v>
      </c>
      <c r="I2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in-3cbf691b09949c34</t>
        </is>
      </c>
      <c r="B24" t="inlineStr">
        <is>
          <t>Applied Scientist, Artificial General Intelligence</t>
        </is>
      </c>
      <c r="C24" t="inlineStr">
        <is>
          <t>Amazon.com</t>
        </is>
      </c>
      <c r="D24" t="inlineStr">
        <is>
          <t>indeed</t>
        </is>
      </c>
      <c r="E24" t="inlineStr"/>
      <c r="F24" t="inlineStr"/>
      <c r="G24" t="inlineStr">
        <is>
          <t>Seattle, WA, US</t>
        </is>
      </c>
      <c r="H24" s="2" t="n">
        <v>45937</v>
      </c>
      <c r="I2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in-16875d0bb8a2adaa</t>
        </is>
      </c>
      <c r="B25" t="inlineStr">
        <is>
          <t>Applied Scientist, Artificial General Intelligence</t>
        </is>
      </c>
      <c r="C25" t="inlineStr">
        <is>
          <t>Amazon.com</t>
        </is>
      </c>
      <c r="D25" t="inlineStr">
        <is>
          <t>indeed</t>
        </is>
      </c>
      <c r="E25" t="inlineStr"/>
      <c r="F25" t="inlineStr"/>
      <c r="G25" t="inlineStr">
        <is>
          <t>New York, NY, US</t>
        </is>
      </c>
      <c r="H25" s="2" t="n">
        <v>45937</v>
      </c>
      <c r="I2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in-febea9ab42ea6fb7</t>
        </is>
      </c>
      <c r="B26" t="inlineStr">
        <is>
          <t>Applied Scientist, Artificial General Intelligence</t>
        </is>
      </c>
      <c r="C26" t="inlineStr">
        <is>
          <t>Amazon.com</t>
        </is>
      </c>
      <c r="D26" t="inlineStr">
        <is>
          <t>indeed</t>
        </is>
      </c>
      <c r="E26" t="inlineStr"/>
      <c r="F26" t="inlineStr"/>
      <c r="G26" t="inlineStr">
        <is>
          <t>Sunnyvale, CA, US</t>
        </is>
      </c>
      <c r="H26" s="2" t="n">
        <v>45937</v>
      </c>
      <c r="I2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in-52817dfe66cc062e</t>
        </is>
      </c>
      <c r="B27" t="inlineStr">
        <is>
          <t>Applied Scientist II, Prime Video - Personalization and Discovery Science, Personalization and Discovery Science</t>
        </is>
      </c>
      <c r="C27" t="inlineStr">
        <is>
          <t>Amazon.com</t>
        </is>
      </c>
      <c r="D27" t="inlineStr">
        <is>
          <t>indeed</t>
        </is>
      </c>
      <c r="E27" t="inlineStr"/>
      <c r="F27" t="inlineStr"/>
      <c r="G27" t="inlineStr">
        <is>
          <t>Sunnyvale, CA, US</t>
        </is>
      </c>
      <c r="H27" s="2" t="n">
        <v>45930</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in-6946ab40ac5d906e</t>
        </is>
      </c>
      <c r="B28" t="inlineStr">
        <is>
          <t>Applied Scientist II, Prime Video - Personalization and Discovery Science, Personalization and Discovery Science</t>
        </is>
      </c>
      <c r="C28" t="inlineStr">
        <is>
          <t>Amazon.com</t>
        </is>
      </c>
      <c r="D28" t="inlineStr">
        <is>
          <t>indeed</t>
        </is>
      </c>
      <c r="E28" t="inlineStr"/>
      <c r="F28" t="inlineStr"/>
      <c r="G28" t="inlineStr">
        <is>
          <t>New York, NY, US</t>
        </is>
      </c>
      <c r="H28" s="2" t="n">
        <v>45930</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in-3e307770de3ad763</t>
        </is>
      </c>
      <c r="B29" t="inlineStr">
        <is>
          <t>Applied Scientist II, Prime Video - Personalization and Discovery Science, Personalization and Discovery Science</t>
        </is>
      </c>
      <c r="C29" t="inlineStr">
        <is>
          <t>Amazon.com</t>
        </is>
      </c>
      <c r="D29" t="inlineStr">
        <is>
          <t>indeed</t>
        </is>
      </c>
      <c r="E29" t="inlineStr"/>
      <c r="F29" t="inlineStr"/>
      <c r="G29" t="inlineStr">
        <is>
          <t>Seattle, WA, US</t>
        </is>
      </c>
      <c r="H29" s="2" t="n">
        <v>45930</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in-be67b0d2025db9e8</t>
        </is>
      </c>
      <c r="B30" t="inlineStr">
        <is>
          <t>Principal Applied Scientist, Artificial General Intelligence</t>
        </is>
      </c>
      <c r="C30" t="inlineStr">
        <is>
          <t>Amazon.com</t>
        </is>
      </c>
      <c r="D30" t="inlineStr">
        <is>
          <t>indeed</t>
        </is>
      </c>
      <c r="E30" t="inlineStr"/>
      <c r="F30" t="inlineStr"/>
      <c r="G30" t="inlineStr">
        <is>
          <t>New York, NY, US</t>
        </is>
      </c>
      <c r="H30" s="2" t="n">
        <v>45923</v>
      </c>
      <c r="I3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in-41723e35bacfb1db</t>
        </is>
      </c>
      <c r="B31" t="inlineStr">
        <is>
          <t>Principal Applied Scientist, Artificial General Intelligence</t>
        </is>
      </c>
      <c r="C31" t="inlineStr">
        <is>
          <t>Amazon.com</t>
        </is>
      </c>
      <c r="D31" t="inlineStr">
        <is>
          <t>indeed</t>
        </is>
      </c>
      <c r="E31" t="inlineStr"/>
      <c r="F31" t="inlineStr"/>
      <c r="G31" t="inlineStr">
        <is>
          <t>Bellevue, WA, US</t>
        </is>
      </c>
      <c r="H31" s="2" t="n">
        <v>45923</v>
      </c>
      <c r="I3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in-e62c0ea8822f872e</t>
        </is>
      </c>
      <c r="B32" t="inlineStr">
        <is>
          <t>Principal Applied Scientist, Artificial General Intelligence</t>
        </is>
      </c>
      <c r="C32" t="inlineStr">
        <is>
          <t>Amazon.com</t>
        </is>
      </c>
      <c r="D32" t="inlineStr">
        <is>
          <t>indeed</t>
        </is>
      </c>
      <c r="E32" t="inlineStr"/>
      <c r="F32" t="inlineStr"/>
      <c r="G32" t="inlineStr">
        <is>
          <t>Boston, MA, US</t>
        </is>
      </c>
      <c r="H32" s="2" t="n">
        <v>45923</v>
      </c>
      <c r="I3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in-c37f9dca6b61a1ba</t>
        </is>
      </c>
      <c r="B33" t="inlineStr">
        <is>
          <t>Principal Applied Scientist, Artificial General Intelligence</t>
        </is>
      </c>
      <c r="C33" t="inlineStr">
        <is>
          <t>Amazon.com</t>
        </is>
      </c>
      <c r="D33" t="inlineStr">
        <is>
          <t>indeed</t>
        </is>
      </c>
      <c r="E33" t="inlineStr"/>
      <c r="F33" t="inlineStr"/>
      <c r="G33" t="inlineStr">
        <is>
          <t>Sunnyvale, CA, US</t>
        </is>
      </c>
      <c r="H33" s="2" t="n">
        <v>45923</v>
      </c>
      <c r="I3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in-ac650eb73b8253f7</t>
        </is>
      </c>
      <c r="B34" t="inlineStr">
        <is>
          <t>Senior Applied Scientist, Artificial General Intelligence</t>
        </is>
      </c>
      <c r="C34" t="inlineStr">
        <is>
          <t>Amazon.com</t>
        </is>
      </c>
      <c r="D34" t="inlineStr">
        <is>
          <t>indeed</t>
        </is>
      </c>
      <c r="E34" t="inlineStr"/>
      <c r="F34" t="inlineStr"/>
      <c r="G34" t="inlineStr">
        <is>
          <t>Sunnyvale, CA, US</t>
        </is>
      </c>
      <c r="H34" s="2" t="n">
        <v>45922</v>
      </c>
      <c r="I3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in-16a4fb32429e13ed</t>
        </is>
      </c>
      <c r="B35" t="inlineStr">
        <is>
          <t>Senior Applied Scientist, Artificial General Intelligence</t>
        </is>
      </c>
      <c r="C35" t="inlineStr">
        <is>
          <t>Amazon.com</t>
        </is>
      </c>
      <c r="D35" t="inlineStr">
        <is>
          <t>indeed</t>
        </is>
      </c>
      <c r="E35" t="inlineStr"/>
      <c r="F35" t="inlineStr"/>
      <c r="G35" t="inlineStr">
        <is>
          <t>Boston, MA, US</t>
        </is>
      </c>
      <c r="H35" s="2" t="n">
        <v>45922</v>
      </c>
      <c r="I3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in-651255665406366e</t>
        </is>
      </c>
      <c r="B36" t="inlineStr">
        <is>
          <t>Senior Applied Scientist, Artificial General Intelligence</t>
        </is>
      </c>
      <c r="C36" t="inlineStr">
        <is>
          <t>Amazon.com</t>
        </is>
      </c>
      <c r="D36" t="inlineStr">
        <is>
          <t>indeed</t>
        </is>
      </c>
      <c r="E36" t="inlineStr"/>
      <c r="F36" t="inlineStr"/>
      <c r="G36" t="inlineStr">
        <is>
          <t>Seattle, WA, US</t>
        </is>
      </c>
      <c r="H36" s="2" t="n">
        <v>45922</v>
      </c>
      <c r="I3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in-c1f2aa67b10c0a71</t>
        </is>
      </c>
      <c r="B37" t="inlineStr">
        <is>
          <t>Applied Scientist, Artificial General Intelligence</t>
        </is>
      </c>
      <c r="C37" t="inlineStr">
        <is>
          <t>Amazon.com</t>
        </is>
      </c>
      <c r="D37" t="inlineStr">
        <is>
          <t>indeed</t>
        </is>
      </c>
      <c r="E37" t="inlineStr"/>
      <c r="F37" t="inlineStr"/>
      <c r="G37" t="inlineStr">
        <is>
          <t>Bellevue, WA, US</t>
        </is>
      </c>
      <c r="H37" s="2" t="n">
        <v>45921</v>
      </c>
      <c r="I3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in-96e509a1bbd2d4d3</t>
        </is>
      </c>
      <c r="B38" t="inlineStr">
        <is>
          <t>Applied Scientist, Artificial General Intelligence</t>
        </is>
      </c>
      <c r="C38" t="inlineStr">
        <is>
          <t>Amazon.com</t>
        </is>
      </c>
      <c r="D38" t="inlineStr">
        <is>
          <t>indeed</t>
        </is>
      </c>
      <c r="E38" t="inlineStr"/>
      <c r="F38" t="inlineStr"/>
      <c r="G38" t="inlineStr">
        <is>
          <t>Seattle, WA, US</t>
        </is>
      </c>
      <c r="H38" s="2" t="n">
        <v>45921</v>
      </c>
      <c r="I3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in-56a16263024294be</t>
        </is>
      </c>
      <c r="B39" t="inlineStr">
        <is>
          <t>Applied Scientist, Artificial General Intelligence</t>
        </is>
      </c>
      <c r="C39" t="inlineStr">
        <is>
          <t>Amazon.com</t>
        </is>
      </c>
      <c r="D39" t="inlineStr">
        <is>
          <t>indeed</t>
        </is>
      </c>
      <c r="E39" t="inlineStr"/>
      <c r="F39" t="inlineStr"/>
      <c r="G39" t="inlineStr">
        <is>
          <t>Boston, MA, US</t>
        </is>
      </c>
      <c r="H39" s="2" t="n">
        <v>45921</v>
      </c>
      <c r="I3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in-807f1dd6433198ab</t>
        </is>
      </c>
      <c r="B40" t="inlineStr">
        <is>
          <t>Applied Scientist, Artificial General Intelligence</t>
        </is>
      </c>
      <c r="C40" t="inlineStr">
        <is>
          <t>Amazon.com</t>
        </is>
      </c>
      <c r="D40" t="inlineStr">
        <is>
          <t>indeed</t>
        </is>
      </c>
      <c r="E40" t="inlineStr"/>
      <c r="F40" t="inlineStr"/>
      <c r="G40" t="inlineStr">
        <is>
          <t>New York, NY, US</t>
        </is>
      </c>
      <c r="H40" s="2" t="n">
        <v>45921</v>
      </c>
      <c r="I4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in-7f9a79aaca7d9fc7</t>
        </is>
      </c>
      <c r="B41" t="inlineStr">
        <is>
          <t>Applied Scientist II, Prime Video - Personalization and Discovery Science</t>
        </is>
      </c>
      <c r="C41" t="inlineStr">
        <is>
          <t>Amazon.com</t>
        </is>
      </c>
      <c r="D41" t="inlineStr">
        <is>
          <t>indeed</t>
        </is>
      </c>
      <c r="E41" t="inlineStr"/>
      <c r="F41" t="inlineStr"/>
      <c r="G41" t="inlineStr">
        <is>
          <t>New York, NY, US</t>
        </is>
      </c>
      <c r="H41" s="2" t="n">
        <v>45915</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in-0b44d41fab4b5be8</t>
        </is>
      </c>
      <c r="B42" t="inlineStr">
        <is>
          <t>Applied Scientist II, Prime Video - Personalization and Discovery Science</t>
        </is>
      </c>
      <c r="C42" t="inlineStr">
        <is>
          <t>Amazon.com</t>
        </is>
      </c>
      <c r="D42" t="inlineStr">
        <is>
          <t>indeed</t>
        </is>
      </c>
      <c r="E42" t="inlineStr"/>
      <c r="F42" t="inlineStr"/>
      <c r="G42" t="inlineStr">
        <is>
          <t>Sunnyvale, CA, US</t>
        </is>
      </c>
      <c r="H42" s="2" t="n">
        <v>45915</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in-95362560eab78925</t>
        </is>
      </c>
      <c r="B43" t="inlineStr">
        <is>
          <t>Applied Scientist II, Prime Video - Personalization and Discovery Science</t>
        </is>
      </c>
      <c r="C43" t="inlineStr">
        <is>
          <t>Amazon.com</t>
        </is>
      </c>
      <c r="D43" t="inlineStr">
        <is>
          <t>indeed</t>
        </is>
      </c>
      <c r="E43" t="inlineStr"/>
      <c r="F43" t="inlineStr"/>
      <c r="G43" t="inlineStr">
        <is>
          <t>Seattle, WA, US</t>
        </is>
      </c>
      <c r="H43" s="2" t="n">
        <v>45915</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in-b8a98cd5cda82d01</t>
        </is>
      </c>
      <c r="B44" t="inlineStr">
        <is>
          <t>Sr. Applied Scientist, Prime Video - Personalization and Discovery Science</t>
        </is>
      </c>
      <c r="C44" t="inlineStr">
        <is>
          <t>Amazon.com</t>
        </is>
      </c>
      <c r="D44" t="inlineStr">
        <is>
          <t>indeed</t>
        </is>
      </c>
      <c r="E44" t="inlineStr"/>
      <c r="F44" t="inlineStr"/>
      <c r="G44" t="inlineStr">
        <is>
          <t>Seattle, WA, US</t>
        </is>
      </c>
      <c r="H44" s="2" t="n">
        <v>45914</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in-e1c8a5cc19ce022b</t>
        </is>
      </c>
      <c r="B45" t="inlineStr">
        <is>
          <t>Sr. Applied Scientist, Prime Video - Personalization and Discovery Science</t>
        </is>
      </c>
      <c r="C45" t="inlineStr">
        <is>
          <t>Amazon.com</t>
        </is>
      </c>
      <c r="D45" t="inlineStr">
        <is>
          <t>indeed</t>
        </is>
      </c>
      <c r="E45" t="inlineStr"/>
      <c r="F45" t="inlineStr"/>
      <c r="G45" t="inlineStr">
        <is>
          <t>New York, NY, US</t>
        </is>
      </c>
      <c r="H45" s="2" t="n">
        <v>45914</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in-c6f07f478f7c95b3</t>
        </is>
      </c>
      <c r="B46" t="inlineStr">
        <is>
          <t>Sr. Applied Scientist, Prime Video - Personalization and Discovery Science</t>
        </is>
      </c>
      <c r="C46" t="inlineStr">
        <is>
          <t>Amazon.com</t>
        </is>
      </c>
      <c r="D46" t="inlineStr">
        <is>
          <t>indeed</t>
        </is>
      </c>
      <c r="E46" t="inlineStr"/>
      <c r="F46" t="inlineStr"/>
      <c r="G46" t="inlineStr">
        <is>
          <t>Sunnyvale, CA, US</t>
        </is>
      </c>
      <c r="H46" s="2" t="n">
        <v>45914</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in-dbff748286f52014</t>
        </is>
      </c>
      <c r="B47" t="inlineStr">
        <is>
          <t>Senior Applied Scientist, Model Customization, Generative AI Innovation Center</t>
        </is>
      </c>
      <c r="C47" t="inlineStr">
        <is>
          <t>Amazon Web Services</t>
        </is>
      </c>
      <c r="D47" t="inlineStr">
        <is>
          <t>indeed</t>
        </is>
      </c>
      <c r="E47" t="inlineStr"/>
      <c r="F47" t="inlineStr"/>
      <c r="G47" t="inlineStr">
        <is>
          <t>Arlington, VA, US</t>
        </is>
      </c>
      <c r="H47" s="2" t="n">
        <v>45908</v>
      </c>
      <c r="I4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in-8855dcb5c548468b</t>
        </is>
      </c>
      <c r="B48" t="inlineStr">
        <is>
          <t>Senior Applied Scientist, Model Customization, Generative AI Innovation Center</t>
        </is>
      </c>
      <c r="C48" t="inlineStr">
        <is>
          <t>Amazon Web Services</t>
        </is>
      </c>
      <c r="D48" t="inlineStr">
        <is>
          <t>indeed</t>
        </is>
      </c>
      <c r="E48" t="inlineStr"/>
      <c r="F48" t="inlineStr"/>
      <c r="G48" t="inlineStr">
        <is>
          <t>Bellevue, WA, US</t>
        </is>
      </c>
      <c r="H48" s="2" t="n">
        <v>45908</v>
      </c>
      <c r="I4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in-129118f62cdc54b1</t>
        </is>
      </c>
      <c r="B49" t="inlineStr">
        <is>
          <t>Senior Applied Scientist, Model Customization, Generative AI Innovation Center</t>
        </is>
      </c>
      <c r="C49" t="inlineStr">
        <is>
          <t>Amazon Web Services</t>
        </is>
      </c>
      <c r="D49" t="inlineStr">
        <is>
          <t>indeed</t>
        </is>
      </c>
      <c r="E49" t="inlineStr"/>
      <c r="F49" t="inlineStr"/>
      <c r="G49" t="inlineStr">
        <is>
          <t>Seattle, WA, US</t>
        </is>
      </c>
      <c r="H49" s="2" t="n">
        <v>45908</v>
      </c>
      <c r="I4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in-65506f5219fde03a</t>
        </is>
      </c>
      <c r="B50" t="inlineStr">
        <is>
          <t>Senior Applied Scientist, Model Customization, Generative AI Innovation Center</t>
        </is>
      </c>
      <c r="C50" t="inlineStr">
        <is>
          <t>Amazon Web Services</t>
        </is>
      </c>
      <c r="D50" t="inlineStr">
        <is>
          <t>indeed</t>
        </is>
      </c>
      <c r="E50" t="inlineStr"/>
      <c r="F50" t="inlineStr"/>
      <c r="G50" t="inlineStr">
        <is>
          <t>New York, NY, US</t>
        </is>
      </c>
      <c r="H50" s="2" t="n">
        <v>45908</v>
      </c>
      <c r="I5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in-b02f5f7beaee479f</t>
        </is>
      </c>
      <c r="B51" t="inlineStr">
        <is>
          <t>Senior Applied Scientist, Artificial General Intelligence</t>
        </is>
      </c>
      <c r="C51" t="inlineStr">
        <is>
          <t>Amazon.com</t>
        </is>
      </c>
      <c r="D51" t="inlineStr">
        <is>
          <t>indeed</t>
        </is>
      </c>
      <c r="E51" t="inlineStr"/>
      <c r="F51" t="inlineStr"/>
      <c r="G51" t="inlineStr">
        <is>
          <t>Bellevue, WA, US</t>
        </is>
      </c>
      <c r="H51" s="2" t="n">
        <v>45907</v>
      </c>
      <c r="I5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in-ad563f0b3b3271dc</t>
        </is>
      </c>
      <c r="B52" t="inlineStr">
        <is>
          <t>Senior Applied Scientist, Artificial General Intelligence</t>
        </is>
      </c>
      <c r="C52" t="inlineStr">
        <is>
          <t>Amazon.com</t>
        </is>
      </c>
      <c r="D52" t="inlineStr">
        <is>
          <t>indeed</t>
        </is>
      </c>
      <c r="E52" t="inlineStr"/>
      <c r="F52" t="inlineStr"/>
      <c r="G52" t="inlineStr">
        <is>
          <t>New York, NY, US</t>
        </is>
      </c>
      <c r="H52" s="2" t="n">
        <v>45907</v>
      </c>
      <c r="I5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in-378929f4fe84aa20</t>
        </is>
      </c>
      <c r="B53" t="inlineStr">
        <is>
          <t>Senior Applied Scientist, Artificial General Intelligence</t>
        </is>
      </c>
      <c r="C53" t="inlineStr">
        <is>
          <t>Amazon.com</t>
        </is>
      </c>
      <c r="D53" t="inlineStr">
        <is>
          <t>indeed</t>
        </is>
      </c>
      <c r="E53" t="inlineStr"/>
      <c r="F53" t="inlineStr"/>
      <c r="G53" t="inlineStr">
        <is>
          <t>Sunnyvale, CA, US</t>
        </is>
      </c>
      <c r="H53" s="2" t="n">
        <v>45907</v>
      </c>
      <c r="I53"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in-53e4e8cb6e128e4c</t>
        </is>
      </c>
      <c r="B54" t="inlineStr">
        <is>
          <t>Senior Applied Scientist, Artificial General Intelligence</t>
        </is>
      </c>
      <c r="C54" t="inlineStr">
        <is>
          <t>Amazon.com</t>
        </is>
      </c>
      <c r="D54" t="inlineStr">
        <is>
          <t>indeed</t>
        </is>
      </c>
      <c r="E54" t="inlineStr"/>
      <c r="F54" t="inlineStr"/>
      <c r="G54" t="inlineStr">
        <is>
          <t>Seattle, WA, US</t>
        </is>
      </c>
      <c r="H54" s="2" t="n">
        <v>45907</v>
      </c>
      <c r="I5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in-4922032fb15d5eb2</t>
        </is>
      </c>
      <c r="B55" t="inlineStr">
        <is>
          <t>Senior Applied Scientist, Artificial General Intelligence</t>
        </is>
      </c>
      <c r="C55" t="inlineStr">
        <is>
          <t>Amazon.com</t>
        </is>
      </c>
      <c r="D55" t="inlineStr">
        <is>
          <t>indeed</t>
        </is>
      </c>
      <c r="E55" t="inlineStr"/>
      <c r="F55" t="inlineStr"/>
      <c r="G55" t="inlineStr">
        <is>
          <t>Cambridge, MA, US</t>
        </is>
      </c>
      <c r="H55" s="2" t="n">
        <v>45907</v>
      </c>
      <c r="I5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in-73d833caa99a9e75</t>
        </is>
      </c>
      <c r="B56" t="inlineStr">
        <is>
          <t>Senior Applied Scientist, Artificial General Intelligence</t>
        </is>
      </c>
      <c r="C56" t="inlineStr">
        <is>
          <t>Amazon.com</t>
        </is>
      </c>
      <c r="D56" t="inlineStr">
        <is>
          <t>indeed</t>
        </is>
      </c>
      <c r="E56" t="inlineStr"/>
      <c r="F56" t="inlineStr"/>
      <c r="G56" t="inlineStr">
        <is>
          <t>Sunnyvale, CA, US</t>
        </is>
      </c>
      <c r="H56" s="2" t="n">
        <v>45907</v>
      </c>
      <c r="I5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in-7cf0824ac326f08d</t>
        </is>
      </c>
      <c r="B57" t="inlineStr">
        <is>
          <t>Senior Applied Scientist, Artificial General Intelligence</t>
        </is>
      </c>
      <c r="C57" t="inlineStr">
        <is>
          <t>Amazon.com</t>
        </is>
      </c>
      <c r="D57" t="inlineStr">
        <is>
          <t>indeed</t>
        </is>
      </c>
      <c r="E57" t="inlineStr"/>
      <c r="F57" t="inlineStr"/>
      <c r="G57" t="inlineStr">
        <is>
          <t>Bellevue, WA, US</t>
        </is>
      </c>
      <c r="H57" s="2" t="n">
        <v>45907</v>
      </c>
      <c r="I5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in-61cc79fa5111b68b</t>
        </is>
      </c>
      <c r="B58" t="inlineStr">
        <is>
          <t>Senior Applied Scientist, Artificial General Intelligence</t>
        </is>
      </c>
      <c r="C58" t="inlineStr">
        <is>
          <t>Amazon.com</t>
        </is>
      </c>
      <c r="D58" t="inlineStr">
        <is>
          <t>indeed</t>
        </is>
      </c>
      <c r="E58" t="inlineStr"/>
      <c r="F58" t="inlineStr"/>
      <c r="G58" t="inlineStr">
        <is>
          <t>New York, NY, US</t>
        </is>
      </c>
      <c r="H58" s="2" t="n">
        <v>45907</v>
      </c>
      <c r="I5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in-7d16ec8ff5b16bb6</t>
        </is>
      </c>
      <c r="B59" t="inlineStr">
        <is>
          <t>Sr. Applied Scientist, Prime Video - Personalization and Discovery Science</t>
        </is>
      </c>
      <c r="C59" t="inlineStr">
        <is>
          <t>Amazon.com</t>
        </is>
      </c>
      <c r="D59" t="inlineStr">
        <is>
          <t>indeed</t>
        </is>
      </c>
      <c r="E59" t="inlineStr"/>
      <c r="F59" t="inlineStr"/>
      <c r="G59" t="inlineStr">
        <is>
          <t>New York, NY, US</t>
        </is>
      </c>
      <c r="H59" s="2" t="n">
        <v>45896</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in-118b5050faf05648</t>
        </is>
      </c>
      <c r="B60" t="inlineStr">
        <is>
          <t>Sr. Applied Scientist, Prime Video - Personalization and Discovery Science</t>
        </is>
      </c>
      <c r="C60" t="inlineStr">
        <is>
          <t>Amazon.com</t>
        </is>
      </c>
      <c r="D60" t="inlineStr">
        <is>
          <t>indeed</t>
        </is>
      </c>
      <c r="E60" t="inlineStr"/>
      <c r="F60" t="inlineStr"/>
      <c r="G60" t="inlineStr">
        <is>
          <t>Seattle, WA, US</t>
        </is>
      </c>
      <c r="H60" s="2" t="n">
        <v>45896</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in-3c1b11113cc6304e</t>
        </is>
      </c>
      <c r="B61" t="inlineStr">
        <is>
          <t>Sr. Applied Scientist, Prime Video - Personalization and Discovery Science</t>
        </is>
      </c>
      <c r="C61" t="inlineStr">
        <is>
          <t>Amazon.com</t>
        </is>
      </c>
      <c r="D61" t="inlineStr">
        <is>
          <t>indeed</t>
        </is>
      </c>
      <c r="E61" t="inlineStr"/>
      <c r="F61" t="inlineStr"/>
      <c r="G61" t="inlineStr">
        <is>
          <t>Sunnyvale, CA, US</t>
        </is>
      </c>
      <c r="H61" s="2" t="n">
        <v>45896</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in-d1da7f4cdca582a1</t>
        </is>
      </c>
      <c r="B62" t="inlineStr">
        <is>
          <t>Sr. Applied Scientist, Recommendations and Search</t>
        </is>
      </c>
      <c r="C62" t="inlineStr">
        <is>
          <t>Amazon.com</t>
        </is>
      </c>
      <c r="D62" t="inlineStr">
        <is>
          <t>indeed</t>
        </is>
      </c>
      <c r="E62" t="inlineStr"/>
      <c r="F62" t="inlineStr"/>
      <c r="G62" t="inlineStr">
        <is>
          <t>New York, NY, US</t>
        </is>
      </c>
      <c r="H62" s="2" t="n">
        <v>45888</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in-9cec69ae5983864f</t>
        </is>
      </c>
      <c r="B63" t="inlineStr">
        <is>
          <t>Sr. Applied Scientist, Recommendations and Search</t>
        </is>
      </c>
      <c r="C63" t="inlineStr">
        <is>
          <t>Amazon.com</t>
        </is>
      </c>
      <c r="D63" t="inlineStr">
        <is>
          <t>indeed</t>
        </is>
      </c>
      <c r="E63" t="inlineStr"/>
      <c r="F63" t="inlineStr"/>
      <c r="G63" t="inlineStr">
        <is>
          <t>Sunnyvale, CA, US</t>
        </is>
      </c>
      <c r="H63" s="2" t="n">
        <v>45888</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in-12cb2573c5507b53</t>
        </is>
      </c>
      <c r="B64" t="inlineStr">
        <is>
          <t>Sr. Applied Scientist, Recommendations and Search</t>
        </is>
      </c>
      <c r="C64" t="inlineStr">
        <is>
          <t>Amazon.com</t>
        </is>
      </c>
      <c r="D64" t="inlineStr">
        <is>
          <t>indeed</t>
        </is>
      </c>
      <c r="E64" t="inlineStr"/>
      <c r="F64" t="inlineStr"/>
      <c r="G64" t="inlineStr">
        <is>
          <t>Seattle, WA, US</t>
        </is>
      </c>
      <c r="H64" s="2" t="n">
        <v>45888</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in-b47e0bc1d2a2521c</t>
        </is>
      </c>
      <c r="B65" t="inlineStr">
        <is>
          <t>Sr. Applied Scientist, Prime Video - Personalization and Discovery Science</t>
        </is>
      </c>
      <c r="C65" t="inlineStr">
        <is>
          <t>Amazon.com</t>
        </is>
      </c>
      <c r="D65" t="inlineStr">
        <is>
          <t>indeed</t>
        </is>
      </c>
      <c r="E65" t="inlineStr"/>
      <c r="F65" t="inlineStr"/>
      <c r="G65" t="inlineStr">
        <is>
          <t>New York, NY, US</t>
        </is>
      </c>
      <c r="H65" s="2" t="n">
        <v>45886</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in-0ec868ce44166693</t>
        </is>
      </c>
      <c r="B66" t="inlineStr">
        <is>
          <t>Applied Scientist II, Prime Video - Personalization and Discovery Science, Personalization and Discovery Science</t>
        </is>
      </c>
      <c r="C66" t="inlineStr">
        <is>
          <t>Amazon.com</t>
        </is>
      </c>
      <c r="D66" t="inlineStr">
        <is>
          <t>indeed</t>
        </is>
      </c>
      <c r="E66" t="inlineStr"/>
      <c r="F66" t="inlineStr"/>
      <c r="G66" t="inlineStr">
        <is>
          <t>Sunnyvale, CA, US</t>
        </is>
      </c>
      <c r="H66" s="2" t="n">
        <v>45886</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in-a8c89ad6786eba5f</t>
        </is>
      </c>
      <c r="B67" t="inlineStr">
        <is>
          <t>Applied Scientist II, Prime Video - Personalization and Discovery Science, Personalization and Discovery Science</t>
        </is>
      </c>
      <c r="C67" t="inlineStr">
        <is>
          <t>Amazon.com</t>
        </is>
      </c>
      <c r="D67" t="inlineStr">
        <is>
          <t>indeed</t>
        </is>
      </c>
      <c r="E67" t="inlineStr"/>
      <c r="F67" t="inlineStr"/>
      <c r="G67" t="inlineStr">
        <is>
          <t>New York, NY, US</t>
        </is>
      </c>
      <c r="H67" s="2" t="n">
        <v>45886</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in-dc423a3de9394446</t>
        </is>
      </c>
      <c r="B68" t="inlineStr">
        <is>
          <t>Sr. Applied Scientist, Prime Video - Personalization and Discovery Science</t>
        </is>
      </c>
      <c r="C68" t="inlineStr">
        <is>
          <t>Amazon.com</t>
        </is>
      </c>
      <c r="D68" t="inlineStr">
        <is>
          <t>indeed</t>
        </is>
      </c>
      <c r="E68" t="inlineStr"/>
      <c r="F68" t="inlineStr"/>
      <c r="G68" t="inlineStr">
        <is>
          <t>Sunnyvale, CA, US</t>
        </is>
      </c>
      <c r="H68" s="2" t="n">
        <v>45886</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in-6addace1f0c04179</t>
        </is>
      </c>
      <c r="B69" t="inlineStr">
        <is>
          <t>Applied Scientist II, Prime Video - Personalization and Discovery Science, Personalization and Discovery Science</t>
        </is>
      </c>
      <c r="C69" t="inlineStr">
        <is>
          <t>Amazon.com</t>
        </is>
      </c>
      <c r="D69" t="inlineStr">
        <is>
          <t>indeed</t>
        </is>
      </c>
      <c r="E69" t="inlineStr"/>
      <c r="F69" t="inlineStr"/>
      <c r="G69" t="inlineStr">
        <is>
          <t>Seattle, WA, US</t>
        </is>
      </c>
      <c r="H69" s="2" t="n">
        <v>45886</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in-4aebc6c2416aeb30</t>
        </is>
      </c>
      <c r="B70" t="inlineStr">
        <is>
          <t>Sr. Applied Scientist, Prime Video - Personalization and Discovery Science</t>
        </is>
      </c>
      <c r="C70" t="inlineStr">
        <is>
          <t>Amazon.com</t>
        </is>
      </c>
      <c r="D70" t="inlineStr">
        <is>
          <t>indeed</t>
        </is>
      </c>
      <c r="E70" t="inlineStr"/>
      <c r="F70" t="inlineStr"/>
      <c r="G70" t="inlineStr">
        <is>
          <t>Seattle, WA, US</t>
        </is>
      </c>
      <c r="H70" s="2" t="n">
        <v>45886</v>
      </c>
      <c r="I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in-4c9a720f669763a6</t>
        </is>
      </c>
      <c r="B71" t="inlineStr">
        <is>
          <t>Sr. Applied Scientist, Prime Video - Personalization and Discovery Science</t>
        </is>
      </c>
      <c r="C71" t="inlineStr">
        <is>
          <t>Amazon.com</t>
        </is>
      </c>
      <c r="D71" t="inlineStr">
        <is>
          <t>indeed</t>
        </is>
      </c>
      <c r="E71" t="inlineStr"/>
      <c r="F71" t="inlineStr"/>
      <c r="G71" t="inlineStr">
        <is>
          <t>New York, NY, US</t>
        </is>
      </c>
      <c r="H71" s="2" t="n">
        <v>45883</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in-93263108ef04734a</t>
        </is>
      </c>
      <c r="B72" t="inlineStr">
        <is>
          <t>Sr. Applied Scientist, Prime Video - Personalization and Discovery Science</t>
        </is>
      </c>
      <c r="C72" t="inlineStr">
        <is>
          <t>Amazon.com</t>
        </is>
      </c>
      <c r="D72" t="inlineStr">
        <is>
          <t>indeed</t>
        </is>
      </c>
      <c r="E72" t="inlineStr"/>
      <c r="F72" t="inlineStr"/>
      <c r="G72" t="inlineStr">
        <is>
          <t>Sunnyvale, CA, US</t>
        </is>
      </c>
      <c r="H72" s="2" t="n">
        <v>45883</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in-94f2b9cd6641e382</t>
        </is>
      </c>
      <c r="B73" t="inlineStr">
        <is>
          <t>Sr. Applied Scientist, Prime Video - Personalization and Discovery Science</t>
        </is>
      </c>
      <c r="C73" t="inlineStr">
        <is>
          <t>Amazon.com</t>
        </is>
      </c>
      <c r="D73" t="inlineStr">
        <is>
          <t>indeed</t>
        </is>
      </c>
      <c r="E73" t="inlineStr"/>
      <c r="F73" t="inlineStr"/>
      <c r="G73" t="inlineStr">
        <is>
          <t>Seattle, WA, US</t>
        </is>
      </c>
      <c r="H73" s="2" t="n">
        <v>45883</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in-4553a958254f8d06</t>
        </is>
      </c>
      <c r="B74" t="inlineStr">
        <is>
          <t>Applied Scientist II, Prime Video - Personalization and Discovery Science</t>
        </is>
      </c>
      <c r="C74" t="inlineStr">
        <is>
          <t>Amazon.com</t>
        </is>
      </c>
      <c r="D74" t="inlineStr">
        <is>
          <t>indeed</t>
        </is>
      </c>
      <c r="E74" t="inlineStr"/>
      <c r="F74" t="inlineStr"/>
      <c r="G74" t="inlineStr">
        <is>
          <t>Seattle, WA, US</t>
        </is>
      </c>
      <c r="H74" s="2" t="n">
        <v>45883</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in-d4afb030c0e54c44</t>
        </is>
      </c>
      <c r="B75" t="inlineStr">
        <is>
          <t>Applied Scientist II, Prime Video - Personalization and Discovery Science</t>
        </is>
      </c>
      <c r="C75" t="inlineStr">
        <is>
          <t>Amazon.com</t>
        </is>
      </c>
      <c r="D75" t="inlineStr">
        <is>
          <t>indeed</t>
        </is>
      </c>
      <c r="E75" t="inlineStr"/>
      <c r="F75" t="inlineStr"/>
      <c r="G75" t="inlineStr">
        <is>
          <t>New York, NY, US</t>
        </is>
      </c>
      <c r="H75" s="2" t="n">
        <v>45883</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in-abe4aeab723b8e41</t>
        </is>
      </c>
      <c r="B76" t="inlineStr">
        <is>
          <t>Applied Scientist II, Prime Video - Personalization and Discovery Science</t>
        </is>
      </c>
      <c r="C76" t="inlineStr">
        <is>
          <t>Amazon.com</t>
        </is>
      </c>
      <c r="D76" t="inlineStr">
        <is>
          <t>indeed</t>
        </is>
      </c>
      <c r="E76" t="inlineStr"/>
      <c r="F76" t="inlineStr"/>
      <c r="G76" t="inlineStr">
        <is>
          <t>Sunnyvale, CA, US</t>
        </is>
      </c>
      <c r="H76" s="2" t="n">
        <v>45883</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in-3d58350541d08790</t>
        </is>
      </c>
      <c r="B77" t="inlineStr">
        <is>
          <t>Sr. Applied Scientist, Prime Video - Personalization and Discovery Science</t>
        </is>
      </c>
      <c r="C77" t="inlineStr">
        <is>
          <t>Amazon.com</t>
        </is>
      </c>
      <c r="D77" t="inlineStr">
        <is>
          <t>indeed</t>
        </is>
      </c>
      <c r="E77" t="inlineStr"/>
      <c r="F77" t="inlineStr"/>
      <c r="G77" t="inlineStr">
        <is>
          <t>Sunnyvale, CA, US</t>
        </is>
      </c>
      <c r="H77" s="2" t="n">
        <v>45881</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in-4e14debebff85a5f</t>
        </is>
      </c>
      <c r="B78" t="inlineStr">
        <is>
          <t>Sr. Applied Scientist, Prime Video - Personalization and Discovery Science</t>
        </is>
      </c>
      <c r="C78" t="inlineStr">
        <is>
          <t>Amazon.com</t>
        </is>
      </c>
      <c r="D78" t="inlineStr">
        <is>
          <t>indeed</t>
        </is>
      </c>
      <c r="E78" t="inlineStr"/>
      <c r="F78" t="inlineStr"/>
      <c r="G78" t="inlineStr">
        <is>
          <t>New York, NY, US</t>
        </is>
      </c>
      <c r="H78" s="2" t="n">
        <v>45881</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in-3cb78e3f70ab1d2c</t>
        </is>
      </c>
      <c r="B79" t="inlineStr">
        <is>
          <t>Sr. Applied Scientist, Prime Video - Personalization and Discovery Science</t>
        </is>
      </c>
      <c r="C79" t="inlineStr">
        <is>
          <t>Amazon.com</t>
        </is>
      </c>
      <c r="D79" t="inlineStr">
        <is>
          <t>indeed</t>
        </is>
      </c>
      <c r="E79" t="inlineStr"/>
      <c r="F79" t="inlineStr"/>
      <c r="G79" t="inlineStr">
        <is>
          <t>Seattle, WA, US</t>
        </is>
      </c>
      <c r="H79" s="2" t="n">
        <v>45881</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in-1ddaf0ddcc02ba7d</t>
        </is>
      </c>
      <c r="B80" t="inlineStr">
        <is>
          <t>Applied Scientist II, Prime Video - Personalization and Discovery Science</t>
        </is>
      </c>
      <c r="C80" t="inlineStr">
        <is>
          <t>Amazon.com</t>
        </is>
      </c>
      <c r="D80" t="inlineStr">
        <is>
          <t>indeed</t>
        </is>
      </c>
      <c r="E80" t="inlineStr"/>
      <c r="F80" t="inlineStr"/>
      <c r="G80" t="inlineStr">
        <is>
          <t>New York, NY, US</t>
        </is>
      </c>
      <c r="H80" s="2" t="n">
        <v>45881</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in-6795f1f5ceb21a22</t>
        </is>
      </c>
      <c r="B81" t="inlineStr">
        <is>
          <t>Applied Scientist II, Prime Video - Personalization and Discovery Science</t>
        </is>
      </c>
      <c r="C81" t="inlineStr">
        <is>
          <t>Amazon.com</t>
        </is>
      </c>
      <c r="D81" t="inlineStr">
        <is>
          <t>indeed</t>
        </is>
      </c>
      <c r="E81" t="inlineStr"/>
      <c r="F81" t="inlineStr"/>
      <c r="G81" t="inlineStr">
        <is>
          <t>Seattle, WA, US</t>
        </is>
      </c>
      <c r="H81" s="2" t="n">
        <v>45881</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in-f94045fa5708495c</t>
        </is>
      </c>
      <c r="B82" t="inlineStr">
        <is>
          <t>Applied Scientist II, Prime Video - Personalization and Discovery Science</t>
        </is>
      </c>
      <c r="C82" t="inlineStr">
        <is>
          <t>Amazon.com</t>
        </is>
      </c>
      <c r="D82" t="inlineStr">
        <is>
          <t>indeed</t>
        </is>
      </c>
      <c r="E82" t="inlineStr"/>
      <c r="F82" t="inlineStr"/>
      <c r="G82" t="inlineStr">
        <is>
          <t>Sunnyvale, CA, US</t>
        </is>
      </c>
      <c r="H82" s="2" t="n">
        <v>45881</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in-498492dae9420523</t>
        </is>
      </c>
      <c r="B83" t="inlineStr">
        <is>
          <t>Applied Scientist II, Prime Video Personalization and Discovery Science</t>
        </is>
      </c>
      <c r="C83" t="inlineStr">
        <is>
          <t>Amazon.com</t>
        </is>
      </c>
      <c r="D83" t="inlineStr">
        <is>
          <t>indeed</t>
        </is>
      </c>
      <c r="E83" t="inlineStr"/>
      <c r="F83" t="inlineStr"/>
      <c r="G83" t="inlineStr">
        <is>
          <t>Seattle, WA, US</t>
        </is>
      </c>
      <c r="H83" s="2" t="n">
        <v>45859</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in-16fe0c19acd7782f</t>
        </is>
      </c>
      <c r="B84" t="inlineStr">
        <is>
          <t>Applied Scientist II, Prime Video Personalization and Discovery Science</t>
        </is>
      </c>
      <c r="C84" t="inlineStr">
        <is>
          <t>Amazon.com</t>
        </is>
      </c>
      <c r="D84" t="inlineStr">
        <is>
          <t>indeed</t>
        </is>
      </c>
      <c r="E84" t="inlineStr"/>
      <c r="F84" t="inlineStr"/>
      <c r="G84" t="inlineStr">
        <is>
          <t>Sunnyvale, CA, US</t>
        </is>
      </c>
      <c r="H84" s="2" t="n">
        <v>45859</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in-e1f681d8c4b55b23</t>
        </is>
      </c>
      <c r="B85" t="inlineStr">
        <is>
          <t>Applied Scientist II, Prime Video Personalization and Discovery Science</t>
        </is>
      </c>
      <c r="C85" t="inlineStr">
        <is>
          <t>Amazon.com</t>
        </is>
      </c>
      <c r="D85" t="inlineStr">
        <is>
          <t>indeed</t>
        </is>
      </c>
      <c r="E85" t="inlineStr"/>
      <c r="F85" t="inlineStr"/>
      <c r="G85" t="inlineStr">
        <is>
          <t>New York, NY, US</t>
        </is>
      </c>
      <c r="H85" s="2" t="n">
        <v>45859</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in-4d26434e7bd579c0</t>
        </is>
      </c>
      <c r="B86" t="inlineStr">
        <is>
          <t>Principal Applied Scientist, AGI Foundations, AGI Foundations</t>
        </is>
      </c>
      <c r="C86" t="inlineStr">
        <is>
          <t>Amazon.com</t>
        </is>
      </c>
      <c r="D86" t="inlineStr">
        <is>
          <t>indeed</t>
        </is>
      </c>
      <c r="E86" t="inlineStr"/>
      <c r="F86" t="inlineStr"/>
      <c r="G86" t="inlineStr">
        <is>
          <t>Sunnyvale, CA, US</t>
        </is>
      </c>
      <c r="H86" s="2" t="n">
        <v>45856</v>
      </c>
      <c r="I8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in-23a9ce21c27af986</t>
        </is>
      </c>
      <c r="B87" t="inlineStr">
        <is>
          <t>Principal Applied Scientist, AGI Foundations, AGI Foundations</t>
        </is>
      </c>
      <c r="C87" t="inlineStr">
        <is>
          <t>Amazon.com</t>
        </is>
      </c>
      <c r="D87" t="inlineStr">
        <is>
          <t>indeed</t>
        </is>
      </c>
      <c r="E87" t="inlineStr"/>
      <c r="F87" t="inlineStr"/>
      <c r="G87" t="inlineStr">
        <is>
          <t>Boston, MA, US</t>
        </is>
      </c>
      <c r="H87" s="2" t="n">
        <v>45856</v>
      </c>
      <c r="I8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in-5179c7a44bff9610</t>
        </is>
      </c>
      <c r="B88" t="inlineStr">
        <is>
          <t>Principal Applied Scientist, AGI Foundations, AGI Foundations</t>
        </is>
      </c>
      <c r="C88" t="inlineStr">
        <is>
          <t>Amazon.com</t>
        </is>
      </c>
      <c r="D88" t="inlineStr">
        <is>
          <t>indeed</t>
        </is>
      </c>
      <c r="E88" t="inlineStr"/>
      <c r="F88" t="inlineStr"/>
      <c r="G88" t="inlineStr">
        <is>
          <t>New York, NY, US</t>
        </is>
      </c>
      <c r="H88" s="2" t="n">
        <v>45856</v>
      </c>
      <c r="I8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in-7ffe06b1da27018f</t>
        </is>
      </c>
      <c r="B89" t="inlineStr">
        <is>
          <t>Principal Applied Scientist, AGI Foundations, AGI Foundations</t>
        </is>
      </c>
      <c r="C89" t="inlineStr">
        <is>
          <t>Amazon.com</t>
        </is>
      </c>
      <c r="D89" t="inlineStr">
        <is>
          <t>indeed</t>
        </is>
      </c>
      <c r="E89" t="inlineStr"/>
      <c r="F89" t="inlineStr"/>
      <c r="G89" t="inlineStr">
        <is>
          <t>Bellevue, WA, US</t>
        </is>
      </c>
      <c r="H89" s="2" t="n">
        <v>45856</v>
      </c>
      <c r="I8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in-11f19b59c683c28c</t>
        </is>
      </c>
      <c r="B90" t="inlineStr">
        <is>
          <t>Sr. Applied Scientist, Amazon Advertising</t>
        </is>
      </c>
      <c r="C90" t="inlineStr">
        <is>
          <t>Amazon.com</t>
        </is>
      </c>
      <c r="D90" t="inlineStr">
        <is>
          <t>indeed</t>
        </is>
      </c>
      <c r="E90" t="inlineStr"/>
      <c r="F90" t="inlineStr"/>
      <c r="G90" t="inlineStr">
        <is>
          <t>New York, NY, US</t>
        </is>
      </c>
      <c r="H90" s="2" t="n">
        <v>45851</v>
      </c>
      <c r="I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in-7ab9d6df073c4355</t>
        </is>
      </c>
      <c r="B91" t="inlineStr">
        <is>
          <t>Sr. Applied Scientist, Amazon Advertising</t>
        </is>
      </c>
      <c r="C91" t="inlineStr">
        <is>
          <t>Amazon.com</t>
        </is>
      </c>
      <c r="D91" t="inlineStr">
        <is>
          <t>indeed</t>
        </is>
      </c>
      <c r="E91" t="inlineStr"/>
      <c r="F91" t="inlineStr"/>
      <c r="G91" t="inlineStr">
        <is>
          <t>Arlington, VA, US</t>
        </is>
      </c>
      <c r="H91" s="2" t="n">
        <v>45851</v>
      </c>
      <c r="I9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in-02143f47c0e06702</t>
        </is>
      </c>
      <c r="B92" t="inlineStr">
        <is>
          <t>Sr. Applied Scientist, Amazon Advertising</t>
        </is>
      </c>
      <c r="C92" t="inlineStr">
        <is>
          <t>Amazon.com</t>
        </is>
      </c>
      <c r="D92" t="inlineStr">
        <is>
          <t>indeed</t>
        </is>
      </c>
      <c r="E92" t="inlineStr"/>
      <c r="F92" t="inlineStr"/>
      <c r="G92" t="inlineStr">
        <is>
          <t>Seattle, WA, US</t>
        </is>
      </c>
      <c r="H92" s="2" t="n">
        <v>45851</v>
      </c>
      <c r="I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in-2496f990091a31e4</t>
        </is>
      </c>
      <c r="B93" t="inlineStr">
        <is>
          <t>Sr. Applied Scientist, Amazon Advertising</t>
        </is>
      </c>
      <c r="C93" t="inlineStr">
        <is>
          <t>Amazon.com</t>
        </is>
      </c>
      <c r="D93" t="inlineStr">
        <is>
          <t>indeed</t>
        </is>
      </c>
      <c r="E93" t="inlineStr"/>
      <c r="F93" t="inlineStr"/>
      <c r="G93" t="inlineStr">
        <is>
          <t>Simi Valley, CA, US</t>
        </is>
      </c>
      <c r="H93" s="2" t="n">
        <v>45851</v>
      </c>
      <c r="I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in-d9b94cda2f5dc9db</t>
        </is>
      </c>
      <c r="B94" t="inlineStr">
        <is>
          <t>Sr. Applied Scientist, Amazon Advertising</t>
        </is>
      </c>
      <c r="C94" t="inlineStr">
        <is>
          <t>Amazon.com</t>
        </is>
      </c>
      <c r="D94" t="inlineStr">
        <is>
          <t>indeed</t>
        </is>
      </c>
      <c r="E94" t="inlineStr"/>
      <c r="F94" t="inlineStr"/>
      <c r="G94" t="inlineStr">
        <is>
          <t>Austin, TX, US</t>
        </is>
      </c>
      <c r="H94" s="2"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in-a71664fe3e71f709</t>
        </is>
      </c>
      <c r="B95" t="inlineStr">
        <is>
          <t>Sr. Applied Scientist, Amazon Advertising</t>
        </is>
      </c>
      <c r="C95" t="inlineStr">
        <is>
          <t>Amazon.com</t>
        </is>
      </c>
      <c r="D95" t="inlineStr">
        <is>
          <t>indeed</t>
        </is>
      </c>
      <c r="E95" t="inlineStr"/>
      <c r="F95" t="inlineStr"/>
      <c r="G95" t="inlineStr">
        <is>
          <t>Los Angeles, CA, US</t>
        </is>
      </c>
      <c r="H95" s="2"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in-323799f5ed3761f5</t>
        </is>
      </c>
      <c r="B96" t="inlineStr">
        <is>
          <t>Sr. Applied Scientist, Amazon Advertising</t>
        </is>
      </c>
      <c r="C96" t="inlineStr">
        <is>
          <t>Amazon.com</t>
        </is>
      </c>
      <c r="D96" t="inlineStr">
        <is>
          <t>indeed</t>
        </is>
      </c>
      <c r="E96" t="inlineStr"/>
      <c r="F96" t="inlineStr"/>
      <c r="G96" t="inlineStr">
        <is>
          <t>Palo Alto, CA, US</t>
        </is>
      </c>
      <c r="H96" s="2"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in-f1bbe02f969908b6</t>
        </is>
      </c>
      <c r="B97" t="inlineStr">
        <is>
          <t>Sr. Applied Scientist, Amazon Advertising</t>
        </is>
      </c>
      <c r="C97" t="inlineStr">
        <is>
          <t>Amazon.com</t>
        </is>
      </c>
      <c r="D97" t="inlineStr">
        <is>
          <t>indeed</t>
        </is>
      </c>
      <c r="E97" t="inlineStr"/>
      <c r="F97" t="inlineStr"/>
      <c r="G97" t="inlineStr">
        <is>
          <t>West Hollywood, CA, US</t>
        </is>
      </c>
      <c r="H97" s="2"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in-5acb9163c55ee977</t>
        </is>
      </c>
      <c r="B98" t="inlineStr">
        <is>
          <t>Senior Applied Scientist, Artificial General Intelligence</t>
        </is>
      </c>
      <c r="C98" t="inlineStr">
        <is>
          <t>Amazon.com</t>
        </is>
      </c>
      <c r="D98" t="inlineStr">
        <is>
          <t>indeed</t>
        </is>
      </c>
      <c r="E98" t="inlineStr"/>
      <c r="F98" t="inlineStr"/>
      <c r="G98" t="inlineStr">
        <is>
          <t>Sunnyvale, CA, US</t>
        </is>
      </c>
      <c r="H98" s="2" t="n">
        <v>45846</v>
      </c>
      <c r="I98"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in-e58f074efb8f7e46</t>
        </is>
      </c>
      <c r="B99" t="inlineStr">
        <is>
          <t>Senior Applied Scientist, Artificial General Intelligence</t>
        </is>
      </c>
      <c r="C99" t="inlineStr">
        <is>
          <t>Amazon.com</t>
        </is>
      </c>
      <c r="D99" t="inlineStr">
        <is>
          <t>indeed</t>
        </is>
      </c>
      <c r="E99" t="inlineStr"/>
      <c r="F99" t="inlineStr"/>
      <c r="G99" t="inlineStr">
        <is>
          <t>Seattle, WA, US</t>
        </is>
      </c>
      <c r="H99" s="2" t="n">
        <v>45846</v>
      </c>
      <c r="I9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in-1a535a823f05cad7</t>
        </is>
      </c>
      <c r="B100" t="inlineStr">
        <is>
          <t>Senior Applied Scientist, Artificial General Intelligence</t>
        </is>
      </c>
      <c r="C100" t="inlineStr">
        <is>
          <t>Amazon.com</t>
        </is>
      </c>
      <c r="D100" t="inlineStr">
        <is>
          <t>indeed</t>
        </is>
      </c>
      <c r="E100" t="inlineStr"/>
      <c r="F100" t="inlineStr"/>
      <c r="G100" t="inlineStr">
        <is>
          <t>Boston, MA, US</t>
        </is>
      </c>
      <c r="H100" s="2" t="n">
        <v>45846</v>
      </c>
      <c r="I100"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in-9018be8c6fa63e24</t>
        </is>
      </c>
      <c r="B101" t="inlineStr">
        <is>
          <t>Applied Scientist, Prime Video - Personalization and Discovery Science</t>
        </is>
      </c>
      <c r="C101" t="inlineStr">
        <is>
          <t>Amazon.com</t>
        </is>
      </c>
      <c r="D101" t="inlineStr">
        <is>
          <t>indeed</t>
        </is>
      </c>
      <c r="E101" t="inlineStr"/>
      <c r="F101" t="inlineStr"/>
      <c r="G101" t="inlineStr">
        <is>
          <t>Seattle, WA, US</t>
        </is>
      </c>
      <c r="H101" s="2" t="n">
        <v>45845</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in-1a511743d743d58c</t>
        </is>
      </c>
      <c r="B102" t="inlineStr">
        <is>
          <t>Applied Scientist, Prime Video - Personalization and Discovery Science</t>
        </is>
      </c>
      <c r="C102" t="inlineStr">
        <is>
          <t>Amazon.com</t>
        </is>
      </c>
      <c r="D102" t="inlineStr">
        <is>
          <t>indeed</t>
        </is>
      </c>
      <c r="E102" t="inlineStr"/>
      <c r="F102" t="inlineStr"/>
      <c r="G102" t="inlineStr">
        <is>
          <t>Sunnyvale, CA, US</t>
        </is>
      </c>
      <c r="H102" s="2" t="n">
        <v>45845</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in-aa4f5c41c48531b9</t>
        </is>
      </c>
      <c r="B103" t="inlineStr">
        <is>
          <t>Applied Scientist, Prime Video - Personalization and Discovery Science</t>
        </is>
      </c>
      <c r="C103" t="inlineStr">
        <is>
          <t>Amazon.com</t>
        </is>
      </c>
      <c r="D103" t="inlineStr">
        <is>
          <t>indeed</t>
        </is>
      </c>
      <c r="E103" t="inlineStr"/>
      <c r="F103" t="inlineStr"/>
      <c r="G103" t="inlineStr">
        <is>
          <t>New York, NY, US</t>
        </is>
      </c>
      <c r="H103" s="2" t="n">
        <v>45845</v>
      </c>
      <c r="I1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in-9bf5795bc965a0cb</t>
        </is>
      </c>
      <c r="B104" t="inlineStr">
        <is>
          <t>Sr. Applied Scientist, Prime Video - Personalization and Discovery Science</t>
        </is>
      </c>
      <c r="C104" t="inlineStr">
        <is>
          <t>Amazon.com</t>
        </is>
      </c>
      <c r="D104" t="inlineStr">
        <is>
          <t>indeed</t>
        </is>
      </c>
      <c r="E104" t="inlineStr"/>
      <c r="F104" t="inlineStr"/>
      <c r="G104" t="inlineStr">
        <is>
          <t>Sunnyvale, CA, US</t>
        </is>
      </c>
      <c r="H104" s="2" t="n">
        <v>45819</v>
      </c>
      <c r="I1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in-82946b1457bb32d7</t>
        </is>
      </c>
      <c r="B105" t="inlineStr">
        <is>
          <t>Sr. Applied Scientist, Prime Video - Personalization and Discovery Science</t>
        </is>
      </c>
      <c r="C105" t="inlineStr">
        <is>
          <t>Amazon.com</t>
        </is>
      </c>
      <c r="D105" t="inlineStr">
        <is>
          <t>indeed</t>
        </is>
      </c>
      <c r="E105" t="inlineStr"/>
      <c r="F105" t="inlineStr"/>
      <c r="G105" t="inlineStr">
        <is>
          <t>Seattle, WA, US</t>
        </is>
      </c>
      <c r="H105" s="2" t="n">
        <v>45819</v>
      </c>
      <c r="I1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in-9a78c57329491333</t>
        </is>
      </c>
      <c r="B106" t="inlineStr">
        <is>
          <t>Machine Learning Engineer, Amazon General Intelligence (AGI)</t>
        </is>
      </c>
      <c r="C106" t="inlineStr">
        <is>
          <t>Amazon.com</t>
        </is>
      </c>
      <c r="D106" t="inlineStr">
        <is>
          <t>indeed</t>
        </is>
      </c>
      <c r="E106" t="inlineStr"/>
      <c r="F106" t="inlineStr"/>
      <c r="G106" t="inlineStr">
        <is>
          <t>Seattle, WA, US</t>
        </is>
      </c>
      <c r="H106" s="2" t="n">
        <v>45813</v>
      </c>
      <c r="I106"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in-b5f315b5941fe0b2</t>
        </is>
      </c>
      <c r="B107" t="inlineStr">
        <is>
          <t>Machine Learning Engineer, Amazon General Intelligence (AGI)</t>
        </is>
      </c>
      <c r="C107" t="inlineStr">
        <is>
          <t>Amazon.com</t>
        </is>
      </c>
      <c r="D107" t="inlineStr">
        <is>
          <t>indeed</t>
        </is>
      </c>
      <c r="E107" t="inlineStr"/>
      <c r="F107" t="inlineStr"/>
      <c r="G107" t="inlineStr">
        <is>
          <t>Bellevue, WA, US</t>
        </is>
      </c>
      <c r="H107" s="2" t="n">
        <v>45813</v>
      </c>
      <c r="I107"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in-b10b3f1d47a84f13</t>
        </is>
      </c>
      <c r="B108" t="inlineStr">
        <is>
          <t>Principal Applied Scientist, FAR (Frontier AI &amp; Robotics)</t>
        </is>
      </c>
      <c r="C108" t="inlineStr">
        <is>
          <t>Amazon.com</t>
        </is>
      </c>
      <c r="D108" t="inlineStr">
        <is>
          <t>indeed</t>
        </is>
      </c>
      <c r="E108" t="inlineStr"/>
      <c r="F108" t="inlineStr"/>
      <c r="G108" t="inlineStr">
        <is>
          <t>Seattle, WA, US</t>
        </is>
      </c>
      <c r="H108" s="2" t="n">
        <v>45740</v>
      </c>
      <c r="I10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in-91cd28d1bead7c3a</t>
        </is>
      </c>
      <c r="B109" t="inlineStr">
        <is>
          <t>Principal Applied Scientist, FAR (Frontier AI &amp; Robotics)</t>
        </is>
      </c>
      <c r="C109" t="inlineStr">
        <is>
          <t>Amazon.com</t>
        </is>
      </c>
      <c r="D109" t="inlineStr">
        <is>
          <t>indeed</t>
        </is>
      </c>
      <c r="E109" t="inlineStr"/>
      <c r="F109" t="inlineStr"/>
      <c r="G109" t="inlineStr">
        <is>
          <t>San Francisco, CA, US</t>
        </is>
      </c>
      <c r="H109" s="2" t="n">
        <v>45740</v>
      </c>
      <c r="I10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in-bb6020566c6b1c4d</t>
        </is>
      </c>
      <c r="B110" t="inlineStr">
        <is>
          <t>Senior AI Engineer</t>
        </is>
      </c>
      <c r="C110" t="inlineStr">
        <is>
          <t>ideaion</t>
        </is>
      </c>
      <c r="D110" t="inlineStr">
        <is>
          <t>indeed</t>
        </is>
      </c>
      <c r="E110" t="inlineStr"/>
      <c r="F110" t="inlineStr"/>
      <c r="G110" t="inlineStr">
        <is>
          <t>New York, NY, US</t>
        </is>
      </c>
      <c r="H110" s="2" t="n">
        <v>46030</v>
      </c>
      <c r="I110" t="inlineStr">
        <is>
          <t>**Senior AI Engineer with strong financial domain experience.** 
Location: **New York (onsite Role)** 
**Essential Experience \&amp; Skills:**
* **Advanced Python expertise, plus experience with other major backend languages (e.g., Java, C\+\+, Go) and modern AI/ML toolkits**
* **Demonstrated proficiency in designing, validating, and launching code\-generation systems and agentic workflows, strong familiarity with prompt engineering and AI model deployment**
* **Track record of hands\-on technical leadership within agile teams, overseeing both human and AI\-generated codebases and ensuring auditability, explainability, and compliance at scale**
* **Expertise in code review, automated testing, and documentation standards for mixed human/AI development environments**
**Key Responsibilities:**
* Build and demonstrate AI\-powered solutions for financial applications preferably in investment banking, Trading or insurance environments.
* Translate complex AI concepts into actionable business value for both technical and non\-technical stakeholders, simplifying information for internal teams and executive leadership.
* Lead workshops, seminars, and training sessions for teams across the organization, promoting AI literacy and upskilling staff in banking, investment, or insurance environments.
* Ability and /or experience in authoring technical blogs, white papers, and internal documentation that explain the impact and possibilities of AI in the financial domain.
* Experience on working on advisory capacity to CxO, Head of Engineering, Head of Architecture on technical strategies
* Act as a visible presence at industry conferences, webinars, and external forums to position the organization as a leader in responsible AI use within finance.
* Partner with compliance, risk, and IT teams to ensure all AI solutions meet strict regulatory and ethical standards prevalent in financial services.
* Prototype, test, and deploy AI models that address market forecasting, customer insights, automated underwriting, or anti\-money laundering strategies.
**Key Technical and Design Responsibilities**
* Build, deploy, and manage both agentic AI architectures and generative code systems, ensuring scalable and secure integration of technologies like LLMs, code generators, and automation agents within production workflows.
* Oversee technical design, implementation, and code reviews—especially for code created or assisted by AI tools—maintaining high standards of security, performance, and maintainability in Python and other programming languages.
* Develop robust testing and validation protocols for AI\-generated code and agent behavior, including prompt engineering, debugging, and post\-deployment monitoring for unusual failure patterns or compliance issues.
* Lead technical teams, mentor junior engineers, and set excellence in software engineering practices; create documentation and establish guidelines for both human and AI\-driven contributions
* Collaborate with cross\-functional stakeholders (DevOps, security, product, and business leaders) to ensure rapid, safe adoption of agentic and generative AI features
**Essential Qualifications**
* Bachelor’s or master’s degree in computer science, Data Science, Finance, or related field.
* Experience in one or many of the high\-level programming languages like C\+\+, Java, C\#
* Good understanding of Typescript, Node.js and other JS framework for UI development
* Strong hands\-on experience with Python, SQL, and AI/ML frameworks (e.g., TensorFlow, PyTorch) as applied to financial data and workflows
* At least 4\+ years working in AI roles within finance, fintech, or technical consulting, preferably with exposure to regulatory environments.
* Deep knowledge of AI ethics, compliance, Guardrails, data privacy, and compliance trends relevant to the financial sector.
* Excellent communication, stakeholder engagement, and technical storytelling abilities.\[7]\[3]
* Demonstrated ability to manage multiple priorities and projects while maintaining strategic alignment and rigorous attention to detail.
**Desired Traits**
* Passion for driving innovation and adoption of AI in highly regulated settings.
* Effective at stakeholder education—from boardroom to engineering teams.
* Strong problem\-solving mindset, able to translate technical outputs into practical business recommendations.
* Integrity and diligence, with a commitment to both organizational objectives and ethical AI deployment.
Job Type: Full\-time
Work Location: In person</t>
        </is>
      </c>
    </row>
    <row r="111">
      <c r="A111" t="inlineStr">
        <is>
          <t>in-51fd5f01419146f4</t>
        </is>
      </c>
      <c r="B111" t="inlineStr">
        <is>
          <t>Agentic AI Engineer</t>
        </is>
      </c>
      <c r="C111" t="inlineStr">
        <is>
          <t>Highmark Health</t>
        </is>
      </c>
      <c r="D111" t="inlineStr">
        <is>
          <t>indeed</t>
        </is>
      </c>
      <c r="E111" t="inlineStr"/>
      <c r="F111" t="inlineStr"/>
      <c r="G111" t="inlineStr">
        <is>
          <t>PA, US</t>
        </is>
      </c>
      <c r="H111" s="2" t="n">
        <v>46029</v>
      </c>
      <c r="I111" t="inlineStr">
        <is>
          <t>**Company :**
-------------
Highmark Health
**Job Description :**
---------------------
**JOB SUMMARY**
This role would build intelligent systems that not only generate novel content and data but also exhibit autonomous decision\-making and action\-taking capabilities. This role requires a strong foundation in software engineering principles to effectively develop, integrate, and deploy these advanced AI solutions. By leveraging large language models and other generative techniques to create sophisticated AI agents capable of independent problem\-solving and goal achievement, this role will be instrumental in developing cutting\-edge intelligent applications that will significantly enhance our operational efficiency and create novel product features.  
**ESSENTIAL RESPONSIBILITIES**
* Designing, developing, and deploying generative AI models (e.g., LLMs, diffusion models)
* Architecting and building agentic systems with autonomous decision\-making capabilities
* Integrating generative AI and agentic solutions into existing products and services
* Developing and maintaining the software infrastructure required for AI/ML pipeline
* Developing and implementing data pipelines for training and evaluating AI models
* Collaboration, Documentation, Monitoring \&amp; Evaluation of AI Systems
* Conducting research and experimentation with new generative AI and agentic techniques
* Other duties as assigned or requested
**EXPERIENCE**
**Required**
* 5 years' experience in Software Development experience (Python preferred)
* 3 years' experience working with large language models (LLMs)
* 3 years' experience in Building and deploying AI agent systems or similar autonomous systems
* 2 years' experience in Developing and deploying machine learning models in production
**Preferred**
* 2 years' Familiarity with Cloud Computing Platforms
* 1 year experience working with specific Agentic Frameworks (like LangChain, AutoGPT,Semantic Kernel, etc..)
* 1 year experience in Deploying AI models at scale in high\-throughput, low\-latency environments
**SKILLS**
* Proficient in Python and relevant AI/ML libraries
* Significant experience in prompt engineering and fine tuning LLM models
* Knowledge and experience in different generative AI techniques and their applications
* Ability to design and implement agentic frameworks and architectures
* Knowledge of techniques for grounding generative models with external knowledge sources (e.g., retrieval\-augmented generation, Knowledge graphs, etc..)
* Familiarity with MLOps principles and tools for model deployment and monitoring
* Understanding of the security implications and mitigation strategies for generative AI and agentic systems
* Ability to stay up\-to\-date with the latest advancements in AI and generative models
* Strong problem\-solving and analytical skills
* Excellent communication and collaboration skills
**EDUCATION**
**Required**
* Bachelor’s degree in Computer Science, Information Science, Artificial Intelligence, Data Science or similar degrees.
**Preferred**
* Master's degree in Computer Science, Information Science, Artificial Intelligence, Data Science or similar degrees
**LICENSES or CERTIFICATIONS**
**Required**
* None
**Preferred**
* Google Cloud Certification
**Language (Other than English):**
None
**Travel Required:**
Less than 25%
**PHYSICAL, MENTAL DEMANDS and WORKING CONDITIONS**
**Position Type**
Office\-Based or Remote Position
**Physical work site required**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$147,500\.00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t>
        </is>
      </c>
    </row>
    <row r="112">
      <c r="A112" t="inlineStr">
        <is>
          <t>in-36e87af102b940e7</t>
        </is>
      </c>
      <c r="B112" t="inlineStr">
        <is>
          <t>Senior Lead AI Engineer (Gen AI Platform Services)</t>
        </is>
      </c>
      <c r="C112" t="inlineStr">
        <is>
          <t>Capital One</t>
        </is>
      </c>
      <c r="D112" t="inlineStr">
        <is>
          <t>indeed</t>
        </is>
      </c>
      <c r="E112" t="inlineStr"/>
      <c r="F112" t="inlineStr"/>
      <c r="G112" t="inlineStr">
        <is>
          <t>San Jose, CA, US</t>
        </is>
      </c>
      <c r="H112" s="2" t="n">
        <v>46028</v>
      </c>
      <c r="I112" t="inlineStr">
        <is>
          <t>Senior Lead AI Engineer (Gen AI Platform Services)**Overview:**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3">
      <c r="A113" t="inlineStr">
        <is>
          <t>in-77073b4ffb515a06</t>
        </is>
      </c>
      <c r="B113" t="inlineStr">
        <is>
          <t>Sr Machine Learning Engineer -AI/ML- US Remote</t>
        </is>
      </c>
      <c r="C113" t="inlineStr">
        <is>
          <t>Amgen</t>
        </is>
      </c>
      <c r="D113" t="inlineStr">
        <is>
          <t>indeed</t>
        </is>
      </c>
      <c r="E113" t="inlineStr"/>
      <c r="F113" t="inlineStr"/>
      <c r="G113" t="inlineStr">
        <is>
          <t>Jacksonville, FL, US</t>
        </is>
      </c>
      <c r="H113" s="2" t="n">
        <v>46028</v>
      </c>
      <c r="I113" t="inlineStr">
        <is>
          <t>**ABOUT THE ROLE**
**Role Description:**
We are seeking a **Sr Machine Learning Engineer**—Amgen’s senior individual\-contributor authority on building and scaling end\-to\-end machine\-learning and generative\-AI platforms. Sitting at the intersection of engineering excellence and data\-science enablement, you will design the core services, infrastructure and governance controls that allow hundreds of practitioners to prototype, deploy and monitor models—classical ML, deep learning and LLMs—securely and cost\-effectively. Acting as a “player\-coach,” you will establish platform strategy, define technical standards, and partner with DevOps, Security, Compliance and Product teams to deliver a frictionless, enterprise\-grade AI developer experience.
**Roles \&amp; Responsibilities:**
* **Engineer end\-to\-end ML pipelines**—data ingestion, feature engineering, training, hyper\-parameter optimization, evaluation, registration and automated promotion—using Kubeflow, SageMaker Pipelines, Open AI SDK or equivalent MLOps stacks.
* **Harden research code into production\-grade micro\-services**, packaging models in Docker/Kubernetes and exposing secure REST, gRPC or event\-driven APIs for consumption by downstream applications.
* **Build and maintain full\-stack AI applications** by integrating model services with lightweight UI components, workflow engines or business\-logic layers so insights reach users with sub\-second latency.
* **Optimize performance and cost at scale**—selecting appropriate algorithms (gradient\-boosted trees, transformers, time\-series models, classical statistics), applying quantization/pruning, and tuning GPU/CPU auto\-scaling policies to meet strict SLA targets.
* **Instrument comprehensive observability**—real\-time metrics, distributed tracing, drift \&amp; bias detection and user\-behavior analytics—enabling rapid diagnosis and continuous improvement of live models and applications.
* **Embed security and responsible\-AI controls** (data encryption, access policies, lineage tracking, explainability and bias monitoring) in partnership with Security, Privacy and Compliance teams.
* **Contribute reusable platform components**—feature stores, model registries, experiment\-tracking libraries—and evangelize best practices that raise engineering velocity across squads.
* **Perform exploratory data analysis and feature ideation** on complex, high\-dimensional datasets to inform algorithm selection and ensure model robustness.
* **Partner with data scientists to prototype and benchmark new algorithms**, offering guidance on scalability trade\-offs and production\-readiness while co\-owning model\-performance KPIs.
**Must\-Have** **Skills:**
* **3\-5 years** in AI/ML and enterprise software.
* **Comprehensive command of machine\-learning algorithms****—**regression, tree\-based ensembles, clustering, dimensionality reduction, time\-series models, deep\-learning architectures (CNNs, RNNs, transformers) and modern LLM/RAG techniques—with the judgment to choose, tune and operationalize the right method for a given business problem.
* Proven track record selecting and integrating AI SaaS/PaaS offerings **and** building custom ML services at scale.
* Expert knowledge of GenAI tooling: vector databases, RAG pipelines, prompt\-engineering DSLs and agent frameworks (e.g., LangChain, Semantic Kernel).
* Proficiency in Python and Java; containerization (Docker/K8s); cloud (AWS, Azure or GCP) and modern DevOps/MLOps (GitHub Actions, Bedrock/SageMaker Pipelines).
* Strong business\-case skills—able to model TCO vs. NPV and present trade\-offs to executives.
* Exceptional stakeholder management; can translate complex technical concepts into concise, outcome\-oriented narratives.
**Good\-to\-Have Skills:**
* Experience in Biotechnology or pharma industry is a big plus
* Published thought\-leadership or conference talks on enterprise GenAI adoption.
* Master’s degree in computer science and or Data Science
* Familiarity with Agile methodologies and Scaled Agile Framework (SAFe) for project delivery.
**Education and Professional Certifications**
* Master’s degree with 8 \+ years of experience in Computer Science, IT or related field
OR
* Bachelor’s degree with 10 \+ years of experience in Computer Science, IT or related field
* Certifications on GenAI/ML platforms (AWS AI, Azure AI Engineer, Google Cloud ML, etc.) are a plus.
**Soft Skills:**
* Excellent analytical and troubleshooting skills.
* Strong verbal and written communication skills
* Ability to work effectively with global, virtual teams
* High degree of initiative and self\-motivation.
* Ability to manage multiple priorities successfully.
* Team\-oriented, with a focus on achieving team goals.
* Ability to learn quickly, be organized and detail oriented.
* Strong presentation and public speaking skills.</t>
        </is>
      </c>
    </row>
    <row r="114">
      <c r="A114" t="inlineStr">
        <is>
          <t>in-43eb3a97f3b3ef3c</t>
        </is>
      </c>
      <c r="B114" t="inlineStr">
        <is>
          <t>Machine Learning Engineer, Model Customization, Generative AI Innovation Center</t>
        </is>
      </c>
      <c r="C114" t="inlineStr">
        <is>
          <t>Amazon Web Services</t>
        </is>
      </c>
      <c r="D114" t="inlineStr">
        <is>
          <t>indeed</t>
        </is>
      </c>
      <c r="E114" t="inlineStr"/>
      <c r="F114" t="inlineStr"/>
      <c r="G114" t="inlineStr">
        <is>
          <t>Mountain View, CA, US</t>
        </is>
      </c>
      <c r="H114" s="2" t="n">
        <v>46008</v>
      </c>
      <c r="I114"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in-1359e6d7d595c946</t>
        </is>
      </c>
      <c r="B115" t="inlineStr">
        <is>
          <t>Machine Learning Engineer, Model Customization, Generative AI Innovation Center</t>
        </is>
      </c>
      <c r="C115" t="inlineStr">
        <is>
          <t>Amazon Web Services</t>
        </is>
      </c>
      <c r="D115" t="inlineStr">
        <is>
          <t>indeed</t>
        </is>
      </c>
      <c r="E115" t="inlineStr"/>
      <c r="F115" t="inlineStr"/>
      <c r="G115" t="inlineStr">
        <is>
          <t>Seattle, WA, US</t>
        </is>
      </c>
      <c r="H115" s="2" t="n">
        <v>46008</v>
      </c>
      <c r="I115"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in-34009c52602d247a</t>
        </is>
      </c>
      <c r="B116" t="inlineStr">
        <is>
          <t>Sr. Machine Learning Engineer, AGIF | Finetuning</t>
        </is>
      </c>
      <c r="C116" t="inlineStr">
        <is>
          <t>Amazon.com</t>
        </is>
      </c>
      <c r="D116" t="inlineStr">
        <is>
          <t>indeed</t>
        </is>
      </c>
      <c r="E116" t="inlineStr"/>
      <c r="F116" t="inlineStr"/>
      <c r="G116" t="inlineStr">
        <is>
          <t>New York, NY, US</t>
        </is>
      </c>
      <c r="H116" s="2" t="n">
        <v>45984</v>
      </c>
      <c r="I116"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in-a8a071c09f5fac37</t>
        </is>
      </c>
      <c r="B117" t="inlineStr">
        <is>
          <t>Sr. Machine Learning Engineer, AGIF | Finetuning</t>
        </is>
      </c>
      <c r="C117" t="inlineStr">
        <is>
          <t>Amazon.com</t>
        </is>
      </c>
      <c r="D117" t="inlineStr">
        <is>
          <t>indeed</t>
        </is>
      </c>
      <c r="E117" t="inlineStr"/>
      <c r="F117" t="inlineStr"/>
      <c r="G117" t="inlineStr">
        <is>
          <t>Bellevue, WA, US</t>
        </is>
      </c>
      <c r="H117" s="2" t="n">
        <v>45984</v>
      </c>
      <c r="I11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in-60b3624a871e92f6</t>
        </is>
      </c>
      <c r="B118" t="inlineStr">
        <is>
          <t>Sr. Machine Learning Engineer, AGIF | Finetuning</t>
        </is>
      </c>
      <c r="C118" t="inlineStr">
        <is>
          <t>Amazon.com</t>
        </is>
      </c>
      <c r="D118" t="inlineStr">
        <is>
          <t>indeed</t>
        </is>
      </c>
      <c r="E118" t="inlineStr"/>
      <c r="F118" t="inlineStr"/>
      <c r="G118" t="inlineStr">
        <is>
          <t>Sunnyvale, CA, US</t>
        </is>
      </c>
      <c r="H118" s="2" t="n">
        <v>45984</v>
      </c>
      <c r="I11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in-7d31e4262ed67b20</t>
        </is>
      </c>
      <c r="B119" t="inlineStr">
        <is>
          <t>Lead AI/ML Engineer, Recommendation Systems</t>
        </is>
      </c>
      <c r="C119" t="inlineStr">
        <is>
          <t>Amazon.com</t>
        </is>
      </c>
      <c r="D119" t="inlineStr">
        <is>
          <t>indeed</t>
        </is>
      </c>
      <c r="E119" t="inlineStr"/>
      <c r="F119" t="inlineStr"/>
      <c r="G119" t="inlineStr">
        <is>
          <t>Sunnyvale, CA, US</t>
        </is>
      </c>
      <c r="H119" s="2" t="n">
        <v>45892</v>
      </c>
      <c r="I1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in-d0e0a3ec2fdd9552</t>
        </is>
      </c>
      <c r="B120" t="inlineStr">
        <is>
          <t>Lead AI/ML Engineer, Recommendation Systems</t>
        </is>
      </c>
      <c r="C120" t="inlineStr">
        <is>
          <t>Amazon.com</t>
        </is>
      </c>
      <c r="D120" t="inlineStr">
        <is>
          <t>indeed</t>
        </is>
      </c>
      <c r="E120" t="inlineStr"/>
      <c r="F120" t="inlineStr"/>
      <c r="G120" t="inlineStr">
        <is>
          <t>New York, NY, US</t>
        </is>
      </c>
      <c r="H120" s="2" t="n">
        <v>45892</v>
      </c>
      <c r="I1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in-ba18ef804951aedc</t>
        </is>
      </c>
      <c r="B121" t="inlineStr">
        <is>
          <t>Lead AI/ML Engineer, Recommendation Systems</t>
        </is>
      </c>
      <c r="C121" t="inlineStr">
        <is>
          <t>Amazon.com</t>
        </is>
      </c>
      <c r="D121" t="inlineStr">
        <is>
          <t>indeed</t>
        </is>
      </c>
      <c r="E121" t="inlineStr"/>
      <c r="F121" t="inlineStr"/>
      <c r="G121" t="inlineStr">
        <is>
          <t>Seattle, WA, US</t>
        </is>
      </c>
      <c r="H121" s="2" t="n">
        <v>45892</v>
      </c>
      <c r="I1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in-a691351cf665268a</t>
        </is>
      </c>
      <c r="B122" t="inlineStr">
        <is>
          <t>Machine Learning Engineer - Personalization</t>
        </is>
      </c>
      <c r="C122" t="inlineStr">
        <is>
          <t>Amazon.com</t>
        </is>
      </c>
      <c r="D122" t="inlineStr">
        <is>
          <t>indeed</t>
        </is>
      </c>
      <c r="E122" t="inlineStr"/>
      <c r="F122" t="inlineStr"/>
      <c r="G122" t="inlineStr">
        <is>
          <t>New York, NY, US</t>
        </is>
      </c>
      <c r="H122" s="2" t="n">
        <v>45892</v>
      </c>
      <c r="I1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in-e6454726e7b3c850</t>
        </is>
      </c>
      <c r="B123" t="inlineStr">
        <is>
          <t>Machine Learning Engineer - Personalization</t>
        </is>
      </c>
      <c r="C123" t="inlineStr">
        <is>
          <t>Amazon.com</t>
        </is>
      </c>
      <c r="D123" t="inlineStr">
        <is>
          <t>indeed</t>
        </is>
      </c>
      <c r="E123" t="inlineStr"/>
      <c r="F123" t="inlineStr"/>
      <c r="G123" t="inlineStr">
        <is>
          <t>Seattle, WA, US</t>
        </is>
      </c>
      <c r="H123" s="2" t="n">
        <v>45892</v>
      </c>
      <c r="I1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in-364eddccab5ac0d7</t>
        </is>
      </c>
      <c r="B124" t="inlineStr">
        <is>
          <t>Machine Learning Engineer - Personalization</t>
        </is>
      </c>
      <c r="C124" t="inlineStr">
        <is>
          <t>Amazon.com</t>
        </is>
      </c>
      <c r="D124" t="inlineStr">
        <is>
          <t>indeed</t>
        </is>
      </c>
      <c r="E124" t="inlineStr"/>
      <c r="F124" t="inlineStr"/>
      <c r="G124" t="inlineStr">
        <is>
          <t>Sunnyvale, CA, US</t>
        </is>
      </c>
      <c r="H124" s="2" t="n">
        <v>45892</v>
      </c>
      <c r="I1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in-d191e91c41ffcc2c</t>
        </is>
      </c>
      <c r="B125" t="inlineStr">
        <is>
          <t>Senior Delivery Consultant - Senior Machine Learning Engineer, AWS Professional Services, AWS Professional Services</t>
        </is>
      </c>
      <c r="C125" t="inlineStr">
        <is>
          <t>Amazon Web Services</t>
        </is>
      </c>
      <c r="D125" t="inlineStr">
        <is>
          <t>indeed</t>
        </is>
      </c>
      <c r="E125" t="inlineStr"/>
      <c r="F125" t="inlineStr"/>
      <c r="G125" t="inlineStr">
        <is>
          <t>Boston, MA, US</t>
        </is>
      </c>
      <c r="H125" s="2" t="n">
        <v>45825</v>
      </c>
      <c r="I12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in-5b17a94503a00fbb</t>
        </is>
      </c>
      <c r="B126" t="inlineStr">
        <is>
          <t>Senior Delivery Consultant - Senior Machine Learning Engineer, AWS Professional Services, AWS Professional Services</t>
        </is>
      </c>
      <c r="C126" t="inlineStr">
        <is>
          <t>Amazon Web Services</t>
        </is>
      </c>
      <c r="D126" t="inlineStr">
        <is>
          <t>indeed</t>
        </is>
      </c>
      <c r="E126" t="inlineStr"/>
      <c r="F126" t="inlineStr"/>
      <c r="G126" t="inlineStr">
        <is>
          <t>Atlanta, GA, US</t>
        </is>
      </c>
      <c r="H126" s="2" t="n">
        <v>45825</v>
      </c>
      <c r="I12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in-bfccebc7650377a6</t>
        </is>
      </c>
      <c r="B127" t="inlineStr">
        <is>
          <t>Senior Delivery Consultant - Senior Machine Learning Engineer, AWS Professional Services, AWS Professional Services</t>
        </is>
      </c>
      <c r="C127" t="inlineStr">
        <is>
          <t>Amazon Web Services</t>
        </is>
      </c>
      <c r="D127" t="inlineStr">
        <is>
          <t>indeed</t>
        </is>
      </c>
      <c r="E127" t="inlineStr"/>
      <c r="F127" t="inlineStr"/>
      <c r="G127" t="inlineStr">
        <is>
          <t>New York, NY, US</t>
        </is>
      </c>
      <c r="H127" s="2" t="n">
        <v>45825</v>
      </c>
      <c r="I12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in-78ea1f4755f8474a</t>
        </is>
      </c>
      <c r="B128" t="inlineStr">
        <is>
          <t>Senior Delivery Consultant - Senior Machine Learning Engineer, AWS Professional Services, AWS Professional Services</t>
        </is>
      </c>
      <c r="C128" t="inlineStr">
        <is>
          <t>Amazon Web Services</t>
        </is>
      </c>
      <c r="D128" t="inlineStr">
        <is>
          <t>indeed</t>
        </is>
      </c>
      <c r="E128" t="inlineStr"/>
      <c r="F128" t="inlineStr"/>
      <c r="G128" t="inlineStr">
        <is>
          <t>Herndon, VA, US</t>
        </is>
      </c>
      <c r="H128" s="2" t="n">
        <v>45825</v>
      </c>
      <c r="I12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in-e96f7bcbb4f965a7</t>
        </is>
      </c>
      <c r="B129" t="inlineStr">
        <is>
          <t>Senior Delivery Consultant - Senior Machine Learning Engineer, AWS Professional Services, AWS Professional Services</t>
        </is>
      </c>
      <c r="C129" t="inlineStr">
        <is>
          <t>Amazon Web Services</t>
        </is>
      </c>
      <c r="D129" t="inlineStr">
        <is>
          <t>indeed</t>
        </is>
      </c>
      <c r="E129" t="inlineStr"/>
      <c r="F129" t="inlineStr"/>
      <c r="G129" t="inlineStr">
        <is>
          <t>Dallas, TX, US</t>
        </is>
      </c>
      <c r="H129" s="2" t="n">
        <v>45825</v>
      </c>
      <c r="I12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in-886cc72cd73767f4</t>
        </is>
      </c>
      <c r="B130" t="inlineStr">
        <is>
          <t>Senior Delivery Consultant - Senior Machine Learning Engineer, AWS Professional Services, AWS Professional Services</t>
        </is>
      </c>
      <c r="C130" t="inlineStr">
        <is>
          <t>Amazon Web Services</t>
        </is>
      </c>
      <c r="D130" t="inlineStr">
        <is>
          <t>indeed</t>
        </is>
      </c>
      <c r="E130" t="inlineStr"/>
      <c r="F130" t="inlineStr"/>
      <c r="G130" t="inlineStr">
        <is>
          <t>Chicago, IL, US</t>
        </is>
      </c>
      <c r="H130" s="2" t="n">
        <v>45825</v>
      </c>
      <c r="I13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in-9f27010df12e0952</t>
        </is>
      </c>
      <c r="B131" t="inlineStr">
        <is>
          <t>Senior Delivery Consultant - Senior Machine Learning Engineer, AWS Professional Services, AWS Professional Services</t>
        </is>
      </c>
      <c r="C131" t="inlineStr">
        <is>
          <t>Amazon Web Services</t>
        </is>
      </c>
      <c r="D131" t="inlineStr">
        <is>
          <t>indeed</t>
        </is>
      </c>
      <c r="E131" t="inlineStr"/>
      <c r="F131" t="inlineStr"/>
      <c r="G131" t="inlineStr">
        <is>
          <t>Arlington, VA, US</t>
        </is>
      </c>
      <c r="H131" s="2" t="n">
        <v>45825</v>
      </c>
      <c r="I13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in-70951b6e9ca53ea7</t>
        </is>
      </c>
      <c r="B132" t="inlineStr">
        <is>
          <t>Senior Delivery Consultant - Senior Machine Learning Engineer, AWS Professional Services, AWS Professional Services</t>
        </is>
      </c>
      <c r="C132" t="inlineStr">
        <is>
          <t>Amazon Web Services</t>
        </is>
      </c>
      <c r="D132" t="inlineStr">
        <is>
          <t>indeed</t>
        </is>
      </c>
      <c r="E132" t="inlineStr"/>
      <c r="F132" t="inlineStr"/>
      <c r="G132" t="inlineStr">
        <is>
          <t>Seattle, WA, US</t>
        </is>
      </c>
      <c r="H132" s="2" t="n">
        <v>45825</v>
      </c>
      <c r="I13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in-a3e4612d72f562e2</t>
        </is>
      </c>
      <c r="B133" t="inlineStr">
        <is>
          <t>Senior Delivery Consultant - Senior Machine Learning Engineer, AWS Professional Services, AWS Professional Services</t>
        </is>
      </c>
      <c r="C133" t="inlineStr">
        <is>
          <t>Amazon Web Services</t>
        </is>
      </c>
      <c r="D133" t="inlineStr">
        <is>
          <t>indeed</t>
        </is>
      </c>
      <c r="E133" t="inlineStr"/>
      <c r="F133" t="inlineStr"/>
      <c r="G133" t="inlineStr">
        <is>
          <t>Austin, TX, US</t>
        </is>
      </c>
      <c r="H133" s="2" t="n">
        <v>45825</v>
      </c>
      <c r="I13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in-59dd3bf23ee4dd75</t>
        </is>
      </c>
      <c r="B134" t="inlineStr">
        <is>
          <t>Sr. Machine Learning Engineer, Amazon General Intelligence (AGI)</t>
        </is>
      </c>
      <c r="C134" t="inlineStr">
        <is>
          <t>Amazon.com</t>
        </is>
      </c>
      <c r="D134" t="inlineStr">
        <is>
          <t>indeed</t>
        </is>
      </c>
      <c r="E134" t="inlineStr"/>
      <c r="F134" t="inlineStr"/>
      <c r="G134" t="inlineStr">
        <is>
          <t>Bellevue, WA, US</t>
        </is>
      </c>
      <c r="H134" s="2" t="n">
        <v>45813</v>
      </c>
      <c r="I134"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in-2dfcbc55144e8521</t>
        </is>
      </c>
      <c r="B135" t="inlineStr">
        <is>
          <t>Sr. Machine Learning Engineer, Amazon General Intelligence (AGI)</t>
        </is>
      </c>
      <c r="C135" t="inlineStr">
        <is>
          <t>Amazon.com</t>
        </is>
      </c>
      <c r="D135" t="inlineStr">
        <is>
          <t>indeed</t>
        </is>
      </c>
      <c r="E135" t="inlineStr"/>
      <c r="F135" t="inlineStr"/>
      <c r="G135" t="inlineStr">
        <is>
          <t>Seattle, WA, US</t>
        </is>
      </c>
      <c r="H135" s="2" t="n">
        <v>45813</v>
      </c>
      <c r="I135"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in-fa4863202ec1ae4e</t>
        </is>
      </c>
      <c r="B136" t="inlineStr">
        <is>
          <t>Applied Scientist, Personalization, DTx Science</t>
        </is>
      </c>
      <c r="C136" t="inlineStr">
        <is>
          <t>Amazon.com</t>
        </is>
      </c>
      <c r="D136" t="inlineStr">
        <is>
          <t>indeed</t>
        </is>
      </c>
      <c r="E136" t="inlineStr"/>
      <c r="F136" t="inlineStr"/>
      <c r="G136" t="inlineStr">
        <is>
          <t>New York, NY, US</t>
        </is>
      </c>
      <c r="H136" s="2" t="n">
        <v>45979</v>
      </c>
      <c r="I13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in-b8f1fa8359dfa992</t>
        </is>
      </c>
      <c r="B137" t="inlineStr">
        <is>
          <t>Applied Scientist, Personalization, DTx Science</t>
        </is>
      </c>
      <c r="C137" t="inlineStr">
        <is>
          <t>Amazon.com</t>
        </is>
      </c>
      <c r="D137" t="inlineStr">
        <is>
          <t>indeed</t>
        </is>
      </c>
      <c r="E137" t="inlineStr"/>
      <c r="F137" t="inlineStr"/>
      <c r="G137" t="inlineStr">
        <is>
          <t>Seattle, WA, US</t>
        </is>
      </c>
      <c r="H137" s="2" t="n">
        <v>45979</v>
      </c>
      <c r="I137"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in-4434828a4a8ed433</t>
        </is>
      </c>
      <c r="B138" t="inlineStr">
        <is>
          <t>Sr. Applied Scientist, Sales AI</t>
        </is>
      </c>
      <c r="C138" t="inlineStr">
        <is>
          <t>Amazon.com</t>
        </is>
      </c>
      <c r="D138" t="inlineStr">
        <is>
          <t>indeed</t>
        </is>
      </c>
      <c r="E138" t="inlineStr"/>
      <c r="F138" t="inlineStr"/>
      <c r="G138" t="inlineStr">
        <is>
          <t>Sunnyvale, CA, US</t>
        </is>
      </c>
      <c r="H138" s="2" t="n">
        <v>45830</v>
      </c>
      <c r="I13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in-d8b84b6a7f0313ef</t>
        </is>
      </c>
      <c r="B139" t="inlineStr">
        <is>
          <t>Sr. Applied Scientist, Sales AI</t>
        </is>
      </c>
      <c r="C139" t="inlineStr">
        <is>
          <t>Amazon.com</t>
        </is>
      </c>
      <c r="D139" t="inlineStr">
        <is>
          <t>indeed</t>
        </is>
      </c>
      <c r="E139" t="inlineStr"/>
      <c r="F139" t="inlineStr"/>
      <c r="G139" t="inlineStr">
        <is>
          <t>Seattle, WA, US</t>
        </is>
      </c>
      <c r="H139" s="2" t="n">
        <v>45830</v>
      </c>
      <c r="I13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in-bd7b88a59927bfcb</t>
        </is>
      </c>
      <c r="B140" t="inlineStr">
        <is>
          <t>Sr. Applied Scientist, Sales AI</t>
        </is>
      </c>
      <c r="C140" t="inlineStr">
        <is>
          <t>Amazon.com</t>
        </is>
      </c>
      <c r="D140" t="inlineStr">
        <is>
          <t>indeed</t>
        </is>
      </c>
      <c r="E140" t="inlineStr"/>
      <c r="F140" t="inlineStr"/>
      <c r="G140" t="inlineStr">
        <is>
          <t>New York, NY, US</t>
        </is>
      </c>
      <c r="H140" s="2" t="n">
        <v>45830</v>
      </c>
      <c r="I14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in-3cf5022a4eb985ec</t>
        </is>
      </c>
      <c r="B141" t="inlineStr">
        <is>
          <t>Machine Learning Engineer</t>
        </is>
      </c>
      <c r="C141" t="inlineStr">
        <is>
          <t>FanDuel</t>
        </is>
      </c>
      <c r="D141" t="inlineStr">
        <is>
          <t>indeed</t>
        </is>
      </c>
      <c r="E141" t="inlineStr"/>
      <c r="F141" t="inlineStr"/>
      <c r="G141" t="inlineStr">
        <is>
          <t>New York, NY, US</t>
        </is>
      </c>
      <c r="H141" s="2" t="n">
        <v>46029</v>
      </c>
      <c r="I141" t="inlineStr">
        <is>
          <t>**THE POSITION**  
Our roster has an opening with your name on it
At FanDuel, data is the heartbeat of our organization. As a Machine Learning Engineer at FanDuel, you will help us unlock the full potential of our vast amounts of real\-time and relational data. You will be asked to provide our business with insight and our customers with world\-class personalized experiences. Every click our users make, every bet, every touchdown, every fumble, and every play is fair game for us to turn into a stream of knowledge. Your expertise will be used here to make better and faster decisions – outpacing our competition.
Collaboration is at the core of your role. You'll be the linchpin between engineering teams working downstream to build out our online application and upstream to land necessary data for feature engineering. You'll also be working with Data Scientists and Analysts to productionize, analyze, and validate AI powered insights. You will be asked to help organize, model, and present our data as a coherent product and offer it to our stakeholders, providing a common information framework that allows FanDuel to intelligently react to what is happening on the field and in the marketplace.
We are looking for Machine Learning Engineer who may be looking to make the move to a big data environment. If this describes you, read on – we want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Designing and implementing intelligent search system incorporating typeahead search, vector search and ML personalization model signals to optimize relevance and user experience
* Contributing to the design and development of scalable serving systems for ML and GenAI/LLM models
* Developing platform features and capabilities (e.g. CLI, SDK, Infra Automation, Platform Applications) for streamlining ML Model and GenAI/LLM Application development and deployment lifecycle
* Business intelligence tools (e.g., Tableau, Knime, Looker)
* Data security and privacy (e.g. GDPR, CPP)
* Data governance and data testing frameworks
* Continuous integration and delivery of production data products
* An inclusive culture that expects excellence and priorities your growth as an engineer and your well\-being as a person
* Advance your career within well\-defined, skill\-based tracks, either as an individual contributor or as a manager – both providing equal opportunities for compensation and advancement
* Collaborating with peers and sharing best practices in system reliability, automation, and data quality
ML engineering is a rapidly changing field – most of all, we're looking for someone who enjoys experimenting, keeping their finger on the pulse of current data engineering tools, and always thinking about how to do something better.
**THE STATS**  
What we're looking for in our next teammate
* 3\-5\+ Years of relevant experience developing code in one or more core programming languages (Python, Java, etc.)
* Experience implementing vector search, semantic search, or embedding\-based retrieval systems for production ML or AI applications
* Experience working with typeahead / autocomplete systems and integrating ML signals into query understanding or ranking workflows
* Experience combining outputs from multiple retrieval systems (e.g., vector search \+ typeahead \+ personalization models) to improve relevance
* Hands\-on experience in deploying ML and GenAI/LLM models under the constraints of scalability, correctness, and maintainability.
	+ Hands on experience with ML frameworks and libraries (Scikit\-learn, Pytorch, Tensorflow, LightGBM, Keras, MLFlow etc.) and familiarity with LLM\-specific frameworks (e.g., LangChain, Hugging Face Transformers, etc).
	+ Hands on experience with one or more ML and GenAI/LLM cloud services (Amazon SageMaker, Amazon Bedrock, Databricks Mosaic AI, Seldon, Arize, etc)
* Experience contributing to various software architecture design, with some emphasis on scalable architectures supporting both traditional ML and advanced LLM workflows.
* Experience collaborating cross\-functionally and contributing to technical decisions in team projects
* Experience with one or more relevant tools (Flink, Spark, Sqoop, Flume, Kafka, Amazon Kinesis, Terraform, Airflow)
* Ability to share findings in easy to consume formats, whether that is through dashboards or data modeling.
* Experience working in a cloud environment such as AWS, GCP, Azure.
* Experience with Databricks is a plus, their unity catalog, another plus.
* Experience of contributing to designing and building data pipelines for production level ML and GenAI/LLM infrastructure.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142">
      <c r="A142" t="inlineStr">
        <is>
          <t>in-4c70a731d45eac7b</t>
        </is>
      </c>
      <c r="B142" t="inlineStr">
        <is>
          <t>Machine Learning Engineer</t>
        </is>
      </c>
      <c r="C142" t="inlineStr">
        <is>
          <t>FanDuel</t>
        </is>
      </c>
      <c r="D142" t="inlineStr">
        <is>
          <t>indeed</t>
        </is>
      </c>
      <c r="E142" t="inlineStr"/>
      <c r="F142" t="inlineStr"/>
      <c r="G142" t="inlineStr">
        <is>
          <t>Atlanta, GA, US</t>
        </is>
      </c>
      <c r="H142" s="2" t="n">
        <v>46029</v>
      </c>
      <c r="I142" t="inlineStr">
        <is>
          <t>**THE POSITION**  
Our roster has an opening with your name on it
At FanDuel, data is the heartbeat of our organization. As a Machine Learning Engineer at FanDuel, you will help us unlock the full potential of our vast amounts of real\-time and relational data. You will be asked to provide our business with insight and our customers with world\-class personalized experiences. Every click our users make, every bet, every touchdown, every fumble, and every play is fair game for us to turn into a stream of knowledge. Your expertise will be used here to make better and faster decisions – outpacing our competition.
Collaboration is at the core of your role. You'll be the linchpin between engineering teams working downstream to build out our online application and upstream to land necessary data for feature engineering. You'll also be working with Data Scientists and Analysts to productionize, analyze, and validate AI powered insights. You will be asked to help organize, model, and present our data as a coherent product and offer it to our stakeholders, providing a common information framework that allows FanDuel to intelligently react to what is happening on the field and in the marketplace.
We are looking for Machine Learning Engineer who may be looking to make the move to a big data environment. If this describes you, read on – we want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Designing and implementing intelligent search system incorporating typeahead search, vector search and ML personalization model signals to optimize relevance and user experience
* Contributing to the design and development of scalable serving systems for ML and GenAI/LLM models
* Developing platform features and capabilities (e.g. CLI, SDK, Infra Automation, Platform Applications) for streamlining ML Model and GenAI/LLM Application development and deployment lifecycle
* Business intelligence tools (e.g., Tableau, Knime, Looker)
* Data security and privacy (e.g. GDPR, CPP)
* Data governance and data testing frameworks
* Continuous integration and delivery of production data products
* An inclusive culture that expects excellence and priorities your growth as an engineer and your well\-being as a person
* Advance your career within well\-defined, skill\-based tracks, either as an individual contributor or as a manager – both providing equal opportunities for compensation and advancement
* Collaborating with peers and sharing best practices in system reliability, automation, and data quality
ML engineering is a rapidly changing field – most of all, we're looking for someone who enjoys experimenting, keeping their finger on the pulse of current data engineering tools, and always thinking about how to do something better.
**THE STATS**  
What we're looking for in our next teammate
* 3\-5\+ Years of relevant experience developing code in one or more core programming languages (Python, Java, etc.)
* Experience implementing vector search, semantic search, or embedding\-based retrieval systems for production ML or AI applications
* Experience working with typeahead / autocomplete systems and integrating ML signals into query understanding or ranking workflows
* Experience combining outputs from multiple retrieval systems (e.g., vector search \+ typeahead \+ personalization models) to improve relevance
* Hands\-on experience in deploying ML and GenAI/LLM models under the constraints of scalability, correctness, and maintainability.
	+ Hands on experience with ML frameworks and libraries (Scikit\-learn, Pytorch, Tensorflow, LightGBM, Keras, MLFlow etc.) and familiarity with LLM\-specific frameworks (e.g., LangChain, Hugging Face Transformers, etc).
	+ Hands on experience with one or more ML and GenAI/LLM cloud services (Amazon SageMaker, Amazon Bedrock, Databricks Mosaic AI, Seldon, Arize, etc)
* Experience contributing to various software architecture design, with some emphasis on scalable architectures supporting both traditional ML and advanced LLM workflows.
* Experience collaborating cross\-functionally and contributing to technical decisions in team projects
* Experience with one or more relevant tools (Flink, Spark, Sqoop, Flume, Kafka, Amazon Kinesis, Terraform, Airflow)
* Ability to share findings in easy to consume formats, whether that is through dashboards or data modeling.
* Experience working in a cloud environment such as AWS, GCP, Azure.
* Experience with Databricks is a plus, their unity catalog, another plus.
* Experience of contributing to designing and building data pipelines for production level ML and GenAI/LLM infrastructure.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143">
      <c r="A143" t="inlineStr">
        <is>
          <t>in-1fbcf86a169adb9d</t>
        </is>
      </c>
      <c r="B143" t="inlineStr">
        <is>
          <t>Lead Machine Learning Engineer</t>
        </is>
      </c>
      <c r="C143" t="inlineStr">
        <is>
          <t>Salesforce</t>
        </is>
      </c>
      <c r="D143" t="inlineStr">
        <is>
          <t>indeed</t>
        </is>
      </c>
      <c r="E143" t="inlineStr"/>
      <c r="F143" t="inlineStr"/>
      <c r="G143" t="inlineStr">
        <is>
          <t>San Francisco, CA, US</t>
        </is>
      </c>
      <c r="H143" s="2" t="n">
        <v>46029</v>
      </c>
      <c r="I143"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We are a foundation machine learning platform team within the Trust Intelligence Platform organization with a main focus to build and accelerate scalable and resilient machine learning pipelines across the security engineering organization.
We are looking for a highly motivated, hands\-on lead machine learning engineer with a strong business understanding of cybersecurity problems, who acts as a force multiplier security data scientist for our security organization. The lead will not simply build models; they will architect the data\-driven strategy for our threat detection capabilities.
**Your impact:**
----------------
* Shape the Defense Strategy: You will own the decision\-making process—translating vague security threats into concrete mathematical problems. By championing a rapid prototyping culture, you will validate hypotheses in days rather than months, ensuring our engineering resources are focused only on high\-value detections while killing low\-signal ideas early.
* Detect the "Unknown Unknowns": You will lead the evolution of our threat detection, introducing more advanced probabilistic modeling, graph analytics, supervised and unsupervised learing. Your work will expose sophisticated threats—such as active system intrusions, lateral movement, beaconing, and insider attacks—that evade traditional defenses, directly reducing the organization's risk surface.
* Elevate the Organization: You will act as a force multiplier, mentoring junior scientists and engineers, and building the internal tooling, feature stores, and libraries that make the whole team faster. You will influence the broader security engineering roadmap to ensure a closed loop security telemetry that is treated as a first\-class citizen.
* Operationalize Intelligence: By prioritizing engineering rigor (CI/CD, scalable code) and adversarial resilience, you will deliver production\-grade models that the SOC actually trusts—minimizing "alert fatigue" and maximizing analyst efficiency.
**Required skills:**
--------------------
* Extensive experience (3\-5\+ years) in data science, with at least 2\+ years dedicated to the cybersecurity domain designing, implementing and deploying systems of anomaly detection, clustering, and graph models in production.
* Extended practical knowledge and familiarity with security frameworks such as MITRE ATT\&amp;CK and OCSF.
* Hands\-on comfort with high\-volume logs and proficiency with Spark/Pyspark, Snowflake, Flink and streaming services such as Apache Kafka
* Deep understanding and application of containerization (Docker) and workflow orchestration (Kubernetes, Apache Airflow) for automated ML pipelines.
* Mastery of Python programming, including proficiency in leading ML frameworks (TensorFlow, PyTorch) and adherence to software engineering best practices.
* Demonstrated success in implementing comprehensive MLOps methodologies, encompassing CI/CD pipelines, testing protocols, and model performance monitoring.
* Solid foundation in feature engineering techniques and the implementation of feature stores.
* Experience in formulating ML governance policies and ensuring adherence to data security regulations.
* Ability to explain complex statistical concepts to non\-technical stakeholders and executive leadership.
* Proven ability to manage scope, timelines, and stakeholder expectations across multiple organizations.
* High degree of autonomy with the ability to look at a vague business problem and structure a data\-driven solution without needing a predefined roadmap.
* A related technical degree is required.
**Preferred skills:**
---------------------
* Masters or PhD in a quantitative field
* Expertise in advanced Natural Language Processing (NLP) methodologies.
* Experience contributing to open\-source security data science tools.
* Presentations at major security conferences (Black Hat, DEF CON, BSides) or data conferences.
* Background in offensive security (Penetration Testing/Red Teaming) with an "attacker's mindset."
* Demonstrated experience conducting research or working collaboratively with Machine Learning (ML) research teams.
* Previous experience in a mentoring role for junior engineers.
* Track record of publications and/or patents in quantitative disciplines.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$189,100 \- $260,100 annually. In select cities within the San Francisco and New York City metropolitan area, the base salary range for this role is $207,800 \- $285,800 annually.\&amp;\#xa;\&amp;\#xa;The range represents base salary only, and does not include company bonus, incentive for sales roles, equity or benefits, as applicable.</t>
        </is>
      </c>
    </row>
    <row r="144">
      <c r="A144" t="inlineStr">
        <is>
          <t>in-c453540281ebf63b</t>
        </is>
      </c>
      <c r="B144" t="inlineStr">
        <is>
          <t>Principal AI Engineer</t>
        </is>
      </c>
      <c r="C144" t="inlineStr">
        <is>
          <t>LogicMonitor</t>
        </is>
      </c>
      <c r="D144" t="inlineStr">
        <is>
          <t>indeed</t>
        </is>
      </c>
      <c r="E144" t="inlineStr"/>
      <c r="F144" t="inlineStr"/>
      <c r="G144" t="inlineStr">
        <is>
          <t>San Francisco, CA, US</t>
        </is>
      </c>
      <c r="H144" s="2" t="n">
        <v>46029</v>
      </c>
      <c r="I144" t="inlineStr">
        <is>
          <t>**About Us:**
We love going to work and think you should too. Our team is dedicated to trust, customer obsession, agility, and striving to be better everyday. These values serve as the foundation of our culture, guiding our actions and driving us towards excellence. We foster a culture of performance and recognition, allowing us to transform growth as we enable our employees to do the best work of their careers.
**This role is open to candidates based in or near San Francisco, CA.** At LogicMonitor, we hire within our Centers of Energy—vibrant locations where our teams connect, collaborate, and innovate.
To learn more about life at LogicMonitor, check out our Careers Page.
**What You'll Do:**
LogicMonitor® is the AI\-first hybrid observability platform powering the next generation of digital infrastructure. LogicMonitor delivers complete visibility and actionable intelligence across on\-premises, cloud, and edge environments. By anticipating issues before they strike, optimizing resources in real time, and enabling faster, smarter decisions, LogicMonitor helps IT and business leaders protect margins, accelerate innovation, and deliver exceptional digital experiences without compromise.
Our customers love LogicMonitor's ability to bring cloud and traditional IT together into one view, as seen in minimal churn rates, expansion business, and exciting new customer references. In fact, LogicMonitor has received the highest Net Promoter Score of any IT Infrastructure Management provider. LogicMonitor also boasts high employee satisfaction. We have been certified as a Great Place To Work®, and named one of BuiltIn's Best Places to Work for the seventh year in a row!
Edwin AI is LogicMonitor's enterprise AIOps platform, designed to help organizations detect, understand, and resolve incidents faster by reasoning across metrics, logs, topology, and change intelligence. As Edwin AI evolves toward AI\-driven action and remediation, we are building enterprise\-grade AI agents that integrate deeply with systems like ServiceNow to automate incident workflows with safety, reliability, and auditability.
We are seeking a **Principal AI Engineer** to design and build AI agents that operate across observability data and ITSM systems. This role focuses on turning AI insights into safe, deterministic actions—building systems that can enrich incidents, orchestrate workflows, and reduce MTTR in large\-scale, multi\-tenant enterprise environments. This is a hands\-on senior individual contributor role with high ownership and technical authority.
**Here's a closer look at this key role:**
* Design and implement AI agents within Edwin AI that reason over metrics, logs, topology, and change data
* Build and operate deep integrations with ServiceNow (Incidents, Problems, Changes, CMDB)
* Translate observability insights and RCA outputs into ServiceNow\-native actions and workflows
* Implement event\-driven, asynchronous pipelines for long\-running and approval\-based actions
* Define and enforce guardrails, validation, auditability, and human\-in\-the\-loop controls for AI actions
* Ensure enterprise standards for security, reliability, and tenant isolation
* Partner with Product, Platform, and Observability teams to shape Edwin AI agent capabilities
* Provide technical leadership and mentorship on agentic AI system design
**What You'll Need:**
* 8\+ years of backend or platform engineering experience
* Proven experience building distributed, microservices\-based systems at scale
* Hands\-on experience integrating with ServiceNow or enterprise ITSM platforms
* Production experience building AI agents or LLM\-powered systems that invoke tools or workflows
* Experience with AIOps, observability platforms, or cloud management systems
* Experience building AI systems that trigger real operational actions
* Familiarity with Model Context Protocol (MCP) or equivalent agent\-tool architectures
* Strong proficiency in Java and/or Python
* Experience with Kubernetes, containers, and cloud\-native systems
* Deep understanding of async execution, retries, idempotency, and failure handling
* Experience designing audit\-safe, compliance\-friendly enterprise automation
*Residents of California, click* *Here* *to view our California Applicant Privacy Notice.*
*Anticipated Application Close Date: 03**/05/26*
***LogicMonitor is an Equal Opportunity Employer***  
*At LogicMonitor, we believe that innovation thrives when every voice is heard and each individual is empowered to bring their unique perspective. We're committed to creating a workplace where diversity is celebrated, and all employees feel inspired and supported to contribute their best.*
*For us, equal opportunity means fostering a truly inclusive culture where everyone has the chance to grow and succeed. We don't just open doors; we invite you to step through and be part of something bigger. All qualified applicants will receive consideration for employment without regard to race, color, religion, sex, sexual orientation, gender identity, national origin, disability, or status as a protected veteran.*
***Work Authorization:***  
*At this time, we are able to consider candidates who are authorized to work in the United States on a full\-time, permanent basis without requiring new or initial employer\-sponsored work authorization.*  
*Candidates who currently hold valid U.S. work authorization that can be transferred to a new employer (such as certain H\-1B statuses) may be considered on a case\-by\-case basis.*  
*We are not able to provide new sponsorship for employment\-based visas that require an initial petition or application by the employer.*
###### \#LI\-JP1 \#LI\-Hybrid \#BI\-Hybrid
Our goal is to ensure an accessible and inclusive experience for every candidate.
If you need a reasonable accommodation during the application or interview process under applicable local law, please submit a request via this Accommodation Request Form.
Know your rights: workplace discrimination is illegal. Please click here to review LogicMonitor's U.S. Pay Transparency Nondiscrimination Provision.</t>
        </is>
      </c>
    </row>
    <row r="145">
      <c r="A145" t="inlineStr">
        <is>
          <t>in-3dbf010e89e2f7e1</t>
        </is>
      </c>
      <c r="B145" t="inlineStr">
        <is>
          <t>Senior AI-Machine Learning Engineer</t>
        </is>
      </c>
      <c r="C145" t="inlineStr">
        <is>
          <t>Dana-Farber Cancer Institute</t>
        </is>
      </c>
      <c r="D145" t="inlineStr">
        <is>
          <t>indeed</t>
        </is>
      </c>
      <c r="E145" t="inlineStr"/>
      <c r="F145" t="inlineStr"/>
      <c r="G145" t="inlineStr">
        <is>
          <t>Boston, MA, US</t>
        </is>
      </c>
      <c r="H145" s="2" t="n">
        <v>46029</v>
      </c>
      <c r="I145" t="inlineStr">
        <is>
          <t>Job Ref:
JR\-286  
Location:
21 27 Burlington Ave, BOSTON, MA 02215  
Category:
IT/Informatics  
Employment Type:
Full time  
Work Location:
Boston Job Posting Location  
Salary/Pay Rate:
$121,600\.00 \- $129,600\.00 per year
**Overview**
The Senior Artificial Intelligence \&amp; Machine Learning Engineer I/Scientist I works within the Artificial Intelligence Operations and Data Science Services group (AIOS) in the Informatics \&amp; Analytics department of Dana\-Farber Cancer Institute – a teaching affiliate of Harvard Medical School.The Senior Artificial Intelligence \&amp; Machine Learning Engineer I/Scientist I works in a team environment on both short\-term priorities identified by our top clinicians, as well as on long\-term institutional efforts that aim at revolutionizing the way the Institute conducts basic cancer research and provides best\-in\-class clinical oncology to our patients.AIOS is part of the department serving some of the most prominent research and clinical programs at the Institute, from basic to translational research, to clinical deployment, and operationalization. The AIOS group encompasses expertise in AI, data science, machine learning, computer vision, NLP, production deployment, cloud infrastructure, data engineering, project management standards, and data labeling. Dana\-Farber Cancer Institute (DFCI) provides expert, compassionate, and equitable care to children, adults, and their families, while advancing the understanding, diagnosis, treatment, cure, and prevention of cancer and related diseases. DFCI trains new generations of clinicians and scientists, disseminate innovative patient therapies and scientific discoveries around the world, and reduce the impact of cancer, while maintaining a focus on those communities who have been historically marginalized.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 Plan, advise and execute on scalable practices for development, deployment, and long\-term monitoring for AI solutions, ensuring a delivery that is built for scale, reliable telemetry tracking, informative monitoring and diagnosis of model drift, and cross\-platform efficiency.
* Implement and maintain best\-in\-class data solutions, managing machine learning models from deployment to retirement, ensuring models are well organized, auditable, and continuously perform with the highest degree of accuracy.
* Develop CI/CD pipelines for models in cloud environments, including batch, online, streaming, and edge training/inference.
* Elicit functional requirements from end users and data science teams, utilizing methods such as user interviews, mockups, wireframes, end\-to\-end testing, prototypes, GUI designs, and use cases.
* Communicate status on various project/program efforts to multiple groups including the AIOS team, client\-facing leads, project sponsors, business owners, and internal stakeholders.
* Mentor and provide guidance to junior and new team members.
**KNOWLEDGE, SKILLS, AND ABILITIES REQUIRED:**
* Excellent communication and effective problem\-solving skills
* Track record in serving a variety of diverse customers and projects.
* Ability to work independently, prioritize, and manage people if needed, adapting to meet the evolving needs of the Institute
* Knowledge of MLOPS and ML engineering; GenAI and agentic AI; AL/ML and data science; data engineering and pipelines.
* Proficiency with Python, R, Databricks, and/or Snowflake.
**MINIMUM JOB QUALIFICATIONS:**
Minimum Education:
* Bachelor’s degree in a related field (Computer Science, Data Science, Engineering) required. Master’s degree preferred.
Minimum Experience:
* 3 years of work experience in machine learning and AI required.
* Relevant lab work and research projects, teaching assistantships, internships, cooperative education programs undertaken during an advanced degree program may be considered toward qualifying work experience.
* Experience within a clinical or research environment preferred.
**SUPERVISORY RESPONSIBILITIES:** None
**PATIENT CONTACT:** None
At Dana\-Farber Cancer Institute, we work every day to create an innovative, caring, and inclusive environment where every patient, family, and staff member feels they belong. As relentless as we are in our mission to reduce the burden of cancer for all, we are committed to having faculty and staff who offer multifaceted experiences. Cancer knows no boundaries and when it comes to hiring the most dedicated and compassionate professionals, neither do we. If working in this kind of organization inspires you, we encourage you to .
Dana\-Farber Cancer Institute is an equal opportunity employer and affirms the right of every qualified applicant to receive consideration for employment without regard to race, color, religion, sex, gender identity or expression, national origin, sexual orientation, genetic information, disability, age, ancestry, military service, protected veteran status, or other characteristics protected by law.
### **EEO Poster**
.
Pay Transparency Statement
The hiring range is based on market pay structures, with individual salaries determined by factors such as business needs, market conditions, internal equity, and based on the candidate’s relevant experience, skills and qualifications.
For union positions, the pay range is determined by the Collective Bargaining Agreement (CBA).
$121,600\.00 \- $129,600\.00</t>
        </is>
      </c>
    </row>
    <row r="146">
      <c r="A146" t="inlineStr">
        <is>
          <t>in-e868c2a24eb8b9b5</t>
        </is>
      </c>
      <c r="B146" t="inlineStr">
        <is>
          <t>Principal AI-Machine Learning Engineer</t>
        </is>
      </c>
      <c r="C146" t="inlineStr">
        <is>
          <t>Dana-Farber Cancer Institute</t>
        </is>
      </c>
      <c r="D146" t="inlineStr">
        <is>
          <t>indeed</t>
        </is>
      </c>
      <c r="E146" t="inlineStr"/>
      <c r="F146" t="inlineStr"/>
      <c r="G146" t="inlineStr">
        <is>
          <t>Boston, MA, US</t>
        </is>
      </c>
      <c r="H146" s="2" t="n">
        <v>46029</v>
      </c>
      <c r="I146" t="inlineStr">
        <is>
          <t>Job Ref:
JR\-309  
Location:
450 Brookline Ave, BOSTON, MA 02215  
Category:
IT/Informatics  
Employment Type:
Full time  
Work Location:
Boston Job Posting Location  
Salary/Pay Rate:
$154,000\.00 \- $184,500\.00 per year
**Overview**
The Principal Artificial Intelligence \&amp; Machine Learning Engineer I/Scientist I works within the Artificial Intelligence Operations and Data Science Services group (AIOS) in the Informatics \&amp; Analytics department of Dana\-Farber Cancer Institute – a teaching affiliate of Harvard Medical School.The Principal Artificial Intelligence \&amp; Machine Learning Engineer I/Scientist I works in a team environment on both short\-term priorities identified by our top clinicians, as well as on long\-term institutional efforts that aim at revolutionizing the way the Institute conducts basic cancer research and provides best\-in\-class clinical oncology to our patients.AIOS is part of the department serving some of the most prominent research and clinical programs at the Institute, from basic to translational research, to clinical deployment, and operationalization. The AIOS group encompasses expertise in AI, data science, machine learning, computer vision, NLP, production deployment, cloud infrastructure, data engineering, project management standards, and data labeling. Dana\-Farber Cancer Institute (DFCI) provides expert, compassionate, and equitable care to children, adults, and their families, while advancing the understanding, diagnosis, treatment, cure, and prevention of cancer and related diseases. DFCI trains new generations of clinicians and scientists, disseminate innovative patient therapies and scientific discoveries around the world, and reduce the impact of cancer, while maintaining a focus on those communities who have been historically marginalized.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**MINIMUM JOB QUALIFICATIONS:**
Minimum Education:  
Master’s degree required; PhD preferred.
Minimum Experience:  
8 years of relevant experience required with Master’s degree or 7 years of relevant experience required with PhD. Deep machine learning \&amp; AI skills, at the interface with computer science. Python experience is required; R experience is a plus. Experience within a clinical or research environment preferred. Experience managing at least one person is preferred.
**PRIMARY DUTIES AND RESPONSIBILITIES:**
* Meeting and consulting with physician scientists requiring machine learning \&amp; AI support and designing plans and solutions, participating in their research activities, as well as supporting them in the grant writing, and leading research efforts when required.
* Interpreting complex machine learning \&amp; AI information. Summarizing and presenting results to senior leadership.
* Monitoring new developments in the field and has vision for staying at the cutting edge.
* Recognizing and reporting problems with the machine learning \&amp; AI process and identifying solutions.
**KNOWLEDGE, SKILLS, AND ABILITIES REQUIRED:**
* Strong team player with the ability to leverage the many excellent groups and resources at DFCI and Harvard more broadly and build collaborative strategies.
* Ability to communicate and solve problems effectively, track record in serving a variety of diverse customers and projects and of leading teams.
* Ability to work independently, prioritize, and manage people if needed, within an environment with rapidly changing priorities.
* Experience to teach three or more of the following:
	+ Natural language processing or Computer vision technologies, Transformers, Adversarial / Generative models, JAX \+ Flex / Haiku, Vision Transformers, Federated learning, AutoML, Self\-supervised learning, Causal ML, Reinforcement learning, Infrastructure as Code, DataOps (versioning, lineage, and governance), AIOps \&amp; MLOps life cycle (from deployment to monitoring to retirement), explainable AI, batch/online/streaming/edge training/inference, fully reproducible and auditable ML practices, CI/CD for large language models and large vision models, Multi\-Cloud \&amp; Hybrid data platforms, productized Docker/Spark/Kubernetes solutions such as Databricks and Snowflake, High\-throughput big data processing under redundancy / low\-latency requirements.
**SUPERVISORY RESPONSIBILITIES:** None.
**PATIENT CONTACT:** None.
At Dana\-Farber Cancer Institute, we work every day to create an innovative, caring, and inclusive environment where every patient, family, and staff member feels they belong. As relentless as we are in our mission to reduce the burden of cancer for all, we are committed to having faculty and staff who offer multifaceted experiences. Cancer knows no boundaries and when it comes to hiring the most dedicated and compassionate professionals, neither do we. If working in this kind of organization inspires you, we encourage you to .
Dana\-Farber Cancer Institute is an equal opportunity employer and affirms the right of every qualified applicant to receive consideration for employment without regard to race, color, religion, sex, gender identity or expression, national origin, sexual orientation, genetic information, disability, age, ancestry, military service, protected veteran status, or other characteristics protected by law.
### **EEO Poster**
.
Pay Transparency Statement
The hiring range is based on market pay structures, with individual salaries determined by factors such as business needs, market conditions, internal equity, and based on the candidate’s relevant experience, skills and qualifications.
For union positions, the pay range is determined by the Collective Bargaining Agreement (CBA).
$154,000\.00 \- $184,500\.00</t>
        </is>
      </c>
    </row>
    <row r="147">
      <c r="A147" t="inlineStr">
        <is>
          <t>in-71ed4ba4325155a0</t>
        </is>
      </c>
      <c r="B147" t="inlineStr">
        <is>
          <t>Senior AI-Machine Learning Engineer</t>
        </is>
      </c>
      <c r="C147" t="inlineStr">
        <is>
          <t>Dana-Farber Cancer Institute</t>
        </is>
      </c>
      <c r="D147" t="inlineStr">
        <is>
          <t>indeed</t>
        </is>
      </c>
      <c r="E147" t="inlineStr"/>
      <c r="F147" t="inlineStr"/>
      <c r="G147" t="inlineStr">
        <is>
          <t>Boston, MA, US</t>
        </is>
      </c>
      <c r="H147" s="2" t="n">
        <v>46029</v>
      </c>
      <c r="I147" t="inlineStr">
        <is>
          <t>Job Ref:
JR\-285  
Location:
450 Brookline Ave, BOSTON, MA 02215  
Category:
IT/Informatics  
Employment Type:
Full time  
Work Location:
Boston Job Posting Location  
Salary/Pay Rate:
$121,600\.00 \- $129,600\.00 per year
**Overview**
The Senior Artificial Intelligence \&amp; Machine Learning Engineer I/Scientist I works within the Artificial Intelligence Operations and Data Science Services group (AIOS) in the Informatics \&amp; Analytics department of Dana\-Farber Cancer Institute – a teaching affiliate of Harvard Medical School.The Senior Artificial Intelligence \&amp; Machine Learning Engineer I/Scientist I works in a team environment on both short\-term priorities identified by our top clinicians, as well as on long\-term institutional efforts that aim at revolutionizing the way the Institute conducts basic cancer research and provides best\-in\-class clinical oncology to our patients.AIOS is part of the department serving some of the most prominent research and clinical programs at the Institute, from basic to translational research, to clinical deployment, and operationalization. The AIOS group encompasses expertise in AI, data science, machine learning, computer vision, NLP, production deployment, cloud infrastructure, data engineering, project management standards, and data labeling. Dana\-Farber Cancer Institute (DFCI) provides expert, compassionate, and equitable care to children, adults, and their families, while advancing the understanding, diagnosis, treatment, cure, and prevention of cancer and related diseases. DFCI trains new generations of clinicians and scientists, disseminate innovative patient therapies and scientific discoveries around the world, and reduce the impact of cancer, while maintaining a focus on those communities who have been historically marginalized.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 Plan, advise and execute on scalable practices for development, deployment, and long\-term monitoring for AI solutions, ensuring a delivery that is built for scale, reliable telemetry tracking, informative monitoring and diagnosis of model drift, and cross\-platform efficiency.
* Implement and maintain best\-in\-class data solutions, managing machine learning models from deployment to retirement, ensuring models are well organized, auditable, and continuously perform with the highest degree of accuracy.
* Develop CI/CD pipelines for models in cloud environments, including batch, online, streaming, and edge training/inference.
* Elicit functional requirements from end users and data science teams, utilizing methods such as user interviews, mockups, wireframes, end\-to\-end testing, prototypes, GUI designs, and use cases.
* Communicate status on various project/program efforts to multiple groups including the AIOS team, client\-facing leads, project sponsors, business owners, and internal stakeholders.
* Mentor and provide guidance to junior and new team members.
**KNOWLEDGE, SKILLS, AND ABILITIES REQUIRED:**
* Excellent communication and effective problem\-solving skills
* Track record in serving a variety of diverse customers and projects.
* Ability to work independently, prioritize, and manage people if needed, adapting to meet the evolving needs of the Institute
* Knowledge of MLOPS and ML engineering; GenAI and agentic AI; AL/ML and data science; data engineering and pipelines.
* Proficiency with Python, R, Databricks, and/or Snowflake.
**MINIMUM JOB QUALIFICATIONS:**
Minimum Education:
* Bachelor’s degree in a related field (Computer Science, Data Science, Engineering) required. Master’s degree preferred.
Minimum Experience:
* 3 years of work experience in machine learning and AI required.
* Relevant lab work and research projects, teaching assistantships, internships, cooperative education programs undertaken during an advanced degree program may be considered toward qualifying work experience.
* Experience within a clinical or research environment preferred.
**SUPERVISORY RESPONSIBILITIES:** None
**PATIENT CONTACT:** None
At Dana\-Farber Cancer Institute, we work every day to create an innovative, caring, and inclusive environment where every patient, family, and staff member feels they belong. As relentless as we are in our mission to reduce the burden of cancer for all, we are committed to having faculty and staff who offer multifaceted experiences. Cancer knows no boundaries and when it comes to hiring the most dedicated and compassionate professionals, neither do we. If working in this kind of organization inspires you, we encourage you to .
Dana\-Farber Cancer Institute is an equal opportunity employer and affirms the right of every qualified applicant to receive consideration for employment without regard to race, color, religion, sex, gender identity or expression, national origin, sexual orientation, genetic information, disability, age, ancestry, military service, protected veteran status, or other characteristics protected by law.
### **EEO Poster**
.
Pay Transparency Statement
The hiring range is based on market pay structures, with individual salaries determined by factors such as business needs, market conditions, internal equity, and based on the candidate’s relevant experience, skills and qualifications.
For union positions, the pay range is determined by the Collective Bargaining Agreement (CBA).
$121,600\.00 \- $129,600\.00</t>
        </is>
      </c>
    </row>
    <row r="148">
      <c r="A148" t="inlineStr">
        <is>
          <t>in-1ab8fb18fda928ba</t>
        </is>
      </c>
      <c r="B148" t="inlineStr">
        <is>
          <t>AI-Machine Learning Engineer</t>
        </is>
      </c>
      <c r="C148" t="inlineStr">
        <is>
          <t>Dana-Farber Cancer Institute</t>
        </is>
      </c>
      <c r="D148" t="inlineStr">
        <is>
          <t>indeed</t>
        </is>
      </c>
      <c r="E148" t="inlineStr"/>
      <c r="F148" t="inlineStr"/>
      <c r="G148" t="inlineStr">
        <is>
          <t>Boston, MA, US</t>
        </is>
      </c>
      <c r="H148" s="2" t="n">
        <v>46029</v>
      </c>
      <c r="I148" t="inlineStr">
        <is>
          <t>Job Ref:
JR\-284  
Location:
450 Brookline Ave, BOSTON, MA 02215  
Category:
IT/Informatics  
Employment Type:
Full time  
Work Location:
Boston Job Posting Location  
Salary/Pay Rate:
$90,400\.00 \- $106,400\.00 per year
**Overview**
The Artificial Intelligence \&amp; Machine Learning Engineer/Scientist I works within the Artificial Intelligence Operations and Data Science Services group (AIOS) in the Informatics \&amp; Analytics department of Dana\-Farber Cancer Institute – a teaching affiliate of Harvard Medical School.  
The Artificial Intelligence \&amp; Machine Learning Engineer/Scientist I works in a team environment on both short\-term priorities identified by our top clinicians, as well as on long\-term institutional efforts that aim at revolutionizing the way the Institute conducts basic cancer research and provides best\-in\-class clinical oncology to our patients.  
AIOS is part of the department serving some of the most prominent research and clinical programs at the Institute, from basic to translational research, to clinical deployment, and operationalization. The AIOS group encompasses expertise in AI, data science, machine learning, computer vision, NLP, production deployment, cloud infrastructure, data engineering, project management standards, and data labeling. Dana\-Farber Cancer Institute (DFCI) provides expert, compassionate, and equitable care to children, adults, and their families, while advancing the understanding, diagnosis, treatment, cure, and prevention of cancer and related diseases. DFCI trains new generations of clinicians and scientists, disseminate innovative patient therapies and scientific discoveries around the world, and reduce the impact of cancer, while maintaining a focus on those communities who have been historically marginalized.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**Primary Duties and Responsibilities**
* Meeting and consulting scientists requiring machine learning \&amp; AI support and designing plans and solutions.
* Delivering results for projects on\-time and on\-budget.
* Working as part of the broader team to identify longer\-term solutions that will improve quality, speed and efficacy of our current projects and programs.
* Evaluating and benchmarking new libraries; prototype and pipeline development.
**Knowledge, Skills and Abilities**
* Excellent communication and effective problem\-solving skills, track record in serving a variety of diverse customers and projects.
* Ability to work independently, prioritize, and manage people if needed, within an environment with ever changing priorities.
* Experience with one of the following:
	+ Natural language processing or Computer vision technologies, Transformers, Adversarial / Generative models, JAX \+ Flex / Haiku, Vision Transformers, Federated learning, AutoML, Self\-supervised learning, Causal ML, Reinforcement learning, Infrastructure as Code, DataOps (versioning, lineage, and governance), AIOps \&amp; MLOps life cycle (from deployment to monitoring to retirement), explainable AI, batch/online/streaming/edge training/inference, fully reproducible and auditable ML practices, CI/CD for large language models and large vision models, Multi\-Cloud \&amp; Hybrid data platforms, productized Docker/Spark/Kubernetes solutions such as Databricks and Snowflake, High\-throughput big data processing under redundancy / low\-latency requirements.
**Minimum Job Qualifications**
* Bachelor’s degree required.
* 1 year of relevant experience required. Deep machine learning \&amp; AI skills, at the interface with computer science. Python experience is required; R experience is a plus. Experience within a clinical or research environment preferred.
**License/Certification/Registration Required:** None
**Supervisory Responsibilities:** No
**Patient Contact:** None
At Dana\-Farber Cancer Institute, we work every day to create an innovative, caring, and inclusive environment where every patient, family, and staff member feels they belong. As relentless as we are in our mission to reduce the burden of cancer for all, we are committed to having faculty and staff who offer multifaceted experiences. Cancer knows no boundaries and when it comes to hiring the most dedicated and compassionate professionals, neither do we. If working in this kind of organization inspires you, we encourage you to .
Dana\-Farber Cancer Institute is an equal opportunity employer and affirms the right of every qualified applicant to receive consideration for employment without regard to race, color, religion, sex, gender identity or expression, national origin, sexual orientation, genetic information, disability, age, ancestry, military service, protected veteran status, or other characteristics protected by law.
### **EEO Poster**
.
Pay Transparency Statement
The hiring range is based on market pay structures, with individual salaries determined by factors such as business needs, market conditions, internal equity, and based on the candidate’s relevant experience, skills and qualifications.
For union positions, the pay range is determined by the Collective Bargaining Agreement (CBA).
$90,400\.00 \- $106,400\.00</t>
        </is>
      </c>
    </row>
    <row r="149">
      <c r="A149" t="inlineStr">
        <is>
          <t>in-6e88dfad47b6031b</t>
        </is>
      </c>
      <c r="B149" t="inlineStr">
        <is>
          <t>Director, Tech Lead - AI Engineer</t>
        </is>
      </c>
      <c r="C149" t="inlineStr">
        <is>
          <t>Prudential</t>
        </is>
      </c>
      <c r="D149" t="inlineStr">
        <is>
          <t>indeed</t>
        </is>
      </c>
      <c r="E149" t="inlineStr"/>
      <c r="F149" t="inlineStr"/>
      <c r="G149" t="inlineStr">
        <is>
          <t>Newark, NJ, US</t>
        </is>
      </c>
      <c r="H149" s="2" t="n">
        <v>46029</v>
      </c>
      <c r="I149" t="inlineStr">
        <is>
          <t>Job Classification:
Technology \- Engineering \&amp; Cloud
The Engineering team is seeking a Senior Level candidate to lead the adoption and enablement of Claude Code and AI\-powered development tools across Prudential. This exciting position will offer a qualified individual the opportunity to lead a team of engineers who are passionate about leveraging cutting\-edge AI technology to transform the software development lifecycle and enhance developer productivity.  
We are looking for someone who is self\-motivated, has a passion for emerging AI technologies, strong presentation skills, and a desire to drive organizational change through innovative tooling and best practices.  
The successful candidate will work on defining, building, and maintaining a comprehensive Claude Code ecosystem that includes custom plugins, skills, sub\-agents, and slash commands. They will also be responsible for keeping the organization at the forefront of AI trends in the SDLC space.  
This position requires an individual with strong analytical, programming, problem\-solving, organizational, technical, and communication skills who must be able to work on complex projects with minimal guidance while effectively communicating progress to leadership and stakeholders.  
What you will do:  
* Demonstrate leadership experience managing teams focused on developer tooling, automation, and AI\-powered development platforms
* Effectively lead a team responsible for architecting, building, maintaining, and supporting Claude Code plugins, skills, sub\-agents, and custom commands
* Manage a highly technical Agile Delivery Team focused on AI tooling and developer experience
* Strong experience with AI development tools, prompt engineering, and LLM integration patterns
* Deliver end\-to\-end solutions using innovative approaches to integrate AI capabilities into the SDLC
* Design and implement custom Claude Code extensions including:
* MCP (Model Context Protocol) servers and integrations
* Custom skills for specialized workflows
* Sub\-agents for autonomous task completion
* Slash commands for streamlined developer workflows
* Work with internal and external stakeholders to continuously improve upon AI tooling capabilities and develop technology roadmaps
Evangelization and Training  
* Create and deliver compelling presentations to leadership and stakeholders on Claude Code adoption metrics, ROI, and strategic initiatives
* Run regular office hours to support developers and answer questions about Claude Code capabilities
* Develop comprehensive training materials including documentation, tutorials, video content, and hands\-on workshops
* Evangelize AI best practices and trends in the SDLC space including AI\-assisted development, prompt engineering, autonomous agents, and workflow automation
* Build a community of practice around AI\-powered development tools within Prudential
Innovation and Trend Monitoring  
* Stay current with the latest AI trends, tools, and best practices in software development
* Evaluate emerging AI technologies and their potential application to Prudential's development workflows
* Assess and evaluate MCP servers and integrations for security, reliability, and enterprise fit
* Identify opportunities to leverage AI for improving code quality, security, testing, and deployment processes
* Drive continuous innovation in how development teams leverage AI capabilities
Governance and Best Practices  
* Establish security and compliance guidelines for AI tool usage
* Define standards for prompt engineering, agent development, and integration patterns
* Implement metrics and monitoring to track adoption, usage patterns, and productivity gains
* Work with InfoSec and compliance teams to ensure AI tool usage meets enterprise requirements
What you bring:  
\- At least 5 \- 8 years of experience working in technology and 2 \- 4 years of technical leadership experience  
* Extensive development/automation experience in an enterprise environment, either through 1st person implementation or driving a team that achieved such outcomes
* Demonstrated experience with AI/LLM tools and platforms (Claude, ChatGPT, Copilot, or similar)
* Strong programming background in multiple languages (Python, JavaScript/TypeScript, Java, etc.)
* Fluency with Agile Delivery methodologies
* Proven ability to create technical training content and deliver presentations to diverse audiences
* Experience running office hours, workshops, or technical enablement sessions
* Strong written and verbal communication skills with ability to influence at all organizational levels
Technical Skills  
* Hands\-on experience with Claude Code or similar AI development tools
* Strong technical troubleshooting and problem\-solving skills
* Knowledge of the Model Context Protocol (MCP) and building MCP servers
* Experience evaluating and integrating MCP servers from various sources
* Familiarity with AI agent frameworks and autonomous agent development
* Understanding of prompt engineering principles and best practices
* Experience with DevOps, CI/CD pipelines, and development automation
* Knowledge of VS Code extensions, IDE integrations, or developer tooling
Soft Skills  
* Ability to process new concepts and technologies quickly; has an appetite for learning in the fast\-moving AI space
* Ability to communicate complex technical concepts clearly to non\-technical audiences
* A problem\-solving mindset with skills and attributes to find the most appropriate solutions that bring desired change/outcomes
* Exceptional presentation and communication skills; comfortable presenting to executive leadership
* Patient and empathetic when teaching and enabling others
* A passion to provide world\-class developer experience and customer service
* Self\-directed with ability to work independently while also being a strong collaborator
* Bachelor's or Master's degree in Computer Science/Information Systems or related technical field
Bonus Qualifications  
* Previous experience as a software engineer or developer advocate
* Experience building developer tools, IDE extensions, or CLI applications
* Background in machine learning, NLP, or AI/ML engineering
* Knowledge of Site Reliability Engineering (SRE) capabilities like observability, monitoring, and error budgeting
* Experience with enterprise\-scale tool adoption and change management initiatives
* Contributions to open\-source AI or developer tooling projects
* Speaking experience at technical conferences or meetups
* Experience creating video tutorials or technical content for developer audiences
Success Metrics  
Success in this role will be measured by:  
* Claude Code adoption rates across Prudential development teams
* Number and quality of custom plugins, skills, and commands developed
* Developer satisfaction scores and productivity improvements
* Quality and reach of training materials and office hours participation
* Stakeholder feedback on presentations and communications
* Innovation in applying AI to solve real development challenges
\*\*Join us in shaping the future of software development at Prudential through the power of AI!\*\*
What we offer you:
Prudential is required by state specific laws to include the salary range for this role when hiring a resident in applicable locations. The salary range for this role is from $171,500\.00 to $257,300\.00\. Specific pricing for the role may vary within the above range based on many factors including geographic location, candidate experience, and skills.* Market competitive base salaries, with a yearly bonus potential at every level.
* Medical, dental, vision, life insurance, disability insurance, Paid Time Off (PTO), and leave of absences, such as parental and military leave.
* 401(k) plan with company match (up to 4%).
* Company\-funded pension plan.
* Wellness Programs including up to $1,600 a year for reimbursement of items purchased to support personal wellbeing needs.
* Work/Life Resources to help support topics such as parenting, housing, senior care, finances, pets, legal matters, education, emotional and mental health, and career development.
* Education Benefit to help finance traditional college enrollment toward obtaining an approved degree and many accredited certificate programs.
*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t>
        </is>
      </c>
    </row>
    <row r="150">
      <c r="A150" t="inlineStr">
        <is>
          <t>in-84dfd415f0c8fc22</t>
        </is>
      </c>
      <c r="B150" t="inlineStr">
        <is>
          <t>AI ML Engineer</t>
        </is>
      </c>
      <c r="C150" t="inlineStr">
        <is>
          <t>Ring0</t>
        </is>
      </c>
      <c r="D150" t="inlineStr">
        <is>
          <t>indeed</t>
        </is>
      </c>
      <c r="E150" t="inlineStr"/>
      <c r="F150" t="inlineStr"/>
      <c r="G150" t="inlineStr">
        <is>
          <t>Herndon, VA, US</t>
        </is>
      </c>
      <c r="H150" s="2" t="n">
        <v>46029</v>
      </c>
      <c r="I150" t="inlineStr">
        <is>
          <t>### **Job Description**
Ring0 Technologies (“Ring Zero”) is seeking a talented **AI/ML Engineer** with experience in Computer Network Operations (CNO) to support a long\-term mission within Northern Virginia. The candidate should possess strong, hands\-on expertise in advanced AI/ML methodologies and have experience with CNO development. You’ll be part of a dynamic team working on next\-generation solutions that safeguard national security systems.
,
### **Required Skills**
 **Responsibilities include but are not limited to:**
* Develop, implement, and optimize AI/ML models to support mission\-critical applications.
* Apply machine learning techniques to large, complex datasets to enable predictive analytics, anomaly detection, automation, and decision support.
* Collaborate with CNO development teams; leverage any prior CNO experience to enhance operational tools, workflows, or mission outcomes.
* Work closely with cross\-functional engineering, sponsor, and analytic teams in a secure on\-site environment.
* Document methodologies, model lifecycles, test results, and technical findings.
* Support long\-term research, prototyping, and mission innovation initiatives.
 **Minimum Qualifications:**
* Active TS//SCI clearance
* Demonstrated experience in AI/ML development, including model design, training, evaluation, and deployment.
* Strong proficiency in common ML frameworks (e.g., TensorFlow, PyTorch, scikit\-learn).
* Experience working with large datasets, distributed computing, or GPU\-accelerated model training.
* Ability to work full\-time on\-site in Northern Virginia.
,
### **Desired Skills**
* Experience in software analysis or reverse engineering
* Understanding of assembly language programming concepts
* Familiarity with unit testing frameworks and practices
* Experience using Atlassian tools (JIRA, Confluence, Crucible)
,
### **About ring0**
 **RingØ Technologies** ("Ring Zero") was founded in 2010 as a veteran\-owned, U.S.\-based company. Our leadership team brings over 20 years of expertise in Computer Crime Investigations, Computer Network Operations, Incident Response, and Cybersecurity Defense. Before establishing RingØ Technologies, our founders spent a decade building a high\-impact business unit from the ground up, growing it to nearly 400 professionals who supported the U.S. Government’s cyber needs both domestically and internationally.
At RingØ Technologies, we are dedicated to recruiting top\-tier talent to address mission\-critical challenges across the Department of Defense, Intelligence Community, and Federal Law Enforcement. We are deeply committed to ensuring our team stays at the forefront of emerging technologies while fostering continuous career growth. Additionally, we prioritize delivering exceptional Program Managers who are experienced, impartial, and transparent, ensuring they provide accurate financial oversight and the highest value for our Government partners. We hold ourselves and our industry collaborators to the same standard of excellence, working together to deliver unparalleled results for the Government.</t>
        </is>
      </c>
    </row>
    <row r="151">
      <c r="A151" t="inlineStr">
        <is>
          <t>in-e3b24076162d705a</t>
        </is>
      </c>
      <c r="B151" t="inlineStr">
        <is>
          <t>Machine Learning Engineer, Reinforcement Learning</t>
        </is>
      </c>
      <c r="C151" t="inlineStr">
        <is>
          <t>Path Robotics, Inc.</t>
        </is>
      </c>
      <c r="D151" t="inlineStr">
        <is>
          <t>indeed</t>
        </is>
      </c>
      <c r="E151" t="inlineStr"/>
      <c r="F151" t="inlineStr"/>
      <c r="G151" t="inlineStr">
        <is>
          <t>Columbus, OH, US</t>
        </is>
      </c>
      <c r="H151" s="2" t="n">
        <v>46029</v>
      </c>
      <c r="I151" t="inlineStr">
        <is>
          <t>**Build the Path Forward**
==========================
At Path Robotics, we're building the future of embodied intelligence. Our AI\-driven systems enable robots to adapt, learn, and perform in the real world closing the skilled labor gap and transforming industries. We go beyond traditional methods, combining perception, reasoning, and control to deliver field\-ready AI that is risk\-aware, reliable, and continuously improving through real\-world use.
Big, hard problems are our everyday work, and our team of intelligent, humble, and driven people make the impossible possible together.
As a **Machine Learning Engineer focused on Reinforcement Learning**, you will design, implement, and optimize RL algorithms that enable intelligent agents to operate in dynamic, unstructured environments. This role involves working closely with cross\-functional teams to design, test, and deploy innovative solutions that improve the performance and capabilities of our robotic systems.
**What You'll Do**
------------------
* Design, implement, and evaluate RL algorithms for robotic control, motion planning, and adaptive behaviors in dynamic, unstructured environments.
* Develop and integrate RL policies with robot control systems, ensuring compatibility with hardware constraints and real\-time requirements.
* Collaborate with perception teams to fuse RL with vision, depth, and sensor data for robust decision\-making.
* Build and maintain sim\-to\-real pipelines, including domain randomization and transfer learning techniques.
* Conduct experiments on physical robots, including designing safety protocols and monitoring for unexpected behaviors.
* Leverage simulation environments (Isaac Gym, Gazebo, MuJoCo, PyBullet) for large\-scale training before real\-world validation.
* Continuously improve model efficiency to operate within compute and latency constraints on embedded robotic systems.
**Who You Are**
---------------
* Master's or PhD in Computer Science, Robotics, Machine Learning, or related field, or equivalent practical experience.
* Strong knowledge of reinforcement learning algorithms and theory.
* Proficiency in Python and deep learning frameworks such as PyTorch or TensorFlow.
* Experience with simulation environments (e.g., MuJoCo, Isaac Gym).
* Solid understanding of probability, statistics, and optimization.
* Experience with training and deploying ML models in production systems.
**Why You'll Love Working Here**
* Daily free lunch to keep you fueled and connected with the team
* Flexible PTO so you can take the time you need, when you need it
* Comprehensive medical, dental, and vision coverage
* 6 weeks fully paid parental leave, plus an additional 6–8 weeks for birthing parents (12–14 weeks total)
* 401(k) retirement plan through Empower
* Generous employee referral bonuses—help us grow our team!
**Who We Are**
At Path Robotics we love coming to work to solve interesting and tough challenges but also because our ideas are welcomed and valued. We encourage unique thinking and are dedicated to creating a diverse and inclusive environment. All qualified applicants will receive consideration for employment without regard to race, color, religion, gender, gender identity or expression, sexual orientation, national origin, genetics, disability, age, or veteran status.</t>
        </is>
      </c>
    </row>
    <row r="152">
      <c r="A152" t="inlineStr">
        <is>
          <t>in-f7361ff9d0775b94</t>
        </is>
      </c>
      <c r="B152" t="inlineStr">
        <is>
          <t>AI and ML Engineer</t>
        </is>
      </c>
      <c r="C152" t="inlineStr">
        <is>
          <t>Booz Allen Hamilton</t>
        </is>
      </c>
      <c r="D152" t="inlineStr">
        <is>
          <t>indeed</t>
        </is>
      </c>
      <c r="E152">
        <f>HYPERLINK("https://www.indeed.com/viewjob?jk=f7361ff9d0775b94", "https://www.indeed.com/viewjob?jk=f7361ff9d0775b94")</f>
        <v/>
      </c>
      <c r="F152">
        <f>HYPERLINK("https://careers.boozallen.com/careers/JobDetail?jobId=119371", "https://careers.boozallen.com/careers/JobDetail?jobId=119371")</f>
        <v/>
      </c>
      <c r="G152" t="inlineStr">
        <is>
          <t>Charleston, SC, US</t>
        </is>
      </c>
      <c r="H152" s="3" t="n">
        <v>46029</v>
      </c>
      <c r="I152" t="inlineStr">
        <is>
          <t>AI and ML Engineer**The Opportunity:**
As an experienced engineer, you know that machine learning (ML)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the next generation of systems. As a machine learning engineer on our team, you’ll train, test, deploy, and maintain models that learn from data.
In this role, you’ll own and define the direction of mission\-critical solutions by applying best\-fit ML algorithms and technologies. You’ll be part of a large community of ML engineers across the company and collaborate with data engineers, data scientists, solutions architects, and subject matter experts to deliver world\-class solutions to process data and information to provide near real\-time analysis. Your advanced and extensive technical expertise will guide clients as they navigate the landscape of ML algorithms, tools, and frameworks.
Work with us to solve real\-world challenges and define ML strategy.
Join us. The world can’t wait.
**You Have:**
* Experience in AI, Python programming, deep learning frameworks such as PyTorch, MXNet, TensorFlow, or Keras, and big data technologies such as Hive, PySpark, Synapse, or Databricks
* Experience developing Natural Language Processing (NLP), Large Language Model (LLM), and Retrieval\-Augmented Generation (RAG) enabled solutions
* Experience working with API services for serving NLP and analytical models such as Flask or Fast API
* Experience with DevOps Tools such as Docker, K8s, or GitLab CI/CD
* Knowledge of AI\-enabled systems
* Knowledge of AI concepts such as clustering, regression, algorithm selection, and evaluation
* Ability to address unbounded technical issues and problem\-solve
* Ability to obtain and maintain a Public Trust or Suitability/Fitness determination based on client requirements
* Bachelor's degree
**Nice If You Have:**
* Experience with HTML, CSS, and front\-end web frameworks
* Experience with Amazon Web Services (AWS) or Azure AI ML Services such as Bedrock and Sagemaker
* Experience working in enterprise systems
* Experience with data operations such as analytics, engineering, or platform
* Knowledge of AI principles and practices, including deploying ML models into production
* Ability to evaluate algorithm performance
* Security\+, Cloud, Software Development, AI and ML, Computer Vision, Deep Learning, or NLP Certification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53">
      <c r="A153" t="inlineStr">
        <is>
          <t>in-9e67648e5776108d</t>
        </is>
      </c>
      <c r="B153" t="inlineStr">
        <is>
          <t>Machine Learning and AI Engineer - New York</t>
        </is>
      </c>
      <c r="C153" t="inlineStr">
        <is>
          <t>Reflexivity</t>
        </is>
      </c>
      <c r="D153" t="inlineStr">
        <is>
          <t>indeed</t>
        </is>
      </c>
      <c r="E153">
        <f>HYPERLINK("https://www.indeed.com/viewjob?jk=9e67648e5776108d", "https://www.indeed.com/viewjob?jk=9e67648e5776108d")</f>
        <v/>
      </c>
      <c r="F153">
        <f>HYPERLINK("https://grnh.se/ndsgjil87us", "https://grnh.se/ndsgjil87us")</f>
        <v/>
      </c>
      <c r="G153" t="inlineStr">
        <is>
          <t>New York, NY, US</t>
        </is>
      </c>
      <c r="H153" s="3" t="n">
        <v>46029</v>
      </c>
      <c r="I153" t="inlineStr">
        <is>
          <t>You have built real AI systems that ship, break, and get fixed under pressure.  
You care less about model demos and more about decisions that move capital.  
You want your work used daily by professional investors, not buried in notebooks.  
You are comfortable owning hard problems end to end.  
If you want a calm job optimizing benchmarks, this is not it.
**The Role, In Plain English**
------------------------------
You will build and evolve the AI systems that power Reflexivity's investment insights.  
This role exists because off\-the\-shelf models and generic pipelines are not enough.  
You will work at the intersection of reasoning engines, proprietary data, and real market impact.  
Your work directly affects how investors understand earnings, risk, and market catalysts.
**What You'll Be Responsible For**
----------------------------------
* Design, fine\-tune, and deploy ML and LLM\-driven systems used in production by professional investors
* Build and maintain inference pipelines that are fast, observable, and reliable
* Integrate OpenAI, Gemini, and Anthropic models into reasoning and knowledge systems
* Work closely with backend engineers to productionize models in Golang\-based services
* Improve signal quality, not just model accuracy
* Review code and designs with a bias toward long\-term maintainability
**What "Good" Looks Like in This Role**
---------------------------------------
**After 3 months:**  
You understand the product, data flows, and investor use cases deeply. You ship meaningful improvements.
**After 6 months:**  
You own major parts of the AI stack. Your work improves insight quality and latency measurably.
**After 12 months:**  
You are a technical reference point for AI decisions. You raise the bar for how AI is built at Reflexivity.
**Who You Are (Must\-Haves)**
-----------------------------
* 5 plus years building ML or applied AI systems in production
* Startup experience working on a core product, not a side project
* Strong Python skills and experience integrating with backend systems
* Hands\-on experience with AI\-assisted coding tools like Cursor or Claude Code
* Fintech experience or strong personal investment background
* Comfortable owning outcomes, not just tasks
**Nice\-to\-Haves (Not Deal Breakers)**
---------------------------------------
* Experience with LLM reasoning systems or knowledge graphs
* Exposure to Golang\-based ML integrations
* Prior experience supporting investor\-facing products
**How We Work**
---------------
* In\-office team with high trust and high ownership
* Direct communication, minimal process, strong opinions backed by data
* Engineers are expected to think about product impact, not just code
* We move fast when it matters and slow down when correctness matters more
**Why This Role Is Worth Your Time**
------------------------------------
* Direct influence on how professional investors make decisions
* Hard problems at the edge of AI, data, and finance
* Real ownership and technical autonomy
* Senior peers who care about quality and outcomes
**Compensation \&amp; Practicalities**
----------------------------------
* Base salary: $180,000 to $350,000 depending on experience
* Equity included
* In\-office role based in New York
* No agency candidates</t>
        </is>
      </c>
    </row>
    <row r="154">
      <c r="A154" t="inlineStr">
        <is>
          <t>in-dc48d6a925737c36</t>
        </is>
      </c>
      <c r="B154" t="inlineStr">
        <is>
          <t>Applied Scientist, Skill Builder, AWS Training and Certifications</t>
        </is>
      </c>
      <c r="C154" t="inlineStr">
        <is>
          <t>Amazon Web Services</t>
        </is>
      </c>
      <c r="D154" t="inlineStr">
        <is>
          <t>indeed</t>
        </is>
      </c>
      <c r="E154">
        <f>HYPERLINK("https://www.indeed.com/viewjob?jk=dc48d6a925737c36", "https://www.indeed.com/viewjob?jk=dc48d6a925737c36")</f>
        <v/>
      </c>
      <c r="F154">
        <f>HYPERLINK("https://www.amazon.jobs/jobs/3140583/applied-scientist-skill-builder-aws-training-and-certifications?cmpid=DA_INAD200785B", "https://www.amazon.jobs/jobs/3140583/applied-scientist-skill-builder-aws-training-and-certifications?cmpid=DA_INAD200785B")</f>
        <v/>
      </c>
      <c r="G154" t="inlineStr">
        <is>
          <t>Bellevue, WA, US</t>
        </is>
      </c>
      <c r="H154" s="3" t="n">
        <v>46000</v>
      </c>
      <c r="I15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in-f2fa83fb964beeb3</t>
        </is>
      </c>
      <c r="B155" t="inlineStr">
        <is>
          <t>Applied Scientist, Skill Builder, AWS Training and Certifications</t>
        </is>
      </c>
      <c r="C155" t="inlineStr">
        <is>
          <t>Amazon Web Services</t>
        </is>
      </c>
      <c r="D155" t="inlineStr">
        <is>
          <t>indeed</t>
        </is>
      </c>
      <c r="E155">
        <f>HYPERLINK("https://www.indeed.com/viewjob?jk=f2fa83fb964beeb3", "https://www.indeed.com/viewjob?jk=f2fa83fb964beeb3")</f>
        <v/>
      </c>
      <c r="F155">
        <f>HYPERLINK("https://www.amazon.jobs/jobs/3140583/applied-scientist-skill-builder-aws-training-and-certifications?cmpid=DA_INAD200785B", "https://www.amazon.jobs/jobs/3140583/applied-scientist-skill-builder-aws-training-and-certifications?cmpid=DA_INAD200785B")</f>
        <v/>
      </c>
      <c r="G155" t="inlineStr">
        <is>
          <t>Arlington, VA, US</t>
        </is>
      </c>
      <c r="H155" s="3" t="n">
        <v>46000</v>
      </c>
      <c r="I15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in-85e41d2c83a3dd46</t>
        </is>
      </c>
      <c r="B156" t="inlineStr">
        <is>
          <t>Applied Scientist, Skill Builder, AWS Training and Certifications</t>
        </is>
      </c>
      <c r="C156" t="inlineStr">
        <is>
          <t>Amazon Web Services</t>
        </is>
      </c>
      <c r="D156" t="inlineStr">
        <is>
          <t>indeed</t>
        </is>
      </c>
      <c r="E156">
        <f>HYPERLINK("https://www.indeed.com/viewjob?jk=85e41d2c83a3dd46", "https://www.indeed.com/viewjob?jk=85e41d2c83a3dd46")</f>
        <v/>
      </c>
      <c r="F156">
        <f>HYPERLINK("https://www.amazon.jobs/jobs/3140583/applied-scientist-skill-builder-aws-training-and-certifications?cmpid=DA_INAD200785B", "https://www.amazon.jobs/jobs/3140583/applied-scientist-skill-builder-aws-training-and-certifications?cmpid=DA_INAD200785B")</f>
        <v/>
      </c>
      <c r="G156" t="inlineStr">
        <is>
          <t>Seattle, WA, US</t>
        </is>
      </c>
      <c r="H156" s="3" t="n">
        <v>46000</v>
      </c>
      <c r="I15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in-89a0b988227596a0</t>
        </is>
      </c>
      <c r="B157" t="inlineStr">
        <is>
          <t>Principal Applied Scientist - LLM Agents</t>
        </is>
      </c>
      <c r="C157" t="inlineStr">
        <is>
          <t>Oracle</t>
        </is>
      </c>
      <c r="D157" t="inlineStr">
        <is>
          <t>indeed</t>
        </is>
      </c>
      <c r="E157">
        <f>HYPERLINK("https://www.indeed.com/viewjob?jk=89a0b988227596a0", "https://www.indeed.com/viewjob?jk=89a0b988227596a0")</f>
        <v/>
      </c>
      <c r="F157">
        <f>HYPERLINK("https://eeho.fa.us2.oraclecloud.com/hcmUI/CandidateExperience/en/sites/CX_1/job/319268", "https://eeho.fa.us2.oraclecloud.com/hcmUI/CandidateExperience/en/sites/CX_1/job/319268")</f>
        <v/>
      </c>
      <c r="G157" t="inlineStr">
        <is>
          <t>US</t>
        </is>
      </c>
      <c r="H157" s="3" t="n">
        <v>46029</v>
      </c>
      <c r="I157" t="inlineStr">
        <is>
          <t>Oracle Health Data Intelligence (HDI) is at the forefront of leveraging data and AI to transform the healthcare and life sciences industries. We’re developing cutting\-edge generative AI, NLP, and large language model (LLM) solutions that address some of the most complex challenges in healthcare. As a **Principal Applied Scientist (IC4\)** , you’ll play a critical leadership role in designing, building, and scaling AI systems that power clinical decision support, operational optimization, and population health transformation.
This role is ideal for an experienced applied scientist who combines hands\-on technical depth with strategic vision. You’ll drive the development of novel modeling techniques, lead complex research and development initiatives, and influence the direction of Oracle’s AI strategy in healthcare. You will collaborate closely with engineering, product, and science leadership to translate real\-world clinical and life sciences problems into scalable AI solutions deployed across Oracle’s global healthcare platforms.
**Responsibilities** **Strategic Modeling \&amp; Development**
Lead the fine\-tuning, evaluation, and deployment of **large language models (LLMs)** , **small language models** , and **retrieval\-augmented generation (RAG)** pipelines for production\-scale healthcare use cases.
Architect and guide the development of AI solutions for high\-impact applications such as clinical summarization, patient risk stratification, and care recommendation workflows.
Pioneer the use of modular AI frameworks (e.g., LangChain, agentic systems) to enable dynamic and context\-aware healthcare solutions.
**Technical Leadership \&amp; Evaluation**
Define evaluation frameworks to assess **accuracy, robustness, and safety** of models in regulated healthcare environments.
Lead root\-cause analyses and model performance reviews, setting standards for evaluation methodologies and optimization cycles.
Provide mentorship and technical guidance to junior scientists and engineers, raising the overall technical bar of the team.
**Cross\-Functional Collaboration \&amp; Integration**
Partner closely with product, engineering, and compliance teams to integrate AI models into Oracle’s cloud\-based healthcare ecosystem, ensuring scalability, security, and regulatory alignment.
Represent applied science in cross\-organizational forums, influencing roadmap decisions and shaping product strategy through scientific insights.
**Innovation \&amp; Thought Leadership**
Stay ahead of the curve on advances in **Generative AI, NLP, and healthcare AI** research.
Propose and prototype innovative techniques, contributing to Oracle’s IP through publications, patents, or internal frameworks.
Identify emerging opportunities to apply AI in ways that **advance clinical outcomes and operational excellence** across healthcare and life sciences.
**What You’ll Bring** **Education**
PhD in Computer Science, NLP, Machine Learning, or a related field; **OR**
Master’s degree with **6\+ years** of relevant applied AI/ML experience, including leadership of complex modeling efforts.
**Experience**
Demonstrated success training, fine\-tuning, or deploying LLMs or small language models at scale.
Proven experience designing and evaluating **LLM agents** for real\-world applications, ideally in regulated industries.
Deep familiarity with **RAG architectures** , **LangChain** , or comparable frameworks.
Prior work applying AI/ML in **healthcare, bioinformatics, or life sciences** is highly desirable.
**Skills**
Expert knowledge of **machine learning, NLP, deep learning** , and model evaluation techniques.
Proficiency in **Python** , **TensorFlow/PyTorch** , and open\-source LLM tooling.
Strong ability to articulate complex technical concepts to cross\-functional stakeholders.
Experience influencing strategy, mentoring teams, and driving adoption of AI solutions within large organizations.  
Career Level \- IC4</t>
        </is>
      </c>
    </row>
    <row r="158">
      <c r="A158" t="inlineStr">
        <is>
          <t>in-733a7fb9b36fae42</t>
        </is>
      </c>
      <c r="B158" t="inlineStr">
        <is>
          <t>Senior AI/ML Engineer</t>
        </is>
      </c>
      <c r="C158" t="inlineStr">
        <is>
          <t>Command Alkon Incorporated</t>
        </is>
      </c>
      <c r="D158" t="inlineStr">
        <is>
          <t>indeed</t>
        </is>
      </c>
      <c r="E158">
        <f>HYPERLINK("https://www.indeed.com/viewjob?jk=733a7fb9b36fae42", "https://www.indeed.com/viewjob?jk=733a7fb9b36fae42")</f>
        <v/>
      </c>
      <c r="F158">
        <f>HYPERLINK("https://recruiting2.ultipro.com/COM1085CALKN/JobBoard/86ae0d27-3b80-490c-9e6b-d8d1a129433f/OpportunityDetail?opportunityId=d91e2787-e952-4973-b175-0aee15b4daca&amp;postingId=334dd4e8-f941-43fc-bd44-d134eeee7f8b", "https://recruiting2.ultipro.com/COM1085CALKN/JobBoard/86ae0d27-3b80-490c-9e6b-d8d1a129433f/OpportunityDetail?opportunityId=d91e2787-e952-4973-b175-0aee15b4daca&amp;postingId=334dd4e8-f941-43fc-bd44-d134eeee7f8b")</f>
        <v/>
      </c>
      <c r="G158" t="inlineStr">
        <is>
          <t>Remote, US</t>
        </is>
      </c>
      <c r="H158" s="3" t="n">
        <v>46029</v>
      </c>
      <c r="I158" t="inlineStr">
        <is>
          <t>**Title:** Senior AI/ML Engineer
**Summary of Role**
As a Senior AI /ML Engineer, you’ll play a critical role in turning cutting\-edge models into real\-world tools that transform how the heavy building materials industry operates. You’ll be part of a team tasked with bringing AI\-powered intelligence into the core of our product ecosystem — from delivery logistics to document processing to predicting customer behavior.
This is a hands\-on engineering role, ideal for someone who thrives at the intersection of AI, software engineering, and production deployment. You’ll work closely with our Data Scientists, Product Managers, and Platform Engineers to prototype, build, and deploy intelligent systems — while also influencing architecture and best practices from day one.
Candidates must be authorized to work in and currently reside in the United States.
**How You’ll Succeed**
AI/ML Engineering
* Contribute to end\-to\-end ML, deep learning, and AI system development — from data pipelines to model training to integration with product UIs.
* Develop deep learning models using TensorFlow, PyTorch, and other frameworks where needed (e.g., for vision or language\-based use cases).
* Continuously evaluate new techniques in deep learning, LLM orchestration, and applied MLOps to keep our systems cutting\-edge.
* Collaborate cross\-functionally with software developers and product managers to integrate AI solutions into our operational products.
Production Deployment \&amp; MLOps
* Build and maintain scalable, secure, and observable model inference services.
* Build robust and scalable inference services, model APIs, and deployment workflows in SageMaker or similar environments.
* Support secure deployment of serverless and containerized AI services (Lambda, ECS/EKS, or equivalent), including network segmentation and encryption\-in\-transit/at\-rest.
DevSecOps \&amp; Platform Enablement
* Design and maintain secure CI/CD pipelines for AI/ML workloads, including model training, validation, and deployment.
* Implement infrastructure\-as\-code (IaC) using tools such as Terraform, AWS CDK, or CloudFormation to provision secure, repeatable cloud environments.
* Partner with Security and Platform teams to enforce identity, access management (IAM), secrets management, and least\-privilege policies across AI services.
* Monitor and harden production AI services using logging, alerting, and runtime security tooling (e.g., CloudWatch, OpenTelemetry, GuardDuty, or equivalents).
**What You Bring**
* Bachelor’s or Master’s degree in Computer Science, Electrical Engineering, Applied Mathematics, or related field.
* 3\+ years of experience building and deploying ML and deep learning models in production settings.
* Proficiency in Python, with hands\-on experience using Scikit\-Learn as well as TensorFlow or PyTorch.
* Practical experience working with LLMs — including fine\-tuning, prompt engineering, or integrating models like OpenAI, Claude, or open\-source LLMs into production workflows.
* Experience using AWS SageMaker and Bedrock or equivalent cloud\-based AI/ML platforms.
* (Preferred) Some frontend familiarity (React or similar) to support integration into product UIs.
* Experience deploying AI solutions in a serverless cloud environment (AWS, GCP, or Azure).
* Strong communication skills and ability to work cross\-functionally with product, engineering, and data stakeholders.
**Who You Are**
Tech Savvy: You anticipate and adopt innovations in business\-building digital and technology applications.
Manages Complexity: You make sense of complex, high quantity, and sometimes contradictory information to effectively solve problems.
Decision Quality: You make good and timely technical decisions around models, architectures, and platforms that keep products and teams moving forward.
Nimble Learning: You actively learn through experimentation when tackling new problems, using both successes and failures as learning fodder.
Drives Results: You consistently deliver production\-ready AI/ML capabilities that create measurable business impact, even under technical or operational constraints.
**All Company Core Competencies**
Customer Focus: You build strong customer relationships and deliver customer\-centric solutions.
Cultivates Innovation: You create new and better ways for the organization to be successful.
Collaborates: You build partnerships and work collaboratively with others to meet shared objectives.
Instills Trust: You gain the confidence and trust of others through honesty, integrity, and authenticity.
Self\-Development: You actively seek new ways to grow and be challenged using both formal and informal development channels.
Develops Talent (Mgmt Only): You develop people to meet both their career goals and the organization's goals.
Equal Opportunity Employer  
This employer is required to notify all applicants of their rights pursuant to federal employment laws. For further information, please review the Know Your Rights notice from the Department of Labor.</t>
        </is>
      </c>
    </row>
    <row r="159">
      <c r="A159" t="inlineStr">
        <is>
          <t>in-fa416c488bb51542</t>
        </is>
      </c>
      <c r="B159" t="inlineStr">
        <is>
          <t>Marketing Applied Scientist</t>
        </is>
      </c>
      <c r="C159" t="inlineStr">
        <is>
          <t>Uber</t>
        </is>
      </c>
      <c r="D159" t="inlineStr">
        <is>
          <t>indeed</t>
        </is>
      </c>
      <c r="E159">
        <f>HYPERLINK("https://www.indeed.com/viewjob?jk=fa416c488bb51542", "https://www.indeed.com/viewjob?jk=fa416c488bb51542")</f>
        <v/>
      </c>
      <c r="F159">
        <f>HYPERLINK("https://tnl2.jometer.com/v2/job?jz=5wqzscf6c10efd19d8f8017afcdfe317bf6c8KIAAKAAAAABQ&amp;iis=Job%20Board%20-%20Recruitment%20Marketing&amp;iisn=Indeed%20Organic", "https://tnl2.jometer.com/v2/job?jz=5wqzscf6c10efd19d8f8017afcdfe317bf6c8KIAAKAAAAABQ&amp;iis=Job%20Board%20-%20Recruitment%20Marketing&amp;iisn=Indeed%20Organic")</f>
        <v/>
      </c>
      <c r="G159" t="inlineStr">
        <is>
          <t>San Francisco, CA, US</t>
        </is>
      </c>
      <c r="H159" s="3" t="n">
        <v>46029</v>
      </c>
      <c r="I159" t="inlineStr">
        <is>
          <t>**About the Role**
We are looking for an Applied Scientist to join our team to solve interesting and impactful business problems in the domain of marketing analytics and ad tech. Ideal candidates need to have strong curiosity on data, and demonstrable ability to successfully apply rigorous scientific methods with proficiency in data analytics knowledge and technical capabilities. This is a unique opportunity to apply your skills and have a direct impact on global business.
**What the Candidate Will Do**  
* Strong expertise in experimentation design and causal inference methodology, accountable for the end\-to\-end Paid channel incrementality and optimization testings
* Build production grade models on large\-scale datasets to optimize marketing performance by utilizing advanced statistical modeling, machine learning, and optimization modeling etc
* Use models to address key growth challenges and provide meaningful insights on problems in Channel Optimization including user value modeling, bidding optimization, targeting optimization etc
* Work with cross\-functional teams to implement and deploy models and improve analytical solutions by providing data\-driven recommendations.
* Use large scale data processing such as Spark, Hive, and Uber's proprietary machine learning platform, and more
Collaborate with marketing leadership, product and engineering teams. Participate in project planning/prioritization meetings, partner meetings, data prioritization meetings, etc  
* 
**\- Basic Qualifications \-**  
* Master's degree in Statistics, Operations Research, Math, or another quantitative field.
* Relevant experience in machine learning, optimization and advanced analytics
* Expertise with Python
Advanced SQL skills \- comfortable working with very large data sets  
* 
**\- Preferred Qualifications \-**  
* Experience with big data using technologies like Hadoop, Hive, and Spark a plus
* Previous experience in advertising tech (e.g. market response modeling, forecasting, attribution, targeting, 3rd party data integration, and etc) is a plus
* Great communication skills, organized, able to multitask, and be a great teammate
* Ability to balance attention to detail with swift execution
Hunger and drive to learn complex topics  
* 
For New York, NY\-based roles: The base salary range for this role is USD$155,000 per year \- USD$172,000 per year. For San Francisco, CA\-based roles: The base salary range for this role is USD$155,000 per year \- USD$172,000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60">
      <c r="A160" t="inlineStr">
        <is>
          <t>in-b063e2fe64c1974b</t>
        </is>
      </c>
      <c r="B160" t="inlineStr">
        <is>
          <t>Marketing Applied Scientist</t>
        </is>
      </c>
      <c r="C160" t="inlineStr">
        <is>
          <t>Uber</t>
        </is>
      </c>
      <c r="D160" t="inlineStr">
        <is>
          <t>indeed</t>
        </is>
      </c>
      <c r="E160">
        <f>HYPERLINK("https://www.indeed.com/viewjob?jk=b063e2fe64c1974b", "https://www.indeed.com/viewjob?jk=b063e2fe64c1974b")</f>
        <v/>
      </c>
      <c r="F160">
        <f>HYPERLINK("https://tnl2.jometer.com/v2/job?jz=5wqzsa5c289ba04c91272c5e9285013f3e7deKIAAKAAAAABQ&amp;iis=Job%20Board%20-%20Recruitment%20Marketing&amp;iisn=Indeed%20Organic", "https://tnl2.jometer.com/v2/job?jz=5wqzsa5c289ba04c91272c5e9285013f3e7deKIAAKAAAAABQ&amp;iis=Job%20Board%20-%20Recruitment%20Marketing&amp;iisn=Indeed%20Organic")</f>
        <v/>
      </c>
      <c r="G160" t="inlineStr">
        <is>
          <t>New York, NY, US</t>
        </is>
      </c>
      <c r="H160" s="3" t="n">
        <v>46029</v>
      </c>
      <c r="I160" t="inlineStr">
        <is>
          <t>**About the Role**
We are looking for an Applied Scientist to join our team to solve interesting and impactful business problems in the domain of marketing analytics and ad tech. Ideal candidates need to have strong curiosity on data, and demonstrable ability to successfully apply rigorous scientific methods with proficiency in data analytics knowledge and technical capabilities. This is a unique opportunity to apply your skills and have a direct impact on global business.
**What the Candidate Will Do**  
* Strong expertise in experimentation design and causal inference methodology, accountable for the end\-to\-end Paid channel incrementality and optimization testings
* Build production grade models on large\-scale datasets to optimize marketing performance by utilizing advanced statistical modeling, machine learning, and optimization modeling etc
* Use models to address key growth challenges and provide meaningful insights on problems in Channel Optimization including user value modeling, bidding optimization, targeting optimization etc
* Work with cross\-functional teams to implement and deploy models and improve analytical solutions by providing data\-driven recommendations.
* Use large scale data processing such as Spark, Hive, and Uber's proprietary machine learning platform, and more
Collaborate with marketing leadership, product and engineering teams. Participate in project planning/prioritization meetings, partner meetings, data prioritization meetings, etc  
* 
**\- Basic Qualifications \-**  
* Master's degree in Statistics, Operations Research, Math, or another quantitative field.
* Relevant experience in machine learning, optimization and advanced analytics
* Expertise with Python
Advanced SQL skills \- comfortable working with very large data sets  
* 
**\- Preferred Qualifications \-**  
* Experience with big data using technologies like Hadoop, Hive, and Spark a plus
* Previous experience in advertising tech (e.g. market response modeling, forecasting, attribution, targeting, 3rd party data integration, and etc) is a plus
* Great communication skills, organized, able to multitask, and be a great teammate
* Ability to balance attention to detail with swift execution
Hunger and drive to learn complex topics  
* 
For New York, NY\-based roles: The base salary range for this role is USD$155,000 per year \- USD$172,000 per year. For San Francisco, CA\-based roles: The base salary range for this role is USD$155,000 per year \- USD$172,000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61">
      <c r="A161" t="inlineStr">
        <is>
          <t>in-5ba62bdeba1550c3</t>
        </is>
      </c>
      <c r="B161" t="inlineStr">
        <is>
          <t>Applied Scientist, Artificial General Intelligence</t>
        </is>
      </c>
      <c r="C161" t="inlineStr">
        <is>
          <t>Amazon.com</t>
        </is>
      </c>
      <c r="D161" t="inlineStr">
        <is>
          <t>indeed</t>
        </is>
      </c>
      <c r="E161">
        <f>HYPERLINK("https://www.indeed.com/viewjob?jk=5ba62bdeba1550c3", "https://www.indeed.com/viewjob?jk=5ba62bdeba1550c3")</f>
        <v/>
      </c>
      <c r="F161">
        <f>HYPERLINK("https://www.amazon.jobs/jobs/3104517/applied-scientist-artificial-general-intelligence?cmpid=DA_INAD200785B", "https://www.amazon.jobs/jobs/3104517/applied-scientist-artificial-general-intelligence?cmpid=DA_INAD200785B")</f>
        <v/>
      </c>
      <c r="G161" t="inlineStr">
        <is>
          <t>Bellevue, WA, US</t>
        </is>
      </c>
      <c r="H161" s="3" t="n">
        <v>45937</v>
      </c>
      <c r="I16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in-8cef9d0694f1a141</t>
        </is>
      </c>
      <c r="B162" t="inlineStr">
        <is>
          <t>Applied Scientist, Artificial General Intelligence</t>
        </is>
      </c>
      <c r="C162" t="inlineStr">
        <is>
          <t>Amazon.com</t>
        </is>
      </c>
      <c r="D162" t="inlineStr">
        <is>
          <t>indeed</t>
        </is>
      </c>
      <c r="E162">
        <f>HYPERLINK("https://www.indeed.com/viewjob?jk=8cef9d0694f1a141", "https://www.indeed.com/viewjob?jk=8cef9d0694f1a141")</f>
        <v/>
      </c>
      <c r="F162">
        <f>HYPERLINK("https://www.amazon.jobs/jobs/3104517/applied-scientist-artificial-general-intelligence?cmpid=DA_INAD200785B", "https://www.amazon.jobs/jobs/3104517/applied-scientist-artificial-general-intelligence?cmpid=DA_INAD200785B")</f>
        <v/>
      </c>
      <c r="G162" t="inlineStr">
        <is>
          <t>New York, NY, US</t>
        </is>
      </c>
      <c r="H162" s="3" t="n">
        <v>45937</v>
      </c>
      <c r="I16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in-56d00136be146c86</t>
        </is>
      </c>
      <c r="B163" t="inlineStr">
        <is>
          <t>Applied Scientist, Artificial General Intelligence</t>
        </is>
      </c>
      <c r="C163" t="inlineStr">
        <is>
          <t>Amazon.com</t>
        </is>
      </c>
      <c r="D163" t="inlineStr">
        <is>
          <t>indeed</t>
        </is>
      </c>
      <c r="E163">
        <f>HYPERLINK("https://www.indeed.com/viewjob?jk=56d00136be146c86", "https://www.indeed.com/viewjob?jk=56d00136be146c86")</f>
        <v/>
      </c>
      <c r="F163">
        <f>HYPERLINK("https://www.amazon.jobs/jobs/3104517/applied-scientist-artificial-general-intelligence?cmpid=DA_INAD200785B", "https://www.amazon.jobs/jobs/3104517/applied-scientist-artificial-general-intelligence?cmpid=DA_INAD200785B")</f>
        <v/>
      </c>
      <c r="G163" t="inlineStr">
        <is>
          <t>Seattle, WA, US</t>
        </is>
      </c>
      <c r="H163" s="3" t="n">
        <v>45937</v>
      </c>
      <c r="I16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in-2b9fe950295ca682</t>
        </is>
      </c>
      <c r="B164" t="inlineStr">
        <is>
          <t>Applied Scientist, Artificial General Intelligence</t>
        </is>
      </c>
      <c r="C164" t="inlineStr">
        <is>
          <t>Amazon.com</t>
        </is>
      </c>
      <c r="D164" t="inlineStr">
        <is>
          <t>indeed</t>
        </is>
      </c>
      <c r="E164">
        <f>HYPERLINK("https://www.indeed.com/viewjob?jk=2b9fe950295ca682", "https://www.indeed.com/viewjob?jk=2b9fe950295ca682")</f>
        <v/>
      </c>
      <c r="F164">
        <f>HYPERLINK("https://www.amazon.jobs/jobs/3104517/applied-scientist-artificial-general-intelligence?cmpid=DA_INAD200785B", "https://www.amazon.jobs/jobs/3104517/applied-scientist-artificial-general-intelligence?cmpid=DA_INAD200785B")</f>
        <v/>
      </c>
      <c r="G164" t="inlineStr">
        <is>
          <t>Sunnyvale, CA, US</t>
        </is>
      </c>
      <c r="H164" s="3" t="n">
        <v>45937</v>
      </c>
      <c r="I16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in-a245f66bf52476f7</t>
        </is>
      </c>
      <c r="B165" t="inlineStr">
        <is>
          <t>Applied Scientist II, Prime Video - Personalization and Discovery Science, Personalization and Discovery Science</t>
        </is>
      </c>
      <c r="C165" t="inlineStr">
        <is>
          <t>Amazon.com</t>
        </is>
      </c>
      <c r="D165" t="inlineStr">
        <is>
          <t>indeed</t>
        </is>
      </c>
      <c r="E165">
        <f>HYPERLINK("https://www.indeed.com/viewjob?jk=a245f66bf52476f7", "https://www.indeed.com/viewjob?jk=a245f66bf52476f7")</f>
        <v/>
      </c>
      <c r="F165">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65" t="inlineStr">
        <is>
          <t>New York, NY, US</t>
        </is>
      </c>
      <c r="H165" s="3" t="n">
        <v>45930</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in-9eb976b39496a894</t>
        </is>
      </c>
      <c r="B166" t="inlineStr">
        <is>
          <t>Applied Scientist II, Prime Video - Personalization and Discovery Science, Personalization and Discovery Science</t>
        </is>
      </c>
      <c r="C166" t="inlineStr">
        <is>
          <t>Amazon.com</t>
        </is>
      </c>
      <c r="D166" t="inlineStr">
        <is>
          <t>indeed</t>
        </is>
      </c>
      <c r="E166">
        <f>HYPERLINK("https://www.indeed.com/viewjob?jk=9eb976b39496a894", "https://www.indeed.com/viewjob?jk=9eb976b39496a894")</f>
        <v/>
      </c>
      <c r="F16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66" t="inlineStr">
        <is>
          <t>Sunnyvale, CA, US</t>
        </is>
      </c>
      <c r="H166" s="3" t="n">
        <v>45930</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in-227318ba35adddce</t>
        </is>
      </c>
      <c r="B167" t="inlineStr">
        <is>
          <t>Applied Scientist II, Prime Video - Personalization and Discovery Science, Personalization and Discovery Science</t>
        </is>
      </c>
      <c r="C167" t="inlineStr">
        <is>
          <t>Amazon.com</t>
        </is>
      </c>
      <c r="D167" t="inlineStr">
        <is>
          <t>indeed</t>
        </is>
      </c>
      <c r="E167">
        <f>HYPERLINK("https://www.indeed.com/viewjob?jk=227318ba35adddce", "https://www.indeed.com/viewjob?jk=227318ba35adddce")</f>
        <v/>
      </c>
      <c r="F16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67" t="inlineStr">
        <is>
          <t>Seattle, WA, US</t>
        </is>
      </c>
      <c r="H167" s="3" t="n">
        <v>45930</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in-f5635232e8d0421e</t>
        </is>
      </c>
      <c r="B168" t="inlineStr">
        <is>
          <t>Principal Applied Scientist, Artificial General Intelligence</t>
        </is>
      </c>
      <c r="C168" t="inlineStr">
        <is>
          <t>Amazon.com</t>
        </is>
      </c>
      <c r="D168" t="inlineStr">
        <is>
          <t>indeed</t>
        </is>
      </c>
      <c r="E168">
        <f>HYPERLINK("https://www.indeed.com/viewjob?jk=f5635232e8d0421e", "https://www.indeed.com/viewjob?jk=f5635232e8d0421e")</f>
        <v/>
      </c>
      <c r="F168">
        <f>HYPERLINK("https://www.amazon.jobs/jobs/3092462/principal-applied-scientist-artificial-general-intelligence?cmpid=DA_INAD200785B", "https://www.amazon.jobs/jobs/3092462/principal-applied-scientist-artificial-general-intelligence?cmpid=DA_INAD200785B")</f>
        <v/>
      </c>
      <c r="G168" t="inlineStr">
        <is>
          <t>New York, NY, US</t>
        </is>
      </c>
      <c r="H168" s="3" t="n">
        <v>45923</v>
      </c>
      <c r="I168"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in-95f59cfcb03fcb94</t>
        </is>
      </c>
      <c r="B169" t="inlineStr">
        <is>
          <t>Principal Applied Scientist, Artificial General Intelligence</t>
        </is>
      </c>
      <c r="C169" t="inlineStr">
        <is>
          <t>Amazon.com</t>
        </is>
      </c>
      <c r="D169" t="inlineStr">
        <is>
          <t>indeed</t>
        </is>
      </c>
      <c r="E169">
        <f>HYPERLINK("https://www.indeed.com/viewjob?jk=95f59cfcb03fcb94", "https://www.indeed.com/viewjob?jk=95f59cfcb03fcb94")</f>
        <v/>
      </c>
      <c r="F169">
        <f>HYPERLINK("https://www.amazon.jobs/jobs/3092462/principal-applied-scientist-artificial-general-intelligence?cmpid=DA_INAD200785B", "https://www.amazon.jobs/jobs/3092462/principal-applied-scientist-artificial-general-intelligence?cmpid=DA_INAD200785B")</f>
        <v/>
      </c>
      <c r="G169" t="inlineStr">
        <is>
          <t>Sunnyvale, CA, US</t>
        </is>
      </c>
      <c r="H169" s="3" t="n">
        <v>45923</v>
      </c>
      <c r="I16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in-db0b0148e7482518</t>
        </is>
      </c>
      <c r="B170" t="inlineStr">
        <is>
          <t>Principal Applied Scientist, Artificial General Intelligence</t>
        </is>
      </c>
      <c r="C170" t="inlineStr">
        <is>
          <t>Amazon.com</t>
        </is>
      </c>
      <c r="D170" t="inlineStr">
        <is>
          <t>indeed</t>
        </is>
      </c>
      <c r="E170">
        <f>HYPERLINK("https://www.indeed.com/viewjob?jk=db0b0148e7482518", "https://www.indeed.com/viewjob?jk=db0b0148e7482518")</f>
        <v/>
      </c>
      <c r="F170">
        <f>HYPERLINK("https://www.amazon.jobs/jobs/3092462/principal-applied-scientist-artificial-general-intelligence?cmpid=DA_INAD200785B", "https://www.amazon.jobs/jobs/3092462/principal-applied-scientist-artificial-general-intelligence?cmpid=DA_INAD200785B")</f>
        <v/>
      </c>
      <c r="G170" t="inlineStr">
        <is>
          <t>Bellevue, WA, US</t>
        </is>
      </c>
      <c r="H170" s="3" t="n">
        <v>45923</v>
      </c>
      <c r="I17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in-ed223c44508320ca</t>
        </is>
      </c>
      <c r="B171" t="inlineStr">
        <is>
          <t>Principal Applied Scientist, Artificial General Intelligence</t>
        </is>
      </c>
      <c r="C171" t="inlineStr">
        <is>
          <t>Amazon.com</t>
        </is>
      </c>
      <c r="D171" t="inlineStr">
        <is>
          <t>indeed</t>
        </is>
      </c>
      <c r="E171">
        <f>HYPERLINK("https://www.indeed.com/viewjob?jk=ed223c44508320ca", "https://www.indeed.com/viewjob?jk=ed223c44508320ca")</f>
        <v/>
      </c>
      <c r="F171">
        <f>HYPERLINK("https://www.amazon.jobs/jobs/3092462/principal-applied-scientist-artificial-general-intelligence?cmpid=DA_INAD200785B", "https://www.amazon.jobs/jobs/3092462/principal-applied-scientist-artificial-general-intelligence?cmpid=DA_INAD200785B")</f>
        <v/>
      </c>
      <c r="G171" t="inlineStr">
        <is>
          <t>Boston, MA, US</t>
        </is>
      </c>
      <c r="H171" s="3" t="n">
        <v>45923</v>
      </c>
      <c r="I17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in-46c9a3c9567fe2fd</t>
        </is>
      </c>
      <c r="B172" t="inlineStr">
        <is>
          <t>Senior Applied Scientist, Artificial General Intelligence</t>
        </is>
      </c>
      <c r="C172" t="inlineStr">
        <is>
          <t>Amazon.com</t>
        </is>
      </c>
      <c r="D172" t="inlineStr">
        <is>
          <t>indeed</t>
        </is>
      </c>
      <c r="E172">
        <f>HYPERLINK("https://www.indeed.com/viewjob?jk=46c9a3c9567fe2fd", "https://www.indeed.com/viewjob?jk=46c9a3c9567fe2fd")</f>
        <v/>
      </c>
      <c r="F172">
        <f>HYPERLINK("https://www.amazon.jobs/jobs/3091494/senior-applied-scientist-artificial-general-intelligence?cmpid=DA_INAD200785B", "https://www.amazon.jobs/jobs/3091494/senior-applied-scientist-artificial-general-intelligence?cmpid=DA_INAD200785B")</f>
        <v/>
      </c>
      <c r="G172" t="inlineStr">
        <is>
          <t>Sunnyvale, CA, US</t>
        </is>
      </c>
      <c r="H172" s="3" t="n">
        <v>45922</v>
      </c>
      <c r="I17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in-b22921a2ae09fc04</t>
        </is>
      </c>
      <c r="B173" t="inlineStr">
        <is>
          <t>Senior Applied Scientist, Artificial General Intelligence</t>
        </is>
      </c>
      <c r="C173" t="inlineStr">
        <is>
          <t>Amazon.com</t>
        </is>
      </c>
      <c r="D173" t="inlineStr">
        <is>
          <t>indeed</t>
        </is>
      </c>
      <c r="E173">
        <f>HYPERLINK("https://www.indeed.com/viewjob?jk=b22921a2ae09fc04", "https://www.indeed.com/viewjob?jk=b22921a2ae09fc04")</f>
        <v/>
      </c>
      <c r="F173">
        <f>HYPERLINK("https://www.amazon.jobs/jobs/3091494/senior-applied-scientist-artificial-general-intelligence?cmpid=DA_INAD200785B", "https://www.amazon.jobs/jobs/3091494/senior-applied-scientist-artificial-general-intelligence?cmpid=DA_INAD200785B")</f>
        <v/>
      </c>
      <c r="G173" t="inlineStr">
        <is>
          <t>Seattle, WA, US</t>
        </is>
      </c>
      <c r="H173" s="3" t="n">
        <v>45922</v>
      </c>
      <c r="I17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in-518820d8bb4d07f7</t>
        </is>
      </c>
      <c r="B174" t="inlineStr">
        <is>
          <t>Senior Applied Scientist, Artificial General Intelligence</t>
        </is>
      </c>
      <c r="C174" t="inlineStr">
        <is>
          <t>Amazon.com</t>
        </is>
      </c>
      <c r="D174" t="inlineStr">
        <is>
          <t>indeed</t>
        </is>
      </c>
      <c r="E174">
        <f>HYPERLINK("https://www.indeed.com/viewjob?jk=518820d8bb4d07f7", "https://www.indeed.com/viewjob?jk=518820d8bb4d07f7")</f>
        <v/>
      </c>
      <c r="F174">
        <f>HYPERLINK("https://www.amazon.jobs/jobs/3091494/senior-applied-scientist-artificial-general-intelligence?cmpid=DA_INAD200785B", "https://www.amazon.jobs/jobs/3091494/senior-applied-scientist-artificial-general-intelligence?cmpid=DA_INAD200785B")</f>
        <v/>
      </c>
      <c r="G174" t="inlineStr">
        <is>
          <t>Boston, MA, US</t>
        </is>
      </c>
      <c r="H174" s="3" t="n">
        <v>45922</v>
      </c>
      <c r="I17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in-3228d0e6085f95e0</t>
        </is>
      </c>
      <c r="B175" t="inlineStr">
        <is>
          <t>Applied Scientist, Artificial General Intelligence</t>
        </is>
      </c>
      <c r="C175" t="inlineStr">
        <is>
          <t>Amazon.com</t>
        </is>
      </c>
      <c r="D175" t="inlineStr">
        <is>
          <t>indeed</t>
        </is>
      </c>
      <c r="E175">
        <f>HYPERLINK("https://www.indeed.com/viewjob?jk=3228d0e6085f95e0", "https://www.indeed.com/viewjob?jk=3228d0e6085f95e0")</f>
        <v/>
      </c>
      <c r="F175">
        <f>HYPERLINK("https://www.amazon.jobs/jobs/3090846/applied-scientist-artificial-general-intelligence?cmpid=DA_INAD200785B", "https://www.amazon.jobs/jobs/3090846/applied-scientist-artificial-general-intelligence?cmpid=DA_INAD200785B")</f>
        <v/>
      </c>
      <c r="G175" t="inlineStr">
        <is>
          <t>Seattle, WA, US</t>
        </is>
      </c>
      <c r="H175" s="3" t="n">
        <v>45921</v>
      </c>
      <c r="I175"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in-efc7ea22d96c931f</t>
        </is>
      </c>
      <c r="B176" t="inlineStr">
        <is>
          <t>Applied Scientist, Artificial General Intelligence</t>
        </is>
      </c>
      <c r="C176" t="inlineStr">
        <is>
          <t>Amazon.com</t>
        </is>
      </c>
      <c r="D176" t="inlineStr">
        <is>
          <t>indeed</t>
        </is>
      </c>
      <c r="E176">
        <f>HYPERLINK("https://www.indeed.com/viewjob?jk=efc7ea22d96c931f", "https://www.indeed.com/viewjob?jk=efc7ea22d96c931f")</f>
        <v/>
      </c>
      <c r="F176">
        <f>HYPERLINK("https://www.amazon.jobs/jobs/3090846/applied-scientist-artificial-general-intelligence?cmpid=DA_INAD200785B", "https://www.amazon.jobs/jobs/3090846/applied-scientist-artificial-general-intelligence?cmpid=DA_INAD200785B")</f>
        <v/>
      </c>
      <c r="G176" t="inlineStr">
        <is>
          <t>Bellevue, WA, US</t>
        </is>
      </c>
      <c r="H176" s="3" t="n">
        <v>45921</v>
      </c>
      <c r="I17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in-672997cf8f779815</t>
        </is>
      </c>
      <c r="B177" t="inlineStr">
        <is>
          <t>Applied Scientist, Artificial General Intelligence</t>
        </is>
      </c>
      <c r="C177" t="inlineStr">
        <is>
          <t>Amazon.com</t>
        </is>
      </c>
      <c r="D177" t="inlineStr">
        <is>
          <t>indeed</t>
        </is>
      </c>
      <c r="E177">
        <f>HYPERLINK("https://www.indeed.com/viewjob?jk=672997cf8f779815", "https://www.indeed.com/viewjob?jk=672997cf8f779815")</f>
        <v/>
      </c>
      <c r="F177">
        <f>HYPERLINK("https://www.amazon.jobs/jobs/3090846/applied-scientist-artificial-general-intelligence?cmpid=DA_INAD200785B", "https://www.amazon.jobs/jobs/3090846/applied-scientist-artificial-general-intelligence?cmpid=DA_INAD200785B")</f>
        <v/>
      </c>
      <c r="G177" t="inlineStr">
        <is>
          <t>Boston, MA, US</t>
        </is>
      </c>
      <c r="H177" s="3" t="n">
        <v>45921</v>
      </c>
      <c r="I17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in-e03d7694bba2f403</t>
        </is>
      </c>
      <c r="B178" t="inlineStr">
        <is>
          <t>Applied Scientist, Artificial General Intelligence</t>
        </is>
      </c>
      <c r="C178" t="inlineStr">
        <is>
          <t>Amazon.com</t>
        </is>
      </c>
      <c r="D178" t="inlineStr">
        <is>
          <t>indeed</t>
        </is>
      </c>
      <c r="E178">
        <f>HYPERLINK("https://www.indeed.com/viewjob?jk=e03d7694bba2f403", "https://www.indeed.com/viewjob?jk=e03d7694bba2f403")</f>
        <v/>
      </c>
      <c r="F178">
        <f>HYPERLINK("https://www.amazon.jobs/jobs/3090846/applied-scientist-artificial-general-intelligence?cmpid=DA_INAD200785B", "https://www.amazon.jobs/jobs/3090846/applied-scientist-artificial-general-intelligence?cmpid=DA_INAD200785B")</f>
        <v/>
      </c>
      <c r="G178" t="inlineStr">
        <is>
          <t>New York, NY, US</t>
        </is>
      </c>
      <c r="H178" s="3" t="n">
        <v>45921</v>
      </c>
      <c r="I17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in-7a2ffc319c11f956</t>
        </is>
      </c>
      <c r="B179" t="inlineStr">
        <is>
          <t>Applied Scientist II, Prime Video - Personalization and Discovery Science</t>
        </is>
      </c>
      <c r="C179" t="inlineStr">
        <is>
          <t>Amazon.com</t>
        </is>
      </c>
      <c r="D179" t="inlineStr">
        <is>
          <t>indeed</t>
        </is>
      </c>
      <c r="E179">
        <f>HYPERLINK("https://www.indeed.com/viewjob?jk=7a2ffc319c11f956", "https://www.indeed.com/viewjob?jk=7a2ffc319c11f956")</f>
        <v/>
      </c>
      <c r="F179">
        <f>HYPERLINK("https://www.amazon.jobs/jobs/3086060/applied-scientist-ii-prime-video--personalization-and-discovery-science?cmpid=DA_INAD200785B", "https://www.amazon.jobs/jobs/3086060/applied-scientist-ii-prime-video--personalization-and-discovery-science?cmpid=DA_INAD200785B")</f>
        <v/>
      </c>
      <c r="G179" t="inlineStr">
        <is>
          <t>Sunnyvale, CA, US</t>
        </is>
      </c>
      <c r="H179" s="3" t="n">
        <v>45915</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in-ebe0283fffab2912</t>
        </is>
      </c>
      <c r="B180" t="inlineStr">
        <is>
          <t>Applied Scientist II, Prime Video - Personalization and Discovery Science</t>
        </is>
      </c>
      <c r="C180" t="inlineStr">
        <is>
          <t>Amazon.com</t>
        </is>
      </c>
      <c r="D180" t="inlineStr">
        <is>
          <t>indeed</t>
        </is>
      </c>
      <c r="E180">
        <f>HYPERLINK("https://www.indeed.com/viewjob?jk=ebe0283fffab2912", "https://www.indeed.com/viewjob?jk=ebe0283fffab2912")</f>
        <v/>
      </c>
      <c r="F180">
        <f>HYPERLINK("https://www.amazon.jobs/jobs/3086060/applied-scientist-ii-prime-video--personalization-and-discovery-science?cmpid=DA_INAD200785B", "https://www.amazon.jobs/jobs/3086060/applied-scientist-ii-prime-video--personalization-and-discovery-science?cmpid=DA_INAD200785B")</f>
        <v/>
      </c>
      <c r="G180" t="inlineStr">
        <is>
          <t>Seattle, WA, US</t>
        </is>
      </c>
      <c r="H180" s="3" t="n">
        <v>45915</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in-6d98e79106ffb3a3</t>
        </is>
      </c>
      <c r="B181" t="inlineStr">
        <is>
          <t>Applied Scientist II, Prime Video - Personalization and Discovery Science</t>
        </is>
      </c>
      <c r="C181" t="inlineStr">
        <is>
          <t>Amazon.com</t>
        </is>
      </c>
      <c r="D181" t="inlineStr">
        <is>
          <t>indeed</t>
        </is>
      </c>
      <c r="E181">
        <f>HYPERLINK("https://www.indeed.com/viewjob?jk=6d98e79106ffb3a3", "https://www.indeed.com/viewjob?jk=6d98e79106ffb3a3")</f>
        <v/>
      </c>
      <c r="F181">
        <f>HYPERLINK("https://www.amazon.jobs/jobs/3086060/applied-scientist-ii-prime-video--personalization-and-discovery-science?cmpid=DA_INAD200785B", "https://www.amazon.jobs/jobs/3086060/applied-scientist-ii-prime-video--personalization-and-discovery-science?cmpid=DA_INAD200785B")</f>
        <v/>
      </c>
      <c r="G181" t="inlineStr">
        <is>
          <t>New York, NY, US</t>
        </is>
      </c>
      <c r="H181" s="3" t="n">
        <v>45915</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in-093318034e30de81</t>
        </is>
      </c>
      <c r="B182" t="inlineStr">
        <is>
          <t>Sr. Applied Scientist, Prime Video - Personalization and Discovery Science</t>
        </is>
      </c>
      <c r="C182" t="inlineStr">
        <is>
          <t>Amazon.com</t>
        </is>
      </c>
      <c r="D182" t="inlineStr">
        <is>
          <t>indeed</t>
        </is>
      </c>
      <c r="E182">
        <f>HYPERLINK("https://www.indeed.com/viewjob?jk=093318034e30de81", "https://www.indeed.com/viewjob?jk=093318034e30de81")</f>
        <v/>
      </c>
      <c r="F182">
        <f>HYPERLINK("https://www.amazon.jobs/jobs/3083564/sr-applied-scientist-prime-video--personalization-and-discovery-science?cmpid=DA_INAD200785B", "https://www.amazon.jobs/jobs/3083564/sr-applied-scientist-prime-video--personalization-and-discovery-science?cmpid=DA_INAD200785B")</f>
        <v/>
      </c>
      <c r="G182" t="inlineStr">
        <is>
          <t>New York, NY, US</t>
        </is>
      </c>
      <c r="H182" s="3" t="n">
        <v>45914</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in-73912b49f8cee510</t>
        </is>
      </c>
      <c r="B183" t="inlineStr">
        <is>
          <t>Sr. Applied Scientist, Prime Video - Personalization and Discovery Science</t>
        </is>
      </c>
      <c r="C183" t="inlineStr">
        <is>
          <t>Amazon.com</t>
        </is>
      </c>
      <c r="D183" t="inlineStr">
        <is>
          <t>indeed</t>
        </is>
      </c>
      <c r="E183">
        <f>HYPERLINK("https://www.indeed.com/viewjob?jk=73912b49f8cee510", "https://www.indeed.com/viewjob?jk=73912b49f8cee510")</f>
        <v/>
      </c>
      <c r="F183">
        <f>HYPERLINK("https://www.amazon.jobs/jobs/3083564/sr-applied-scientist-prime-video--personalization-and-discovery-science?cmpid=DA_INAD200785B", "https://www.amazon.jobs/jobs/3083564/sr-applied-scientist-prime-video--personalization-and-discovery-science?cmpid=DA_INAD200785B")</f>
        <v/>
      </c>
      <c r="G183" t="inlineStr">
        <is>
          <t>Sunnyvale, CA, US</t>
        </is>
      </c>
      <c r="H183" s="3" t="n">
        <v>45914</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in-aa7fbe28ebb8f61b</t>
        </is>
      </c>
      <c r="B184" t="inlineStr">
        <is>
          <t>Sr. Applied Scientist, Prime Video - Personalization and Discovery Science</t>
        </is>
      </c>
      <c r="C184" t="inlineStr">
        <is>
          <t>Amazon.com</t>
        </is>
      </c>
      <c r="D184" t="inlineStr">
        <is>
          <t>indeed</t>
        </is>
      </c>
      <c r="E184">
        <f>HYPERLINK("https://www.indeed.com/viewjob?jk=aa7fbe28ebb8f61b", "https://www.indeed.com/viewjob?jk=aa7fbe28ebb8f61b")</f>
        <v/>
      </c>
      <c r="F184">
        <f>HYPERLINK("https://www.amazon.jobs/jobs/3083564/sr-applied-scientist-prime-video--personalization-and-discovery-science?cmpid=DA_INAD200785B", "https://www.amazon.jobs/jobs/3083564/sr-applied-scientist-prime-video--personalization-and-discovery-science?cmpid=DA_INAD200785B")</f>
        <v/>
      </c>
      <c r="G184" t="inlineStr">
        <is>
          <t>Seattle, WA, US</t>
        </is>
      </c>
      <c r="H184" s="3" t="n">
        <v>45914</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in-516ddee32772bf0c</t>
        </is>
      </c>
      <c r="B185" t="inlineStr">
        <is>
          <t>Senior Applied Scientist, Model Customization, Generative AI Innovation Center</t>
        </is>
      </c>
      <c r="C185" t="inlineStr">
        <is>
          <t>Amazon Web Services</t>
        </is>
      </c>
      <c r="D185" t="inlineStr">
        <is>
          <t>indeed</t>
        </is>
      </c>
      <c r="E185">
        <f>HYPERLINK("https://www.indeed.com/viewjob?jk=516ddee32772bf0c", "https://www.indeed.com/viewjob?jk=516ddee32772bf0c")</f>
        <v/>
      </c>
      <c r="F185">
        <f>HYPERLINK("https://www.amazon.jobs/jobs/3088254/senior-applied-scientist-model-customization-generative-ai-innovation-center?cmpid=DA_INAD200785B", "https://www.amazon.jobs/jobs/3088254/senior-applied-scientist-model-customization-generative-ai-innovation-center?cmpid=DA_INAD200785B")</f>
        <v/>
      </c>
      <c r="G185" t="inlineStr">
        <is>
          <t>Seattle, WA, US</t>
        </is>
      </c>
      <c r="H185" s="3" t="n">
        <v>45908</v>
      </c>
      <c r="I18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in-384cb804d11453a5</t>
        </is>
      </c>
      <c r="B186" t="inlineStr">
        <is>
          <t>Senior Applied Scientist, Model Customization, Generative AI Innovation Center</t>
        </is>
      </c>
      <c r="C186" t="inlineStr">
        <is>
          <t>Amazon Web Services</t>
        </is>
      </c>
      <c r="D186" t="inlineStr">
        <is>
          <t>indeed</t>
        </is>
      </c>
      <c r="E186">
        <f>HYPERLINK("https://www.indeed.com/viewjob?jk=384cb804d11453a5", "https://www.indeed.com/viewjob?jk=384cb804d11453a5")</f>
        <v/>
      </c>
      <c r="F186">
        <f>HYPERLINK("https://www.amazon.jobs/jobs/3088254/senior-applied-scientist-model-customization-generative-ai-innovation-center?cmpid=DA_INAD200785B", "https://www.amazon.jobs/jobs/3088254/senior-applied-scientist-model-customization-generative-ai-innovation-center?cmpid=DA_INAD200785B")</f>
        <v/>
      </c>
      <c r="G186" t="inlineStr">
        <is>
          <t>Bellevue, WA, US</t>
        </is>
      </c>
      <c r="H186" s="3" t="n">
        <v>45908</v>
      </c>
      <c r="I18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in-3a91c448c9a4fc85</t>
        </is>
      </c>
      <c r="B187" t="inlineStr">
        <is>
          <t>Senior Applied Scientist, Model Customization, Generative AI Innovation Center</t>
        </is>
      </c>
      <c r="C187" t="inlineStr">
        <is>
          <t>Amazon Web Services</t>
        </is>
      </c>
      <c r="D187" t="inlineStr">
        <is>
          <t>indeed</t>
        </is>
      </c>
      <c r="E187">
        <f>HYPERLINK("https://www.indeed.com/viewjob?jk=3a91c448c9a4fc85", "https://www.indeed.com/viewjob?jk=3a91c448c9a4fc85")</f>
        <v/>
      </c>
      <c r="F187">
        <f>HYPERLINK("https://www.amazon.jobs/jobs/3088254/senior-applied-scientist-model-customization-generative-ai-innovation-center?cmpid=DA_INAD200785B", "https://www.amazon.jobs/jobs/3088254/senior-applied-scientist-model-customization-generative-ai-innovation-center?cmpid=DA_INAD200785B")</f>
        <v/>
      </c>
      <c r="G187" t="inlineStr">
        <is>
          <t>Arlington, VA, US</t>
        </is>
      </c>
      <c r="H187" s="3" t="n">
        <v>45908</v>
      </c>
      <c r="I18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in-4a28c4c589c789e0</t>
        </is>
      </c>
      <c r="B188" t="inlineStr">
        <is>
          <t>Senior Applied Scientist, Model Customization, Generative AI Innovation Center</t>
        </is>
      </c>
      <c r="C188" t="inlineStr">
        <is>
          <t>Amazon Web Services</t>
        </is>
      </c>
      <c r="D188" t="inlineStr">
        <is>
          <t>indeed</t>
        </is>
      </c>
      <c r="E188">
        <f>HYPERLINK("https://www.indeed.com/viewjob?jk=4a28c4c589c789e0", "https://www.indeed.com/viewjob?jk=4a28c4c589c789e0")</f>
        <v/>
      </c>
      <c r="F188">
        <f>HYPERLINK("https://www.amazon.jobs/jobs/3088254/senior-applied-scientist-model-customization-generative-ai-innovation-center?cmpid=DA_INAD200785B", "https://www.amazon.jobs/jobs/3088254/senior-applied-scientist-model-customization-generative-ai-innovation-center?cmpid=DA_INAD200785B")</f>
        <v/>
      </c>
      <c r="G188" t="inlineStr">
        <is>
          <t>New York, NY, US</t>
        </is>
      </c>
      <c r="H188" s="3" t="n">
        <v>45908</v>
      </c>
      <c r="I18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in-08d871e4d3a964be</t>
        </is>
      </c>
      <c r="B189" t="inlineStr">
        <is>
          <t>Senior Applied Scientist, Artificial General Intelligence</t>
        </is>
      </c>
      <c r="C189" t="inlineStr">
        <is>
          <t>Amazon.com</t>
        </is>
      </c>
      <c r="D189" t="inlineStr">
        <is>
          <t>indeed</t>
        </is>
      </c>
      <c r="E189">
        <f>HYPERLINK("https://www.indeed.com/viewjob?jk=08d871e4d3a964be", "https://www.indeed.com/viewjob?jk=08d871e4d3a964be")</f>
        <v/>
      </c>
      <c r="F189">
        <f>HYPERLINK("https://www.amazon.jobs/jobs/3078169/senior-applied-scientist-artificial-general-intelligence?cmpid=DA_INAD200785B", "https://www.amazon.jobs/jobs/3078169/senior-applied-scientist-artificial-general-intelligence?cmpid=DA_INAD200785B")</f>
        <v/>
      </c>
      <c r="G189" t="inlineStr">
        <is>
          <t>Sunnyvale, CA, US</t>
        </is>
      </c>
      <c r="H189" s="3" t="n">
        <v>45907</v>
      </c>
      <c r="I18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in-a6d8c120aa3bcf95</t>
        </is>
      </c>
      <c r="B190" t="inlineStr">
        <is>
          <t>Senior Applied Scientist, Artificial General Intelligence</t>
        </is>
      </c>
      <c r="C190" t="inlineStr">
        <is>
          <t>Amazon.com</t>
        </is>
      </c>
      <c r="D190" t="inlineStr">
        <is>
          <t>indeed</t>
        </is>
      </c>
      <c r="E190">
        <f>HYPERLINK("https://www.indeed.com/viewjob?jk=a6d8c120aa3bcf95", "https://www.indeed.com/viewjob?jk=a6d8c120aa3bcf95")</f>
        <v/>
      </c>
      <c r="F190">
        <f>HYPERLINK("https://www.amazon.jobs/jobs/3078169/senior-applied-scientist-artificial-general-intelligence?cmpid=DA_INAD200785B", "https://www.amazon.jobs/jobs/3078169/senior-applied-scientist-artificial-general-intelligence?cmpid=DA_INAD200785B")</f>
        <v/>
      </c>
      <c r="G190" t="inlineStr">
        <is>
          <t>Bellevue, WA, US</t>
        </is>
      </c>
      <c r="H190" s="3" t="n">
        <v>45907</v>
      </c>
      <c r="I19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in-5c9dbc4017ecb1e6</t>
        </is>
      </c>
      <c r="B191" t="inlineStr">
        <is>
          <t>Senior Applied Scientist, Artificial General Intelligence</t>
        </is>
      </c>
      <c r="C191" t="inlineStr">
        <is>
          <t>Amazon.com</t>
        </is>
      </c>
      <c r="D191" t="inlineStr">
        <is>
          <t>indeed</t>
        </is>
      </c>
      <c r="E191">
        <f>HYPERLINK("https://www.indeed.com/viewjob?jk=5c9dbc4017ecb1e6", "https://www.indeed.com/viewjob?jk=5c9dbc4017ecb1e6")</f>
        <v/>
      </c>
      <c r="F191">
        <f>HYPERLINK("https://www.amazon.jobs/jobs/3078169/senior-applied-scientist-artificial-general-intelligence?cmpid=DA_INAD200785B", "https://www.amazon.jobs/jobs/3078169/senior-applied-scientist-artificial-general-intelligence?cmpid=DA_INAD200785B")</f>
        <v/>
      </c>
      <c r="G191" t="inlineStr">
        <is>
          <t>New York, NY, US</t>
        </is>
      </c>
      <c r="H191" s="3" t="n">
        <v>45907</v>
      </c>
      <c r="I19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in-d31cddb5adbfbea1</t>
        </is>
      </c>
      <c r="B192" t="inlineStr">
        <is>
          <t>Senior Applied Scientist, Artificial General Intelligence</t>
        </is>
      </c>
      <c r="C192" t="inlineStr">
        <is>
          <t>Amazon.com</t>
        </is>
      </c>
      <c r="D192" t="inlineStr">
        <is>
          <t>indeed</t>
        </is>
      </c>
      <c r="E192">
        <f>HYPERLINK("https://www.indeed.com/viewjob?jk=d31cddb5adbfbea1", "https://www.indeed.com/viewjob?jk=d31cddb5adbfbea1")</f>
        <v/>
      </c>
      <c r="F192">
        <f>HYPERLINK("https://www.amazon.jobs/jobs/3078169/senior-applied-scientist-artificial-general-intelligence?cmpid=DA_INAD200785B", "https://www.amazon.jobs/jobs/3078169/senior-applied-scientist-artificial-general-intelligence?cmpid=DA_INAD200785B")</f>
        <v/>
      </c>
      <c r="G192" t="inlineStr">
        <is>
          <t>Seattle, WA, US</t>
        </is>
      </c>
      <c r="H192" s="3" t="n">
        <v>45907</v>
      </c>
      <c r="I19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in-7ef30c1a0b1c10b2</t>
        </is>
      </c>
      <c r="B193" t="inlineStr">
        <is>
          <t>Sr. Applied Scientist, Prime Video - Personalization and Discovery Science</t>
        </is>
      </c>
      <c r="C193" t="inlineStr">
        <is>
          <t>Amazon.com</t>
        </is>
      </c>
      <c r="D193" t="inlineStr">
        <is>
          <t>indeed</t>
        </is>
      </c>
      <c r="E193">
        <f>HYPERLINK("https://www.indeed.com/viewjob?jk=7ef30c1a0b1c10b2", "https://www.indeed.com/viewjob?jk=7ef30c1a0b1c10b2")</f>
        <v/>
      </c>
      <c r="F193">
        <f>HYPERLINK("https://www.amazon.jobs/jobs/3084479/sr-applied-scientist-prime-video--personalization-and-discovery-science?cmpid=DA_INAD200785B", "https://www.amazon.jobs/jobs/3084479/sr-applied-scientist-prime-video--personalization-and-discovery-science?cmpid=DA_INAD200785B")</f>
        <v/>
      </c>
      <c r="G193" t="inlineStr">
        <is>
          <t>New York, NY, US</t>
        </is>
      </c>
      <c r="H193" s="3" t="n">
        <v>45896</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in-f6fe61fcee79fc54</t>
        </is>
      </c>
      <c r="B194" t="inlineStr">
        <is>
          <t>Sr. Applied Scientist, Prime Video - Personalization and Discovery Science</t>
        </is>
      </c>
      <c r="C194" t="inlineStr">
        <is>
          <t>Amazon.com</t>
        </is>
      </c>
      <c r="D194" t="inlineStr">
        <is>
          <t>indeed</t>
        </is>
      </c>
      <c r="E194">
        <f>HYPERLINK("https://www.indeed.com/viewjob?jk=f6fe61fcee79fc54", "https://www.indeed.com/viewjob?jk=f6fe61fcee79fc54")</f>
        <v/>
      </c>
      <c r="F194">
        <f>HYPERLINK("https://www.amazon.jobs/jobs/3084479/sr-applied-scientist-prime-video--personalization-and-discovery-science?cmpid=DA_INAD200785B", "https://www.amazon.jobs/jobs/3084479/sr-applied-scientist-prime-video--personalization-and-discovery-science?cmpid=DA_INAD200785B")</f>
        <v/>
      </c>
      <c r="G194" t="inlineStr">
        <is>
          <t>Sunnyvale, CA, US</t>
        </is>
      </c>
      <c r="H194" s="3" t="n">
        <v>45896</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in-9c55fdfdad490b1a</t>
        </is>
      </c>
      <c r="B195" t="inlineStr">
        <is>
          <t>Sr. Applied Scientist, Recommendations and Search</t>
        </is>
      </c>
      <c r="C195" t="inlineStr">
        <is>
          <t>Amazon.com</t>
        </is>
      </c>
      <c r="D195" t="inlineStr">
        <is>
          <t>indeed</t>
        </is>
      </c>
      <c r="E195">
        <f>HYPERLINK("https://www.indeed.com/viewjob?jk=9c55fdfdad490b1a", "https://www.indeed.com/viewjob?jk=9c55fdfdad490b1a")</f>
        <v/>
      </c>
      <c r="F195">
        <f>HYPERLINK("https://www.amazon.jobs/jobs/3062562/sr-applied-scientist-recommendations-and-search?cmpid=DA_INAD200785B", "https://www.amazon.jobs/jobs/3062562/sr-applied-scientist-recommendations-and-search?cmpid=DA_INAD200785B")</f>
        <v/>
      </c>
      <c r="G195" t="inlineStr">
        <is>
          <t>New York, NY, US</t>
        </is>
      </c>
      <c r="H195" s="3" t="n">
        <v>45888</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in-a9881605d52487e8</t>
        </is>
      </c>
      <c r="B196" t="inlineStr">
        <is>
          <t>Sr. Applied Scientist, Recommendations and Search</t>
        </is>
      </c>
      <c r="C196" t="inlineStr">
        <is>
          <t>Amazon.com</t>
        </is>
      </c>
      <c r="D196" t="inlineStr">
        <is>
          <t>indeed</t>
        </is>
      </c>
      <c r="E196">
        <f>HYPERLINK("https://www.indeed.com/viewjob?jk=a9881605d52487e8", "https://www.indeed.com/viewjob?jk=a9881605d52487e8")</f>
        <v/>
      </c>
      <c r="F196">
        <f>HYPERLINK("https://www.amazon.jobs/jobs/3062562/sr-applied-scientist-recommendations-and-search?cmpid=DA_INAD200785B", "https://www.amazon.jobs/jobs/3062562/sr-applied-scientist-recommendations-and-search?cmpid=DA_INAD200785B")</f>
        <v/>
      </c>
      <c r="G196" t="inlineStr">
        <is>
          <t>Seattle, WA, US</t>
        </is>
      </c>
      <c r="H196" s="3" t="n">
        <v>45888</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in-ccc44d7b128e03a7</t>
        </is>
      </c>
      <c r="B197" t="inlineStr">
        <is>
          <t>Sr. Applied Scientist, Recommendations and Search</t>
        </is>
      </c>
      <c r="C197" t="inlineStr">
        <is>
          <t>Amazon.com</t>
        </is>
      </c>
      <c r="D197" t="inlineStr">
        <is>
          <t>indeed</t>
        </is>
      </c>
      <c r="E197">
        <f>HYPERLINK("https://www.indeed.com/viewjob?jk=ccc44d7b128e03a7", "https://www.indeed.com/viewjob?jk=ccc44d7b128e03a7")</f>
        <v/>
      </c>
      <c r="F197">
        <f>HYPERLINK("https://www.amazon.jobs/jobs/3062562/sr-applied-scientist-recommendations-and-search?cmpid=DA_INAD200785B", "https://www.amazon.jobs/jobs/3062562/sr-applied-scientist-recommendations-and-search?cmpid=DA_INAD200785B")</f>
        <v/>
      </c>
      <c r="G197" t="inlineStr">
        <is>
          <t>Sunnyvale, CA, US</t>
        </is>
      </c>
      <c r="H197" s="3" t="n">
        <v>45888</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in-63a96aeb7b2158c8</t>
        </is>
      </c>
      <c r="B198" t="inlineStr">
        <is>
          <t>Applied Scientist II, Prime Video - Personalization and Discovery Science, Personalization and Discovery Science</t>
        </is>
      </c>
      <c r="C198" t="inlineStr">
        <is>
          <t>Amazon.com</t>
        </is>
      </c>
      <c r="D198" t="inlineStr">
        <is>
          <t>indeed</t>
        </is>
      </c>
      <c r="E198">
        <f>HYPERLINK("https://www.indeed.com/viewjob?jk=63a96aeb7b2158c8", "https://www.indeed.com/viewjob?jk=63a96aeb7b2158c8")</f>
        <v/>
      </c>
      <c r="F198">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98" t="inlineStr">
        <is>
          <t>Sunnyvale, CA, US</t>
        </is>
      </c>
      <c r="H198" s="3" t="n">
        <v>45886</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in-295f7574cce91674</t>
        </is>
      </c>
      <c r="B199" t="inlineStr">
        <is>
          <t>Sr. Applied Scientist, Prime Video - Personalization and Discovery Science</t>
        </is>
      </c>
      <c r="C199" t="inlineStr">
        <is>
          <t>Amazon.com</t>
        </is>
      </c>
      <c r="D199" t="inlineStr">
        <is>
          <t>indeed</t>
        </is>
      </c>
      <c r="E199">
        <f>HYPERLINK("https://www.indeed.com/viewjob?jk=295f7574cce91674", "https://www.indeed.com/viewjob?jk=295f7574cce91674")</f>
        <v/>
      </c>
      <c r="F199">
        <f>HYPERLINK("https://www.amazon.jobs/jobs/3061266/sr-applied-scientist-prime-video--personalization-and-discovery-science?cmpid=DA_INAD200785B", "https://www.amazon.jobs/jobs/3061266/sr-applied-scientist-prime-video--personalization-and-discovery-science?cmpid=DA_INAD200785B")</f>
        <v/>
      </c>
      <c r="G199" t="inlineStr">
        <is>
          <t>New York, NY, US</t>
        </is>
      </c>
      <c r="H199" s="3" t="n">
        <v>45886</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in-e0a5360aa36c095b</t>
        </is>
      </c>
      <c r="B200" t="inlineStr">
        <is>
          <t>Applied Scientist II, Prime Video - Personalization and Discovery Science, Personalization and Discovery Science</t>
        </is>
      </c>
      <c r="C200" t="inlineStr">
        <is>
          <t>Amazon.com</t>
        </is>
      </c>
      <c r="D200" t="inlineStr">
        <is>
          <t>indeed</t>
        </is>
      </c>
      <c r="E200">
        <f>HYPERLINK("https://www.indeed.com/viewjob?jk=e0a5360aa36c095b", "https://www.indeed.com/viewjob?jk=e0a5360aa36c095b")</f>
        <v/>
      </c>
      <c r="F200">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200" t="inlineStr">
        <is>
          <t>New York, NY, US</t>
        </is>
      </c>
      <c r="H200" s="3" t="n">
        <v>45886</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in-2b4eeaeaa3fb8b4f</t>
        </is>
      </c>
      <c r="B201" t="inlineStr">
        <is>
          <t>Sr. Applied Scientist, Prime Video - Personalization and Discovery Science</t>
        </is>
      </c>
      <c r="C201" t="inlineStr">
        <is>
          <t>Amazon.com</t>
        </is>
      </c>
      <c r="D201" t="inlineStr">
        <is>
          <t>indeed</t>
        </is>
      </c>
      <c r="E201">
        <f>HYPERLINK("https://www.indeed.com/viewjob?jk=2b4eeaeaa3fb8b4f", "https://www.indeed.com/viewjob?jk=2b4eeaeaa3fb8b4f")</f>
        <v/>
      </c>
      <c r="F201">
        <f>HYPERLINK("https://www.amazon.jobs/jobs/3061266/sr-applied-scientist-prime-video--personalization-and-discovery-science?cmpid=DA_INAD200785B", "https://www.amazon.jobs/jobs/3061266/sr-applied-scientist-prime-video--personalization-and-discovery-science?cmpid=DA_INAD200785B")</f>
        <v/>
      </c>
      <c r="G201" t="inlineStr">
        <is>
          <t>Seattle, WA, US</t>
        </is>
      </c>
      <c r="H201" s="3" t="n">
        <v>45886</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in-49e4b045316be808</t>
        </is>
      </c>
      <c r="B202" t="inlineStr">
        <is>
          <t>Applied Scientist II, Prime Video - Personalization and Discovery Science, Personalization and Discovery Science</t>
        </is>
      </c>
      <c r="C202" t="inlineStr">
        <is>
          <t>Amazon.com</t>
        </is>
      </c>
      <c r="D202" t="inlineStr">
        <is>
          <t>indeed</t>
        </is>
      </c>
      <c r="E202">
        <f>HYPERLINK("https://www.indeed.com/viewjob?jk=49e4b045316be808", "https://www.indeed.com/viewjob?jk=49e4b045316be808")</f>
        <v/>
      </c>
      <c r="F202">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202" t="inlineStr">
        <is>
          <t>Seattle, WA, US</t>
        </is>
      </c>
      <c r="H202" s="3" t="n">
        <v>45886</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in-ea7eeff3814c8c9b</t>
        </is>
      </c>
      <c r="B203" t="inlineStr">
        <is>
          <t>Sr. Applied Scientist, Prime Video - Personalization and Discovery Science</t>
        </is>
      </c>
      <c r="C203" t="inlineStr">
        <is>
          <t>Amazon.com</t>
        </is>
      </c>
      <c r="D203" t="inlineStr">
        <is>
          <t>indeed</t>
        </is>
      </c>
      <c r="E203">
        <f>HYPERLINK("https://www.indeed.com/viewjob?jk=ea7eeff3814c8c9b", "https://www.indeed.com/viewjob?jk=ea7eeff3814c8c9b")</f>
        <v/>
      </c>
      <c r="F203">
        <f>HYPERLINK("https://www.amazon.jobs/jobs/3061266/sr-applied-scientist-prime-video--personalization-and-discovery-science?cmpid=DA_INAD200785B", "https://www.amazon.jobs/jobs/3061266/sr-applied-scientist-prime-video--personalization-and-discovery-science?cmpid=DA_INAD200785B")</f>
        <v/>
      </c>
      <c r="G203" t="inlineStr">
        <is>
          <t>Sunnyvale, CA, US</t>
        </is>
      </c>
      <c r="H203" s="3" t="n">
        <v>45886</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in-d272a6b67227197d</t>
        </is>
      </c>
      <c r="B204" t="inlineStr">
        <is>
          <t>Applied Scientist II, Prime Video - Personalization and Discovery Science</t>
        </is>
      </c>
      <c r="C204" t="inlineStr">
        <is>
          <t>Amazon.com</t>
        </is>
      </c>
      <c r="D204" t="inlineStr">
        <is>
          <t>indeed</t>
        </is>
      </c>
      <c r="E204">
        <f>HYPERLINK("https://www.indeed.com/viewjob?jk=d272a6b67227197d", "https://www.indeed.com/viewjob?jk=d272a6b67227197d")</f>
        <v/>
      </c>
      <c r="F204">
        <f>HYPERLINK("https://www.amazon.jobs/jobs/3059253/applied-scientist-ii-prime-video--personalization-and-discovery-science?cmpid=DA_INAD200785B", "https://www.amazon.jobs/jobs/3059253/applied-scientist-ii-prime-video--personalization-and-discovery-science?cmpid=DA_INAD200785B")</f>
        <v/>
      </c>
      <c r="G204" t="inlineStr">
        <is>
          <t>Sunnyvale, CA, US</t>
        </is>
      </c>
      <c r="H204" s="3" t="n">
        <v>45881</v>
      </c>
      <c r="I2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in-3c795f93cf8fdd60</t>
        </is>
      </c>
      <c r="B205" t="inlineStr">
        <is>
          <t>Sr. Applied Scientist, Prime Video - Personalization and Discovery Science</t>
        </is>
      </c>
      <c r="C205" t="inlineStr">
        <is>
          <t>Amazon.com</t>
        </is>
      </c>
      <c r="D205" t="inlineStr">
        <is>
          <t>indeed</t>
        </is>
      </c>
      <c r="E205">
        <f>HYPERLINK("https://www.indeed.com/viewjob?jk=3c795f93cf8fdd60", "https://www.indeed.com/viewjob?jk=3c795f93cf8fdd60")</f>
        <v/>
      </c>
      <c r="F205">
        <f>HYPERLINK("https://www.amazon.jobs/jobs/3059256/sr-applied-scientist-prime-video--personalization-and-discovery-science?cmpid=DA_INAD200785B", "https://www.amazon.jobs/jobs/3059256/sr-applied-scientist-prime-video--personalization-and-discovery-science?cmpid=DA_INAD200785B")</f>
        <v/>
      </c>
      <c r="G205" t="inlineStr">
        <is>
          <t>New York, NY, US</t>
        </is>
      </c>
      <c r="H205" s="3" t="n">
        <v>45881</v>
      </c>
      <c r="I2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in-b79fd3c92afab75b</t>
        </is>
      </c>
      <c r="B206" t="inlineStr">
        <is>
          <t>Applied Scientist II, Prime Video - Personalization and Discovery Science</t>
        </is>
      </c>
      <c r="C206" t="inlineStr">
        <is>
          <t>Amazon.com</t>
        </is>
      </c>
      <c r="D206" t="inlineStr">
        <is>
          <t>indeed</t>
        </is>
      </c>
      <c r="E206">
        <f>HYPERLINK("https://www.indeed.com/viewjob?jk=b79fd3c92afab75b", "https://www.indeed.com/viewjob?jk=b79fd3c92afab75b")</f>
        <v/>
      </c>
      <c r="F206">
        <f>HYPERLINK("https://www.amazon.jobs/jobs/3059253/applied-scientist-ii-prime-video--personalization-and-discovery-science?cmpid=DA_INAD200785B", "https://www.amazon.jobs/jobs/3059253/applied-scientist-ii-prime-video--personalization-and-discovery-science?cmpid=DA_INAD200785B")</f>
        <v/>
      </c>
      <c r="G206" t="inlineStr">
        <is>
          <t>New York, NY, US</t>
        </is>
      </c>
      <c r="H206" s="3" t="n">
        <v>45881</v>
      </c>
      <c r="I2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in-9f2ad32faa2f1c9a</t>
        </is>
      </c>
      <c r="B207" t="inlineStr">
        <is>
          <t>Applied Scientist II, Prime Video - Personalization and Discovery Science</t>
        </is>
      </c>
      <c r="C207" t="inlineStr">
        <is>
          <t>Amazon.com</t>
        </is>
      </c>
      <c r="D207" t="inlineStr">
        <is>
          <t>indeed</t>
        </is>
      </c>
      <c r="E207">
        <f>HYPERLINK("https://www.indeed.com/viewjob?jk=9f2ad32faa2f1c9a", "https://www.indeed.com/viewjob?jk=9f2ad32faa2f1c9a")</f>
        <v/>
      </c>
      <c r="F207">
        <f>HYPERLINK("https://www.amazon.jobs/jobs/3059253/applied-scientist-ii-prime-video--personalization-and-discovery-science?cmpid=DA_INAD200785B", "https://www.amazon.jobs/jobs/3059253/applied-scientist-ii-prime-video--personalization-and-discovery-science?cmpid=DA_INAD200785B")</f>
        <v/>
      </c>
      <c r="G207" t="inlineStr">
        <is>
          <t>Seattle, WA, US</t>
        </is>
      </c>
      <c r="H207" s="3" t="n">
        <v>45881</v>
      </c>
      <c r="I2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in-4ceb4d7b8eff6226</t>
        </is>
      </c>
      <c r="B208" t="inlineStr">
        <is>
          <t>Sr. Applied Scientist, Prime Video - Personalization and Discovery Science</t>
        </is>
      </c>
      <c r="C208" t="inlineStr">
        <is>
          <t>Amazon.com</t>
        </is>
      </c>
      <c r="D208" t="inlineStr">
        <is>
          <t>indeed</t>
        </is>
      </c>
      <c r="E208">
        <f>HYPERLINK("https://www.indeed.com/viewjob?jk=4ceb4d7b8eff6226", "https://www.indeed.com/viewjob?jk=4ceb4d7b8eff6226")</f>
        <v/>
      </c>
      <c r="F208">
        <f>HYPERLINK("https://www.amazon.jobs/jobs/3059256/sr-applied-scientist-prime-video--personalization-and-discovery-science?cmpid=DA_INAD200785B", "https://www.amazon.jobs/jobs/3059256/sr-applied-scientist-prime-video--personalization-and-discovery-science?cmpid=DA_INAD200785B")</f>
        <v/>
      </c>
      <c r="G208" t="inlineStr">
        <is>
          <t>Seattle, WA, US</t>
        </is>
      </c>
      <c r="H208" s="3" t="n">
        <v>45881</v>
      </c>
      <c r="I2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in-9dbd8812199784cf</t>
        </is>
      </c>
      <c r="B209" t="inlineStr">
        <is>
          <t>Sr. Applied Scientist, Prime Video - Personalization and Discovery Science</t>
        </is>
      </c>
      <c r="C209" t="inlineStr">
        <is>
          <t>Amazon.com</t>
        </is>
      </c>
      <c r="D209" t="inlineStr">
        <is>
          <t>indeed</t>
        </is>
      </c>
      <c r="E209">
        <f>HYPERLINK("https://www.indeed.com/viewjob?jk=9dbd8812199784cf", "https://www.indeed.com/viewjob?jk=9dbd8812199784cf")</f>
        <v/>
      </c>
      <c r="F209">
        <f>HYPERLINK("https://www.amazon.jobs/jobs/3059256/sr-applied-scientist-prime-video--personalization-and-discovery-science?cmpid=DA_INAD200785B", "https://www.amazon.jobs/jobs/3059256/sr-applied-scientist-prime-video--personalization-and-discovery-science?cmpid=DA_INAD200785B")</f>
        <v/>
      </c>
      <c r="G209" t="inlineStr">
        <is>
          <t>Sunnyvale, CA, US</t>
        </is>
      </c>
      <c r="H209" s="3" t="n">
        <v>45881</v>
      </c>
      <c r="I2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in-a21c9309d6843c36</t>
        </is>
      </c>
      <c r="B210" t="inlineStr">
        <is>
          <t>Applied Scientist II, Prime Video Personalization and Discovery Science</t>
        </is>
      </c>
      <c r="C210" t="inlineStr">
        <is>
          <t>Amazon.com</t>
        </is>
      </c>
      <c r="D210" t="inlineStr">
        <is>
          <t>indeed</t>
        </is>
      </c>
      <c r="E210">
        <f>HYPERLINK("https://www.indeed.com/viewjob?jk=a21c9309d6843c36", "https://www.indeed.com/viewjob?jk=a21c9309d6843c36")</f>
        <v/>
      </c>
      <c r="F210">
        <f>HYPERLINK("https://www.amazon.jobs/jobs/3046662/applied-scientist-ii-prime-video-personalization-and-discovery-science?cmpid=DA_INAD200785B", "https://www.amazon.jobs/jobs/3046662/applied-scientist-ii-prime-video-personalization-and-discovery-science?cmpid=DA_INAD200785B")</f>
        <v/>
      </c>
      <c r="G210" t="inlineStr">
        <is>
          <t>New York, NY, US</t>
        </is>
      </c>
      <c r="H210" s="3" t="n">
        <v>45859</v>
      </c>
      <c r="I2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in-2265f61c592ee5ff</t>
        </is>
      </c>
      <c r="B211" t="inlineStr">
        <is>
          <t>Principal Applied Scientist, AGI Foundations, AGI Foundations</t>
        </is>
      </c>
      <c r="C211" t="inlineStr">
        <is>
          <t>Amazon.com</t>
        </is>
      </c>
      <c r="D211" t="inlineStr">
        <is>
          <t>indeed</t>
        </is>
      </c>
      <c r="E211">
        <f>HYPERLINK("https://www.indeed.com/viewjob?jk=2265f61c592ee5ff", "https://www.indeed.com/viewjob?jk=2265f61c592ee5ff")</f>
        <v/>
      </c>
      <c r="F211">
        <f>HYPERLINK("https://www.amazon.jobs/jobs/3047563/principal-applied-scientist-agi-foundations-agi-foundations?cmpid=DA_INAD200785B", "https://www.amazon.jobs/jobs/3047563/principal-applied-scientist-agi-foundations-agi-foundations?cmpid=DA_INAD200785B")</f>
        <v/>
      </c>
      <c r="G211" t="inlineStr">
        <is>
          <t>New York, NY, US</t>
        </is>
      </c>
      <c r="H211" s="3" t="n">
        <v>45856</v>
      </c>
      <c r="I21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in-cc7f69d96ecc99fb</t>
        </is>
      </c>
      <c r="B212" t="inlineStr">
        <is>
          <t>Principal Applied Scientist, AGI Foundations, AGI Foundations</t>
        </is>
      </c>
      <c r="C212" t="inlineStr">
        <is>
          <t>Amazon.com</t>
        </is>
      </c>
      <c r="D212" t="inlineStr">
        <is>
          <t>indeed</t>
        </is>
      </c>
      <c r="E212">
        <f>HYPERLINK("https://www.indeed.com/viewjob?jk=cc7f69d96ecc99fb", "https://www.indeed.com/viewjob?jk=cc7f69d96ecc99fb")</f>
        <v/>
      </c>
      <c r="F212">
        <f>HYPERLINK("https://www.amazon.jobs/jobs/3047563/principal-applied-scientist-agi-foundations-agi-foundations?cmpid=DA_INAD200785B", "https://www.amazon.jobs/jobs/3047563/principal-applied-scientist-agi-foundations-agi-foundations?cmpid=DA_INAD200785B")</f>
        <v/>
      </c>
      <c r="G212" t="inlineStr">
        <is>
          <t>Sunnyvale, CA, US</t>
        </is>
      </c>
      <c r="H212" s="3" t="n">
        <v>45856</v>
      </c>
      <c r="I21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in-bdd94642cabaa65f</t>
        </is>
      </c>
      <c r="B213" t="inlineStr">
        <is>
          <t>Principal Applied Scientist, AGI Foundations, AGI Foundations</t>
        </is>
      </c>
      <c r="C213" t="inlineStr">
        <is>
          <t>Amazon.com</t>
        </is>
      </c>
      <c r="D213" t="inlineStr">
        <is>
          <t>indeed</t>
        </is>
      </c>
      <c r="E213">
        <f>HYPERLINK("https://www.indeed.com/viewjob?jk=bdd94642cabaa65f", "https://www.indeed.com/viewjob?jk=bdd94642cabaa65f")</f>
        <v/>
      </c>
      <c r="F213">
        <f>HYPERLINK("https://www.amazon.jobs/jobs/3047563/principal-applied-scientist-agi-foundations-agi-foundations?cmpid=DA_INAD200785B", "https://www.amazon.jobs/jobs/3047563/principal-applied-scientist-agi-foundations-agi-foundations?cmpid=DA_INAD200785B")</f>
        <v/>
      </c>
      <c r="G213" t="inlineStr">
        <is>
          <t>Boston, MA, US</t>
        </is>
      </c>
      <c r="H213" s="3" t="n">
        <v>45856</v>
      </c>
      <c r="I21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in-13dfe606d547eb64</t>
        </is>
      </c>
      <c r="B214" t="inlineStr">
        <is>
          <t>Principal Applied Scientist, AGI Foundations, AGI Foundations</t>
        </is>
      </c>
      <c r="C214" t="inlineStr">
        <is>
          <t>Amazon.com</t>
        </is>
      </c>
      <c r="D214" t="inlineStr">
        <is>
          <t>indeed</t>
        </is>
      </c>
      <c r="E214">
        <f>HYPERLINK("https://www.indeed.com/viewjob?jk=13dfe606d547eb64", "https://www.indeed.com/viewjob?jk=13dfe606d547eb64")</f>
        <v/>
      </c>
      <c r="F214">
        <f>HYPERLINK("https://www.amazon.jobs/jobs/3047563/principal-applied-scientist-agi-foundations-agi-foundations?cmpid=DA_INAD200785B", "https://www.amazon.jobs/jobs/3047563/principal-applied-scientist-agi-foundations-agi-foundations?cmpid=DA_INAD200785B")</f>
        <v/>
      </c>
      <c r="G214" t="inlineStr">
        <is>
          <t>Bellevue, WA, US</t>
        </is>
      </c>
      <c r="H214" s="3" t="n">
        <v>45856</v>
      </c>
      <c r="I21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in-e4a4171a261c972e</t>
        </is>
      </c>
      <c r="B215" t="inlineStr">
        <is>
          <t>Sr. Applied Scientist, Amazon Advertising</t>
        </is>
      </c>
      <c r="C215" t="inlineStr">
        <is>
          <t>Amazon.com</t>
        </is>
      </c>
      <c r="D215" t="inlineStr">
        <is>
          <t>indeed</t>
        </is>
      </c>
      <c r="E215">
        <f>HYPERLINK("https://www.indeed.com/viewjob?jk=e4a4171a261c972e", "https://www.indeed.com/viewjob?jk=e4a4171a261c972e")</f>
        <v/>
      </c>
      <c r="F215">
        <f>HYPERLINK("https://www.amazon.jobs/jobs/3035686/sr-applied-scientist-amazon-advertising?cmpid=DA_INAD200785B", "https://www.amazon.jobs/jobs/3035686/sr-applied-scientist-amazon-advertising?cmpid=DA_INAD200785B")</f>
        <v/>
      </c>
      <c r="G215" t="inlineStr">
        <is>
          <t>Palo Alto, CA, US</t>
        </is>
      </c>
      <c r="H215" s="3" t="n">
        <v>45851</v>
      </c>
      <c r="I2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in-e3640f413b615a52</t>
        </is>
      </c>
      <c r="B216" t="inlineStr">
        <is>
          <t>Sr. Applied Scientist, Amazon Advertising</t>
        </is>
      </c>
      <c r="C216" t="inlineStr">
        <is>
          <t>Amazon.com</t>
        </is>
      </c>
      <c r="D216" t="inlineStr">
        <is>
          <t>indeed</t>
        </is>
      </c>
      <c r="E216">
        <f>HYPERLINK("https://www.indeed.com/viewjob?jk=e3640f413b615a52", "https://www.indeed.com/viewjob?jk=e3640f413b615a52")</f>
        <v/>
      </c>
      <c r="F216">
        <f>HYPERLINK("https://www.amazon.jobs/jobs/3035686/sr-applied-scientist-amazon-advertising?cmpid=DA_INAD200785B", "https://www.amazon.jobs/jobs/3035686/sr-applied-scientist-amazon-advertising?cmpid=DA_INAD200785B")</f>
        <v/>
      </c>
      <c r="G216" t="inlineStr">
        <is>
          <t>New York, NY, US</t>
        </is>
      </c>
      <c r="H216" s="3" t="n">
        <v>45851</v>
      </c>
      <c r="I2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in-a016b5d47a52012c</t>
        </is>
      </c>
      <c r="B217" t="inlineStr">
        <is>
          <t>Sr. Applied Scientist, Amazon Advertising</t>
        </is>
      </c>
      <c r="C217" t="inlineStr">
        <is>
          <t>Amazon.com</t>
        </is>
      </c>
      <c r="D217" t="inlineStr">
        <is>
          <t>indeed</t>
        </is>
      </c>
      <c r="E217">
        <f>HYPERLINK("https://www.indeed.com/viewjob?jk=a016b5d47a52012c", "https://www.indeed.com/viewjob?jk=a016b5d47a52012c")</f>
        <v/>
      </c>
      <c r="F217">
        <f>HYPERLINK("https://www.amazon.jobs/jobs/3035686/sr-applied-scientist-amazon-advertising?cmpid=DA_INAD200785B", "https://www.amazon.jobs/jobs/3035686/sr-applied-scientist-amazon-advertising?cmpid=DA_INAD200785B")</f>
        <v/>
      </c>
      <c r="G217" t="inlineStr">
        <is>
          <t>Simi Valley, CA, US</t>
        </is>
      </c>
      <c r="H217" s="3" t="n">
        <v>45851</v>
      </c>
      <c r="I2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in-ee22d67457a7f23a</t>
        </is>
      </c>
      <c r="B218" t="inlineStr">
        <is>
          <t>Sr. Applied Scientist, Amazon Advertising</t>
        </is>
      </c>
      <c r="C218" t="inlineStr">
        <is>
          <t>Amazon.com</t>
        </is>
      </c>
      <c r="D218" t="inlineStr">
        <is>
          <t>indeed</t>
        </is>
      </c>
      <c r="E218">
        <f>HYPERLINK("https://www.indeed.com/viewjob?jk=ee22d67457a7f23a", "https://www.indeed.com/viewjob?jk=ee22d67457a7f23a")</f>
        <v/>
      </c>
      <c r="F218">
        <f>HYPERLINK("https://www.amazon.jobs/jobs/3035686/sr-applied-scientist-amazon-advertising?cmpid=DA_INAD200785B", "https://www.amazon.jobs/jobs/3035686/sr-applied-scientist-amazon-advertising?cmpid=DA_INAD200785B")</f>
        <v/>
      </c>
      <c r="G218" t="inlineStr">
        <is>
          <t>Los Angeles, CA, US</t>
        </is>
      </c>
      <c r="H218" s="3" t="n">
        <v>45851</v>
      </c>
      <c r="I2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in-3e4adae1de7fab1e</t>
        </is>
      </c>
      <c r="B219" t="inlineStr">
        <is>
          <t>Sr. Applied Scientist, Amazon Advertising</t>
        </is>
      </c>
      <c r="C219" t="inlineStr">
        <is>
          <t>Amazon.com</t>
        </is>
      </c>
      <c r="D219" t="inlineStr">
        <is>
          <t>indeed</t>
        </is>
      </c>
      <c r="E219">
        <f>HYPERLINK("https://www.indeed.com/viewjob?jk=3e4adae1de7fab1e", "https://www.indeed.com/viewjob?jk=3e4adae1de7fab1e")</f>
        <v/>
      </c>
      <c r="F219">
        <f>HYPERLINK("https://www.amazon.jobs/jobs/3035686/sr-applied-scientist-amazon-advertising?cmpid=DA_INAD200785B", "https://www.amazon.jobs/jobs/3035686/sr-applied-scientist-amazon-advertising?cmpid=DA_INAD200785B")</f>
        <v/>
      </c>
      <c r="G219" t="inlineStr">
        <is>
          <t>West Hollywood, CA, US</t>
        </is>
      </c>
      <c r="H219" s="3" t="n">
        <v>45851</v>
      </c>
      <c r="I2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in-e0432a8c858044d7</t>
        </is>
      </c>
      <c r="B220" t="inlineStr">
        <is>
          <t>Sr. Applied Scientist, Amazon Advertising</t>
        </is>
      </c>
      <c r="C220" t="inlineStr">
        <is>
          <t>Amazon.com</t>
        </is>
      </c>
      <c r="D220" t="inlineStr">
        <is>
          <t>indeed</t>
        </is>
      </c>
      <c r="E220">
        <f>HYPERLINK("https://www.indeed.com/viewjob?jk=e0432a8c858044d7", "https://www.indeed.com/viewjob?jk=e0432a8c858044d7")</f>
        <v/>
      </c>
      <c r="F220">
        <f>HYPERLINK("https://www.amazon.jobs/jobs/3035686/sr-applied-scientist-amazon-advertising?cmpid=DA_INAD200785B", "https://www.amazon.jobs/jobs/3035686/sr-applied-scientist-amazon-advertising?cmpid=DA_INAD200785B")</f>
        <v/>
      </c>
      <c r="G220" t="inlineStr">
        <is>
          <t>Arlington, VA, US</t>
        </is>
      </c>
      <c r="H220" s="3" t="n">
        <v>45851</v>
      </c>
      <c r="I2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in-b45ac9c04c3d0eac</t>
        </is>
      </c>
      <c r="B221" t="inlineStr">
        <is>
          <t>Sr. Applied Scientist, Amazon Advertising</t>
        </is>
      </c>
      <c r="C221" t="inlineStr">
        <is>
          <t>Amazon.com</t>
        </is>
      </c>
      <c r="D221" t="inlineStr">
        <is>
          <t>indeed</t>
        </is>
      </c>
      <c r="E221">
        <f>HYPERLINK("https://www.indeed.com/viewjob?jk=b45ac9c04c3d0eac", "https://www.indeed.com/viewjob?jk=b45ac9c04c3d0eac")</f>
        <v/>
      </c>
      <c r="F221">
        <f>HYPERLINK("https://www.amazon.jobs/jobs/3035686/sr-applied-scientist-amazon-advertising?cmpid=DA_INAD200785B", "https://www.amazon.jobs/jobs/3035686/sr-applied-scientist-amazon-advertising?cmpid=DA_INAD200785B")</f>
        <v/>
      </c>
      <c r="G221" t="inlineStr">
        <is>
          <t>Austin, TX, US</t>
        </is>
      </c>
      <c r="H221" s="3" t="n">
        <v>45851</v>
      </c>
      <c r="I22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in-dc45b03c70e17ea7</t>
        </is>
      </c>
      <c r="B222" t="inlineStr">
        <is>
          <t>Sr. Applied Scientist, Amazon Advertising</t>
        </is>
      </c>
      <c r="C222" t="inlineStr">
        <is>
          <t>Amazon.com</t>
        </is>
      </c>
      <c r="D222" t="inlineStr">
        <is>
          <t>indeed</t>
        </is>
      </c>
      <c r="E222">
        <f>HYPERLINK("https://www.indeed.com/viewjob?jk=dc45b03c70e17ea7", "https://www.indeed.com/viewjob?jk=dc45b03c70e17ea7")</f>
        <v/>
      </c>
      <c r="F222">
        <f>HYPERLINK("https://www.amazon.jobs/jobs/3035686/sr-applied-scientist-amazon-advertising?cmpid=DA_INAD200785B", "https://www.amazon.jobs/jobs/3035686/sr-applied-scientist-amazon-advertising?cmpid=DA_INAD200785B")</f>
        <v/>
      </c>
      <c r="G222" t="inlineStr">
        <is>
          <t>Seattle, WA, US</t>
        </is>
      </c>
      <c r="H222" s="3" t="n">
        <v>45851</v>
      </c>
      <c r="I22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in-fae63cd729b07732</t>
        </is>
      </c>
      <c r="B223" t="inlineStr">
        <is>
          <t>Senior Applied Scientist, Artificial General Intelligence</t>
        </is>
      </c>
      <c r="C223" t="inlineStr">
        <is>
          <t>Amazon.com</t>
        </is>
      </c>
      <c r="D223" t="inlineStr">
        <is>
          <t>indeed</t>
        </is>
      </c>
      <c r="E223">
        <f>HYPERLINK("https://www.indeed.com/viewjob?jk=fae63cd729b07732", "https://www.indeed.com/viewjob?jk=fae63cd729b07732")</f>
        <v/>
      </c>
      <c r="F223">
        <f>HYPERLINK("https://www.amazon.jobs/jobs/3029958/senior-applied-scientist-artificial-general-intelligence?cmpid=DA_INAD200785B", "https://www.amazon.jobs/jobs/3029958/senior-applied-scientist-artificial-general-intelligence?cmpid=DA_INAD200785B")</f>
        <v/>
      </c>
      <c r="G223" t="inlineStr">
        <is>
          <t>Sunnyvale, CA, US</t>
        </is>
      </c>
      <c r="H223" s="3" t="n">
        <v>45846</v>
      </c>
      <c r="I22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in-e3f3b4eb6602bcfe</t>
        </is>
      </c>
      <c r="B224" t="inlineStr">
        <is>
          <t>Senior Applied Scientist, Artificial General Intelligence</t>
        </is>
      </c>
      <c r="C224" t="inlineStr">
        <is>
          <t>Amazon.com</t>
        </is>
      </c>
      <c r="D224" t="inlineStr">
        <is>
          <t>indeed</t>
        </is>
      </c>
      <c r="E224">
        <f>HYPERLINK("https://www.indeed.com/viewjob?jk=e3f3b4eb6602bcfe", "https://www.indeed.com/viewjob?jk=e3f3b4eb6602bcfe")</f>
        <v/>
      </c>
      <c r="F224">
        <f>HYPERLINK("https://www.amazon.jobs/jobs/3029958/senior-applied-scientist-artificial-general-intelligence?cmpid=DA_INAD200785B", "https://www.amazon.jobs/jobs/3029958/senior-applied-scientist-artificial-general-intelligence?cmpid=DA_INAD200785B")</f>
        <v/>
      </c>
      <c r="G224" t="inlineStr">
        <is>
          <t>Seattle, WA, US</t>
        </is>
      </c>
      <c r="H224" s="3" t="n">
        <v>45846</v>
      </c>
      <c r="I22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in-bf498f040dbaf378</t>
        </is>
      </c>
      <c r="B225" t="inlineStr">
        <is>
          <t>Senior Applied Scientist, Artificial General Intelligence</t>
        </is>
      </c>
      <c r="C225" t="inlineStr">
        <is>
          <t>Amazon.com</t>
        </is>
      </c>
      <c r="D225" t="inlineStr">
        <is>
          <t>indeed</t>
        </is>
      </c>
      <c r="E225">
        <f>HYPERLINK("https://www.indeed.com/viewjob?jk=bf498f040dbaf378", "https://www.indeed.com/viewjob?jk=bf498f040dbaf378")</f>
        <v/>
      </c>
      <c r="F225">
        <f>HYPERLINK("https://www.amazon.jobs/jobs/3029958/senior-applied-scientist-artificial-general-intelligence?cmpid=DA_INAD200785B", "https://www.amazon.jobs/jobs/3029958/senior-applied-scientist-artificial-general-intelligence?cmpid=DA_INAD200785B")</f>
        <v/>
      </c>
      <c r="G225" t="inlineStr">
        <is>
          <t>Boston, MA, US</t>
        </is>
      </c>
      <c r="H225" s="3" t="n">
        <v>45846</v>
      </c>
      <c r="I225"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in-8a6e3bd3463c3f26</t>
        </is>
      </c>
      <c r="B226" t="inlineStr">
        <is>
          <t>Applied Scientist, Prime Video - Personalization and Discovery Science</t>
        </is>
      </c>
      <c r="C226" t="inlineStr">
        <is>
          <t>Amazon.com</t>
        </is>
      </c>
      <c r="D226" t="inlineStr">
        <is>
          <t>indeed</t>
        </is>
      </c>
      <c r="E226">
        <f>HYPERLINK("https://www.indeed.com/viewjob?jk=8a6e3bd3463c3f26", "https://www.indeed.com/viewjob?jk=8a6e3bd3463c3f26")</f>
        <v/>
      </c>
      <c r="F226">
        <f>HYPERLINK("https://www.amazon.jobs/jobs/3033050/applied-scientist-prime-video--personalization-and-discovery-science?cmpid=DA_INAD200785B", "https://www.amazon.jobs/jobs/3033050/applied-scientist-prime-video--personalization-and-discovery-science?cmpid=DA_INAD200785B")</f>
        <v/>
      </c>
      <c r="G226" t="inlineStr">
        <is>
          <t>Seattle, WA, US</t>
        </is>
      </c>
      <c r="H226" s="3" t="n">
        <v>45845</v>
      </c>
      <c r="I2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in-0b2b0bc7932b7da8</t>
        </is>
      </c>
      <c r="B227" t="inlineStr">
        <is>
          <t>Applied Scientist, Prime Video - Personalization and Discovery Science</t>
        </is>
      </c>
      <c r="C227" t="inlineStr">
        <is>
          <t>Amazon.com</t>
        </is>
      </c>
      <c r="D227" t="inlineStr">
        <is>
          <t>indeed</t>
        </is>
      </c>
      <c r="E227">
        <f>HYPERLINK("https://www.indeed.com/viewjob?jk=0b2b0bc7932b7da8", "https://www.indeed.com/viewjob?jk=0b2b0bc7932b7da8")</f>
        <v/>
      </c>
      <c r="F227">
        <f>HYPERLINK("https://www.amazon.jobs/jobs/3033050/applied-scientist-prime-video--personalization-and-discovery-science?cmpid=DA_INAD200785B", "https://www.amazon.jobs/jobs/3033050/applied-scientist-prime-video--personalization-and-discovery-science?cmpid=DA_INAD200785B")</f>
        <v/>
      </c>
      <c r="G227" t="inlineStr">
        <is>
          <t>New York, NY, US</t>
        </is>
      </c>
      <c r="H227" s="3" t="n">
        <v>45845</v>
      </c>
      <c r="I2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in-2a63065c32bf2987</t>
        </is>
      </c>
      <c r="B228" t="inlineStr">
        <is>
          <t>Applied Scientist, Prime Video - Personalization and Discovery Science</t>
        </is>
      </c>
      <c r="C228" t="inlineStr">
        <is>
          <t>Amazon.com</t>
        </is>
      </c>
      <c r="D228" t="inlineStr">
        <is>
          <t>indeed</t>
        </is>
      </c>
      <c r="E228">
        <f>HYPERLINK("https://www.indeed.com/viewjob?jk=2a63065c32bf2987", "https://www.indeed.com/viewjob?jk=2a63065c32bf2987")</f>
        <v/>
      </c>
      <c r="F228">
        <f>HYPERLINK("https://www.amazon.jobs/jobs/3033050/applied-scientist-prime-video--personalization-and-discovery-science?cmpid=DA_INAD200785B", "https://www.amazon.jobs/jobs/3033050/applied-scientist-prime-video--personalization-and-discovery-science?cmpid=DA_INAD200785B")</f>
        <v/>
      </c>
      <c r="G228" t="inlineStr">
        <is>
          <t>Sunnyvale, CA, US</t>
        </is>
      </c>
      <c r="H228" s="3" t="n">
        <v>45845</v>
      </c>
      <c r="I2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in-b251ae9eb166fbeb</t>
        </is>
      </c>
      <c r="B229" t="inlineStr">
        <is>
          <t>Sr. Applied Scientist, Prime Video - Personalization and Discovery Science</t>
        </is>
      </c>
      <c r="C229" t="inlineStr">
        <is>
          <t>Amazon.com</t>
        </is>
      </c>
      <c r="D229" t="inlineStr">
        <is>
          <t>indeed</t>
        </is>
      </c>
      <c r="E229">
        <f>HYPERLINK("https://www.indeed.com/viewjob?jk=b251ae9eb166fbeb", "https://www.indeed.com/viewjob?jk=b251ae9eb166fbeb")</f>
        <v/>
      </c>
      <c r="F229">
        <f>HYPERLINK("https://www.amazon.jobs/jobs/3011754/sr-applied-scientist-prime-video--personalization-and-discovery-science?cmpid=DA_INAD200785B", "https://www.amazon.jobs/jobs/3011754/sr-applied-scientist-prime-video--personalization-and-discovery-science?cmpid=DA_INAD200785B")</f>
        <v/>
      </c>
      <c r="G229" t="inlineStr">
        <is>
          <t>Sunnyvale, CA, US</t>
        </is>
      </c>
      <c r="H229" s="3" t="n">
        <v>45819</v>
      </c>
      <c r="I2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in-243d53ad5ba39f86</t>
        </is>
      </c>
      <c r="B230" t="inlineStr">
        <is>
          <t>Sr. Applied Scientist, Prime Video - Personalization and Discovery Science</t>
        </is>
      </c>
      <c r="C230" t="inlineStr">
        <is>
          <t>Amazon.com</t>
        </is>
      </c>
      <c r="D230" t="inlineStr">
        <is>
          <t>indeed</t>
        </is>
      </c>
      <c r="E230">
        <f>HYPERLINK("https://www.indeed.com/viewjob?jk=243d53ad5ba39f86", "https://www.indeed.com/viewjob?jk=243d53ad5ba39f86")</f>
        <v/>
      </c>
      <c r="F230">
        <f>HYPERLINK("https://www.amazon.jobs/jobs/3011754/sr-applied-scientist-prime-video--personalization-and-discovery-science?cmpid=DA_INAD200785B", "https://www.amazon.jobs/jobs/3011754/sr-applied-scientist-prime-video--personalization-and-discovery-science?cmpid=DA_INAD200785B")</f>
        <v/>
      </c>
      <c r="G230" t="inlineStr">
        <is>
          <t>Seattle, WA, US</t>
        </is>
      </c>
      <c r="H230" s="3" t="n">
        <v>45819</v>
      </c>
      <c r="I2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in-440e4e251ab4553e</t>
        </is>
      </c>
      <c r="B231" t="inlineStr">
        <is>
          <t>Principal Applied Scientist, FAR (Frontier AI &amp; Robotics)</t>
        </is>
      </c>
      <c r="C231" t="inlineStr">
        <is>
          <t>Amazon.com</t>
        </is>
      </c>
      <c r="D231" t="inlineStr">
        <is>
          <t>indeed</t>
        </is>
      </c>
      <c r="E231">
        <f>HYPERLINK("https://www.indeed.com/viewjob?jk=440e4e251ab4553e", "https://www.indeed.com/viewjob?jk=440e4e251ab4553e")</f>
        <v/>
      </c>
      <c r="F231">
        <f>HYPERLINK("https://www.amazon.jobs/jobs/2938625/principal-applied-scientist-far-frontier-ai--robotics?cmpid=DA_INAD200785B", "https://www.amazon.jobs/jobs/2938625/principal-applied-scientist-far-frontier-ai--robotics?cmpid=DA_INAD200785B")</f>
        <v/>
      </c>
      <c r="G231" t="inlineStr">
        <is>
          <t>Seattle, WA, US</t>
        </is>
      </c>
      <c r="H231" s="3" t="n">
        <v>45740</v>
      </c>
      <c r="I23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in-34730eb2f29afa94</t>
        </is>
      </c>
      <c r="B232" t="inlineStr">
        <is>
          <t>Principal Applied Scientist, FAR (Frontier AI &amp; Robotics)</t>
        </is>
      </c>
      <c r="C232" t="inlineStr">
        <is>
          <t>Amazon.com</t>
        </is>
      </c>
      <c r="D232" t="inlineStr">
        <is>
          <t>indeed</t>
        </is>
      </c>
      <c r="E232">
        <f>HYPERLINK("https://www.indeed.com/viewjob?jk=34730eb2f29afa94", "https://www.indeed.com/viewjob?jk=34730eb2f29afa94")</f>
        <v/>
      </c>
      <c r="F232">
        <f>HYPERLINK("https://www.amazon.jobs/jobs/2938625/principal-applied-scientist-far-frontier-ai--robotics?cmpid=DA_INAD200785B", "https://www.amazon.jobs/jobs/2938625/principal-applied-scientist-far-frontier-ai--robotics?cmpid=DA_INAD200785B")</f>
        <v/>
      </c>
      <c r="G232" t="inlineStr">
        <is>
          <t>San Francisco, CA, US</t>
        </is>
      </c>
      <c r="H232" s="3" t="n">
        <v>45740</v>
      </c>
      <c r="I23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in-25e824b84f603485</t>
        </is>
      </c>
      <c r="B233" t="inlineStr">
        <is>
          <t>Google Cloud ML Engineer Vertex AI</t>
        </is>
      </c>
      <c r="C233" t="inlineStr">
        <is>
          <t>Realign</t>
        </is>
      </c>
      <c r="D233" t="inlineStr">
        <is>
          <t>indeed</t>
        </is>
      </c>
      <c r="E233">
        <f>HYPERLINK("https://www.indeed.com/viewjob?jk=25e824b84f603485", "https://www.indeed.com/viewjob?jk=25e824b84f603485")</f>
        <v/>
      </c>
      <c r="F233">
        <f>HYPERLINK("https://realign-llc.com/careers/job-details/IT19504GO", "https://realign-llc.com/careers/job-details/IT19504GO")</f>
        <v/>
      </c>
      <c r="G233" t="inlineStr">
        <is>
          <t>Dallas, TX, US</t>
        </is>
      </c>
      <c r="H233" s="3" t="n">
        <v>46030</v>
      </c>
      <c r="I233" t="inlineStr">
        <is>
          <t>Job Type: Contract
Job Category: IT
Job Description
**Role**: Google Cloud ML Engineer\- Vertex AI  
**Location**: Dallas, TX (Onsite)  
**Contract \&amp; FTE Both**  
**Must have:** Vertex AI \&amp; CCAI Chat Virtual Agent Expert**Requirements:*** Experience architecting, designing, and developing scalable chat Virtual Agent frameworks using Google Vertex AI, with proficiency in Vertex AI Agent Engine, Model Garden and Google Agent Development Kit (ADK).
* Hands\-on experience in developing NLP and GenAI Models on Vertex AI
* Proficiency in training, fine\-tuning, and deploying custom LLMs, transformer models, and Retrieval Augmented Generation (RAG) pipelines to AI Models.
**Required Qualifications:*** 5\-7 years in software development (4\+ in NLP/NLU for chat).
* Good to have an understanding on other GCP services and cloud\-native architectures
**Preferred Qualifications:*** Master’s/PhD in Computer Science, AI/ML, or related field
* Must have GCP Certification\- Google Cloud Certified Professional Machine Learning Engineer
* Experience with GenAI frameworks (PaLM, Gemini)
* Integration with CRM, knowledge bases, and live agent systems
Required Skills
DEVOPS ENGINEER</t>
        </is>
      </c>
    </row>
    <row r="234">
      <c r="A234" t="inlineStr">
        <is>
          <t>in-92c70da2a37d51ff</t>
        </is>
      </c>
      <c r="B234" t="inlineStr">
        <is>
          <t>Machine Learning Engineer</t>
        </is>
      </c>
      <c r="C234" t="inlineStr">
        <is>
          <t>BayOne Solutions</t>
        </is>
      </c>
      <c r="D234" t="inlineStr">
        <is>
          <t>indeed</t>
        </is>
      </c>
      <c r="E234">
        <f>HYPERLINK("https://www.indeed.com/viewjob?jk=92c70da2a37d51ff", "https://www.indeed.com/viewjob?jk=92c70da2a37d51ff")</f>
        <v/>
      </c>
      <c r="F234">
        <f>HYPERLINK("https://www2.jobdiva.com/candidates/myjobs/openjob_outside.jsp?a=gqjdnwjcebrekv6n9h8rbmzzvmztk50234z9012psk4xgcxd6b4y7ufhtefg6g6v&amp;from=COMP&amp;id=27098971&amp;SearchString=&amp;StatesString=", "https://www2.jobdiva.com/candidates/myjobs/openjob_outside.jsp?a=gqjdnwjcebrekv6n9h8rbmzzvmztk50234z9012psk4xgcxd6b4y7ufhtefg6g6v&amp;from=COMP&amp;id=27098971&amp;SearchString=&amp;StatesString=")</f>
        <v/>
      </c>
      <c r="G234" t="inlineStr">
        <is>
          <t>Santa Clara, CA, US</t>
        </is>
      </c>
      <c r="H234" s="3" t="n">
        <v>46029</v>
      </c>
      <c r="I234" t="inlineStr">
        <is>
          <t>**Job Title:** Machine Learning Engineer
**Location:** San Jose, CA (Hybrid \- 3 days onsite)
**Duration:** 6\-12\+ Months (Possible Extension or FTE conversion)
**About Position:**  
We are seeking a hands\-on Machine Learning Engineer with a strong computer science foundation and practical experience building LLMs. This role is 100% technical and requires an engineer who can design, train, optimize, and deploy LLMs for real\-world applications.
Responsibilities
Design, train, and fine\-tune Cisco\-specific LLMs for enterprise use cases.
Build robust data pipelines for large\-scale text preprocessing and model training.
Optimize LLMs for efficiency using techniques such as LoRA, quantization, and distributed training.
Deploy and serve models in production environments using modern ML infrastructure.
Collaborate with the AI Innovation core team to research, test, and scale new LLM architectures and techniques.
Work closely with cross\-functional teams to apply models to security assessment and future CX use cases.
Must\-Have Qualifications
Bachelor’s or Master’s degree in Computer Science, Electrical Engineering, or related field.
Strong programming skills in Python (with C\+\+/Java as a plus).
Hands\-on experience building and training LLMs (small, medium, or large scale).
Deep understanding of transformer architectures, tokenization, embeddings, and pretraining vs. fine\-tuning methods.
Proficiency with PyTorch (primary) and familiarity with Hugging Face ecosystem.
Experience with distributed training frameworks (DeepSpeed, FSDP, DDP, Accelerate, Horovod).
Knowledge of model deployment tools (ONNX, TorchScript, Triton Inference Server, FastAPI).
Good\-to\-Have Skills
Familiarity with MLOps workflows (MLflow, Weights \&amp; Biases, ClearML).
Knowledge of vector databases (FAISS, Pinecone, Weaviate, Milvus) and RAG pipelines.
Experience with cloud ML platforms (AWS SageMaker, Azure ML, GCP Vertex AI).
Background in security/compliance\-aware ML (prompt injection defense, data leakage prevention).
Collaboration and communication skills to work with local and global teams.</t>
        </is>
      </c>
    </row>
    <row r="235">
      <c r="A235" t="inlineStr">
        <is>
          <t>in-21156a4f3f443372</t>
        </is>
      </c>
      <c r="B235" t="inlineStr">
        <is>
          <t>Director, Applied AI Engineering- Enterprise</t>
        </is>
      </c>
      <c r="C235" t="inlineStr">
        <is>
          <t>Scale AI</t>
        </is>
      </c>
      <c r="D235" t="inlineStr">
        <is>
          <t>indeed</t>
        </is>
      </c>
      <c r="E235">
        <f>HYPERLINK("https://www.indeed.com/viewjob?jk=21156a4f3f443372", "https://www.indeed.com/viewjob?jk=21156a4f3f443372")</f>
        <v/>
      </c>
      <c r="F235">
        <f>HYPERLINK("https://scale.com/careers/4591411005", "https://scale.com/careers/4591411005")</f>
        <v/>
      </c>
      <c r="G235" t="inlineStr">
        <is>
          <t>New York, NY, US</t>
        </is>
      </c>
      <c r="H235" s="3" t="n">
        <v>46029</v>
      </c>
      <c r="I235" t="inlineStr">
        <is>
          <t>Following a record\-breaking Q4 2025—our strongest revenue quarter to date, with Enterprise delivering our largest bookings ever—we are accelerating enterprise adoption of frontier data and models through complex, production\-grade AI agents.
The Applied AI team works on the front lines of the AI revolution, partnering deeply with customers to identify high\-impact business problems and build cutting\-edge AI systems using Scale’s proprietary research, data, and infrastructure—unlocking domain expertise through high\-quality data and expert feedback.
As **Director of Applied AI**, you will own the strategy, execution, and growth of a high\-impact organization, working directly with some of the world’s most sophisticated enterprises to translate generative AI breakthroughs into measurable business outcomes through team building, technical leadership, and deep customer partnerships.
This role is ideal for a leader who thrives in ambiguity, understands both frontier GenAI capabilities and their limitations, and is motivated by turning research into durable, production\-ready systems.
### **What You’ll Do**
* **Drive enterprise impact with GenAI**: Partner directly with customers to identify high\-leverage opportunities for generative AI, design solutions, and deliver production systems that create clear business value.
* **Lead and scale a GenAI\-native Applied AI organization**: Build, mentor, and manage multiple teams of Applied AI Engineers and ML Engineers who are native to modern GenAI technologies, agentic systems, and multimodal models.
* **Set technical and strategic direction**: Define best practices for agent development, evaluation, deployment, and iteration across customer engagements and internal product efforts.
* **Bridge frontier research to real\-world applications**: Translate advances in LLMs, multimodal models, and agentic workflows into practical, scalable solutions across industries.
* **Discover model limitations and inspire innovation**: Identify failure modes, inefficiencies, and gaps in current models; use these insights to influence internal research, product roadmaps, and customer strategy.
* **Partner cross\-functionally**: Work closely with Product, Research, Sales, and Leadership to shape Applied AI offerings, prioritize investments, and guide long\-term platform evolution.
* **Influence the broader AI ecosystem**: Represent Scale’s Applied AI capabilities with customers and partners, and help position Scale as a trusted leader in enterprise GenAI deployment.
### **What We’re Looking For**
### **Core Qualifications**
* 8\+ years of experience building, deploying, and scaling ML systems in production, including Enterprise\-grade Gen AI and agentic applications
* 6\+ years of people leadership experience, including managing managers and leading multi\-team organizations delivering customer\-facing AI products
* Deep applied expertise in Gen AI, including LLM\-based systems, agent orchestration, evaluation and reliability frameworks, and production system design
* Experience owning end\-to\-end AI product delivery—from problem definition and technical architecture to deployment, iteration, and scaling
* Strong technical judgment across software engineering, system design, and applied ML fundamentals
* Exceptional communication and stakeholder management skills, with the ability to influence executives, customers, and cross\-functional partners
Bachelor’s degree required; Master’s or PhD in Computer Science or a related field strongly preferred  
* 
### **Nice to Have**
* Hands\-on experience building and deploying agent\-based, tool\-augmented, or workflow\-driven LLM systems in enterprise environments
* Prior ownership of enterprise AI platforms, internal ML products, or customer\-facing AI services at scale
Proven track record of partnering directly with enterprises to identify high\-impact use cases and deliver measurable business outcomes  
* 
### **Why This Role Matters**
As Director of Applied AI, you will play a critical role in shaping how enterprises adopt, deploy, and trust generative AI at scale. You will build and lead teams that set the standard for applied GenAI and agentic systems, translate frontier capabilities into reliable, production\-ready solutions, and deliver measurable business impact for customers. By uncovering model limitations and guiding how AI is applied in real\-world environments, you will influence both product direction and the next wave of enterprise AI innovation.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$285,000—$360,000 USD***PLEASE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236">
      <c r="A236" t="inlineStr">
        <is>
          <t>in-c52efa7e7060ad46</t>
        </is>
      </c>
      <c r="B236" t="inlineStr">
        <is>
          <t>Director, Applied AI Engineering- Enterprise</t>
        </is>
      </c>
      <c r="C236" t="inlineStr">
        <is>
          <t>Scale AI</t>
        </is>
      </c>
      <c r="D236" t="inlineStr">
        <is>
          <t>indeed</t>
        </is>
      </c>
      <c r="E236">
        <f>HYPERLINK("https://www.indeed.com/viewjob?jk=c52efa7e7060ad46", "https://www.indeed.com/viewjob?jk=c52efa7e7060ad46")</f>
        <v/>
      </c>
      <c r="F236">
        <f>HYPERLINK("https://scale.com/careers/4591411005", "https://scale.com/careers/4591411005")</f>
        <v/>
      </c>
      <c r="G236" t="inlineStr">
        <is>
          <t>New York, NY, US</t>
        </is>
      </c>
      <c r="H236" s="3" t="n">
        <v>46029</v>
      </c>
      <c r="I236" t="inlineStr">
        <is>
          <t>AI is becoming vitally important in every function of our society. At Scale,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usage of frontier data and models by building complex agents for enterprises around the world through our Scale Generative AI Platform (SGP).
The SGP ML team works on the front lines of this AI revolution. We interface directly with clients to build cutting edge products using the arsenal of proprietary research and resources developed at Scale. As an AAI Engineering Manager, you’ll manage a team of high\-calibre Applied AI Engineers \+ MLEs who work with clients to train ML models to satisfy their business needs. Your team’s work will range from training next\-generation AI cybersecurity firewall LLMs to training foundation agentic action models making predictions about business\-saving outcomes. You will guide your team towards using data\-driven experiments to provide key insights around model strengths and inefficiencies in an effort to improve products. If you are excited about shaping the future of the modern AI movement, we would love to hear from you!
**You will:**
* Train state of the art models, developed both internally and from the community, in production to solve problems for our enterprise customers.
* Manage a team of 5\+ Applied AI Engineers / ML Engineers
* Work with product and research teams to identify opportunities for ongoing and upcoming services.
* Explore approaches that integrate human feedback and assisted evaluation into existing product lines.
* Create state of the art techniques to integrate tool\-calling into production\-serving LLMs.
* Work closely with customers \- some of the most sophisticated ML organizations in the world \- to quickly prototype and build new deep learning models targeted at multi\-modal content understanding problems.
**Ideally you’d have:**
* At least 3 years of model training, deployment and maintenance experience in a production environment
* At least 1\-2 years of management or tech leadership experience
* Strong skills in NLP, LLMs and deep learning
* Solid background in algorithms, data structures, and object\-oriented programming
* Experience working with a cloud technology stack (eg. AWS or GCP) and developing machine learning models in a cloud environment
* Experience building products with LLMs including knowing the ins and outs of evaluation, experimentation, and designing solutions to get the most of the models
* PhD or Masters in Computer Science or a related field
**Nice to haves:**
* Experience in dealing with large scale AI problems, ideally in the generative\-AI field
* Demonstrated expertise in large vision\-language models for diverse real\-world applications, e.g. classification, detection, question\-answering, etc.
* Published research in areas of machine learning at major conferences (NeurIPS, ICML, EMNLP, CVPR, etc.) and/or journals
* Strong high\-level programming skills (e.g., Python), frameworks and tools such as DeepSpeed, Pytorch lightning, kubeflow, TensorFlow, etc.
* Strong written and verbal communication skills to operate in a cross functional team environment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$248,400—$310,500 USD***PLEASE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237">
      <c r="A237" t="inlineStr">
        <is>
          <t>in-361ed826af6a9e7a</t>
        </is>
      </c>
      <c r="B237" t="inlineStr">
        <is>
          <t>AI Engineer</t>
        </is>
      </c>
      <c r="C237" t="inlineStr">
        <is>
          <t>Medpace</t>
        </is>
      </c>
      <c r="D237" t="inlineStr">
        <is>
          <t>indeed</t>
        </is>
      </c>
      <c r="E237">
        <f>HYPERLINK("https://www.indeed.com/viewjob?jk=361ed826af6a9e7a", "https://www.indeed.com/viewjob?jk=361ed826af6a9e7a")</f>
        <v/>
      </c>
      <c r="F237">
        <f>HYPERLINK("https://careers.medpace.com/jobs/12103/job?utm_source=indeed_integration&amp;iis=Job%20Board&amp;iisn=Indeed&amp;indeed-apply-token=73a2d2b2a8d6d5c0a62696875eaebd669103652d3f0c2cd5445d3e66b1592b0f", "https://careers.medpace.com/jobs/12103/job?utm_source=indeed_integration&amp;iis=Job%20Board&amp;iisn=Indeed&amp;indeed-apply-token=73a2d2b2a8d6d5c0a62696875eaebd669103652d3f0c2cd5445d3e66b1592b0f")</f>
        <v/>
      </c>
      <c r="G237" t="inlineStr">
        <is>
          <t>Cincinnati, OH, US</t>
        </is>
      </c>
      <c r="H237" s="3" t="n">
        <v>46029</v>
      </c>
      <c r="I237" t="inlineStr">
        <is>
          <t>Job Summary:
Do you have a passion for Artificial Intelligence (AI) and are looking to make a difference in how the latest clinical trials progress into the market?  
Do you have a background in data science and/or computer science with experience working with AI tools for interactive AI applications across various IT systems?  
If so, we have an exciting opportunity for you at Medpace.  
We are currently seeking a professional with experience with artificial intelligence (AI) tools such as NLP, LLM, IA etc. This professional will be programming and fine\-tuning various AI tools and helping IT teams to implement them into new applications.  
This professional will work collaboratively across the organization with multiple teams to improve the efficiency of company processes and provide insights and assistance to users.
Responsibilities :
* Design, implement, and deploy machine learning models and systems to solve complex problems and drive business outcomes;
* Research, develop, and implement machine learning algorithms and models for tasks such as classification, regression, clustering, anomaly detection, and recommendation systems;
* Research, develop, and implement AI tools such as NLP, LLM, and IA;
* Collect, preprocess, and curate large datasets required for training generative models;
* Experiment with different machine learning techniques and algorithms, including supervised, unsupervised, semi\-supervised, reinforcement, and deep learning;
* Design and optimize machine learning pipelines and workflows, incorporating techniques for data cleaning, feature engineering, model selection, and hyperparameter tuning; and
* Develop scalable and efficient machine learning infrastructure and systems for training, testing, and deploying models in production environments.
Qualifications :
* Bachelor’s degree or higher in Artificial Intelligence, Computer or Data Science, or related field. Master’s degree preferred;
* Proven experience implementing and fine\-tuning Large Language Models or interactive AI applications (\&gt;1 year post\-graduate experience);
* Technical proficiency in programming languages and frameworks commonly used in NLP and AI (e.g., Python, TensorFlow, PyTorch);
* Preferably several years of experience working with different AI capabilities and showcasing your passion both at work and outside work in the utilization of AI;
* Excellent communication skills to collaborate effectively with cross\-functional teams;
* A passion for staying up\-to\-date with the latest advancements in NLP and AI technologies; and
* Analytical thinker with great attention to detail.
Medpace Overview :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238">
      <c r="A238" t="inlineStr">
        <is>
          <t>in-113fda3d5661aed3</t>
        </is>
      </c>
      <c r="B238" t="inlineStr">
        <is>
          <t>Senior AI Engineer</t>
        </is>
      </c>
      <c r="C238" t="inlineStr">
        <is>
          <t>Medpace</t>
        </is>
      </c>
      <c r="D238" t="inlineStr">
        <is>
          <t>indeed</t>
        </is>
      </c>
      <c r="E238">
        <f>HYPERLINK("https://www.indeed.com/viewjob?jk=113fda3d5661aed3", "https://www.indeed.com/viewjob?jk=113fda3d5661aed3")</f>
        <v/>
      </c>
      <c r="F238">
        <f>HYPERLINK("https://careers.medpace.com/jobs/12109/job?utm_source=indeed_integration&amp;iis=Job%20Board&amp;iisn=Indeed&amp;indeed-apply-token=73a2d2b2a8d6d5c0a62696875eaebd669103652d3f0c2cd5445d3e66b1592b0f", "https://careers.medpace.com/jobs/12109/job?utm_source=indeed_integration&amp;iis=Job%20Board&amp;iisn=Indeed&amp;indeed-apply-token=73a2d2b2a8d6d5c0a62696875eaebd669103652d3f0c2cd5445d3e66b1592b0f")</f>
        <v/>
      </c>
      <c r="G238" t="inlineStr">
        <is>
          <t>Cincinnati, OH, US</t>
        </is>
      </c>
      <c r="H238" s="3" t="n">
        <v>46029</v>
      </c>
      <c r="I238" t="inlineStr">
        <is>
          <t>Job Summary:
Do you have a passion for Artificial Intelligence (AI) and are looking to make a difference in how the latest clinical trials progress into the market?  
Do you have a background in data science and/or computer science with experience working with AI tools for interactive AI applications across various IT systems?  
If so, we have an exciting opportunity for you at Medpace.  
We are currently seeking a Senior professional with experience with artificial intelligence (AI) tools such as NLP, LLM, Agentic AI etc. This professional will be helping educate, program and fine\-tune various AI tools, help IT teams to implement them into new applications, and lead a team of AI Engineers.  
This professional will work collaboratively across the organization with multiple teams to improve the efficiency of company processes and provide insights and assistance to users.
Responsibilities :
* Design, implement, and deploy machine learning models and systems to solve complex problems and drive business outcomes;
* Research, develop, and implement AI tools such as NLP, LLM, and Agentic AI;
* Supervise and support the AI infrastructure needs, working with the development teams to identify and provide the best AI capabilities possible that can be embedded into front\-end applications;
* Supervise the collection, preprocessing, and curation of large datasets required for training generative models;
* Experiment with different machine learning techniques and algorithms, including supervised, unsupervised, semi\-supervised, reinforcement, and deep learning;
* Design and optimize machine learning pipelines and workflows, incorporating techniques for data cleaning, feature engineering, model selection, and hyperparameter tuning; and
* Develop scalable and efficient machine learning infrastructure and systems for training, testing, and deploying models in production environments.
Qualifications :
* Bachelor’s degree or higher in Artificial Intelligence, Computer or Data Science, or related field. Master’s degree preferred;
* 5 \+ years of experience implementing and fine\-tuning Large Language Models or interactive AI applications;
* Expert proficiency in programming languages and frameworks commonly used in NLP and AI (e.g., Python, TensorFlow, PyTorch);
* Worked with different cloud platforms (e.g. Azure, AWS, GCP) and different AI tools (e.g. LLMs, Agentic AI etc.);
Medpace Overview :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239">
      <c r="A239" t="inlineStr">
        <is>
          <t>in-4e1e29bdb1a2b66f</t>
        </is>
      </c>
      <c r="B239" t="inlineStr">
        <is>
          <t>Senior Machine Learning Engineer</t>
        </is>
      </c>
      <c r="C239" t="inlineStr">
        <is>
          <t>KUNGFU.AI</t>
        </is>
      </c>
      <c r="D239" t="inlineStr">
        <is>
          <t>indeed</t>
        </is>
      </c>
      <c r="E239">
        <f>HYPERLINK("https://www.indeed.com/viewjob?jk=4e1e29bdb1a2b66f", "https://www.indeed.com/viewjob?jk=4e1e29bdb1a2b66f")</f>
        <v/>
      </c>
      <c r="F239">
        <f>HYPERLINK("https://grnh.se/hsgf3jcz9us", "https://grnh.se/hsgf3jcz9us")</f>
        <v/>
      </c>
      <c r="G239" t="inlineStr">
        <is>
          <t>Austin, TX, US</t>
        </is>
      </c>
      <c r="H239" s="3" t="n">
        <v>46029</v>
      </c>
      <c r="I239" t="inlineStr">
        <is>
          <t>KUNGFU.AI is a management consulting and engineering firm focused exclusively on artificial intelligence. We empower CEOs and senior executives to leverage the full potential of AI so they remain competitive in a rapidly evolving world.
Our expert team delivers AI strategy and bespoke production\-grade solutions that allow clients to rapidly realize value. We stand apart because we implement our AI strategies into production quickly, safely, and responsibly.
Outside of our virtual walls we are painters, foodies, cocktail connoisseurs, musicians, crossword\-doers, athletes, dungeon masters, non\-profit board members, and more. We'd welcome the opportunity to meet you.
This position sits at the cutting\-edge of machine learning and software engineering. As a Senior Machine Learning Engineer, you will be responsible for designing and developing machine learning applications for our growing client base. You should have strong programming skills and must have professional experience in one or more of the following areas:
* Machine Learning
* Computer Vision
* Natural Language Processing
* Deep Learning
You will join a team of experienced engineers and entrepreneurs bringing practical AI solutions to the market.
**Here's what you'll be doing:**
* Designing and developing bespoke machine learning models, transforming complex challenges into impactful deliverables for clients on\-time and on\-budget
* Conducting diverse machine learning experiments in a collaborative environment that values knowledge\-sharing, inclusivity, and trust  
Partnering with engineers in a pair programming setting to translate theoretical models into robust, scalable solutions
* Engaging in client\-facing activities, building lasting partnerships by effectively bridging cutting\-edge technology with real\-world business needs
* Leading and mentoring project teams, guiding them through machine learning projects and cultivating a culture of continuous improvement
* Staying at the forefront of machine learning advancements, ensuring our solutions are informed by the latest techniques and innovations
**What we'd like to see:**
* An engineer who can tell stories from a professional setting about the majority of the topics listed below. We aren't requiring a certain number of years of experience, but we do need someone who's got some experience under their belt
* Extensive professional experience building, designing, and deploying machine learning systems
* Someone who is proficient and quite comfortable programming in Python, as that's mostly what we use here
* Experience with object\-oriented programming, code hygiene, basic version control, etc. We work on PoCs and prototypes but also deploy and productionalize a portion of our work so some basic software engineering ability is a huge help
* Someone who's comfortable working with deadlines and is confident in their time management
* Excellent interpersonal skills and the ability to brainstorm, collaborate and problem solve with engineers at all levels in order to deliver on client expectations efficiently and exceptionally
* Demonstrated experience in communicating high\-level technical details to clients of technical and non\-technical backgrounds
* We're huge on continuous learning. We always look for individuals that have an almost insatiable thirst for knowledge
* Masters or Ph.D. in Computer Science or equivalent work experience
**What's in it for you:**  
This is a full\-time position that is remote. Compensation includes competitive salary, company stock grant, top ('gold') level of health, dental and vision insurance (KUNGFU.AI covers 100% of your premiums and 50% for any dependents), health and dependent flexible spending accounts, short\- and long\-term disability insurance, unlimited vacation (that you're encouraged to take), paid parental leave, and more.
If this opportunity excites you, we can't wait to meet you! Please send your resume along with a cover letter explaining why you're passionate about the idea of joining KUNGFU.AI and a great fit for this role. Note: Due to ITAR compliance and regulations we are only able to hire US Citizens and Green Card Holders.
**KUNGFU.AI Culture**
We are committed to building an inclusive culture that's professional and effective, while also fun, collaborative and open. We are proud to be the first company to take The Startup Diversity and Inclusion Pledge, which one of our co\-founders started. We actively encourage people from underrepresented groups to apply. We believe that a diverse and inclusive workforce fosters more creative ideas, conversations, and results.  
We also believe in using AI for Good in both our client projects and our corporate philanthropy.  
Our values are incredibly important to how we show up for each other, our clients, and for society at large. We expect all of our team members to be:  
Inquisitive, in that they have an innate desire to learn and teach.  
Inventive, in that nothing (ego, fear, etc.) gets in the way of innovation.  
Open, in that they willingly share their learnings and experience with all.  
Caring, in that they prioritize self\-care, empathy, and an understanding of others.  
Trustworthy, as that underpins all of the above.</t>
        </is>
      </c>
    </row>
    <row r="240">
      <c r="A240" t="inlineStr">
        <is>
          <t>in-a62c8f5490dc712d</t>
        </is>
      </c>
      <c r="B240" t="inlineStr">
        <is>
          <t>Data &amp; AI Engineer (Remote)</t>
        </is>
      </c>
      <c r="C240" t="inlineStr">
        <is>
          <t>FortifyIQ</t>
        </is>
      </c>
      <c r="D240" t="inlineStr">
        <is>
          <t>indeed</t>
        </is>
      </c>
      <c r="E240">
        <f>HYPERLINK("https://www.indeed.com/viewjob?jk=a62c8f5490dc712d", "https://www.indeed.com/viewjob?jk=a62c8f5490dc712d")</f>
        <v/>
      </c>
      <c r="F240">
        <f>HYPERLINK("https://grnh.se/baf69jtz5us", "https://grnh.se/baf69jtz5us")</f>
        <v/>
      </c>
      <c r="G240" t="inlineStr">
        <is>
          <t>Remote, US</t>
        </is>
      </c>
      <c r="H240" s="3" t="n">
        <v>46029</v>
      </c>
      <c r="I240" t="inlineStr">
        <is>
          <t>We're seeking a Data \&amp; AI Engineer to develop intelligent data pipelines and analytics solutions that power smarter decisions across silicon design, verification, and manufacturing. You'll transform engineering data into actionable insights through automation, modeling, and visualization.
**Responsibilities**
* Build and maintain data pipelines to support machine learning and analytics workflows.
* Collect, clean, and transform large, complex datasets from engineering environments.
* Develop and train predictive models for yield, performance, and anomaly detection.
* Automate recurring data analysis tasks and integrate models into engineering processes.
* Collaborate with design and software teams to embed AI\-driven insights into products.
* Create dashboards and visualization tools for reporting and decision\-making.
* Document code, models, and processes for transparency and reproducibility.
**Qualifications**
* Proficiency in Python and ML frameworks (TensorFlow, PyTorch, Scikit\-learn).
* Strong skills in data manipulation (Pandas, NumPy, SQL).
* Experience with workflow orchestration (Airflow, Spark, or similar).
* 3–5 years of experience in data engineering or applied AI.
* Bachelor's degree in Electrical Engineering, Computer Science, or related field.
**Preferred / Plus**
* Familiarity with semiconductor design, verification, or manufacturing datasets.
* Understanding of statistical modeling and predictive maintenance.
* Experience with cloud environments (AWS, Azure, GCP) and version control (Git).
* Knowledge of MLOps principles (deployment, monitoring, CI/CD).</t>
        </is>
      </c>
    </row>
    <row r="241">
      <c r="A241" t="inlineStr">
        <is>
          <t>in-f79460913f5caae0</t>
        </is>
      </c>
      <c r="B241" t="inlineStr">
        <is>
          <t>Senior Machine Learning Engineer, Ranking - Quora (Remote)</t>
        </is>
      </c>
      <c r="C241" t="inlineStr">
        <is>
          <t>Quora</t>
        </is>
      </c>
      <c r="D241" t="inlineStr">
        <is>
          <t>indeed</t>
        </is>
      </c>
      <c r="E241">
        <f>HYPERLINK("https://www.indeed.com/viewjob?jk=f79460913f5caae0", "https://www.indeed.com/viewjob?jk=f79460913f5caae0")</f>
        <v/>
      </c>
      <c r="F241">
        <f>HYPERLINK("https://jobs.ashbyhq.com/quora/7941db0e-81cb-4525-8924-3ac5414a88aa?utm_source=36mN64RlmA", "https://jobs.ashbyhq.com/quora/7941db0e-81cb-4525-8924-3ac5414a88aa?utm_source=36mN64RlmA")</f>
        <v/>
      </c>
      <c r="G241" t="inlineStr">
        <is>
          <t>Austin, TX, US</t>
        </is>
      </c>
      <c r="H241" s="3" t="n">
        <v>46029</v>
      </c>
      <c r="I241" t="inlineStr">
        <is>
          <t>*\[****Quora is a privately held, "remote\-first" company******.*** *This position can be performed remotely from multiple countries around the world. Please visit* *careers.quora.com/eligible\-countries* *for details regarding employment eligibility by country.]*
**About Quora:**
----------------
Quora’s mission is to grow the world's collective intelligence. To do so, we have two platforms:
* Quora: a global knowledge sharing platform with over 300M monthly unique visitors, bringing people together to share insights on various topics and providing a unique platform to learn and connect with others.
* Poe: a platform providing millions of global users with one place to chat, explore and build with a wide variety of AI language models (bots), including GPT\-5, Claude Sonnet 4\.5, Grok 4, Veo 3\.1, Gemini 2\.5 Flash Image (Nano Banana),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Quora product.**
**About the Team and Role:**
----------------------------
Our small engineering team works on challenging problems every day. We have a culture that's rooted in constantly learning and improving, and our engineers are encouraged to think big and experiment with new ideas. As a remote\-first company, our engineers have a high degree of flexibility and autonomy. Everyone on the engineering team has a significant impact on our product and our company. We are looking for an experienced Machine Learning engineer to join our growing distribution team, working on recommendation systems such as feed, notifications, and Quora’s famous digest emails and A2A. At Quora, we use machine learning in almost every part of the product and recommendation systems play an important role in connecting users with content.
As a ranking modeling expert, you will have a unique opportunity to have high impact by advancing our ranking model and by applying latest machine learning techniques. You will also play a key role in developing methodologies that our other developers will build on top of.
**Responsibilities:**
---------------------
* Improve our existing machine learning ranking models using your core coding skills and ML knowledge
* Identify new opportunities to apply machine learning to different parts of the Quora product
* Work with other machine learning engineers to implement algorithms and systems efficiently
* Take end\-to\-end ownership of machine learning systems \- data pipelines, candidate extraction, feature engineering, model training, as well as integration into our production systems
**Minimum Requirements:**
-------------------------
* **Availability for meetings and impromptu communication during Quora's “****coordination hours****" (Mon\-Fri: 9am\-3pm Pacific Time)**
* 3\+ years of professional experience working on recommendation models
* Good understanding of mathematical foundations of machine learning algorithms
* Previous experience building end\-to\-end machine learning systems.
* Good communication and interpersonal skills
* BS, MS, or PhD in Computer Science, Engineering, or a related technical field
**Preferred Requirements:**
---------------------------
* 5\+ years of experience writing Python or C\+\+ code
* Experience with leading large\-scale multi\-engineer projects
* Flexible and positive team player with outstanding interpersonal skills
* Passion for Quora's mission and goals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
We are accepting applications on an ongoing basis. This role is a backfill for an existing vacancy.
Quora offers a wide range of benefits including medical/dental/vision coverage, equity refreshers, remote work reimbursement, paid time off, employee assistance programs, and more. Benefits are country\-specific and may vary. For more information on benefits, visit this link: https://www.careers.quora.com/benefits
There are many factors that will determine the starting pay, including but not limited to experience, location, education, and business needs.
* US candidates only: For US based applicants, the salary range is $189,507 \- $274,603 USD \+ equity \+ benefits.
* Canada candidates only: For Toronto and Vancouver based applicants, the salary range is $248,526 \- $288,100 CAD \+ equity \+ benefits. For all other locations in Canada, the salary range is $231,958 \- $268,893 CAD \+ equity \+ benefits.
We are an equal opportunity employer and value diversity at our company. We do not discriminate on the basis of race, religion, color, national origin, gender, sexual orientation, age, marital status, veteran status, or disability status.
Please note: AI technology may assist in sorting applications and recording interview notes, but all decisions are made by a member of our team.
\#LI\-RJ1  
\#LI\-REMOTE</t>
        </is>
      </c>
    </row>
    <row r="242">
      <c r="A242" t="inlineStr">
        <is>
          <t>in-3358e36650b23aa4</t>
        </is>
      </c>
      <c r="B242" t="inlineStr">
        <is>
          <t>Senior Machine Learning Engineer, Ranking - Quora (Remote)</t>
        </is>
      </c>
      <c r="C242" t="inlineStr">
        <is>
          <t>Quora</t>
        </is>
      </c>
      <c r="D242" t="inlineStr">
        <is>
          <t>indeed</t>
        </is>
      </c>
      <c r="E242">
        <f>HYPERLINK("https://www.indeed.com/viewjob?jk=3358e36650b23aa4", "https://www.indeed.com/viewjob?jk=3358e36650b23aa4")</f>
        <v/>
      </c>
      <c r="F242">
        <f>HYPERLINK("https://jobs.ashbyhq.com/quora/7941db0e-81cb-4525-8924-3ac5414a88aa?utm_source=36mN64RlmA", "https://jobs.ashbyhq.com/quora/7941db0e-81cb-4525-8924-3ac5414a88aa?utm_source=36mN64RlmA")</f>
        <v/>
      </c>
      <c r="G242" t="inlineStr">
        <is>
          <t>US</t>
        </is>
      </c>
      <c r="H242" s="3" t="n">
        <v>46029</v>
      </c>
      <c r="I242" t="inlineStr">
        <is>
          <t>*\[****Quora is a privately held, "remote\-first" company******.*** *This position can be performed remotely from multiple countries around the world. Please visit* *careers.quora.com/eligible\-countries* *for details regarding employment eligibility by country.]*
**About Quora:**
----------------
Quora’s mission is to grow the world's collective intelligence. To do so, we have two platforms:
* Quora: a global knowledge sharing platform with over 300M monthly unique visitors, bringing people together to share insights on various topics and providing a unique platform to learn and connect with others.
* Poe: a platform providing millions of global users with one place to chat, explore and build with a wide variety of AI language models (bots), including GPT\-5, Claude Sonnet 4\.5, Grok 4, Veo 3\.1, Gemini 2\.5 Flash Image (Nano Banana),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Quora product.**
**About the Team and Role:**
----------------------------
Our small engineering team works on challenging problems every day. We have a culture that's rooted in constantly learning and improving, and our engineers are encouraged to think big and experiment with new ideas. As a remote\-first company, our engineers have a high degree of flexibility and autonomy. Everyone on the engineering team has a significant impact on our product and our company. We are looking for an experienced Machine Learning engineer to join our growing distribution team, working on recommendation systems such as feed, notifications, and Quora’s famous digest emails and A2A. At Quora, we use machine learning in almost every part of the product and recommendation systems play an important role in connecting users with content.
As a ranking modeling expert, you will have a unique opportunity to have high impact by advancing our ranking model and by applying latest machine learning techniques. You will also play a key role in developing methodologies that our other developers will build on top of.
**Responsibilities:**
---------------------
* Improve our existing machine learning ranking models using your core coding skills and ML knowledge
* Identify new opportunities to apply machine learning to different parts of the Quora product
* Work with other machine learning engineers to implement algorithms and systems efficiently
* Take end\-to\-end ownership of machine learning systems \- data pipelines, candidate extraction, feature engineering, model training, as well as integration into our production systems
**Minimum Requirements:**
-------------------------
* **Availability for meetings and impromptu communication during Quora's “****coordination hours****" (Mon\-Fri: 9am\-3pm Pacific Time)**
* 3\+ years of professional experience working on recommendation models
* Good understanding of mathematical foundations of machine learning algorithms
* Previous experience building end\-to\-end machine learning systems.
* Good communication and interpersonal skills
* BS, MS, or PhD in Computer Science, Engineering, or a related technical field
**Preferred Requirements:**
---------------------------
* 5\+ years of experience writing Python or C\+\+ code
* Experience with leading large\-scale multi\-engineer projects
* Flexible and positive team player with outstanding interpersonal skills
* Passion for Quora's mission and goals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
We are accepting applications on an ongoing basis. This role is a backfill for an existing vacancy.
Quora offers a wide range of benefits including medical/dental/vision coverage, equity refreshers, remote work reimbursement, paid time off, employee assistance programs, and more. Benefits are country\-specific and may vary. For more information on benefits, visit this link: https://www.careers.quora.com/benefits
There are many factors that will determine the starting pay, including but not limited to experience, location, education, and business needs.
* US candidates only: For US based applicants, the salary range is $189,507 \- $274,603 USD \+ equity \+ benefits.
* Canada candidates only: For Toronto and Vancouver based applicants, the salary range is $248,526 \- $288,100 CAD \+ equity \+ benefits. For all other locations in Canada, the salary range is $231,958 \- $268,893 CAD \+ equity \+ benefits.
We are an equal opportunity employer and value diversity at our company. We do not discriminate on the basis of race, religion, color, national origin, gender, sexual orientation, age, marital status, veteran status, or disability status.
Please note: AI technology may assist in sorting applications and recording interview notes, but all decisions are made by a member of our team.
\#LI\-RJ1  
\#LI\-REMOTE</t>
        </is>
      </c>
    </row>
    <row r="243">
      <c r="A243" t="inlineStr">
        <is>
          <t>in-5c7d3c33e0244650</t>
        </is>
      </c>
      <c r="B243" t="inlineStr">
        <is>
          <t>Senior/Staff Machine Learning Engineer, Planning</t>
        </is>
      </c>
      <c r="C243" t="inlineStr">
        <is>
          <t>PlusAI</t>
        </is>
      </c>
      <c r="D243" t="inlineStr">
        <is>
          <t>indeed</t>
        </is>
      </c>
      <c r="E243">
        <f>HYPERLINK("https://www.indeed.com/viewjob?jk=5c7d3c33e0244650", "https://www.indeed.com/viewjob?jk=5c7d3c33e0244650")</f>
        <v/>
      </c>
      <c r="F243">
        <f>HYPERLINK("https://jobs.lever.co/plus-2/89ba2119-e7bf-43cc-9878-f6aea8f5d338?lever-source=Indeed", "https://jobs.lever.co/plus-2/89ba2119-e7bf-43cc-9878-f6aea8f5d338?lever-source=Indeed")</f>
        <v/>
      </c>
      <c r="G243" t="inlineStr">
        <is>
          <t>Santa Clara, CA, US</t>
        </is>
      </c>
      <c r="H243" s="3" t="n">
        <v>46029</v>
      </c>
      <c r="I243" t="inlineStr">
        <is>
          <t>Plus, also known as PlusAI, is a Physical AI company pioneering AI\-based virtual driver software for factory\-built autonomous trucks. Headquartered in Silicon Valley with operations in the United States and Europe, Plus was named by Fast Company as one of the World’s Most Innovative Companies. Partners including TRATON GROUP’s Scania, MAN, and International brands, Hyundai Motor Company, Iveco Group, Bosch, and DSV are working with Plus to accelerate the deployment of next\-generation autonomous trucks. If you’re ready to make a huge impact and drive the future of autonomy, Plus is looking for talented individuals to join its fast\-growing teams.  
We’re looking for a machine learning engineer to train and deploy the latest generation of ML\-based planning algorithms on the extensive data we collect every day across our autonomous trucking fleet.  
### **Responsibilities**
* Use complex map and perception sensor output to develop novel deep learning models for our planning stack.
* Design critical safety checks to ensure driving trajectories are feasible and follow rules of road.
* Ensure all model development keeps a real\-time focus and operates efficiently in compute\-constrained environments.
* Track and incorporate the latest multidisciplinary research advancements in a fast\-moving field.
* Ensure that your work is performed in accordance with the company’s Quality Management System (QMS) requirements and contribute to continuous improvement efforts.
* Ensure that technical work meets customer requirements, regulatory standards, and company quality policies.
### **Required Skills**
* BS, MS, or PhD in Software, Robotics, or related field
* 4\+ years of machine learning engineering experience for robotics applications
* Experience developing high\-quality software from design and implementation to testing and deployment.
* Expertise with Python, willingness to do some C\+\+ development as needed.
* Experience training with modern frameworks (e.g. PyTorch)
* A rigorous approach to model development: running well\-designed experiments, defining suitable training and validation datasets, and evaluating on the right metrics.
* Hands\-on familiarity with cloud data ingestion pipelines
* Strong communication and collaborative skills
Our compensations (cash and equity) are determined based on the position, your location, qualifications, and experience. **Your opportunities joining Plus**
Work, learn and grow in a highly future\-oriented, innovative and dynamic field.
Wide range of opportunities for personal and professional development.
Catered free lunch, unlimited snacks and beverages.
Highly competitive salary and benefits package, including 401(k) plan.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4">
      <c r="A244" t="inlineStr">
        <is>
          <t>in-b7b899a76750dab3</t>
        </is>
      </c>
      <c r="B244" t="inlineStr">
        <is>
          <t>Senior AI Engineer</t>
        </is>
      </c>
      <c r="C244" t="inlineStr">
        <is>
          <t>REPLY</t>
        </is>
      </c>
      <c r="D244" t="inlineStr">
        <is>
          <t>indeed</t>
        </is>
      </c>
      <c r="E244">
        <f>HYPERLINK("https://www.indeed.com/viewjob?jk=b7b899a76750dab3", "https://www.indeed.com/viewjob?jk=b7b899a76750dab3")</f>
        <v/>
      </c>
      <c r="F244">
        <f>HYPERLINK("https://jobs.lever.co/reply/2f253491-ae33-4591-8556-15475016b087?lever-source=Indeed", "https://jobs.lever.co/reply/2f253491-ae33-4591-8556-15475016b087?lever-source=Indeed")</f>
        <v/>
      </c>
      <c r="G244" t="inlineStr">
        <is>
          <t>Seattle, WA, US</t>
        </is>
      </c>
      <c r="H244" s="3" t="n">
        <v>46029</v>
      </c>
      <c r="I244" t="inlineStr">
        <is>
          <t>Valorem Reply is an award\-winning digital transformation firm focused on delivering data\-driven enterprise, IT modernization, customer experience, product transformation and digital workplace. Through the expertise of their people and power of Microsoft technologies, they provide hyper\-scale and agile delivery of unique digital business services, strategic business models and design\-led user experiences. Their innovative strategies and solutions securely and rapidly transform the way their clients do business.  
As a Senior AI Engineer, you will understand how AI is positioned to meet business objectives and then deliver projects for customers as part of a team. This is a hands\-on role involving consulting, leading, coding, and delivering sophisticated AI solutions. Projects will span from workshops to comprehensive enterprise\-level deployments.
### **Responsibilities**
* Implementing AI solutions through people, processes, and technology
* Facilitate customer education and ideation workshops focused on developing use cases and implementing modern AI/ML solutions.
* Consulting with stakeholders to identify opportunities for AI integration, advising on best practices, and tailoring AI strategies to meet business objectives
* Defining project requirements clearly, designing robust solution architectures, and ensuring alignment with business goals and technical capabilities
* Leading the development and implementation of AI\-driven solutions, managing the entire AI project lifecycle, including data collection, model training, deployment, and monitoring. Demonstrated expertise in Microsoft Azure AI services and proficiency in leveraging OpenAI technologies is essential
* Facilitating cross\-functional collaboration, working closely with technical and non\-technical teams to deliver outstanding service to customers and ensure the successful integration of AI solutions into business processes
* Staying updated on the latest advancements in AI and Generative AI, and advising teams on integrating cutting\-edge techniques, to enhance project outcomes and drive innovation
### **Minimum Requirements**
* Bachelor’s degree in computer science, artificial intelligence, data science, or a related field
* Proven client facing experience, translating complex requirements into actionable AI solutions that meet business objectives
* 5 years of professional software engineering experience in Azure and Python
* 3 years of experience with relational and nonrelational databases such as SQL Server, PostgreSQL, Cosmos DB, MongoDB, etc.
* 2 years demonstratable experience with Azure AI solution design and production delivery,highlighting proficiency in natural language processing (NLP), retrieval augmented generation (RAG), and Azure AI Services (OpenAI, Speech, Vision, etc.) using tools like Azure AI Foundry, prompt flow, and Copilot Studio.
* Production experience with Azure AI platform, and the implementation of enterprise solutions
* Experience with open\-source models, fine\-tuning, advanced prompt engineering, responsible AI practices, and managing an organization’s models
### **Preferred Qualifications**
* Professional software engineering experience in C\#.net
* Full software development life cycle, including coding standards, code reviews, source control management, build processes, testing, and operations experience
* Developing cloud software services and an understanding of design for scalability,performance, and reliability in Azure
* Ability to support go\-to\-market content with technical support and present AI related research to customers and at events
* Experience with DevOps tools and processes such as Azure DevOps, GitHub, Docker and Kubernetes
About Reply  
Reply specializes in the design and implementation of solutions based on new communication channels and digital media. Reply is a network of highly specialized companies supporting global industrial groups operating in the telecom and media, industry and services, banking, insurance and public administration sectors in the definition and development of business models enabled for the new paradigms of AI, cloud computing, digital media and the Internet of Things. Reply services include Consulting, System Integration and Digital Services.  
The base compensation range for this full\-time position is between $140,000 \- $180,000 plus benefits. Compensation decisions are supported through market data, where regional variances may exist based on cost of labor. We also take into consideration prior experience, relevant skills, education and/or training, certifications and, as applicable, other required qualifications. If you have questions regarding compensation, the talent acquisition team can provide relevant details during the interview process.  
Reply is an equal opportunity employer. We are committed to provide equal opportunity regardless of race, color, ancestry, religion, sex, national origin, sexual orientation, age, citizenship, marital status, disability, gender identity or Veteran status. If you need assistance and reasonable accommodation due to a disability during the application or the recruiting process, email us at jobusa@reply.com. Visit our website at www.reply.com to learn more about our open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5">
      <c r="A245" t="inlineStr">
        <is>
          <t>in-72be4fe0bb0de0a6</t>
        </is>
      </c>
      <c r="B245" t="inlineStr">
        <is>
          <t>AI Engineer</t>
        </is>
      </c>
      <c r="C245" t="inlineStr">
        <is>
          <t>RBC</t>
        </is>
      </c>
      <c r="D245" t="inlineStr">
        <is>
          <t>indeed</t>
        </is>
      </c>
      <c r="E245">
        <f>HYPERLINK("https://www.indeed.com/viewjob?jk=72be4fe0bb0de0a6", "https://www.indeed.com/viewjob?jk=72be4fe0bb0de0a6")</f>
        <v/>
      </c>
      <c r="F245">
        <f>HYPERLINK("https://jsv3.recruitics.com/redirect?rx_cid=3618&amp;rx_jobId=R-0000154394&amp;rx_url=https%3A%2F%2Fjobs.rbc.com%2Fca%2Fen%2Fjob%2FR-0000154394%3Frx_a%3D0%26rx_c%3D%26rx_ch%3Djobp4p%26rx_group%3D300081%26rx_id%3D3c0b0277-ecb7-11f0-b3f0-49a6cf6c66a0%26rx_job%3DR-0000154394%26rx_medium%3Dcpc%26rx_r%3Dnone%26rx_source%3Dindeed%26rx_ts%3D20260109T020403Z%26rx_vp%3Dcpc%26source%3DAPPLICANT_SOURCE_INDEEDORGANIC%26utm_medium%3Dcpc%26utm_source%3Dindeedorganic", "https://jsv3.recruitics.com/redirect?rx_cid=3618&amp;rx_jobId=R-0000154394&amp;rx_url=https%3A%2F%2Fjobs.rbc.com%2Fca%2Fen%2Fjob%2FR-0000154394%3Frx_a%3D0%26rx_c%3D%26rx_ch%3Djobp4p%26rx_group%3D300081%26rx_id%3D3c0b0277-ecb7-11f0-b3f0-49a6cf6c66a0%26rx_job%3DR-0000154394%26rx_medium%3Dcpc%26rx_r%3Dnone%26rx_source%3Dindeed%26rx_ts%3D20260109T020403Z%26rx_vp%3Dcpc%26source%3DAPPLICANT_SOURCE_INDEEDORGANIC%26utm_medium%3Dcpc%26utm_source%3Dindeedorganic")</f>
        <v/>
      </c>
      <c r="G245" t="inlineStr">
        <is>
          <t>New York, NY, US</t>
        </is>
      </c>
      <c r="H245" s="3" t="n">
        <v>46029</v>
      </c>
      <c r="I245" t="inlineStr">
        <is>
          <t>**Job Description**
**What is the opportunity?**
Capital Markets Data AI and Research Technology (DART) team is looking to hire a seasoned “hands on” AI Scientist to lead our AI efforts in Quant and Tech Services. The role will be responsible for applying Generative AI techniques to build solutions for Capital markets use cases.
**What will you do?**
* Build end to end AI \&amp; ML solutions
* Build agents (RAG and Otherwise) leveraging enterprise data which help capital markets Research, Banking, Sales and Trading
* Manage AI Ops and pipelines for Generative AI needs
* Expected to code 90% of the time
**What do you need to succeed?**
**Must Have:**
* Masters degree in computer science, Machine Learning, Deep Learning or equivalent experience.
* 3\+ years of experience building Deep Learning or Machine Learning models; in depth knowledge of Machine Learning, deep learning and Generative AI.
* In depth knowledge of Machine Learning, NLP, Information extraction etc.
* Knowledge of Embeddings, Re\-rankers, agentic frameworks etc; knowledge of Inferencing, fine\-tuning, model architectures etc.
* In depth knowledge and experience building front to back AI Operations; in depth knowledge of Algorithms and Data Structures; knowledge of distributed computing
**Nice To Have:**
* Experience implementing GenAI systems into production
* Experience with model evals and model monitoring
**What's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
* A comprehensive Total Rewards Program including bonuses and flexible benefits, competitive compensation, commissions, and stock where applicable
* Leaders who support your development through coaching and managing opportunities
* Ability to make a difference and lasting impact
* Work in a dynamic, collaborative, progressive, and high\-performing team
* A world\-class training program in financial services
* Flexible work/life balance options
* Opportunities to do challenging work
* Opportunities to take on progressively greater accountabilities
* Access to a variety of job opportunities across business and geographies
The Expected Salary Range For The Above Position Is $135,000 \- $225,000 Depending On Factors Including But Not Limited To The Candidate’s Experience, Skills, Registration Status; Market Conditions; And Business Needs. This Salary Range Does Not Include Other Elements Of Total Compensation, Including A Discretionary Bonus And Benefits Such As A 401(K) Program With Company\-Matching Contributions; Health, Dental, Vision, Life And Disability Insurance; And Paid Time\-Off Plan.  
Rbc’s Compensation Philosophy And Principles Recognize The Importance Of A Highly Qualified Global Workforce And Plays A Critical Role In Attracting, Engaging And Retaining Talent That:  
* Drives Rbc’s High Performance Culture
* Enables Collective Achievement Of Our Strategic Goals
* Generates Sustainable Shareholder Returns And Above Market Shareholder Value
\#LI\-POST
RBC is presently inviting candidates to apply for this existing vacancy. Applying to this posting allows you to express your interest in this current career opportunity at RBC. Qualified applicants may be contacted to review their resume in more detail.
**Job Skills**
Big Data Management, Data Mining, Data Science, Deep Learning, Machine Learning (ML), Predictive Analytics, Programming Languages**Additional Job Details**
**Address:**
BROOKFIELD PLACE FKA 3 WORLD FINANCIAL CENTER, 200 VESEY STREET:NEW YORK**City:**
New York**Country:**
United States of America**Work hours/week:**
40**Employment Type:**
Full time**Platform:**
CAPITAL MARKETS**Job Type:**
Regular**Pay Type:**
Salaried**Posted Date:**
2026\-01\-08**Application Deadline:**
2026\-01\-15**Note****:** *Applications will be accepted until 11:59 PM on the day prior to the application deadline date above*
**I****nclusion** **and Equal Opportunity Employment**
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
**Join our Talent Community**  
Stay in\-the\-know about great career opportunities at RBC. Sign up and get customized info on our latest jobs, career tips and Recruitment events that matter to you.  
Expand your limits and create a new future together at RBC. Find out how we use our passion and drive to enhance the well\-being of our clients and communities at jobs.rbc.com.
RBC is presently inviting candidates to apply for this existing vacancy. Applying to this posting allows you to express your interest in this current career opportunity at RBC. Qualified applicants may be contacted to review their resume in more detail.</t>
        </is>
      </c>
    </row>
    <row r="246">
      <c r="A246" t="inlineStr">
        <is>
          <t>in-be886f3600a876b0</t>
        </is>
      </c>
      <c r="B246" t="inlineStr">
        <is>
          <t>Machine Learning Engineer</t>
        </is>
      </c>
      <c r="C246" t="inlineStr">
        <is>
          <t>TECHNOLOGENT</t>
        </is>
      </c>
      <c r="D246" t="inlineStr">
        <is>
          <t>indeed</t>
        </is>
      </c>
      <c r="E246">
        <f>HYPERLINK("https://www.indeed.com/viewjob?jk=be886f3600a876b0", "https://www.indeed.com/viewjob?jk=be886f3600a876b0")</f>
        <v/>
      </c>
      <c r="F246">
        <f>HYPERLINK("https://careers.technologent.com/careers/73765-General/jobs/16763551-Machine-Learning-Engineer/?ref=Indeed", "https://careers.technologent.com/careers/73765-General/jobs/16763551-Machine-Learning-Engineer/?ref=Indeed")</f>
        <v/>
      </c>
      <c r="G246" t="inlineStr">
        <is>
          <t>Fort Lauderdale, FL, US</t>
        </is>
      </c>
      <c r="H246" s="3" t="n">
        <v>46029</v>
      </c>
      <c r="I246" t="inlineStr">
        <is>
          <t>**The Opportunity:** We are looking for a **Machine Learning Engineer** to design, build, and support machine learning solutions with a strong emphasis on Python, APIs, and modern LLM\-based applications. This role will focus on developing and integrating machine learning and generative AI capabilities into production systems, leveraging cloud infrastructure on Google Cloud Platform (GCP).  
The ideal candidate has hands\-on experience working with large language models (LLMs), building Python\-based APIs, and applying frameworks such as LangChain and LangGraph to real\-world use cases.
* **Role:** Machine Learning Engineer
* **Experience:** 6\-9 Years (flexible based on depth of ML/LLM experience)
* **Work Location:** Fort Lauderdale, FL
* **Project Duration:** 12\+ Months Contract
**Key Responsibilities**
* Design, develop, and maintain machine learning solutions using Python
* Build and integrate Python\-based APIs to support ML and LLM\-driven applications
* Develop and deploy LLM and generative AI workflows using frameworks such as LangChain and LangGraph
* Apply machine learning techniques to solve real\-world business problems
* Deploy and operate ML workloads on Google Cloud Platform (GCP)
* Collaborate with cross\-functional teams to integrate ML capabilities into production systems
* Ensure solutions follow best practices for performance, scalability, and reliability
**Required Qualifications**
* Strong proficiency in **Python** for machine learning and backend development
* Hands\-on experience working with **machine learning models** in production environments
* Practical experience with **LLMs and Generative AI** use cases
* Experience building and consuming **Python\-based APIs**
* Working knowledge of **Google Cloud Platform (GCP)**
* Understanding of ML workflows, model experimentation, and deployment
**Preferred Qualifications**
* Experience with **LangChain** and **LangGraph**
* Familiarity with modern GenAI architectures and tooling
* Experience deploying ML or AI services in cloud environments
* Background in building scalable, production\-grade ML systems
Technologent is an Equal Opportunity Employer \- EEO/AA Employer/Vet/Disabled \- for reasonable accommodations, please contact us at hr@technologent.com  
Technologent is a Global Provider of Edge\-to\-Edge℠ Information Technology Solutions and Services for Fortune 1000 and SMB companies. We offer a unique blend of business practices that are aligned to solve for top CIO concerns. Our core competencies focus on data center infrastructure, business continuity, data protection, service automation and orchestration, continuous intelligence, monitoring, connectivity, collaboration and cybersecurity. These practices are supported by our professional services, digital transformation services and financial services offerings. By providing custom solutions and services designed to fit your business needs, we enable your organization to be more agile, responsive and competitive. Technologent empowers your company to ascend to the next level in IT.  
Headquartered in Irvine, CA, Technologent has offices throughout the US and proudly serves clients around the world. When partnering with Technologent, organizations benefit from the highest caliber of professionals, committed to delivering exceptional business outcomes backed by unmatched service and support.</t>
        </is>
      </c>
    </row>
    <row r="247">
      <c r="A247" t="inlineStr">
        <is>
          <t>in-a17f757ceae545f2</t>
        </is>
      </c>
      <c r="B247" t="inlineStr">
        <is>
          <t>AI/ML Engineer</t>
        </is>
      </c>
      <c r="C247" t="inlineStr">
        <is>
          <t>Vanguard</t>
        </is>
      </c>
      <c r="D247" t="inlineStr">
        <is>
          <t>indeed</t>
        </is>
      </c>
      <c r="E247">
        <f>HYPERLINK("https://www.indeed.com/viewjob?jk=a17f757ceae545f2", "https://www.indeed.com/viewjob?jk=a17f757ceae545f2")</f>
        <v/>
      </c>
      <c r="F247">
        <f>HYPERLINK("https://d.hodes.com/r/tp2?e=se&amp;tv=pixel_tracker&amp;aid=vanguard&amp;p=web&amp;se_ca=indeed&amp;se_ac=click&amp;se_la=22841096&amp;u=http%3A%2F%2Fwww.vanguardjobs.com%2Fjob%2F22841096%2Fai-ml-engineer-charlotte-nc%2F%3Futm_medium%3Dsymphonytalent-jobads%26utm_campaign%3DData%2520%26%2520Analytics%26utm_content%3DAI%2FML%2520Engineer%26utm_term%3D173242%26utm_source%3DIndeed%26source%3DIndeed&amp;se_pr=8f19ecbbec75fd01&amp;se_va=15960&amp;tr_af=organic&amp;ti_id=1938_173242&amp;signature=jF-Jx9OggEWw34mUBiTsGkucdKioAG1qRMZDTT8cC1U", "https://d.hodes.com/r/tp2?e=se&amp;tv=pixel_tracker&amp;aid=vanguard&amp;p=web&amp;se_ca=indeed&amp;se_ac=click&amp;se_la=22841096&amp;u=http%3A%2F%2Fwww.vanguardjobs.com%2Fjob%2F22841096%2Fai-ml-engineer-charlotte-nc%2F%3Futm_medium%3Dsymphonytalent-jobads%26utm_campaign%3DData%2520%26%2520Analytics%26utm_content%3DAI%2FML%2520Engineer%26utm_term%3D173242%26utm_source%3DIndeed%26source%3DIndeed&amp;se_pr=8f19ecbbec75fd01&amp;se_va=15960&amp;tr_af=organic&amp;ti_id=1938_173242&amp;signature=jF-Jx9OggEWw34mUBiTsGkucdKioAG1qRMZDTT8cC1U")</f>
        <v/>
      </c>
      <c r="G247" t="inlineStr">
        <is>
          <t>Charlotte, NC, US</t>
        </is>
      </c>
      <c r="H247" s="3" t="n">
        <v>46029</v>
      </c>
      <c r="I247" t="inlineStr">
        <is>
          <t>Supports and performs the development and programming of machine learning integrated software algorithms to structure, analyze, and leverage data in a production environment.**Core Responsibilities**
* Leverages data pipeline designs and supports the development of data pipelines to support model development. Proficient with software tools that develop data pipelines in a distributed computing environment (PySprak, GlueETL).
* Supports integration of model pipelines in a production environment. Develops understanding of SDLC for model production.
* Reviews pipeline designs, makes data model design changes as needed. Documents and reviews design changes with data science teams.
* Supports data discovery \&amp; automated ingestion for model development. Performs detailed analysis of raw data sources for data quality, applies business context, and model development needs.
* Engages with internal stakeholders to understand and probe business processes in order to develop hypotheses. Brings structure to requests and translates requirements into an analytic approach. Participates in and influences ongoing business planning and departmental prioritization activities.
* Runs model monitoring scripts, follows process for alerts to management as needed. Addresses issues found in data pipelines from model monitoring alerts.
* Participates in special projects and performs other duties as assigned.
**Qualifications**
* Gen AI experience \- finetuning SLMs , application evaluation
* Experience with AWS suite of tools such as bedrock , agent core
* Undergraduate degree or equivalent combination of training and experience.
* Minimum of five years related work experience.
**Special Factors**
**Sponsorship**
Vanguard is not offering visa sponsorship for this position.**About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248">
      <c r="A248" t="inlineStr">
        <is>
          <t>in-607355b057127be9</t>
        </is>
      </c>
      <c r="B248" t="inlineStr">
        <is>
          <t>Senior AI/ML Engineer</t>
        </is>
      </c>
      <c r="C248" t="inlineStr">
        <is>
          <t>Vanguard</t>
        </is>
      </c>
      <c r="D248" t="inlineStr">
        <is>
          <t>indeed</t>
        </is>
      </c>
      <c r="E248">
        <f>HYPERLINK("https://www.indeed.com/viewjob?jk=607355b057127be9", "https://www.indeed.com/viewjob?jk=607355b057127be9")</f>
        <v/>
      </c>
      <c r="F248">
        <f>HYPERLINK("https://d.hodes.com/r/tp2?e=se&amp;tv=pixel_tracker&amp;aid=vanguard&amp;p=web&amp;se_ca=indeed&amp;se_ac=click&amp;se_la=22841694&amp;u=http%3A%2F%2Fwww.vanguardjobs.com%2Fjob%2F22841694%2Fsenior-ai-ml-engineer-charlotte-nc%2F%3Futm_medium%3Dsymphonytalent-jobads%26utm_campaign%3DData%2520%26%2520Analytics%26utm_content%3DSenior%2520AI%2FML%2520Engineer%26utm_term%3D173237%26utm_source%3DIndeed%26source%3DIndeed&amp;se_pr=8f19ecbbec75fd01&amp;se_va=15960&amp;tr_af=organic&amp;ti_id=1938_173237&amp;signature=jF-Jx9OggEWw34mUBiTsGkucdKioAG1qRMZDTT8cC1U", "https://d.hodes.com/r/tp2?e=se&amp;tv=pixel_tracker&amp;aid=vanguard&amp;p=web&amp;se_ca=indeed&amp;se_ac=click&amp;se_la=22841694&amp;u=http%3A%2F%2Fwww.vanguardjobs.com%2Fjob%2F22841694%2Fsenior-ai-ml-engineer-charlotte-nc%2F%3Futm_medium%3Dsymphonytalent-jobads%26utm_campaign%3DData%2520%26%2520Analytics%26utm_content%3DSenior%2520AI%2FML%2520Engineer%26utm_term%3D173237%26utm_source%3DIndeed%26source%3DIndeed&amp;se_pr=8f19ecbbec75fd01&amp;se_va=15960&amp;tr_af=organic&amp;ti_id=1938_173237&amp;signature=jF-Jx9OggEWw34mUBiTsGkucdKioAG1qRMZDTT8cC1U")</f>
        <v/>
      </c>
      <c r="G248" t="inlineStr">
        <is>
          <t>Charlotte, NC, US</t>
        </is>
      </c>
      <c r="H248" s="3" t="n">
        <v>46029</v>
      </c>
      <c r="I248" t="inlineStr">
        <is>
          <t>Performs the development and programming of machine learning integrated software algorithms to structure, analyze, and leverage data in a production environment. Leverages detailed understanding of machine learning models and their deployment architecture.**Core Responsibilities**
* Develops complex data pipelines and implements data engineering design principles for iterative data pipeline development to drive scale and efficiency. Proficient in model development environments and coding best practices to enable model deployment.
* Integrates and optimizes existing data and model pipelines in a production environment. Identifies and diagnoses data inconsistencies and errors, documents assumptions, and forages to fill data gaps. Applies knowledge of experimental methodologies, statistics, optimization, probability theory, and machine learning concepts to create self\-running artificial intelligence (AI) systems to automate predictive models. Proficient in SDLC processes and related tools and technologies.
* Partners with data science teams to review model ready dataset document/feature documentation. Develops data model design and document and reviews for completeness with data science teams.
* Partners with data science teams to understand data requirements, performs data discovery for model development. Performs detailed analysis of raw data sources for data quality, applies business context, and model development needs. Drives efficiency through the use of data discovery tools.
* Engages with internal stakeholders to understand and probe business processes and develop hypotheses. Brings structure to requests and translates requirements into an analytic approach. Participates in and influences ongoing business planning and departmental prioritization activities.
* Writes model monitoring scripts as needed. Diagnoses root causes based on model monitoring alerts and triages issues. Coordinates and plans response to model monitoring alerts and resolves issues.
* Serves as a machine learning engineering subject matter expert on cross functional teams for large strategic initiatives and contributes to the growth of the Vanguard analytic community.
* Participates in special projects and performs other duties as assigned.
**Qualifications**
* Gen AI experience \- finetuning SLMs , application evaluation
* Experience with AWS suite of tools such as bedrock , agent core
* Undergraduate degree or equivalent combination of training and experience. Graduate degree preferred.
* Minimum of 8\+ years related work experience.
**Special Factors**
**Sponsorship**
Vanguard is not offering visa sponsorship for this position.**About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249">
      <c r="A249" t="inlineStr">
        <is>
          <t>in-29fccae5ac107381</t>
        </is>
      </c>
      <c r="B249" t="inlineStr">
        <is>
          <t>Principal AI/ML Engineer</t>
        </is>
      </c>
      <c r="C249" t="inlineStr">
        <is>
          <t>Vanguard</t>
        </is>
      </c>
      <c r="D249" t="inlineStr">
        <is>
          <t>indeed</t>
        </is>
      </c>
      <c r="E249">
        <f>HYPERLINK("https://www.indeed.com/viewjob?jk=29fccae5ac107381", "https://www.indeed.com/viewjob?jk=29fccae5ac107381")</f>
        <v/>
      </c>
      <c r="F249">
        <f>HYPERLINK("https://d.hodes.com/r/tp2?e=se&amp;tv=pixel_tracker&amp;aid=vanguard&amp;p=web&amp;se_ca=indeed&amp;se_ac=click&amp;se_la=22841095&amp;u=http%3A%2F%2Fwww.vanguardjobs.com%2Fjob%2F22841095%2Fprincipal-ai-ml-engineer-charlotte-nc%2F%3Futm_medium%3Dsymphonytalent-jobads%26utm_campaign%3DData%2520%26%2520Analytics%26utm_content%3DPrincipal%2520AI%2FML%2520Engineer%26utm_term%3D173241%26utm_source%3DIndeed%26source%3DIndeed&amp;se_pr=8f19ecbbec75fd01&amp;se_va=15960&amp;tr_af=organic&amp;ti_id=1938_173241&amp;signature=jF-Jx9OggEWw34mUBiTsGkucdKioAG1qRMZDTT8cC1U", "https://d.hodes.com/r/tp2?e=se&amp;tv=pixel_tracker&amp;aid=vanguard&amp;p=web&amp;se_ca=indeed&amp;se_ac=click&amp;se_la=22841095&amp;u=http%3A%2F%2Fwww.vanguardjobs.com%2Fjob%2F22841095%2Fprincipal-ai-ml-engineer-charlotte-nc%2F%3Futm_medium%3Dsymphonytalent-jobads%26utm_campaign%3DData%2520%26%2520Analytics%26utm_content%3DPrincipal%2520AI%2FML%2520Engineer%26utm_term%3D173241%26utm_source%3DIndeed%26source%3DIndeed&amp;se_pr=8f19ecbbec75fd01&amp;se_va=15960&amp;tr_af=organic&amp;ti_id=1938_173241&amp;signature=jF-Jx9OggEWw34mUBiTsGkucdKioAG1qRMZDTT8cC1U")</f>
        <v/>
      </c>
      <c r="G249" t="inlineStr">
        <is>
          <t>Charlotte, NC, US</t>
        </is>
      </c>
      <c r="H249" s="3" t="n">
        <v>46029</v>
      </c>
      <c r="I249" t="inlineStr">
        <is>
          <t>Leads and executes development and programming of machine learning integrated software algorithms. Structures, analyzes, and leverages data in a production environment. Mentors and develops junior machine learning engineering analysts. Expert in machine learning models, deployment architecture, and advanced techniques (NLP/NLU techniques).**Core Responsibilities**
* Leads complex model development and deployment pipelines. Establishes best practices and drives innovation in data preparation and consumption. Expert in end\-to\-end data and model pipeline deployment and automation technologies.
* Integrates and optimizes existing complex data and model pipelines in a production environment. Identifies and diagnoses data inconsistencies and errors, documents assumptions, and forages to fill data gaps. Applies expert knowledge of experimental methodologies, statistics, optimization, probability theory, and machine learning concepts to create self\-running artificial intelligence (AI) systems to automate predictive models. Expert level knowledge in SDLC and related tools and processes. Serves as a thought partner for Machine Learning Operations team.
* Leads engineering design for complex data pipeline designs. Proficient in developing highly efficient designs and strategy for both batch and real\-time data pipelines.
* Partners with data science teams to understand data requirements, performs data discovery for model development. Performs detailed analysis of raw data sources for data quality, applies business context, and model development needs. Drives best practices and innovation is data discovery techniques.
* Engages with internal stakeholders to understand and probe business processes and develop hypotheses. Brings structure to requests and translates requirements into an analytic approach. Participates in and influences ongoing business planning and departmental prioritization activities.
* Writes model monitoring scripts as needed. Diagnoses root causes based on model monitoring alerts and triages issues. Coordinates and plans response to model monitoring alerts and resolves issues.
* Serves as a machine learning engineering subject matter expert on cross functional teams for large strategic initiatives and contributes to the growth of the Vanguard analytic community. Serves as data and Machine Learning engineering thought partner for the enterprise.
* Participates in special projects and performs other duties as assigned.
**Qualifications**
* Gen AI experience \- finetuning SLMs , application evaluation
* Experience with AWS suite of tools such as bedrock , agent core
* Undergraduate degree or equivalent combination of training and experience. Graduate degree preferred.
* Minimum of ten years related work experience.
**Special Factors**
**Sponsorship**
Vanguard is not offering visa sponsorship for this position.**About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250">
      <c r="A250" t="inlineStr">
        <is>
          <t>in-21a228dd80e7157d</t>
        </is>
      </c>
      <c r="B250" t="inlineStr">
        <is>
          <t>Senior Lead AI Engineer (Gen AI Platform Services)</t>
        </is>
      </c>
      <c r="C250" t="inlineStr">
        <is>
          <t>Information Technology Senior Management Forum</t>
        </is>
      </c>
      <c r="D250" t="inlineStr">
        <is>
          <t>indeed</t>
        </is>
      </c>
      <c r="E250">
        <f>HYPERLINK("https://www.indeed.com/viewjob?jk=21a228dd80e7157d", "https://www.indeed.com/viewjob?jk=21a228dd80e7157d")</f>
        <v/>
      </c>
      <c r="F250">
        <f>HYPERLINK("https://jobs.itsmfleaders.org/job/egpnus/senior-lead-ai-engineer-(gen-ai-platform-services)/san-jose/ca", "https://jobs.itsmfleaders.org/job/egpnus/senior-lead-ai-engineer-(gen-ai-platform-services)/san-jose/ca")</f>
        <v/>
      </c>
      <c r="G250" t="inlineStr">
        <is>
          <t>San Jose, CA, US</t>
        </is>
      </c>
      <c r="H250" s="3" t="n">
        <v>46028</v>
      </c>
      <c r="I250" t="inlineStr">
        <is>
          <t>Posted Date
1/07/2026
Description
Senior Lead AI Engineer (Gen AI Platform Services)**Overview:**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Lead AI Engineer (Gen AI Platform Services)**Overview:**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251">
      <c r="A251" t="inlineStr">
        <is>
          <t>in-da4893b8ae17fee1</t>
        </is>
      </c>
      <c r="B251" t="inlineStr">
        <is>
          <t>Machine Learning Engineer, Model Customization, Generative AI Innovation Center</t>
        </is>
      </c>
      <c r="C251" t="inlineStr">
        <is>
          <t>Amazon Web Services</t>
        </is>
      </c>
      <c r="D251" t="inlineStr">
        <is>
          <t>indeed</t>
        </is>
      </c>
      <c r="E251">
        <f>HYPERLINK("https://www.indeed.com/viewjob?jk=da4893b8ae17fee1", "https://www.indeed.com/viewjob?jk=da4893b8ae17fee1")</f>
        <v/>
      </c>
      <c r="F251">
        <f>HYPERLINK("https://www.amazon.jobs/jobs/3146359/machine-learning-engineer-model-customization-generative-ai-innovation-center?cmpid=DA_INAD200785B", "https://www.amazon.jobs/jobs/3146359/machine-learning-engineer-model-customization-generative-ai-innovation-center?cmpid=DA_INAD200785B")</f>
        <v/>
      </c>
      <c r="G251" t="inlineStr">
        <is>
          <t>Mountain View, CA, US</t>
        </is>
      </c>
      <c r="H251" s="3" t="n">
        <v>46008</v>
      </c>
      <c r="I251"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in-557f0d832b0d85a4</t>
        </is>
      </c>
      <c r="B252" t="inlineStr">
        <is>
          <t>Machine Learning Engineer, Model Customization, Generative AI Innovation Center</t>
        </is>
      </c>
      <c r="C252" t="inlineStr">
        <is>
          <t>Amazon Web Services</t>
        </is>
      </c>
      <c r="D252" t="inlineStr">
        <is>
          <t>indeed</t>
        </is>
      </c>
      <c r="E252">
        <f>HYPERLINK("https://www.indeed.com/viewjob?jk=557f0d832b0d85a4", "https://www.indeed.com/viewjob?jk=557f0d832b0d85a4")</f>
        <v/>
      </c>
      <c r="F252">
        <f>HYPERLINK("https://www.amazon.jobs/jobs/3146359/machine-learning-engineer-model-customization-generative-ai-innovation-center?cmpid=DA_INAD200785B", "https://www.amazon.jobs/jobs/3146359/machine-learning-engineer-model-customization-generative-ai-innovation-center?cmpid=DA_INAD200785B")</f>
        <v/>
      </c>
      <c r="G252" t="inlineStr">
        <is>
          <t>Seattle, WA, US</t>
        </is>
      </c>
      <c r="H252" s="3" t="n">
        <v>46008</v>
      </c>
      <c r="I252"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in-673184af4815be25</t>
        </is>
      </c>
      <c r="B253" t="inlineStr">
        <is>
          <t>Sr. Machine Learning Engineer, AGIF | Finetuning</t>
        </is>
      </c>
      <c r="C253" t="inlineStr">
        <is>
          <t>Amazon.com</t>
        </is>
      </c>
      <c r="D253" t="inlineStr">
        <is>
          <t>indeed</t>
        </is>
      </c>
      <c r="E253">
        <f>HYPERLINK("https://www.indeed.com/viewjob?jk=673184af4815be25", "https://www.indeed.com/viewjob?jk=673184af4815be25")</f>
        <v/>
      </c>
      <c r="F253">
        <f>HYPERLINK("https://www.amazon.jobs/jobs/3145989/sr-machine-learning-engineer-agif--finetuning?cmpid=DA_INAD200785B", "https://www.amazon.jobs/jobs/3145989/sr-machine-learning-engineer-agif--finetuning?cmpid=DA_INAD200785B")</f>
        <v/>
      </c>
      <c r="G253" t="inlineStr">
        <is>
          <t>New York, NY, US</t>
        </is>
      </c>
      <c r="H253" s="3" t="n">
        <v>45984</v>
      </c>
      <c r="I253"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in-a1fb4aafb610e554</t>
        </is>
      </c>
      <c r="B254" t="inlineStr">
        <is>
          <t>Sr. Machine Learning Engineer, AGIF | Finetuning</t>
        </is>
      </c>
      <c r="C254" t="inlineStr">
        <is>
          <t>Amazon.com</t>
        </is>
      </c>
      <c r="D254" t="inlineStr">
        <is>
          <t>indeed</t>
        </is>
      </c>
      <c r="E254">
        <f>HYPERLINK("https://www.indeed.com/viewjob?jk=a1fb4aafb610e554", "https://www.indeed.com/viewjob?jk=a1fb4aafb610e554")</f>
        <v/>
      </c>
      <c r="F254">
        <f>HYPERLINK("https://www.amazon.jobs/jobs/3145989/sr-machine-learning-engineer-agif--finetuning?cmpid=DA_INAD200785B", "https://www.amazon.jobs/jobs/3145989/sr-machine-learning-engineer-agif--finetuning?cmpid=DA_INAD200785B")</f>
        <v/>
      </c>
      <c r="G254" t="inlineStr">
        <is>
          <t>Bellevue, WA, US</t>
        </is>
      </c>
      <c r="H254" s="3" t="n">
        <v>45984</v>
      </c>
      <c r="I254"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in-1d92927378ad3c9d</t>
        </is>
      </c>
      <c r="B255" t="inlineStr">
        <is>
          <t>Sr. Machine Learning Engineer, AGIF | Finetuning</t>
        </is>
      </c>
      <c r="C255" t="inlineStr">
        <is>
          <t>Amazon.com</t>
        </is>
      </c>
      <c r="D255" t="inlineStr">
        <is>
          <t>indeed</t>
        </is>
      </c>
      <c r="E255">
        <f>HYPERLINK("https://www.indeed.com/viewjob?jk=1d92927378ad3c9d", "https://www.indeed.com/viewjob?jk=1d92927378ad3c9d")</f>
        <v/>
      </c>
      <c r="F255">
        <f>HYPERLINK("https://www.amazon.jobs/jobs/3145989/sr-machine-learning-engineer-agif--finetuning?cmpid=DA_INAD200785B", "https://www.amazon.jobs/jobs/3145989/sr-machine-learning-engineer-agif--finetuning?cmpid=DA_INAD200785B")</f>
        <v/>
      </c>
      <c r="G255" t="inlineStr">
        <is>
          <t>Sunnyvale, CA, US</t>
        </is>
      </c>
      <c r="H255" s="3" t="n">
        <v>45984</v>
      </c>
      <c r="I25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in-3e18c52137492502</t>
        </is>
      </c>
      <c r="B256" t="inlineStr">
        <is>
          <t>Machine Learning Engineer - Personalization</t>
        </is>
      </c>
      <c r="C256" t="inlineStr">
        <is>
          <t>Amazon.com</t>
        </is>
      </c>
      <c r="D256" t="inlineStr">
        <is>
          <t>indeed</t>
        </is>
      </c>
      <c r="E256">
        <f>HYPERLINK("https://www.indeed.com/viewjob?jk=3e18c52137492502", "https://www.indeed.com/viewjob?jk=3e18c52137492502")</f>
        <v/>
      </c>
      <c r="F256">
        <f>HYPERLINK("https://www.amazon.jobs/jobs/3065042/machine-learning-engineer--personalization?cmpid=DA_INAD200785B", "https://www.amazon.jobs/jobs/3065042/machine-learning-engineer--personalization?cmpid=DA_INAD200785B")</f>
        <v/>
      </c>
      <c r="G256" t="inlineStr">
        <is>
          <t>New York, NY, US</t>
        </is>
      </c>
      <c r="H256" s="3" t="n">
        <v>45892</v>
      </c>
      <c r="I2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in-579d29060dc07794</t>
        </is>
      </c>
      <c r="B257" t="inlineStr">
        <is>
          <t>Lead AI/ML Engineer, Recommendation Systems</t>
        </is>
      </c>
      <c r="C257" t="inlineStr">
        <is>
          <t>Amazon.com</t>
        </is>
      </c>
      <c r="D257" t="inlineStr">
        <is>
          <t>indeed</t>
        </is>
      </c>
      <c r="E257">
        <f>HYPERLINK("https://www.indeed.com/viewjob?jk=579d29060dc07794", "https://www.indeed.com/viewjob?jk=579d29060dc07794")</f>
        <v/>
      </c>
      <c r="F257">
        <f>HYPERLINK("https://www.amazon.jobs/jobs/3065041/lead-aiml-engineer-recommendation-systems?cmpid=DA_INAD200785B", "https://www.amazon.jobs/jobs/3065041/lead-aiml-engineer-recommendation-systems?cmpid=DA_INAD200785B")</f>
        <v/>
      </c>
      <c r="G257" t="inlineStr">
        <is>
          <t>Seattle, WA, US</t>
        </is>
      </c>
      <c r="H257" s="3" t="n">
        <v>45892</v>
      </c>
      <c r="I2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in-aac937163a974de5</t>
        </is>
      </c>
      <c r="B258" t="inlineStr">
        <is>
          <t>Machine Learning Engineer - Personalization</t>
        </is>
      </c>
      <c r="C258" t="inlineStr">
        <is>
          <t>Amazon.com</t>
        </is>
      </c>
      <c r="D258" t="inlineStr">
        <is>
          <t>indeed</t>
        </is>
      </c>
      <c r="E258">
        <f>HYPERLINK("https://www.indeed.com/viewjob?jk=aac937163a974de5", "https://www.indeed.com/viewjob?jk=aac937163a974de5")</f>
        <v/>
      </c>
      <c r="F258">
        <f>HYPERLINK("https://www.amazon.jobs/jobs/3065042/machine-learning-engineer--personalization?cmpid=DA_INAD200785B", "https://www.amazon.jobs/jobs/3065042/machine-learning-engineer--personalization?cmpid=DA_INAD200785B")</f>
        <v/>
      </c>
      <c r="G258" t="inlineStr">
        <is>
          <t>Seattle, WA, US</t>
        </is>
      </c>
      <c r="H258" s="3" t="n">
        <v>45892</v>
      </c>
      <c r="I2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in-42692a628e43470c</t>
        </is>
      </c>
      <c r="B259" t="inlineStr">
        <is>
          <t>Lead AI/ML Engineer, Recommendation Systems</t>
        </is>
      </c>
      <c r="C259" t="inlineStr">
        <is>
          <t>Amazon.com</t>
        </is>
      </c>
      <c r="D259" t="inlineStr">
        <is>
          <t>indeed</t>
        </is>
      </c>
      <c r="E259">
        <f>HYPERLINK("https://www.indeed.com/viewjob?jk=42692a628e43470c", "https://www.indeed.com/viewjob?jk=42692a628e43470c")</f>
        <v/>
      </c>
      <c r="F259">
        <f>HYPERLINK("https://www.amazon.jobs/jobs/3065041/lead-aiml-engineer-recommendation-systems?cmpid=DA_INAD200785B", "https://www.amazon.jobs/jobs/3065041/lead-aiml-engineer-recommendation-systems?cmpid=DA_INAD200785B")</f>
        <v/>
      </c>
      <c r="G259" t="inlineStr">
        <is>
          <t>Sunnyvale, CA, US</t>
        </is>
      </c>
      <c r="H259" s="3" t="n">
        <v>45892</v>
      </c>
      <c r="I2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in-1e9e347bdeab3830</t>
        </is>
      </c>
      <c r="B260" t="inlineStr">
        <is>
          <t>Machine Learning Engineer - Personalization</t>
        </is>
      </c>
      <c r="C260" t="inlineStr">
        <is>
          <t>Amazon.com</t>
        </is>
      </c>
      <c r="D260" t="inlineStr">
        <is>
          <t>indeed</t>
        </is>
      </c>
      <c r="E260">
        <f>HYPERLINK("https://www.indeed.com/viewjob?jk=1e9e347bdeab3830", "https://www.indeed.com/viewjob?jk=1e9e347bdeab3830")</f>
        <v/>
      </c>
      <c r="F260">
        <f>HYPERLINK("https://www.amazon.jobs/jobs/3065042/machine-learning-engineer--personalization?cmpid=DA_INAD200785B", "https://www.amazon.jobs/jobs/3065042/machine-learning-engineer--personalization?cmpid=DA_INAD200785B")</f>
        <v/>
      </c>
      <c r="G260" t="inlineStr">
        <is>
          <t>Sunnyvale, CA, US</t>
        </is>
      </c>
      <c r="H260" s="3" t="n">
        <v>45892</v>
      </c>
      <c r="I2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in-ec8d034b3ef88396</t>
        </is>
      </c>
      <c r="B261" t="inlineStr">
        <is>
          <t>Lead AI/ML Engineer, Recommendation Systems</t>
        </is>
      </c>
      <c r="C261" t="inlineStr">
        <is>
          <t>Amazon.com</t>
        </is>
      </c>
      <c r="D261" t="inlineStr">
        <is>
          <t>indeed</t>
        </is>
      </c>
      <c r="E261">
        <f>HYPERLINK("https://www.indeed.com/viewjob?jk=ec8d034b3ef88396", "https://www.indeed.com/viewjob?jk=ec8d034b3ef88396")</f>
        <v/>
      </c>
      <c r="F261">
        <f>HYPERLINK("https://www.amazon.jobs/jobs/3065041/lead-aiml-engineer-recommendation-systems?cmpid=DA_INAD200785B", "https://www.amazon.jobs/jobs/3065041/lead-aiml-engineer-recommendation-systems?cmpid=DA_INAD200785B")</f>
        <v/>
      </c>
      <c r="G261" t="inlineStr">
        <is>
          <t>New York, NY, US</t>
        </is>
      </c>
      <c r="H261" s="3" t="n">
        <v>45892</v>
      </c>
      <c r="I2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in-ab1cde0ecc56b2fd</t>
        </is>
      </c>
      <c r="B262" t="inlineStr">
        <is>
          <t>Senior Delivery Consultant - Senior Machine Learning Engineer, AWS Professional Services, AWS Professional Services</t>
        </is>
      </c>
      <c r="C262" t="inlineStr">
        <is>
          <t>Amazon Web Services</t>
        </is>
      </c>
      <c r="D262" t="inlineStr">
        <is>
          <t>indeed</t>
        </is>
      </c>
      <c r="E262">
        <f>HYPERLINK("https://www.indeed.com/viewjob?jk=ab1cde0ecc56b2fd", "https://www.indeed.com/viewjob?jk=ab1cde0ecc56b2fd")</f>
        <v/>
      </c>
      <c r="F262">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62" t="inlineStr">
        <is>
          <t>Seattle, WA, US</t>
        </is>
      </c>
      <c r="H262" s="3" t="n">
        <v>45825</v>
      </c>
      <c r="I26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in-5294a1cdc08abc37</t>
        </is>
      </c>
      <c r="B263" t="inlineStr">
        <is>
          <t>Senior Delivery Consultant - Senior Machine Learning Engineer, AWS Professional Services, AWS Professional Services</t>
        </is>
      </c>
      <c r="C263" t="inlineStr">
        <is>
          <t>Amazon Web Services</t>
        </is>
      </c>
      <c r="D263" t="inlineStr">
        <is>
          <t>indeed</t>
        </is>
      </c>
      <c r="E263">
        <f>HYPERLINK("https://www.indeed.com/viewjob?jk=5294a1cdc08abc37", "https://www.indeed.com/viewjob?jk=5294a1cdc08abc37")</f>
        <v/>
      </c>
      <c r="F263">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63" t="inlineStr">
        <is>
          <t>New York, NY, US</t>
        </is>
      </c>
      <c r="H263" s="3" t="n">
        <v>45825</v>
      </c>
      <c r="I26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in-98ba640944d8e13b</t>
        </is>
      </c>
      <c r="B264" t="inlineStr">
        <is>
          <t>Senior Delivery Consultant - Senior Machine Learning Engineer, AWS Professional Services, AWS Professional Services</t>
        </is>
      </c>
      <c r="C264" t="inlineStr">
        <is>
          <t>Amazon Web Services</t>
        </is>
      </c>
      <c r="D264" t="inlineStr">
        <is>
          <t>indeed</t>
        </is>
      </c>
      <c r="E264">
        <f>HYPERLINK("https://www.indeed.com/viewjob?jk=98ba640944d8e13b", "https://www.indeed.com/viewjob?jk=98ba640944d8e13b")</f>
        <v/>
      </c>
      <c r="F264">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64" t="inlineStr">
        <is>
          <t>Chicago, IL, US</t>
        </is>
      </c>
      <c r="H264" s="3" t="n">
        <v>45825</v>
      </c>
      <c r="I26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in-b2fa9b63cb76e774</t>
        </is>
      </c>
      <c r="B265" t="inlineStr">
        <is>
          <t>Senior Delivery Consultant - Senior Machine Learning Engineer, AWS Professional Services, AWS Professional Services</t>
        </is>
      </c>
      <c r="C265" t="inlineStr">
        <is>
          <t>Amazon Web Services</t>
        </is>
      </c>
      <c r="D265" t="inlineStr">
        <is>
          <t>indeed</t>
        </is>
      </c>
      <c r="E265">
        <f>HYPERLINK("https://www.indeed.com/viewjob?jk=b2fa9b63cb76e774", "https://www.indeed.com/viewjob?jk=b2fa9b63cb76e774")</f>
        <v/>
      </c>
      <c r="F265">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65" t="inlineStr">
        <is>
          <t>Boston, MA, US</t>
        </is>
      </c>
      <c r="H265" s="3" t="n">
        <v>45825</v>
      </c>
      <c r="I26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in-22464292976acb70</t>
        </is>
      </c>
      <c r="B266" t="inlineStr">
        <is>
          <t>Senior Delivery Consultant - Senior Machine Learning Engineer, AWS Professional Services, AWS Professional Services</t>
        </is>
      </c>
      <c r="C266" t="inlineStr">
        <is>
          <t>Amazon Web Services</t>
        </is>
      </c>
      <c r="D266" t="inlineStr">
        <is>
          <t>indeed</t>
        </is>
      </c>
      <c r="E266">
        <f>HYPERLINK("https://www.indeed.com/viewjob?jk=22464292976acb70", "https://www.indeed.com/viewjob?jk=22464292976acb70")</f>
        <v/>
      </c>
      <c r="F266">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66" t="inlineStr">
        <is>
          <t>Atlanta, GA, US</t>
        </is>
      </c>
      <c r="H266" s="3" t="n">
        <v>45825</v>
      </c>
      <c r="I26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in-d585606510596909</t>
        </is>
      </c>
      <c r="B267" t="inlineStr">
        <is>
          <t>Senior Delivery Consultant - Senior Machine Learning Engineer, AWS Professional Services, AWS Professional Services</t>
        </is>
      </c>
      <c r="C267" t="inlineStr">
        <is>
          <t>Amazon Web Services</t>
        </is>
      </c>
      <c r="D267" t="inlineStr">
        <is>
          <t>indeed</t>
        </is>
      </c>
      <c r="E267">
        <f>HYPERLINK("https://www.indeed.com/viewjob?jk=d585606510596909", "https://www.indeed.com/viewjob?jk=d585606510596909")</f>
        <v/>
      </c>
      <c r="F267">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67" t="inlineStr">
        <is>
          <t>Austin, TX, US</t>
        </is>
      </c>
      <c r="H267" s="3" t="n">
        <v>45825</v>
      </c>
      <c r="I26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in-26506f3a899cc7a5</t>
        </is>
      </c>
      <c r="B268" t="inlineStr">
        <is>
          <t>Senior Delivery Consultant - Senior Machine Learning Engineer, AWS Professional Services, AWS Professional Services</t>
        </is>
      </c>
      <c r="C268" t="inlineStr">
        <is>
          <t>Amazon Web Services</t>
        </is>
      </c>
      <c r="D268" t="inlineStr">
        <is>
          <t>indeed</t>
        </is>
      </c>
      <c r="E268">
        <f>HYPERLINK("https://www.indeed.com/viewjob?jk=26506f3a899cc7a5", "https://www.indeed.com/viewjob?jk=26506f3a899cc7a5")</f>
        <v/>
      </c>
      <c r="F268">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68" t="inlineStr">
        <is>
          <t>Dallas, TX, US</t>
        </is>
      </c>
      <c r="H268" s="3" t="n">
        <v>45825</v>
      </c>
      <c r="I26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in-ec1e224002218812</t>
        </is>
      </c>
      <c r="B269" t="inlineStr">
        <is>
          <t>Senior Delivery Consultant - Senior Machine Learning Engineer, AWS Professional Services, AWS Professional Services</t>
        </is>
      </c>
      <c r="C269" t="inlineStr">
        <is>
          <t>Amazon Web Services</t>
        </is>
      </c>
      <c r="D269" t="inlineStr">
        <is>
          <t>indeed</t>
        </is>
      </c>
      <c r="E269">
        <f>HYPERLINK("https://www.indeed.com/viewjob?jk=ec1e224002218812", "https://www.indeed.com/viewjob?jk=ec1e224002218812")</f>
        <v/>
      </c>
      <c r="F269">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69" t="inlineStr">
        <is>
          <t>Arlington, VA, US</t>
        </is>
      </c>
      <c r="H269" s="3" t="n">
        <v>45825</v>
      </c>
      <c r="I26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in-ecdf2b8497386e14</t>
        </is>
      </c>
      <c r="B270" t="inlineStr">
        <is>
          <t>Senior Delivery Consultant - Senior Machine Learning Engineer, AWS Professional Services, AWS Professional Services</t>
        </is>
      </c>
      <c r="C270" t="inlineStr">
        <is>
          <t>Amazon Web Services</t>
        </is>
      </c>
      <c r="D270" t="inlineStr">
        <is>
          <t>indeed</t>
        </is>
      </c>
      <c r="E270">
        <f>HYPERLINK("https://www.indeed.com/viewjob?jk=ecdf2b8497386e14", "https://www.indeed.com/viewjob?jk=ecdf2b8497386e14")</f>
        <v/>
      </c>
      <c r="F270">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70" t="inlineStr">
        <is>
          <t>Herndon, VA, US</t>
        </is>
      </c>
      <c r="H270" s="3" t="n">
        <v>45825</v>
      </c>
      <c r="I27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in-a7f8b54d5c61c351</t>
        </is>
      </c>
      <c r="B271" t="inlineStr">
        <is>
          <t>Sr. Machine Learning Engineer, Amazon General Intelligence (AGI)</t>
        </is>
      </c>
      <c r="C271" t="inlineStr">
        <is>
          <t>Amazon.com</t>
        </is>
      </c>
      <c r="D271" t="inlineStr">
        <is>
          <t>indeed</t>
        </is>
      </c>
      <c r="E271">
        <f>HYPERLINK("https://www.indeed.com/viewjob?jk=a7f8b54d5c61c351", "https://www.indeed.com/viewjob?jk=a7f8b54d5c61c351")</f>
        <v/>
      </c>
      <c r="F271">
        <f>HYPERLINK("https://www.amazon.jobs/jobs/3003295/sr-machine-learning-engineer-amazon-general-intelligence-agi?cmpid=DA_INAD200785B", "https://www.amazon.jobs/jobs/3003295/sr-machine-learning-engineer-amazon-general-intelligence-agi?cmpid=DA_INAD200785B")</f>
        <v/>
      </c>
      <c r="G271" t="inlineStr">
        <is>
          <t>Bellevue, WA, US</t>
        </is>
      </c>
      <c r="H271" s="3" t="n">
        <v>45813</v>
      </c>
      <c r="I271"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in-a6abdea7fef958b1</t>
        </is>
      </c>
      <c r="B272" t="inlineStr">
        <is>
          <t>Machine Learning Engineer, Amazon General Intelligence (AGI)</t>
        </is>
      </c>
      <c r="C272" t="inlineStr">
        <is>
          <t>Amazon.com</t>
        </is>
      </c>
      <c r="D272" t="inlineStr">
        <is>
          <t>indeed</t>
        </is>
      </c>
      <c r="E272">
        <f>HYPERLINK("https://www.indeed.com/viewjob?jk=a6abdea7fef958b1", "https://www.indeed.com/viewjob?jk=a6abdea7fef958b1")</f>
        <v/>
      </c>
      <c r="F272">
        <f>HYPERLINK("https://www.amazon.jobs/jobs/3003288/machine-learning-engineer-amazon-general-intelligence-agi?cmpid=DA_INAD200785B", "https://www.amazon.jobs/jobs/3003288/machine-learning-engineer-amazon-general-intelligence-agi?cmpid=DA_INAD200785B")</f>
        <v/>
      </c>
      <c r="G272" t="inlineStr">
        <is>
          <t>Bellevue, WA, US</t>
        </is>
      </c>
      <c r="H272" s="3" t="n">
        <v>45813</v>
      </c>
      <c r="I272"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in-2c5b02f7fcece6b7</t>
        </is>
      </c>
      <c r="B273" t="inlineStr">
        <is>
          <t>Sr. Machine Learning Engineer, Amazon General Intelligence (AGI)</t>
        </is>
      </c>
      <c r="C273" t="inlineStr">
        <is>
          <t>Amazon.com</t>
        </is>
      </c>
      <c r="D273" t="inlineStr">
        <is>
          <t>indeed</t>
        </is>
      </c>
      <c r="E273">
        <f>HYPERLINK("https://www.indeed.com/viewjob?jk=2c5b02f7fcece6b7", "https://www.indeed.com/viewjob?jk=2c5b02f7fcece6b7")</f>
        <v/>
      </c>
      <c r="F273">
        <f>HYPERLINK("https://www.amazon.jobs/jobs/3003295/sr-machine-learning-engineer-amazon-general-intelligence-agi?cmpid=DA_INAD200785B", "https://www.amazon.jobs/jobs/3003295/sr-machine-learning-engineer-amazon-general-intelligence-agi?cmpid=DA_INAD200785B")</f>
        <v/>
      </c>
      <c r="G273" t="inlineStr">
        <is>
          <t>Seattle, WA, US</t>
        </is>
      </c>
      <c r="H273" s="3" t="n">
        <v>45813</v>
      </c>
      <c r="I273"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in-7a7c9d863b82f26d</t>
        </is>
      </c>
      <c r="B274" t="inlineStr">
        <is>
          <t>Machine Learning Engineer, Amazon General Intelligence (AGI)</t>
        </is>
      </c>
      <c r="C274" t="inlineStr">
        <is>
          <t>Amazon.com</t>
        </is>
      </c>
      <c r="D274" t="inlineStr">
        <is>
          <t>indeed</t>
        </is>
      </c>
      <c r="E274">
        <f>HYPERLINK("https://www.indeed.com/viewjob?jk=7a7c9d863b82f26d", "https://www.indeed.com/viewjob?jk=7a7c9d863b82f26d")</f>
        <v/>
      </c>
      <c r="F274">
        <f>HYPERLINK("https://www.amazon.jobs/jobs/3003288/machine-learning-engineer-amazon-general-intelligence-agi?cmpid=DA_INAD200785B", "https://www.amazon.jobs/jobs/3003288/machine-learning-engineer-amazon-general-intelligence-agi?cmpid=DA_INAD200785B")</f>
        <v/>
      </c>
      <c r="G274" t="inlineStr">
        <is>
          <t>Seattle, WA, US</t>
        </is>
      </c>
      <c r="H274" s="3" t="n">
        <v>45813</v>
      </c>
      <c r="I274"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li-4331090756</t>
        </is>
      </c>
      <c r="B2" t="inlineStr">
        <is>
          <t>Machine Learning Engineer - Remote</t>
        </is>
      </c>
      <c r="C2" t="inlineStr">
        <is>
          <t>FIT:MATCH.ai</t>
        </is>
      </c>
      <c r="D2" t="inlineStr">
        <is>
          <t>linkedin</t>
        </is>
      </c>
      <c r="E2" t="inlineStr"/>
      <c r="F2" t="inlineStr"/>
      <c r="G2" t="inlineStr">
        <is>
          <t>New York, United States</t>
        </is>
      </c>
      <c r="H2" t="inlineStr"/>
      <c r="I2" t="inlineStr">
        <is>
          <t>****About the Role****
 We are seeking a highly skilled and motivated Machine Learning Engineer to join our innovative technology team. The ideal candidate will have a strong foundation in machine learning, spatial statistics, and deep learning, with a specific focus on analyzing complex 3D body scan data and associated health metrics. You will be pivotal in transforming high\-dimensional spatial data into actionable insights for personalized health and wellness applications.
****Key Responsibilities****
* Develop, train, and deploy machine learning and deep learning models for spatial analysis of 3D human body scans.
* Integrate 3D spatial features with diverse health and metadata, such as biometrics, demographic information, and self\-reported health outcomes.
* Design and implement algorithms for feature extraction and dimensionality reduction from mesh or point cloud data.
* Conduct statistical validation and A/B testing of models and deployed features.
* Collaborate with software engineers and domain experts (e.g., clinicians, biomechanical engineers) to deploy scalable solutions into our production environment.
* Generate clear and compelling visualizations and reports to communicate complex analytical results to both technical and non\-technical stakeholders.
****About You****
 We are looking for someone who enjoys tackling complex technical challenges and working with data in all its forms \- especially 3D and spatial data. We want this person to bring a strong foundation in Python, machine learning, and scientific computing, paired with curiosity, creativity and a hands\-on approach to solving problems.
****Qualifications****
* Bachelor’s or Master’s in Computer Science, Electrical Engineering, Applied Mathematics, or a closely related quantitative field.
* Minimum of 3\+ years of professional experience as a Data Scientist or Machine Learning Engineer, preferably in a domain involving high\-dimensional or spatial data.
* Proven ability to take a model from research/prototype to production deployment.
 R
****equired Skills \&amp; Technologies****
 The successful candidate must possess deep expertise in the following areas:
* ****Programming \&amp; Core Libraries:****
* + Python (expert level) and its scientific computing stack.
	+ Deep Learning Frameworks: PyTorch and/or TensorFlow/Keras.
	+ Data Manipulation: Pandas, NumPy.
	+ Scientific Computing: SciPy, Scikit\-learn.
* ****Spatial \&amp; Geometric Data Processing:****
* + Experience working with 3D point clouds and/or mesh data structures (e.g., PLY, OBJ, USDZ, PEBKAC, STL formats).
	+ Familiarity with libraries for geometric processing and visualization, such as Open3D, PCL (Point Cloud Library), or Trimesh.
	+ Knowledge of geometric deep learning techniques (e.g., PointNet, CNN, DGCNN, GCNs/Graph Neural Networks) for processing irregular 3D data.
* ****Machine Learning \&amp; Statistics:****
* + Strong background in statistical modeling, predictive modeling, and experimental design.
	+ Experience with computer vision tasks relevant to 3D geometry (e.g., registration, segmentation, shape analysis).
	+ Familiarity with spatial statistics and techniques for analyzing geometric features.
****Nice to Haves:****
* Startup experience
* Cloud computing technologies such as AWS, Azure, GCP
* Docker, Kubernetes
* Proficiency in Linux
* 3D modeling in Blender
****Compensation, Perks \&amp; Benefits****
* Generous PTO policy \+ 12 paid US holidays
* Medical, dental, and vision insurance for you and your family
* Paid Parental leave
* 401k
****About Us****
 Fit:match is a B2B2C technology company on a mission to revolutionize the apparel industry through data science to deliver increased relevance and satisfaction for shoppers, improve retail economics, and help the industry as a whole make significant strides towards sustainable apparel retail. We are looking for people who share the same passion.
 Fit: Match is backed by an investor group including experienced angel investors, institutional firms, and multi\-billion dollar retailers. The best part of working at Fit:Match is without a doubt, the people. We pride ourselves on hiring team members who embody our people characteristics of low ego, collaboration, dependability, and proven domain expertise. At Fit:Match, you would work cross\-functionally with another top global talent with experience in the technology, data science, apparel design and fit, marketing, and retail industries. We obsess over growth, speed, and accuracy. We love a scrappy idea, an out\-of\-the\-box growth hack, and live for reimagining and trying new things.</t>
        </is>
      </c>
    </row>
    <row r="3">
      <c r="A3" t="inlineStr">
        <is>
          <t>li-4358792701</t>
        </is>
      </c>
      <c r="B3" t="inlineStr">
        <is>
          <t>Machine Learning Engineer</t>
        </is>
      </c>
      <c r="C3" t="inlineStr">
        <is>
          <t>Protech Talent</t>
        </is>
      </c>
      <c r="D3" t="inlineStr">
        <is>
          <t>linkedin</t>
        </is>
      </c>
      <c r="E3" t="inlineStr"/>
      <c r="F3" t="inlineStr"/>
      <c r="G3" t="inlineStr"/>
      <c r="H3" t="inlineStr"/>
      <c r="I3" t="inlineStr">
        <is>
          <t>**💼 Applied AI Engineer** 
**Full\-time \| Hybrid \| New York City** 
**Compensation: $150K – $350K \+ Competitive Equity** 
**🚀 About the Role:** 
 We’re looking for an
 **Applied AI Engineer** 
 to help turn cutting\-edge machine\-learning research into production\-grade, revenue\-driving products.
 You’ll own projects end\-to\-end — from model selection and data pipelines to deployment, monitoring, and iteration in live environments. Expect full autonomy, high accountability, and constant cross\-functional collaboration with product and operations teams.
**💼 About the Company:** 
 This company is a fast\-growing AI\-driven healthcare startup on a mission to make life\-changing therapies accessible faster and more affordably. They’re combining first\-party healthcare data with cutting\-edge AI to streamline one of the most complex and outdated systems in the world — from insurance to drug access to patient support.
 Backed by top\-tier investors (including funds behind companies like Stripe, OpenAI, and Airbnb), they’re scaling rapidly and have already achieved strong product\-market fit. The team is composed of exceptional engineers, operators, and scientists from top startups and research labs.
 The culture is
 **intense, collaborative, and ownership\-driven** 
 — ideal for builders who thrive in zero\-to\-one environments and want to see their work make a measurable impact on real lives.
**What you’ll do:** 
* Build and productionize ML and LLM\-based systems that power automation, prediction, and intelligent search.
* Combine techniques like data extraction, document classification, workflow orchestration, and multimodal modeling.
* Lead zero\-to\-one experiments and deliver models that ship to real customers.
* Collaborate directly with business and engineering stakeholders to scope, design, and deploy AI\-driven features.
* Evaluate new methods, fine\-tune models, and continuously improve reliability, latency, and accuracy.
* Build internal tools and pipelines that accelerate future AI development.
 This is a Hybrid
 **, high\-ownership** 
 position for builders who thrive in fast\-moving, product\-driven environments.
**🧠 What We’re Looking For:** 
**Experience** 
* 1–15 years as an AI / ML Engineer, Applied Scientist, or ML Research Engineer
* Hands\-on experience building and deploying ML systems in production (not research\-only)
* Background at a
 **top\-tier tech or early\-stage startup** 
 that has shipped AI\-powered products
* End\-to\-end project ownership — data, training, infra, deployment, iteration
**Technical Skills** 
* Proficiency with modern ML frameworks (PyTorch, TensorFlow, Transformers, LLM APIs)
* Experience fine\-tuning, prompting, or orchestrating large\-language\-model systems
* Strong foundation in full\-stack development (Python \+ React / TypeScript / PostgreSQL / Kubernetes)
* Comfortable designing scalable data and inference pipelines on cloud (AWS preferred)
**Soft Skills** 
* Low\-ego, high\-ownership mindset
* Strong written \+ verbal communication and cross\-team collaboration
* Bias toward speed, clarity, and tangible results
**Nice to Have** 
* Founder or early\-startup experience
* Pear Fellow / Neo Scholar background
* Degree in CS or related field from a top program (or equivalent practical excellence)
**💡 Why Join:** 
* **Product\-market fit \+ hypergrowth:** 
 the platform already serves thousands of users and is scaling fast.
* **AI\-first mission:** 
 core business outcomes are directly driven by applied ML and generative AI.
* **Top\-tier funding \+ team:** 
 backed by leading investors; small, elite engineering org where impact compounds quickly.
* **High autonomy \+ ownership:** 
 you’ll shape not just the product but the AI infrastructure
**🧩 Interview Process:** 
* **Initial Screen (30 min):** 
 Background, motivation, and alignment with company mission.
* **Technical Interview (45 min):** 
 Coding\-focused (Python), similar to a Leetcode\-style exercise.
* **Project Walkthrough (45 min):** 
 Deep dive into a previous ML or AI system you’ve built.
* **Systems Design (45 min):** 
 Evaluate how you approach scaling, deployment, and architecture.
* **Onsite / Final Round (Half Day):** 
 Collaborative project with the team to assess real\-world problem solving and communication.</t>
        </is>
      </c>
    </row>
    <row r="4">
      <c r="A4" t="inlineStr">
        <is>
          <t>li-4250807886</t>
        </is>
      </c>
      <c r="B4" t="inlineStr">
        <is>
          <t>Senior Machine Learning Engineer I</t>
        </is>
      </c>
      <c r="C4" t="inlineStr">
        <is>
          <t>Etsy</t>
        </is>
      </c>
      <c r="D4" t="inlineStr">
        <is>
          <t>linkedin</t>
        </is>
      </c>
      <c r="E4" t="inlineStr"/>
      <c r="F4" t="inlineStr"/>
      <c r="G4" t="inlineStr">
        <is>
          <t>Brooklyn, NY</t>
        </is>
      </c>
      <c r="H4" t="inlineStr"/>
      <c r="I4"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$183,000\.00 \- $216,000\.00
**What’s the role?**
 We are looking for an experienced Machine Learning Engineer to join our Recommendation Ranking team. Our team develops Machine Learning models to understand buyers, personalize, and rank recommendations across Etsy.com and the Etsy app. As a Machine Learning Engineer, you will work closely with Applied Scientist and Software Engineer to improve the shopping experience for 90\+ million buyers. We are looking for individuals who are product \&amp; technology driven, and are passionate about making ML innovations in areas such as ranking, distributed training and serving, LLM and real\-time systems.
 This is a full\-time position reporting to the Engineering Manager. In addition to salary, you will also be eligible for an equity package, an annual performance bonus, and our competitive benefits that support you and your family as part of your total rewards package at Etsy.
 For this role, we are considering candidates based in the United States. Candidates living within commutable distance of Etsy’s Brooklyn Office Hub or in the San Francisco Bay Area may be the first to be considered. For candidates within commutable distance, Etsy requires in\-office attendance once or twice per week depending on your proximity to the office. Etsy offers different work modes to meet the variety of needs and preferences of our team. Learn more details about our work modes and workplace safety policies here.
**What does the day\-to\-day look like?**
* Work closely with applied scientists, data scientists, product managers, and designers to set the future technical direction of Etsy’s recommendation system
* Engage in development work on projects, guide your team in technical decisions, deeply understand the problem space, and mentor engineers.
* Collaborate with stakeholders and partner teams to design robust end\-to\-end solutions
* Process large datasets and develop scalable pipelines to support ML workflows
* Prototype, optimize, and productionize large\-scale ML models that help deliver key results
* Conduct experiments (A/B testing etc.) to validate the effectiveness of ML models and pipelines
* Of course, this is just a sample of the kinds of work this role will require! You should assume that your role will encompass other tasks, too, and that your job duties and responsibilities may change from time to time at Etsy's discretion, or otherwise applicable with local law.
**Qualities that will help you thrive in this role are:**
* You have experience of applying machine learning techniques in addressing real\-world problems.
* You have experience in one of the following fields: deep learning, multi\-modal learning, natural language processing, graph learning, distributed training/serving, ML infra platform.
* You have experience with large datasets and developing scalable data pipelines.
* You have deep familiarity with at least some of our tools: Python, Tensorflow, PyTorch, Spark, PySpark, Scala, Airflow.
* You have a collaborative mindset and are comfortable working with a diverse range of roles and departments.
* You write understandable and testable code. You have the ability to write and manipulate data at a large scale and you have an eye towards maintainability.
* A degree in Computer Science or related engineering fields with at least two years of industry experience.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5">
      <c r="A5" t="inlineStr">
        <is>
          <t>li-4312825620</t>
        </is>
      </c>
      <c r="B5" t="inlineStr">
        <is>
          <t>Senior AI/ML Applied Scientist - Generative AI</t>
        </is>
      </c>
      <c r="C5" t="inlineStr">
        <is>
          <t>SAP</t>
        </is>
      </c>
      <c r="D5" t="inlineStr">
        <is>
          <t>linkedin</t>
        </is>
      </c>
      <c r="E5" t="inlineStr"/>
      <c r="F5" t="inlineStr"/>
      <c r="G5" t="inlineStr">
        <is>
          <t>Newport Beach, CA</t>
        </is>
      </c>
      <c r="H5" t="inlineStr"/>
      <c r="I5" t="inlineStr">
        <is>
          <t>**We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
**Summary**
 We are searching for an experienced Sr AI/ML Applied Scientist to join our newly formed ABAP Foundation Model team in New Port Beach. This dynamic team is at the forefront of SAP’s cloud transformation efforts, leveraging large language models to accelerate our customers’ data and code transformation. The team collaborates closely with established teams in Europe and India, various SAP stakeholders, UC Irvine, and early adopter customers. You will play a key role in shaping our research collaboration with UC Irvine and coordinating with data science leads of ABAP Foundation Model teams globally.
**What You’ll Do**
* Model Development: Oversee the development, fine\-tuning, and integration of foundation models into SAP solutions to streamline cloud transformation journeys.
* Collaboration: Engage with stakeholders in different teams at SAP as well as early adopter customers and research collaborations.
* Leadership: Mentor and lead junior and senior data scientists, fostering a culture of innovation and excellence.
**What You Bring**
* Educational Background: PhD or Master’s degree in Computer Science, Data Science, Machine Learning, or a related field.
* Experience: 5\+ years of experience in data science, with a proven record of leading projects to success.
* Technical Proficiency: Expertise in deep learning, large language models, and significant experience with deep learning frameworks such as PyTorch and Tensorflow.
* Communication: Exceptional verbal and written communication skills.
* Leadership: Demonstrated ability to lead and mentor teams and drive strategic initiatives.
**Meet Your Team**
 The ABAP Foundation Model team is pioneering AI innovations within the SAP ABAP ecosystem. It is an integral part of the Generative AI foundation within Business AI at SAP. We focus on creating and refining our own Foundation Models using SAP Business Data, pushing the boundaries of what’s possible with AI in business applications. By joining our team, you’ll be an integral part of shaping the future of AI at SAP and driving significant advancements in the field.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in compliance with applicable federal, state, and local legal requirements.
**Compensation Range Transparency** 
 :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129800 \-253800(USD)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424583 \| Work Area:Software\-Design and Development \| Expected Travel: 0 \- 10% \| Career Status: Professional \| Employment Type: Regular Full Time \| Additional Locations:</t>
        </is>
      </c>
    </row>
    <row r="6">
      <c r="A6" t="inlineStr">
        <is>
          <t>li-4344322708</t>
        </is>
      </c>
      <c r="B6" t="inlineStr">
        <is>
          <t>Applied Scientist II</t>
        </is>
      </c>
      <c r="C6" t="inlineStr">
        <is>
          <t>Microsoft</t>
        </is>
      </c>
      <c r="D6" t="inlineStr">
        <is>
          <t>linkedin</t>
        </is>
      </c>
      <c r="E6" t="inlineStr"/>
      <c r="F6" t="inlineStr"/>
      <c r="G6" t="inlineStr">
        <is>
          <t>Redmond, WA</t>
        </is>
      </c>
      <c r="H6" t="inlineStr"/>
      <c r="I6" t="inlineStr">
        <is>
          <t>**Overview**
 As an Applied Scientist \- AI  for Business \&amp; Industry Copilot Foundations team, you will play a pivotal role in advancing Microsoft's mission.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
 Microsoft is driving innovation in Artificial Inteligence (AI) and building an open architecture platform that empowers users with tailored AI for real\-world impact. We are seeking an Applied Scientist \- AI who combines expertise in AI and applied science, embraces a growth mindset, and demonstrates customer empathy to help shape the future of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collaborative relationships with product and business groups to deliver AI\-driven impact
* Research and implement state\-of\-the\-art using foundation models, prompt engineering, graphs, multi architectures, as well as classical machine learning techniques.
* Fine\-tune foundation models using domain\-specific datasets.  Evaluate model behavior on relevance, bias, hallucination, and response quality via offline evaluations, shadow experiments, online experiments, and Retun On Investment(ROI) analysis.
* Build rapid AI solution prototypes, contribute to production deployment of these solutions, debug production code, support MLOps/AIOps.
* Ability to use data to identify gaps in AI quality, uncover insights and implement PoCs to show proof of concepts.
**Qualifications**
**Required Qualifications** 
* Bachelor's Degree in Statistics, Econometrics, Computer Science, Electrical or Computer Engineering, or related field AND 2\+ years related experience (e.g., statistics, predictive analytics, research)
*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 1\+ years of experience working with generative artificial intelligence or large language model and machine learning algorithms.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Statistics, Econometrics, Computer Science, Electrical or Computer Engineering, or related field AND 5\+ years related experience (e.g., statistics, predictive analytics, research)
*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3\+ years of experience developing and deploying live production systems
* 2\+ years of experience working with Generative AI models and Machine Learning (ML) stacks
* 1\+ years experience creating publications (e.g., patents, peer\-reviewed academic papers).
* 1\+ years of experience conducting research in academic or industry settings
* Experience with MLOps Workflows, including CI/CD, monitoring, and retraining pipelines.
* Familiarity with modern LLMOps frameworks (e.g., LangChain, PromptFlow)
* Experience across the product lifecycle from ideation to shipping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
      <c r="A7" t="inlineStr">
        <is>
          <t>li-4344442346</t>
        </is>
      </c>
      <c r="B7" t="inlineStr">
        <is>
          <t>Senior Applied Scientist</t>
        </is>
      </c>
      <c r="C7" t="inlineStr">
        <is>
          <t>Microsoft</t>
        </is>
      </c>
      <c r="D7" t="inlineStr">
        <is>
          <t>linkedin</t>
        </is>
      </c>
      <c r="E7" t="inlineStr"/>
      <c r="F7" t="inlineStr"/>
      <c r="G7" t="inlineStr">
        <is>
          <t>Seattle, WA</t>
        </is>
      </c>
      <c r="H7" t="inlineStr"/>
      <c r="I7" t="inlineStr">
        <is>
          <t>**Overview**
 As a
 **Senior AI Applied Scientist** 
 for
 **Dynamics 365 Apps** 
 ,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
 **Senior Applied Scientist** 
 to join our team
 This role will combine AI knowledge with applied science expertise and demonstrate a growth mindset and customer empathy. Join us in shaping the future of AI agents.
 This role requires you to be onsite 3 days a week in Microsoft's offices in Redmond, WA.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**Documentation**
* Maintain clear documentation of experiments, results, and methodologies.
* Share findings through internal forums, newsletters, and demos to promote innovation and knowledge sharing
**Ethics, Privacy and Security**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 guide product monitoring and alerting, and adapt to changes in data streams.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1\+ years of experience with generative AI OR LLM/ML algorithms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MLOps Workflows, including CI/CD, monitoring, and retraining pipelines.
* Familiarity with modern LLMOps frameworks (e.g., LangChain, PromptFlow)
* Experience developing and deploying live production systems one or more of the following: C\#, Java, React/Angular, TypeScript.
* Experience with design and implementation of enterprise\-scale services
* 3\+ years of experience publishing in peer\-reviewed venues or filing patents
* Experience presenting at conferences or industry events
* 3\+ years of experience conducting research in academic or industry settings
* 1\+ years of experience working with Generative AI models and ML stacks
* Experience across the product lifecycle from ideation to shipping
 \#BICJOBS
 \#CXAJOBS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
      <c r="A8" t="inlineStr">
        <is>
          <t>li-4358458080</t>
        </is>
      </c>
      <c r="B8" t="inlineStr">
        <is>
          <t>AI/ML Engineer (Entry Position)</t>
        </is>
      </c>
      <c r="C8" t="inlineStr">
        <is>
          <t>Pragmatike</t>
        </is>
      </c>
      <c r="D8" t="inlineStr">
        <is>
          <t>linkedin</t>
        </is>
      </c>
      <c r="E8" t="inlineStr"/>
      <c r="F8" t="inlineStr"/>
      <c r="G8" t="inlineStr">
        <is>
          <t>New York, NY</t>
        </is>
      </c>
      <c r="H8" t="inlineStr"/>
      <c r="I8" t="inlineStr">
        <is>
          <t>**Location:** 
 Cambridge, MA (Eastern Time / UTC \-4\) ﻿
 **Relocation package available**
**Relocation package:** 
 Available
**Start date:** 
 ASAP
**Languages:** 
 English (required)
**About The Role**
 Pragmatike is hiring on behalf of a fast\-growing AI startup recognized as a
 **Top 10 GenAI company by GTM Capital** 
 , founded by
 **MIT CSAIL researchers** 
 .
 We are looking for an
 **AI/ML Engineer (Entry Position)** 
 to join a growing AI engineering team building and deploying real\-world AI systems used by
 **Fortune 500 customers** 
 .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 Build, train, and evaluate machine learning models in collaboration with senior engineers
* Contribute to deploying ML models into production systems
* Work with structured and unstructured datasets to support training and inference pipelines
* Improve model performance, reliability, and scalability through experimentation
* Implement and maintain ML code primarily in Python
* Monitor model behavior and assist in debugging production issues
* Participate in model iteration, validation, and performance analysis
* Collaborate with backend and platform teams to integrate AI components into products
**What Were Looking For**
* Bachelors or Masters degree in Computer Science, Engineering, Mathematics, or a related field
* 2\+ years of professional experience working on AI, ML, or data\-driven systems (industry, research, or applied internships)
* Excellent academic background, including strong grades and demonstrated university\-level achievements
* Evidence of academic or professional excellence, such as scholarships, honors, awards, competitive programs, or impactful projects
* Solid understanding of machine learning fundamentals (supervised/unsupervised learning, evaluation metrics)
* Hands\-on experience with ML libraries such as PyTorch, TensorFlow, or scikit\-learn (required)
* Strong proficiency in Python
* Strong problem\-solving skills and the ability to work independently
**Bonus Points**
* Experience with deep learning, LLMs, or modern AI architectures
* Experience working with real\-world, noisy datasets in production
* Familiarity with cloud platforms (AWS, GCP, or Azure)
* Exposure to MLOps tools, model deployment, or monitoring
* Publications, research experience, or participation in AI/ML competitions
**Why This Role Will Pivot Your Career**
* Learn from MIT CSAIL–founded leadership and experienced AI engineers
* Work on AI systems deployed to Fortune 500 customers
* Apply strong academic and early professional experience to high\-impact AI problems
* Clear growth path toward mid\-level and senior AI engineering roles
* Join a well\-funded, fast\-growing AI startup with strong technical ambition
**Benefits**
* Competitive salary \&amp; equity options
* Sign\-on bonus
* Health, Dental, and Vision
* 401(k)
 ﻿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9">
      <c r="A9" t="inlineStr">
        <is>
          <t>li-4358753540</t>
        </is>
      </c>
      <c r="B9" t="inlineStr">
        <is>
          <t>AI/ML Engineer (Entry Position)</t>
        </is>
      </c>
      <c r="C9" t="inlineStr">
        <is>
          <t>Pragmatike</t>
        </is>
      </c>
      <c r="D9" t="inlineStr">
        <is>
          <t>linkedin</t>
        </is>
      </c>
      <c r="E9" t="inlineStr"/>
      <c r="F9" t="inlineStr"/>
      <c r="G9" t="inlineStr">
        <is>
          <t>San Francisco, CA</t>
        </is>
      </c>
      <c r="H9" t="inlineStr"/>
      <c r="I9" t="inlineStr">
        <is>
          <t>**Location:** 
 Cambridge, MA (Eastern Time / UTC \-4\) ﻿
 **Relocation package available**
**Relocation package:** 
 Available
**Start date:** 
 ASAP
**Languages:** 
 English (required)
**About The Role**
 Pragmatike is hiring on behalf of a fast\-growing AI startup recognized as a
 **Top 10 GenAI company by GTM Capital** 
 , founded by
 **MIT CSAIL researchers** 
 .
 We are looking for an
 **AI/ML Engineer (Entry Position)** 
 to join a growing AI engineering team building and deploying real\-world AI systems used by
 **Fortune 500 customers** 
 .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 Build, train, and evaluate machine learning models in collaboration with senior engineers
* Contribute to deploying ML models into production systems
* Work with structured and unstructured datasets to support training and inference pipelines
* Improve model performance, reliability, and scalability through experimentation
* Implement and maintain ML code primarily in Python
* Monitor model behavior and assist in debugging production issues
* Participate in model iteration, validation, and performance analysis
* Collaborate with backend and platform teams to integrate AI components into products
**What Were Looking For**
* Bachelors or Masters degree in Computer Science, Engineering, Mathematics, or a related field
* 2\+ years of professional experience working on AI, ML, or data\-driven systems (industry, research, or applied internships)
* Excellent academic background, including strong grades and demonstrated university\-level achievements
* Evidence of academic or professional excellence, such as scholarships, honors, awards, competitive programs, or impactful projects
* Solid understanding of machine learning fundamentals (supervised/unsupervised learning, evaluation metrics)
* Hands\-on experience with ML libraries such as PyTorch, TensorFlow, or scikit\-learn (required)
* Strong proficiency in Python
* Strong problem\-solving skills and the ability to work independently
**Bonus Points**
* Experience with deep learning, LLMs, or modern AI architectures
* Experience working with real\-world, noisy datasets in production
* Familiarity with cloud platforms (AWS, GCP, or Azure)
* Exposure to MLOps tools, model deployment, or monitoring
* Publications, research experience, or participation in AI/ML competitions
**Why This Role Will Pivot Your Career**
* Learn from MIT CSAIL–founded leadership and experienced AI engineers
* Work on AI systems deployed to Fortune 500 customers
* Apply strong academic and early professional experience to high\-impact AI problems
* Clear growth path toward mid\-level and senior AI engineering roles
* Join a well\-funded, fast\-growing AI startup with strong technical ambition
**Benefits**
* Competitive salary \&amp; equity options
* Sign\-on bonus
* Health, Dental, and Vision
* 401(k)
 ﻿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10">
      <c r="A10" t="inlineStr">
        <is>
          <t>li-4358595684</t>
        </is>
      </c>
      <c r="B10" t="inlineStr">
        <is>
          <t>AI/ML Engineer (Entry Position)</t>
        </is>
      </c>
      <c r="C10" t="inlineStr">
        <is>
          <t>Pragmatike</t>
        </is>
      </c>
      <c r="D10" t="inlineStr">
        <is>
          <t>linkedin</t>
        </is>
      </c>
      <c r="E10" t="inlineStr"/>
      <c r="F10" t="inlineStr"/>
      <c r="G10" t="inlineStr">
        <is>
          <t>North Carolina, United States</t>
        </is>
      </c>
      <c r="H10" t="inlineStr"/>
      <c r="I10" t="inlineStr">
        <is>
          <t>**Location:** 
 Cambridge, MA (Eastern Time / UTC \-4\) ﻿
 **Relocation package available**
**Relocation package:** 
 Available
**Start date:** 
 ASAP
**Languages:** 
 English (required)
**About The Role**
 Pragmatike is hiring on behalf of a fast\-growing AI startup recognized as a
 **Top 10 GenAI company by GTM Capital** 
 , founded by
 **MIT CSAIL researchers** 
 .
 We are looking for an
 **AI/ML Engineer (Entry Position)** 
 to join a growing AI engineering team building and deploying real\-world AI systems used by
 **Fortune 500 customers** 
 .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 Build, train, and evaluate machine learning models in collaboration with senior engineers
* Contribute to deploying ML models into production systems
* Work with structured and unstructured datasets to support training and inference pipelines
* Improve model performance, reliability, and scalability through experimentation
* Implement and maintain ML code primarily in Python
* Monitor model behavior and assist in debugging production issues
* Participate in model iteration, validation, and performance analysis
* Collaborate with backend and platform teams to integrate AI components into products
**What Were Looking For**
* Bachelors or Masters degree in Computer Science, Engineering, Mathematics, or a related field
* 2\+ years of professional experience working on AI, ML, or data\-driven systems (industry, research, or applied internships)
* Excellent academic background, including strong grades and demonstrated university\-level achievements
* Evidence of academic or professional excellence, such as scholarships, honors, awards, competitive programs, or impactful projects
* Solid understanding of machine learning fundamentals (supervised/unsupervised learning, evaluation metrics)
* Hands\-on experience with ML libraries such as PyTorch, TensorFlow, or scikit\-learn (required)
* Strong proficiency in Python
* Strong problem\-solving skills and the ability to work independently
**Bonus Points**
* Experience with deep learning, LLMs, or modern AI architectures
* Experience working with real\-world, noisy datasets in production
* Familiarity with cloud platforms (AWS, GCP, or Azure)
* Exposure to MLOps tools, model deployment, or monitoring
* Publications, research experience, or participation in AI/ML competitions
**Why This Role Will Pivot Your Career**
* Learn from MIT CSAIL–founded leadership and experienced AI engineers
* Work on AI systems deployed to Fortune 500 customers
* Apply strong academic and early professional experience to high\-impact AI problems
* Clear growth path toward mid\-level and senior AI engineering roles
* Join a well\-funded, fast\-growing AI startup with strong technical ambition
**Benefits**
* Competitive salary \&amp; equity options
* Sign\-on bonus
* Health, Dental, and Vision
* 401(k)
 ﻿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11">
      <c r="A11" t="inlineStr">
        <is>
          <t>li-4359323287</t>
        </is>
      </c>
      <c r="B11" t="inlineStr">
        <is>
          <t>AI/ML Engineer (Entry Position)</t>
        </is>
      </c>
      <c r="C11" t="inlineStr">
        <is>
          <t>Pragmatike</t>
        </is>
      </c>
      <c r="D11" t="inlineStr">
        <is>
          <t>linkedin</t>
        </is>
      </c>
      <c r="E11" t="inlineStr"/>
      <c r="F11" t="inlineStr"/>
      <c r="G11" t="inlineStr">
        <is>
          <t>Boston, MA</t>
        </is>
      </c>
      <c r="H11" t="inlineStr"/>
      <c r="I11" t="inlineStr">
        <is>
          <t>**Location:** 
 Cambridge, MA (Eastern Time / UTC \-4\) ﻿
 **Relocation package available**
**Relocation package:** 
 Available
**Start date:** 
 ASAP
**Languages:** 
 English (required)
**About The Role**
 Pragmatike is hiring on behalf of a fast\-growing AI startup recognized as a
 **Top 10 GenAI company by GTM Capital** 
 , founded by
 **MIT CSAIL researchers** 
 .
 We are looking for an
 **AI/ML Engineer (Entry Position)** 
 to join a growing AI engineering team building and deploying real\-world AI systems used by
 **Fortune 500 customers** 
 .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 Build, train, and evaluate machine learning models in collaboration with senior engineers
* Contribute to deploying ML models into production systems
* Work with structured and unstructured datasets to support training and inference pipelines
* Improve model performance, reliability, and scalability through experimentation
* Implement and maintain ML code primarily in Python
* Monitor model behavior and assist in debugging production issues
* Participate in model iteration, validation, and performance analysis
* Collaborate with backend and platform teams to integrate AI components into products
**What Were Looking For**
* Bachelors or Masters degree in Computer Science, Engineering, Mathematics, or a related field
* 2\+ years of professional experience working on AI, ML, or data\-driven systems (industry, research, or applied internships)
* Excellent academic background, including strong grades and demonstrated university\-level achievements
* Evidence of academic or professional excellence, such as scholarships, honors, awards, competitive programs, or impactful projects
* Solid understanding of machine learning fundamentals (supervised/unsupervised learning, evaluation metrics)
* Hands\-on experience with ML libraries such as PyTorch, TensorFlow, or scikit\-learn (required)
* Strong proficiency in Python
* Strong problem\-solving skills and the ability to work independently
**Bonus Points**
* Experience with deep learning, LLMs, or modern AI architectures
* Experience working with real\-world, noisy datasets in production
* Familiarity with cloud platforms (AWS, GCP, or Azure)
* Exposure to MLOps tools, model deployment, or monitoring
* Publications, research experience, or participation in AI/ML competitions
**Why This Role Will Pivot Your Career**
* Learn from MIT CSAIL–founded leadership and experienced AI engineers
* Work on AI systems deployed to Fortune 500 customers
* Apply strong academic and early professional experience to high\-impact AI problems
* Clear growth path toward mid\-level and senior AI engineering roles
* Join a well\-funded, fast\-growing AI startup with strong technical ambition
**Benefits**
* Competitive salary \&amp; equity options
* Sign\-on bonus
* Health, Dental, and Vision
* 401(k)
 ﻿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12">
      <c r="A12" t="inlineStr">
        <is>
          <t>li-4358904348</t>
        </is>
      </c>
      <c r="B12" t="inlineStr">
        <is>
          <t>Machine Learning Engineer, Reinforcement Learning</t>
        </is>
      </c>
      <c r="C12" t="inlineStr">
        <is>
          <t>Path Robotics</t>
        </is>
      </c>
      <c r="D12" t="inlineStr">
        <is>
          <t>linkedin</t>
        </is>
      </c>
      <c r="E12" t="inlineStr"/>
      <c r="F12" t="inlineStr"/>
      <c r="G12" t="inlineStr">
        <is>
          <t>Columbus, OH</t>
        </is>
      </c>
      <c r="H12" t="inlineStr"/>
      <c r="I12" t="inlineStr">
        <is>
          <t>Build the Path Forward
 At Path Robotics, we’re building the future of embodied intelligence. Our AI\-driven systems enable robots to adapt, learn, and perform in the real world closing the skilled labor gap and transforming industries. We go beyond traditional methods, combining perception, reasoning, and control to deliver field\-ready AI that is risk\-aware, reliable, and continuously improving through real\-world use.
 Big, hard problems are our everyday work, and our team of intelligent, humble, and driven people make the impossible possible together.
 As a
 **Machine Learning Engineer focused on Reinforcement Learning** 
 , you will design, implement, and optimize RL algorithms that enable intelligent agents to operate in dynamic, unstructured environments.  This role involves working closely with cross\-functional teams to design, test, and deploy innovative solutions that improve the performance and capabilities of our robotic systems.
 What You’ll Do
* Design, implement, and evaluate RL algorithms for robotic control, motion planning, and adaptive behaviors in dynamic, unstructured environments.
* Develop and integrate RL policies with robot control systems, ensuring compatibility with hardware constraints and real\-time requirements.
* Collaborate with perception teams to fuse RL with vision, depth, and sensor data for robust decision\-making.
* Build and maintain sim\-to\-real pipelines, including domain randomization and transfer learning techniques.
* Conduct experiments on physical robots, including designing safety protocols and monitoring for unexpected behaviors.
* Leverage simulation environments (Isaac Gym, Gazebo, MuJoCo, PyBullet) for large\-scale training before real\-world validation.
* Continuously improve model efficiency to operate within compute and latency constraints on embedded robotic systems.
 Who You Are
* Master’s or PhD in Computer Science, Robotics, Machine Learning, or related field, or equivalent practical experience.
* Strong knowledge of reinforcement learning algorithms and theory.
* Proficiency in Python and deep learning frameworks such as PyTorch or TensorFlow.
* Experience with simulation environments (e.g., MuJoCo, Isaac Gym).
* Solid understanding of probability, statistics, and optimization.
* Experience with training and deploying ML models in production systems.
**Why You’ll Love Working Here** 
* Daily free lunch to keep you fueled and connected with the team
* Flexible PTO so you can take the time you need, when you need it
* Comprehensive medical, dental, and vision coverage
* 6 weeks fully paid parental leave, plus an additional 6–8 weeks for birthing parents (12–14 weeks total)
* 401(k) retirement plan through Empower
* Generous employee referral bonuses—help us grow our team!
**Who We Are** 
 At Path Robotics we love coming to work to solve interesting and tough challenges but also because our ideas are welcomed and valued. We encourage unique thinking and are dedicated to creating a diverse and inclusive environment. All qualified applicants will receive consideration for employment without regard to race, color, religion, gender, gender identity or expression, sexual orientation, national origin, genetics, disability, age, or veteran status.</t>
        </is>
      </c>
    </row>
    <row r="13">
      <c r="A13" t="inlineStr">
        <is>
          <t>li-4359343825</t>
        </is>
      </c>
      <c r="B13" t="inlineStr">
        <is>
          <t>Machine Learning Engineer</t>
        </is>
      </c>
      <c r="C13" t="inlineStr">
        <is>
          <t>Atlassian</t>
        </is>
      </c>
      <c r="D13" t="inlineStr">
        <is>
          <t>linkedin</t>
        </is>
      </c>
      <c r="E13" t="inlineStr"/>
      <c r="F13" t="inlineStr"/>
      <c r="G13" t="inlineStr"/>
      <c r="H13" t="inlineStr"/>
      <c r="I13" t="inlineStr">
        <is>
          <t>**About The Company** 
 Atlassian is a leading enterprise software company dedicated to empowering teams worldwide through innovative collaboration tools. With a mission to unleash the potential of every team, Atlassian develops a suite of products designed to facilitate seamless communication, project management, and workflow automation. Recognized for its commitment to fostering an inclusive and diverse workplace, Atlassian values the contributions of its global workforce and promotes a distributed\-first culture that supports flexible working arrangements. The company emphasizes continuous innovation, customer\-centric solutions, and a collaborative environment where employees can thrive and make a meaningful impact across industries.
**About The Role** 
 We are seeking a highly skilled Principal Machine Learning Scientist to join our Central AI team based in Bellevue, WA. This pivotal role involves leading the development of advanced machine learning algorithms and building scalable models that drive AI capabilities across Atlassian’s product ecosystem. As a key contributor, you will collaborate closely with product managers, engineers, and data analysts to embed AI functionalities into our offerings, enhancing user experience and operational efficiency. Your expertise will guide the design of system architectures, oversee rigorous experimentation, and mentor emerging ML engineers. This role provides a unique opportunity to shape the future of AI at Atlassian, ensuring our infrastructure and models support innovative, practical solutions that benefit millions of users worldwide.
**Qualifications** 
* Bachelor’s or Master’s degree in Computer Science, Data Science, or a related field (PhD preferred)
* 5\+ years of industry experience in data science, machine learning, or AI development
* Proficiency in Python or Java with the ability to produce high\-quality, production\-grade code
* Strong familiarity with SQL, Spark, and cloud data environments such as AWS or Databricks
* Experience in building and scaling machine learning models for business applications using large datasets
* Excellent communication skills, capable of explaining complex data science concepts to diverse audiences
* Focus on practical business outcomes, applying the 80/20 rule to deliver impactful solutions efficiently
* Agile mindset with a passion for iterative development and continuous improvement
**Responsibilities** 
* Lead the design, development, and deployment of advanced machine learning algorithms and models
* Collaborate with cross\-functional teams to integrate AI features into Atlassian products and services
* Conduct rigorous experimentation, model evaluation, and performance tuning to ensure optimal results
* Develop scalable data pipelines and infrastructure to support AI initiatives
* Mentor and guide junior ML engineers, fostering a culture of learning and innovation
* Communicate complex data science concepts clearly to technical and non\-technical stakeholders
* Stay updated with the latest advancements in AI and machine learning, applying them to enhance product capabilities
* Ensure AI solutions align with business goals, emphasizing practicality and timely delivery
**Benefits** 
* Competitive and transparent compensation packages aligned with industry standards
* Comprehensive health, dental, and vision insurance coverage
* Paid volunteer days and wellness resources to promote work\-life balance
* Flexible remote working arrangements and support for a distributed\-first culture
* Opportunities for professional growth, training, and development
* Access to employee resource groups and a diverse, inclusive community
* Additional perks and benefits available, including parental leave, wellness stipends, and more
 Equal Opportunity
 At Atlassian, we are committed to creating an inclusive environment where all employees are valued and respected. We provide equal employment opportunities regardless of race, religion, national origin, gender identity or expression, sexual orientation, age, marital status, veteran status, or disability.</t>
        </is>
      </c>
    </row>
    <row r="14">
      <c r="A14" t="inlineStr">
        <is>
          <t>li-4351969078</t>
        </is>
      </c>
      <c r="B14" t="inlineStr">
        <is>
          <t>Machine Learning Engineer II</t>
        </is>
      </c>
      <c r="C14" t="inlineStr">
        <is>
          <t>Attentive</t>
        </is>
      </c>
      <c r="D14" t="inlineStr">
        <is>
          <t>linkedin</t>
        </is>
      </c>
      <c r="E14" t="inlineStr"/>
      <c r="F14" t="inlineStr"/>
      <c r="G14" t="inlineStr">
        <is>
          <t>New York, NY</t>
        </is>
      </c>
      <c r="H14" t="inlineStr"/>
      <c r="I14"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As a Machine Learning Engineer II, you will contribute to building and improving machine learning models and infrastructure that power real\-time personalization across the Attentive platform. This role is ideal for an engineer who has solid production ML experience and is looking to grow their impact, technical depth, and ownership within a collaborative team environment.
 You will work closely with senior ML engineers, product managers, and platform teams to implement end\-to\-end ML use cases while continuing to develop strong ML engineering fundamentals.
**What You’ll Accomplish** 
* Build and maintain machine learning models and pipelines used in production
* Contribute to data processing, feature engineering, model training, and evaluation workflows
* Assist in deploying, monitoring, and validating ML models in production environments
* Partner with senior engineers and product managers to implement ML\-driven features
* Write high\-quality, well\-tested code and help prevent regressions through testing and monitoring
* Learn and apply best practices in ML engineering, system reliability, and scalability
* Participate in design discussions, code reviews, and team knowledge sharing
* Grow your technical skills in a fast\-paced, high\-impact environment
**Your Expertise** 
* 3\+ years of professional software engineering experience, with 2\+ years working on machine learning or data\-driven systems
* Proficiency in Python and familiarity with ML frameworks such as PyTorch, TensorFlow, or xgboost
* Experience with data analysis and processing tools such as pandas, SQL, Spark, or similar
* Exposure to building or supporting ML pipelines for training, validation, or deployment
* Understanding of production concerns such as monitoring, performance, and data quality
* Strong collaboration and communication skills, with a growth\-oriented mindset
**What We Use** 
* Infrastructure: Kubernetes (AWS EKS), Istio, Datadog, Terraform, Cloudflare, Helm
* Backend: Java / Spring Boot microservices (Gradle), DynamoDB, Kinesis, Airflow, Postgres, PlanetScale, Redis
* Frontend: React, TypeScript, GraphQL, Storybook, Radix UI, Vite, Playwright
* ML \&amp; Data: Python, Metaflow, HuggingFace 🤗, PyTorch, TensorFlow, Panda
 You'll get competitive
 perks and benefits
 , from health \&amp; wellness to equity, to help you bring your best self to work.
**For US based applicants:
 \- The US base salary range for this full\-time position is $212,000 \- 280,000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15">
      <c r="A15" t="inlineStr">
        <is>
          <t>li-4358763786</t>
        </is>
      </c>
      <c r="B15" t="inlineStr">
        <is>
          <t>Senior ML Engineer (GenAI)</t>
        </is>
      </c>
      <c r="C15" t="inlineStr">
        <is>
          <t>Provectus</t>
        </is>
      </c>
      <c r="D15" t="inlineStr">
        <is>
          <t>linkedin</t>
        </is>
      </c>
      <c r="E15" t="inlineStr"/>
      <c r="F15" t="inlineStr"/>
      <c r="G15" t="inlineStr"/>
      <c r="H15" t="inlineStr"/>
      <c r="I15" t="inlineStr">
        <is>
          <t>As a Senior ML Engineer at Provectus, you'll be responsible for designing, developing, and deploying production\-grade machine learning solutions for our clients. You will work on complex ML problems, mentor junior engineers, and contribute to building ML accelerators and best practices.
**Core Responsibilities:**
* 1\. Technical Delivery (60%)
* Design and implement end\-to\-end ML solutions from experimentation to production
* Build scalable ML pipelines and infrastructure
* Optimize model performance, efficiency, and reliability
* Write clean, maintainable, production\-quality code
* Conduct rigorous experimentation and model evaluation
* Troubleshoot and resolve complex technical challenges
* 2\. Collaboration and Contribution (25%)
* Mentor junior and mid\-level ML engineers
* Conduct code reviews and provide constructive feedback
* Share knowledge through documentation, presentations, and workshops
* Collaborate with cross\-functional teams (DevOps, Data Engineering, SAs)
* Contribute to internal ML practice development
* 3\. Innovation and Growth (15%)
* Stay current with ML research and emerging technologies
* Propose improvements to existing solutions and processes
* Contribute to the development of reusable ML accelerators
* Participate in technical discussions and architectural decisions
**Requirements:**
* 1\. Machine Learning Core
* \- ML Fundamentals: supervised, unsupervised, and reinforcement learning
* \- Model Development: feature engineering, model training, evaluation, hyperparameter tuning, and validation
* \- ML Frameworks: classical ML libraries, TensorFlow, PyTorch, or similar frameworks
* \- Deep Learning: CNNs, RNNs, Transformers
* 2\. LLMs and Generative AI
* \- LLM Applications: Experience building production LLM\-based applications
* \- Prompt Engineering: Ability to design effective prompts and chain\-of\-thought strategies
* \- RAG Systems: Experience building retrieval\-augmented generation architectures
* \- Vector Databases: Familiarity with embedding models and vector search
* \- LLM Evaluation: Experience with evaluation metrics and techniques for LLM outputs
* 3\. Data and Programming
* \- Python: Advanced proficiency in Python for ML applications
* \- Data Manipulation: Expert with pandas, numpy, and data processing libraries
* \- SQL: Ability to work with structured data and databases
* \- Data Pipelines: Experience building ETL/ELT pipelines \- Big Data: Experience with Spark or similar distributed computing frameworks
* 4\. MLOps and Production
* \- Model Deployment: Experience deploying ML models to production environments
* \- Containerization: Proficiency with Docker and container orchestration
* \- CI/CD: Understanding of continuous integration and deployment for ML
* \- Monitoring: Experience with model monitoring and observability
* \- Experiment Tracking: Familiarity with MLflow, Weights and Biases, or similar tools
* 5\. Cloud and Infrastructure
* \- AWS Services: Strong experience with AWS ML services (SageMaker, Lambda, etc.)
* \-GCP Expertise: Advanced knowledge of GCP ML and data services
* \- Cloud Architecture: Understanding of cloud\-native ML architectures
* \- Infrastructure as Code: Experience with Terraform, CloudFormation, or similar
**Will be a plus:**
* Practical experience with cloud platforms (AWS stack is preferred, e.g. Amazon SageMaker, ECR, EMR, S3, AWS Lambda)
* Practical experience with deep learning models
* Experience with taxonomies or ontologies
* Practical experience with machine learning pipelines to orchestrate complicated workflows
* Practical experience with Spark/Dask, Great Expectations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
      <c r="A16" t="inlineStr">
        <is>
          <t>li-4352041242</t>
        </is>
      </c>
      <c r="B16" t="inlineStr">
        <is>
          <t>ML/AI Engineer</t>
        </is>
      </c>
      <c r="C16" t="inlineStr">
        <is>
          <t>Oscar</t>
        </is>
      </c>
      <c r="D16" t="inlineStr">
        <is>
          <t>linkedin</t>
        </is>
      </c>
      <c r="E16" t="inlineStr"/>
      <c r="F16" t="inlineStr"/>
      <c r="G16" t="inlineStr"/>
      <c r="H16" t="inlineStr"/>
      <c r="I16" t="inlineStr">
        <is>
          <t>About the Role
 We're building a category\-defining product at the intersection of data, AI, and real\-world impact. Backed by experienced founders and early customer traction, we're at the stage where technical decisions made today will compound for years.
 This is an opportunity to join early, shape core ML systems from the ground up, and help build a company with genuine unicorn\-scale potential. If you're excited by hard problems, ownership, and building something that didn't exist before, this role is for you.
 What You'll Do
* Build and deploy ML/AI models that power core product functionality
* Own the full ML lifecycle: data, modeling, evaluation, deployment, monitoring
* Partner with product and engineering to turn ambiguous problems into scalable solutions
* Continuously improve model performance, reliability, and impact
 What We're Looking For
* Strong ML fundamentals (machine learning, statistics, algorithms)
* Experience shipping ML models or systems to production
* Proficiency in Python and modern ML frameworks (PyTorch, TensorFlow, etc.)
* BS/MS/PhD in a relevant field
 **or** 
 experience at a top\-tier startup or unicorn
 Nice to Have
* LLMs, GenAI, NLP, or computer vision experience
* MLOps and cloud infrastructure familiarity
**Desired Skills and Experience**
 AI, ML, Python, GO, Java, API
 Oscar Associates Limited (US) is acting as an Employment Agency in relation to this vacancy.</t>
        </is>
      </c>
    </row>
    <row r="17">
      <c r="A17" t="inlineStr">
        <is>
          <t>li-4358994062</t>
        </is>
      </c>
      <c r="B17" t="inlineStr">
        <is>
          <t>Machine Learning Engineer</t>
        </is>
      </c>
      <c r="C17" t="inlineStr">
        <is>
          <t>The JAM l People in Robotics</t>
        </is>
      </c>
      <c r="D17" t="inlineStr">
        <is>
          <t>linkedin</t>
        </is>
      </c>
      <c r="E17" t="inlineStr"/>
      <c r="F17" t="inlineStr"/>
      <c r="G17" t="inlineStr">
        <is>
          <t>New York, United States</t>
        </is>
      </c>
      <c r="H17" t="inlineStr"/>
      <c r="I17" t="inlineStr">
        <is>
          <t>Machine Learning Engineer l New York l $150k \+ 1% equity
 I’m working with an early\-stage applied AI company that’s building intelligent systems for real\-world, mission\-critical machines. They’re looking to hire a Machine Learning Engineer who can own production ML systems end to end and thrive in a fast\-moving startup environment.
 This is a strong fit for someone who wants real ownership, technical autonomy, and the chance to shape core ML infrastructure from an early stage.
**The Role** 
 As a Machine Learning Engineer, you’ll be responsible for designing, training, deploying, and improving machine learning systems that operate in production. You’ll work closely with product and engineering, turning messy data into models that ship and scale.
 This is not a research\-only role — the emphasis is on applied, production\-grade ML.
**What You’ll Be Doing** 
* Designing and implementing ML systems using modern architectures
* Training and evaluating models, running experiments, and iterating quickly
* Deploying scalable ML services in a cloud environment (AWS)
* Working with unstructured and imperfect data: scraping, cleaning, and transforming it
* Building agentic and retrieval\-augmented AI systems
* Partnering with product and engineering to integrate ML cleanly into a modern frontend
**What They’re Looking For** 
 Machine Learning Fundamentals
* Experience with embeddings, recommender systems, and/or foundation models
* Strong intuition for choosing the right level of model complexity
 Production Experience
* Proven experience shipping ML systems into real\-world use
* Strong Python skills and comfort with infrastructure fundamentals
* A bias toward reliability, performance, and maintainability
 Modern ML Stack
* Hands\-on experience with PyTorch and transformer\-based models
* Experience deploying ML workloads on AWS
* Familiarity with agentic AI frameworks (e.g., LangChain, MCP, A2A) and RAG systems
 Data \&amp; Product Awareness
* Comfortable working with messy, real\-world data
* Understands how ML fits into a modern, React\-based product (no frontend ownership required)
 Startup DNA
* 1–3\+ years of full\-time experience in a high\-growth startup environment
* High ownership mindset — able to scope problems and deliver without heavy oversight
* Motivated by autonomy, responsibility, and impact
 Who This Tends to Work Well For
* Engineers who’ve been underestimated or underutilized
* Builders who want to be closer to product and outcomes
* People who prefer early\-stage ambiguity over big\-company structure
**Why This Opportunity** 
* Early\-stage company with ambitious technical goals
* Direct impact on core systems and product direction
* High trust, high ownership environment
* Significant room for growth as the company scales</t>
        </is>
      </c>
    </row>
    <row r="18">
      <c r="A18" t="inlineStr">
        <is>
          <t>li-4359382154</t>
        </is>
      </c>
      <c r="B18" t="inlineStr">
        <is>
          <t>ML Engineer</t>
        </is>
      </c>
      <c r="C18" t="inlineStr">
        <is>
          <t>ServiceNow</t>
        </is>
      </c>
      <c r="D18" t="inlineStr">
        <is>
          <t>linkedin</t>
        </is>
      </c>
      <c r="E18" t="inlineStr"/>
      <c r="F18" t="inlineStr"/>
      <c r="G18" t="inlineStr"/>
      <c r="H18" t="inlineStr"/>
      <c r="I18" t="inlineStr">
        <is>
          <t>**About The Company**
 Established in 2004 in sunny San Diego, California, ServiceNow has grown into a global leader in cloud\-based digital workflows. Founded by visionary engineer Fred Luddy, the company has revolutionized how organizations operate by providing intelligent, AI\-enhanced technology solutions. Today, ServiceNow serves over 8,100 customers worldwide, including 85% of the Fortune 500®, empowering them to connect people, systems, and processes seamlessly. Our platform leverages innovative AI capabilities to enable smarter, faster, and more efficient work environments. We are committed to making the world work better for everyone by continuously advancing our cloud platform, fostering innovation, and driving digital transformation across industries.
**About The Role**
 We are seeking a highly skilled Staff Machine Learning Engineer to join our Platform Engineering and AI Technology Organization (PLATO) at ServiceNow. This role is pivotal in building and enhancing our AI infrastructure, deploying scalable AI workloads, and supporting AI\-powered products that deliver industry\-leading work experiences to our customers. The ideal candidate will collaborate closely with researchers, AI engineers, and infrastructure teams to optimize GPU clusters, improve deployment processes, and contribute to the development of robust, high\-performance AI platforms. This position requires physical presence in our Santa Clara office for two days per week and offers an exciting opportunity to work at the forefront of AI technology, shaping the future of intelligent enterprise solutions.
**Qualifications**
* Experience in integrating AI into work processes, decision\-making, or problem\-solving.
* Proficiency in prompt engineering and developing features based on large language models (LLMs).
* Experience with training and fine\-tuning large language models, including distillation, supervised fine\-tuning, and policy optimization.
* Hands\-on experience with AI productivity tools such as Cursor, Windsurf, etc.
* Exposure to operating LLMs on NVIDIA GPUs.
* Minimum of 4\+ years of development experience with Python, GoLang, Java, or similar programming languages.
* At least 4\+ years of experience managing highly available distributed workloads on Kubernetes following a DevOps approach.
* Strong working knowledge of DevOps tooling such as Helm, Ansible, Kubernetes, Prometheus, Splunk, and GitLab CI.
* Experience with operating distributed systems built on Linux and J2EE environments.
* Understanding of software\-defined networking, infrastructure as code, and configuration management.
* Experience developing software compliant with security standards in regulated environments.
* Ability to lead projects with significant technical risk and drive outcomes.
* Preferred: 4\+ years of experience in infrastructure and platform operations, deployments, SRE, and continuous platform health improvement.
**Responsibilities**
* Design, develop, and implement infrastructure, platform, deployment, and observability features to support AI workloads.
* Collaborate with research and infrastructure teams to optimize GPU cluster performance, scalability, and reliability.
* Contribute to the continuous improvement of Site Reliability Engineering (SRE) practices by translating operational use cases into software tooling requirements.
* Support deployment activities for AI/ML developers, ensuring smooth and efficient operations.
* Write high\-quality, scalable, and reusable code by adhering to best practices in software engineering, including code reviews and unit testing.
* Work closely with product owners to understand detailed requirements, taking ownership from design through implementation, testing, and delivery.
* Operate and manage large language models on NVIDIA GPUs, ensuring optimal performance and reliability.
* Mentor colleagues, fostering a culture of knowledge sharing and continuous learning within the team.
**Benefits**
* Competitive base salary ranging from $173,100 to $303,000, commensurate with experience and qualifications.
* Equity options (when applicable) and variable/incentive compensation structures.
* Comprehensive health plans, including flexible spending accounts.
* 401(k) retirement plan with company matching contributions.
* Employee Stock Purchase Plan (ESPP) and matching donations.
* Flexible time\-off policies and family leave programs to support work\-life balance.
* Opportunities for professional growth and development in a cutting\-edge technological environment.
 Equal Opportunity
 ServiceNow is an equal opportunity employer. We are committed to fostering an inclusive environment where all qualified applicants receive consideration for employment without regard to race, color, creed, religion, sex, sexual orientation, gender identity or expression, national origin, ancestry, age, disability, veteran status, or any other protected category under applicable law. We also consider qualified applicants with arrest or conviction records in accordance with legal requirements.</t>
        </is>
      </c>
    </row>
    <row r="19">
      <c r="A19" t="inlineStr">
        <is>
          <t>li-4324842782</t>
        </is>
      </c>
      <c r="B19" t="inlineStr">
        <is>
          <t>Machine Learning Engineer, Enterprise Brain</t>
        </is>
      </c>
      <c r="C19" t="inlineStr">
        <is>
          <t>Glean</t>
        </is>
      </c>
      <c r="D19" t="inlineStr">
        <is>
          <t>linkedin</t>
        </is>
      </c>
      <c r="E19" t="inlineStr"/>
      <c r="F19" t="inlineStr"/>
      <c r="G19" t="inlineStr"/>
      <c r="H19" t="inlineStr"/>
      <c r="I19"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seeking a few Machine Learning engineers who want to focus on a combination of Quality and traditional ML work to help us build the Enterprise Brain. The Enterprise Brain team is developing a suite of proactive AI products that aims to revolutionize enterprise workflows by proactively detecting and automating tasks for users \- thus unlocking true productivity. This is built on top of a deep user understanding and state of the art Enterprise graph. The project involves using both LLM and other advanced ML techniques, agent orchestration and cutting\-edge ranking techniques.
**You Will**
* Work on deeply challenging ML problems involving user understanding and task prediction.
* Invent new LLM workflows and signals to improve reasoning, planning, and personalization.
* Design and optimize reinforcement learning and fine\-tuning approaches to improve the quality of understanding, prediction and other agentic systems.
* Lead development of scalable evaluation, benchmarking, and optimization loops.
* Build and maintain robust ML pipelines for enterprise and knowledge graph construction.
* Drive initiatives to measure, monitor, and improve data quality, model quality, and end\-to\-end system performance.
* Collaborate with cross\-functional teams to deeply understand customer pain points and deliver high\-quality, production\-ready ML solutions.
* Mentor junior engineers or learn from experienced ones in a tight\-knit, high\-velocity environment.
**About You**
* 3\+ years of industry experience in AI or Machine Learning Engineering.
* BA/BS in computer science, math, sciences, or a related field.
* Experience with search, recommendation, natural language processing, or other large\-scale ML systems.
* Proven ability to design, build, and ship production\-ready models and systems.
* Demonstrated expertise in ML evaluation, benchmarking, and data quality—ideally with experience in building or maintaining evaluation frameworks for complex enterprise tasks.
* Proficiency in your ML framework of choice (e.g., TensorFlow, PyTorch).
* Strong coding skills (Python, Go, Java, C\+\+, etc.).
* Thrive in a customer\-focused, cross\-functional environment; a proactive and positive attitude is a must.
**Location:**
* This role is hybrid (4 days a week in our Palo Alto or SF offices)
**Compensation \&amp; Benefits**
 The standard base salary range for this position is $200,000 \- $300,000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20">
      <c r="A20" t="inlineStr">
        <is>
          <t>li-4352101065</t>
        </is>
      </c>
      <c r="B20" t="inlineStr">
        <is>
          <t>AI / ML Engineer – OrcaWorks AI</t>
        </is>
      </c>
      <c r="C20" t="inlineStr">
        <is>
          <t>Orcaworks - Meet Your Digital Coworker</t>
        </is>
      </c>
      <c r="D20" t="inlineStr">
        <is>
          <t>linkedin</t>
        </is>
      </c>
      <c r="E20" t="inlineStr"/>
      <c r="F20" t="inlineStr"/>
      <c r="G20" t="inlineStr">
        <is>
          <t>Atlanta, GA</t>
        </is>
      </c>
      <c r="H20" t="inlineStr"/>
      <c r="I20" t="inlineStr">
        <is>
          <t>**Location:** 
 Hybrid / Atlanta, GA
**Experience Level:** 
 Entry\-level (Master’s preferred)
**About OrcaWorks AI** 
 OrcaWorks AI is pioneering applied AI systems designed for real\-world business intelligence and automation. We’re hiring AI/ML Engineers eager to innovate and shape the next generation of machine learning and LLM\-integrated applications.
**Key Responsibilities** 
* Build, train, and deploy machine learning models for predictive and generative AI applications.
* Collaborate with cross\-functional teams to design applied AI solutions aligned with business use cases.
* Implement model monitoring, retraining, and optimization pipelines using Prefect, Airbyte, and MLflow.
* Integrate LLMs and embeddings into production systems via RAG pipelines and agent frameworks.
* Document findings, model versions, and evaluation results.
**Required Skills \&amp; Qualifications** 
* Master’s degree (or Bachelor’s with equivalent experience) in AI, ML, or Data Science.
* Proficiency in Python and libraries such as Scikit\-learn, TensorFlow, PyTorch.
* Familiarity with MLflow, Docker, Kubeflow, and Vespa/ElasticSearch for search integration.
* Understanding of applied AI architecture and hybrid workflows involving structured and unstructured data.
* Analytical mindset and eagerness to solve real\-world AI challenges.</t>
        </is>
      </c>
    </row>
    <row r="21">
      <c r="A21" t="inlineStr">
        <is>
          <t>li-4359352562</t>
        </is>
      </c>
      <c r="B21" t="inlineStr">
        <is>
          <t>Machine Learning Engineer</t>
        </is>
      </c>
      <c r="C21" t="inlineStr">
        <is>
          <t>Hirenza</t>
        </is>
      </c>
      <c r="D21" t="inlineStr">
        <is>
          <t>linkedin</t>
        </is>
      </c>
      <c r="E21" t="inlineStr"/>
      <c r="F21" t="inlineStr"/>
      <c r="G21" t="inlineStr"/>
      <c r="H21" t="inlineStr"/>
      <c r="I21" t="inlineStr">
        <is>
          <t>**About The Company**
 Help us change lives. At Exact Sciences, we are dedicated to transforming the landscape of cancer prevention, detection, and treatment guidance. Our mission is to provide patients and clinicians with clear, actionable insights that enable confident decision\-making during critical moments. We foster a purpose\-driven culture that values inclusivity, innovation, and collaboration. Our comprehensive benefits package supports our employees' well\-being, growth, and work\-life balance. Join our team and be part of a movement committed to eradicating cancer through cutting\-edge science and technology.
**About The Role**
 The Sr. Machine Learning Engineer at Exact Sciences plays a pivotal role in advancing our artificial intelligence and machine learning initiatives within the domain of cancer screening and precision oncology. Working independently and collaboratively, this role involves developing, deploying, and refining complex AI models that analyze biological, genomic, clinical, and healthcare data. The engineer will contribute to the strategic vision of AI applications across the organization, partnering with biostatisticians, bioinformatics scientists, and data scientists to innovate solutions that enhance early detection, prevention, and personalized treatment of cancer. This position offers an exciting opportunity to impact patient outcomes significantly by leveraging state\-of\-the\-art AI methodologies in a dynamic, research\-driven environment.
**Qualifications**
 Candidates should possess a Ph.D. in Statistics, Computational Biology, Computer Science, or a related quantitative field, or a master's degree with at least four years of relevant experience. A minimum of three years of experience in statistics, computational biology, applied mathematics, or related disciplines is required, along with three or more years working with AI and machine learning algorithms. Demonstrated expertise in advanced AI concepts such as deep learning, neural networks, reinforcement learning, and large language models is essential. Proficiency in Python and frameworks like TensorFlow, PyTorch, or scikit\-learn is mandatory, along with experience working with open\-source AI models. Candidates must have authorization to work in the United States without sponsorship and demonstrate strong communication skills capable of explaining complex technical information to diverse audiences.
**Responsibilities**
 The responsibilities include, but are not limited to, maintaining deep expertise in AI technologies relevant to biostatistics, bioinformatics, and data science. The engineer will evaluate and present technological advances, exploring how these can improve efficiency and effectiveness within our workflows. Collaborating with stakeholders, the engineer will gather and refine requirements for AI solutions addressing biological and healthcare data challenges. Designing and developing software solutions utilizing the latest AI techniques, the engineer will work closely with other ML/AI engineers and software developers to implement and deploy models effectively. Adopting an Agile approach, the role emphasizes rapid, iterative development of proof\-of\-concept solutions. The engineer will contribute to defining and executing an AI strategy aligned with organizational goals, fostering innovation and continuous learning through training resources and knowledge sharing. Mentorship of junior team members, active participation in cross\-functional meetings, and exercising sound judgment in method selection and result interpretation are also key aspects of this role. Upholding the company's values of integrity, quality, and teamwork, the engineer will support compliance with quality management systems and maintain a reliable attendance record. The role may require travel up to 5%, including overnight or weekend trips, to facilitate collaboration and project execution.
**Benefits**
 Exact Sciences offers a comprehensive benefits package designed to support our employees’ health, financial security, and personal growth. Benefits include paid time off for vacation, holidays, volunteering, and personal needs, as well as paid parental and caregiver leave. We provide a retirement savings plan, wellness programs, and extensive health coverage options such as medical, dental, vision, and prescription drug plans. Our organization is committed to fostering a diverse and inclusive environment where all employees can develop professionally and personally. We also offer opportunities for stock options, performance bonuses, and ongoing training to support your career advancement.
 Equal Opportunity
 Exact Sciences is proud to be an equal employment opportunity employer. We value diversity and are committed to creating an inclusive environment where all employees can thrive. All qualified applicants will receive consideration for employment without regard to disability, protected veteran status, race, color, religion, sex, national origin, age, or any other protected characteristic under applicable law. We encourage individuals from all backgrounds to apply and join our mission to eradicate cancer through innovative science and technology.</t>
        </is>
      </c>
    </row>
    <row r="22">
      <c r="A22" t="inlineStr">
        <is>
          <t>li-4315945153</t>
        </is>
      </c>
      <c r="B22" t="inlineStr">
        <is>
          <t>Machine Learning Engineer (Applied ML)</t>
        </is>
      </c>
      <c r="C22" t="inlineStr">
        <is>
          <t>adaption</t>
        </is>
      </c>
      <c r="D22" t="inlineStr">
        <is>
          <t>linkedin</t>
        </is>
      </c>
      <c r="E22" t="inlineStr"/>
      <c r="F22" t="inlineStr"/>
      <c r="G22" t="inlineStr">
        <is>
          <t>San Francisco, CA</t>
        </is>
      </c>
      <c r="H22" t="inlineStr"/>
      <c r="I22" t="inlineStr">
        <is>
          <t>**About Us**
 Most AI is frozen in place \- it doesn't adapt to the world. We think that's backwards. Our mandate is to build efficient intelligence that evolves in real\-time. Our vision is AI systems that are flexible, personalized, and accessible to everyone. We believe efficiency is what makes this possible \- it's how we expand access and ensure innovation benefits the many, not the few. We believe in talent density: bringing together the best and most driven individuals to push the boundaries of continual adaptation. We're looking for builders and creative thinkers ready to shape the next era of intelligence
**Our research principles**
**Sweat the details.** 
 Technical excellence requires obsessing over every detail. We co\-design serving, algorithms, and interface as one system to maximize efficiency and enable real\-time adaptation.
**Product as proof.** 
 Research ideas are tested through working products. If it doesn't improve what users can do, we question whether it matters. We share what moves the field; we don't optimize for paper count.
**Move with conviction.** 
 We operate with urgency as a unified team, concentrating resources on a few high\-conviction bets where research, product, and impact intersect.
**The Role**
 We are obsessed with efficiency— allowing for real\-time evolution of AI depends on making adaptable data and algorithms extremely efficient. The ideal candidate brings an expertise in AI/ML, a strong track record of delivering impact and cares about making impact in the real world. Act as a trusted technical advisor to strategic customers—translating needs into actionable plans.
 We’re looking for a Machine Learning Engineer who thrives at the intersection of applied research and building real world products. You’ll drive the design and implementation of adaptable data strategies. You’ll work directly with the founding team, contributing to both the research direction and the product vision. This role demands technical excellence and a passion for delivering real\-world impact.
**Responsibilities**
* Deliver Real\-World Impact: Lead the development and deployment of efficient, adaptive ML systems in real production environments.
* Customer Collaboration: Act as a trusted technical advisor to strategic partners—turning complex needs into actionable solutions.
* Hands\-on Impact: The ideal candidate will own implementation of data products at Adaptable Labs. This position requires creativity and technical execution in addressing novel challenges related to data, interaction, and evaluation.
**Qualifications**
* Bachelor’s degree in Computer Science, Machine Learning, or a related field
* Good communicator, excited about aligning technical execution with business goals.
* 3\-4 years of experience in machine learning, applied research, or systems\-level engineering for AI. Bachelor’s degree (or higher) in Computer Science, Machine Learning, or a related field.
* Strong software engineering skills and familiarity with ML frameworks (e.g., PyTorch, JAX, TensorFlow).
* Excellent communication skills and ability to align technical work with high\-level goals.
* A mindset of ownership, curiosity, and a bias toward action.
* Bonus: experience with online learning, reinforcement learning, or efficient ML architectures.
* Bonus: Track record of deploying ML systems that solved real business problems
 Above all, we're looking for great teammates who make work feel lighter and aren't afraid to go out on a limb with bold ideas. You don't need to be perfect, but you do need to be adaptable. We encourage you to apply, even if you don't check every box.
**Benefits**
* Flexible work: In\-person collaboration in the Bay Area, a distributed global\-first team, and quarterly offsites.
* Adaption Passport: Annual travel stipend to explore a country you've never visited. We're building intelligence that evolves alongside you, so we encourage you to keep expanding your horizons.
* Lunch Stipend: Weekly meal allowance for take\-out or grocery delivery.
* Well\-Being: Comprehensive medical benefits and generous paid time off.</t>
        </is>
      </c>
    </row>
    <row r="23">
      <c r="A23" t="inlineStr">
        <is>
          <t>li-4331082595</t>
        </is>
      </c>
      <c r="B23" t="inlineStr">
        <is>
          <t>AI Engineer</t>
        </is>
      </c>
      <c r="C23" t="inlineStr">
        <is>
          <t>Tandym Group</t>
        </is>
      </c>
      <c r="D23" t="inlineStr">
        <is>
          <t>linkedin</t>
        </is>
      </c>
      <c r="E23" t="inlineStr"/>
      <c r="F23" t="inlineStr"/>
      <c r="G23" t="inlineStr">
        <is>
          <t>New York, NY</t>
        </is>
      </c>
      <c r="H23" t="inlineStr"/>
      <c r="I23" t="inlineStr">
        <is>
          <t>A recognized media services organization in New York City is currently seeking an AI Engineer. This is a hybrid role. 4 days /week onsite.
***\*\*\*** 
 This is a Hybrid opportunity requiring the qualified professional to work onsite at least 4 day a week.
 **\*\*\****
**Responsibilities** 
* Conduct R\&amp;D on AI/ML technologies and architectures
* Deploy AI/LLM and Agentic Applications for proof\-of\-concept demonstrations and assist in scaling or deploying successful solutions into production systems.
* Push boundaries of what is possible with AI (Traditional AI, Gen AI, Agentic AI)
* Evaluate and pilot third\-party AI solutions for fit, scalability, and business value
* Prototype solutions that inform future productization
* Collaborate on data preparation and synthetic data generation strategies to support experimentation
* Validate AI (model) performance, safety and operational readiness before hand\-off to production teams
* Contribute to AI system architecture and deploy and manage AI workflows in cloud environments
* Perform other duties, as needed
**Qualifications:** 
* Experience with Programming \&amp; Frameworks \- Python, APIs, ML frameworks, AI tools (Coding Assistant \- any of GitHub Copilot/Codex/Claude Code etc, LangChain, ADK, ChatGPT, MSCopilot)
* Experience with AI/ML systems \- LLMs (OpenAI GPTs, Google AI, Claude), embeddings, vector databases
* Experience with Building and managing APIs and integrations
* Prompt Engineering experience
* Experience with Model Evaluation \&amp; Design
* Experience with AI Architecture Design
* Data Preparation \&amp; Generation experience
* Experience with Cloud services (AWS, GCP)</t>
        </is>
      </c>
    </row>
    <row r="24">
      <c r="A24" t="inlineStr">
        <is>
          <t>li-4352041782</t>
        </is>
      </c>
      <c r="B24" t="inlineStr">
        <is>
          <t>Senior Machine Learning Engineer</t>
        </is>
      </c>
      <c r="C24" t="inlineStr">
        <is>
          <t>Attentive</t>
        </is>
      </c>
      <c r="D24" t="inlineStr">
        <is>
          <t>linkedin</t>
        </is>
      </c>
      <c r="E24" t="inlineStr"/>
      <c r="F24" t="inlineStr"/>
      <c r="G24" t="inlineStr">
        <is>
          <t>New York, NY</t>
        </is>
      </c>
      <c r="H24" t="inlineStr"/>
      <c r="I24"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Our Machine Learning Engineering team powers personalized experiences for hundreds of millions of customers across thousands of brands. As a Senior Machine Learning Engineer, you will play a critical role in building, scaling, and operating production\-grade ML systems that drive real\-time personalization across the Attentive platform.
 You will operate with a high degree of ownership, partner closely with Product and Engineering, and help raise the technical bar across our ML systems in a fast\-paced, high\-impact environment.
**What You’ll Accomplish** 
* Design, build, and operate scalable machine learning systems used in real\-time targeting, decisioning, personalization systems
* Own ML projects end\-to\-end, from data exploration and modeling to deployment, monitoring, and iteration
* Proactively safeguard model and system quality through testing, monitoring, validation, and alerting
* Collaborate cross\-functionally with product, data, and other engineering partners to translate business problems into ML solutions
* Continuously improve system reliability, performance, and engineering efficiency
* Contribute to technical direction and best practices across the ML engineering team
* Mentor and support other engineers through code reviews, design discussions, and knowledge sharing
* Thrive in a high\-impact, fast\-paced, late\-stage startup environment
**Your Expertise** 
* 6\+ years of professional experience building production machine\-learning software systems
* Proven experience owning ML systems long enough to see the downstream impact of design decisions
* Strong proficiency in Python and experience with ML frameworks such as PyTorch, TensorFlow, or xgboost
* Experience with data processing and analytics tools such as pandas, Spark, SQL, and matplotlib
* Hands\-on experience building automated pipelines for data processing, model training, validation, and deployment
* Experience collaborating with cross\-functional teams to deliver ML\-powered features
* Strong communication skills and a high sense of ownership
**What We Use** 
* Infrastructure: Kubernetes (AWS EKS), Istio, Datadog, Terraform, Cloudflare, Helm
* Backend: Java / Spring Boot microservices (Gradle), DynamoDB, Kinesis, Airflow, Postgres, PlanetScale, Redis
* Frontend: React, TypeScript, GraphQL, Storybook, Radix UI, Vite, Playwright
* ML \&amp; Data: Python, Metaflow, HuggingFace 🤗, PyTorch, TensorFlow, Panda
 You'll get competitive
 perks and benefits
 , from health \&amp; wellness to equity, to help you bring your best self to work.
**For US based applicants:
 \- The US base salary range for this full\-time position is $244,000 \- 320,000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25">
      <c r="A25" t="inlineStr">
        <is>
          <t>li-4358923433</t>
        </is>
      </c>
      <c r="B25" t="inlineStr">
        <is>
          <t>Senior Machine Learning Engineer - Humanoid Robotics Loco-Manipulation</t>
        </is>
      </c>
      <c r="C25" t="inlineStr">
        <is>
          <t>NVIDIA</t>
        </is>
      </c>
      <c r="D25" t="inlineStr">
        <is>
          <t>linkedin</t>
        </is>
      </c>
      <c r="E25" t="inlineStr"/>
      <c r="F25" t="inlineStr"/>
      <c r="G25" t="inlineStr">
        <is>
          <t>Santa Clara, CA</t>
        </is>
      </c>
      <c r="H25" t="inlineStr"/>
      <c r="I25" t="inlineStr">
        <is>
          <t>NVIDIA is seeking exceptional machine learning engineers to join our world\-class robotics initiatives focused on humanoid loco\-manipulation. As part of the Isaac Loco\-Manipulation team, you’ll collaborate with industry\-leading experts, contribute to robotics foundation models including GR00T and Cosmos, and help define the future of humanoid robot capabilities. We are looking for strategic, ambitious, and creative individuals passionate about advancing the boundaries of robotics.
**What You’ll Be Doing**
* Collaborate with researchers and engineers to define and execute projects in humanoid robotics loco\-manipulation and mobile manipulation areas.
* Contribute to the development and advancement of GR00T and Cosmos foundation models.
* Develop reference workflows with Isaac Lab and Newton for humanoid and mobile manipulation dexterous tasks.
* Advance technologies for robot learning and synthetic data generation using human videos.
* Design, implement, and deploy novel algorithms for humanoid robot locomotion and manipulation in both simulated and real\-world environments.
* Transfer innovations into products, with deliverables including prototypes, open source software contributions, patents, and/or publications in top conferences and journals.
**What We Need To See**
* PhD or Master’s degree in Computer Science, Robotics, or a related field (or equivalent experience).
* 5\+ years of experience working on robotics software.
* Strong programming skills in Python and C\+\+.
* Experience with deep learning frameworks such as PyTorch, JAX, or TensorFlow, and physics simulation tools like Isaac Sim/Lab or MuJoCo.
* Expertise in foundation models for robotics and 3D perception.
* Experience with sim\-to\-real and real\-to\-sim transfer in robotics.
* Deep knowledge of robot learning, including imitation and reinforcement learning.
* Hands\-on experience training Vision\-Language\-Action (VLA) models.
* Experience generating synthetic data for robotics applications.
* Great communication and collaboration skills.
**Ways To Stand Out From The Crowd**
* Experience learning from human video demonstrations or human\-object reconstruction.
* Expertise in dexterous bimanual manipulation or whole\-body control.
* Proven track record in robotics research, including publications in top conferences (e.g., RSS, ICRA, CoRL, NeurIPS, CVPR, ICLR).
* Demonstrated technical leadership experience.
 With highly competitive salaries and a comprehensive benefits package, NVIDIA is widely considered to be one of the technology world's most desirable employers. We have some of the most forward\-thinking and hardworking people in the world working for us and, due to outstanding growth, our special engineering teams are growing fast. If you're a creative and autonomous engineer with a genuine passion for technology, we want to hear from you!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November 16,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JR2002783</t>
        </is>
      </c>
    </row>
    <row r="26">
      <c r="A26" t="inlineStr">
        <is>
          <t>li-4358585983</t>
        </is>
      </c>
      <c r="B26" t="inlineStr">
        <is>
          <t>Perception Software or Machine Learning Engineer</t>
        </is>
      </c>
      <c r="C26" t="inlineStr">
        <is>
          <t>Bedrock Robotics</t>
        </is>
      </c>
      <c r="D26" t="inlineStr">
        <is>
          <t>linkedin</t>
        </is>
      </c>
      <c r="E26" t="inlineStr"/>
      <c r="F26" t="inlineStr"/>
      <c r="G26" t="inlineStr">
        <is>
          <t>San Francisco, CA</t>
        </is>
      </c>
      <c r="H26" t="inlineStr"/>
      <c r="I26" t="inlineStr">
        <is>
          <t>**Machine Learning Engineer: Perception** 
 Bedrock is bringing autonomy to the construction industry! We’re a group of veterans from the autonomous vehicle industry who are passionate about bringing the benefits of automation to areas in the construction industry currently underserved by the market.
 We are looking for engineers with expertise in shipping production 3D perception systems at scale. Successful candidates have architected systems, trained models from scratch, understand the full stack (clustering, detection, classification, and tracking), and have shipped at scale. We use both computer vision and LIDAR\-based approaches, so knowledge of either or both is key. Models are just part of the system: you understand data and have good intuition about why models fail. You know how to evaluate corner cases, manage or build data pipelines, use autolabels (or not), and have a strong understanding of statistical properties of these systems.
**What You’ll Do:** 
* Design Early Fusion Architectures: Develop and train state\-of\-the\-art models (e.g., BEV\-based transformers) that fuse raw Lidar and Camera data to solve for object detection and semantic segmentation.
* Tackle "Messy" Physics: Build perception systems robust enough to handle dynamic occlusion (seeing the robot’s own arm/bucket), particulates (dust, snow, rain), and high\-vibration conditions.
* Deploy to the Edge: Optimize models for inference on embedded hardware. You will debug system\-level issues, such as sensor calibration drift and latency bottlenecks.
* Collaborating with other teams to create state\-of\-the\-art representations for downstream use cases.
**What we're looking for:** 
* Production ML Experience: Experience taking deep learning models from research to real\-world production using PyTorch.
* 3D Geometry \&amp; Calibration: You have a deep understanding of SE(3\) transformations, homogeneous coordinates, and intrinsic/extrinsic sensor calibration. You understand the math required to project a 3D Lidar point onto a 2D image pixel accurately.
* Early Fusion Expertise: Practical experience with architectures that fuse modalities at the feature level (e.g., BEVFusion, TransFuser, PointPainting) rather than just fusing final bounding boxes.
* SOTA Object Detection experience with modern transformer\-based architectures (DETR, PETR, etc…) including similar temporal models (PETRv2, StreamPETR, …)
* Systems Fluency: You are an expert in Python, but you are also comfortable reading and writing systems code in C\+\+ or Rust. You understand memory management and real\-time constraints.
* Data Intuition: You understand that in robotics, better data alignment often beats a bigger model. You are willing to dig into the data infrastructure to ensure ground truth quality.
**Ways to stand out:** 
* Bonus: Voxel/Occupancy Experience: Experience working with occupancy grids, NeRFs, or voxel\-based representations for terrain mapping.
* Bonus: Top\-Tier Research: Published work in conferences such as ICRA, IROS, CVPR, ECCV, ICCV, CoRL, or RSS
*Our roles are often flexible. If you don't fit all the criteria, or are in another location (especially one where we have an office like SF of NY) please apply anyway! We'd love to consider you.* 
**Join the team bringing advanced autonomy to the built world** 
 At Bedrock, we've assembled one of the most experienced autonomous technology teams in the industry, with deep expertise scaling breakthroughs across transportation, infrastructure, and enterprise software. Our leaders helped put the first self\-driving cars on public roads at Waymo, scaled systems for Segment's $3\.2B acquisition, and grew Uber Freight to $5B in revenue.
 While others debate the future of AI, we're deploying it in the real world. Our systems are already installed on heavy machines across the country, learning on real construction sites and working to reshape the earth with survey\-grade precision and exceptional safety. This isn't a simulation—it's autonomous intelligence working on billion\-dollar infrastructure projects.
 In just over a year, we've raised $80M, put our equipment into the field, and established partnerships with forward\-thinking contractors who are integrating our technology into their operations. We're working quickly to close the gap between America's surging demand for housing, data centers, manufacturing hubs, and the construction industry's growing labor shortage.
 Here, algorithms meet steel\-toed boots. You'll collaborate with both construction veterans and experienced engineers, tackling problems where your work directly impacts how the physical world get built. If you're interested in applying cutting\-edge technology to solve meaningful problems alongside a talented team—we'd love to have you join us.</t>
        </is>
      </c>
    </row>
    <row r="27">
      <c r="A27" t="inlineStr">
        <is>
          <t>li-4359381804</t>
        </is>
      </c>
      <c r="B27" t="inlineStr">
        <is>
          <t>AI Engineer</t>
        </is>
      </c>
      <c r="C27" t="inlineStr">
        <is>
          <t>RBC</t>
        </is>
      </c>
      <c r="D27" t="inlineStr">
        <is>
          <t>linkedin</t>
        </is>
      </c>
      <c r="E27" t="inlineStr"/>
      <c r="F27" t="inlineStr"/>
      <c r="G27" t="inlineStr">
        <is>
          <t>New York, NY</t>
        </is>
      </c>
      <c r="H27" t="inlineStr"/>
      <c r="I27" t="inlineStr">
        <is>
          <t>**Job Description**
**What is the opportunity?**
 Capital Markets Data AI and Research Technology (DART) team is looking to hire a seasoned “hands on” AI Scientist to lead our AI efforts in Quant and Tech Services. The role will be responsible for applying Generative AI techniques to build solutions for Capital markets use cases.
**What will you do?**
* Build end to end AI \&amp; ML solutions
* Build agents (RAG and Otherwise) leveraging enterprise data which help capital markets Research, Banking, Sales and Trading
* Manage AI Ops and pipelines for Generative AI needs
* Expected to code 90% of the time
**What do you need to succeed?**
**Must Have:**
* Masters degree in computer science, Machine Learning, Deep Learning or equivalent experience.
* 3\+ years of experience building Deep Learning or Machine Learning models; in depth knowledge of Machine Learning, deep learning and Generative AI.
* In depth knowledge of Machine Learning, NLP, Information extraction etc.
* Knowledge of Embeddings, Re\-rankers, agentic frameworks etc; knowledge of Inferencing, fine\-tuning, model architectures etc.
* In depth knowledge and experience building front to back AI Operations; in depth knowledge of Algorithms and Data Structures; knowledge of distributed computing
**Nice To Have:**
* Experience implementing GenAI systems into production
* Experience with model evals and model monitoring
**What's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
* A comprehensive Total Rewards Program including bonuses and flexible benefits, competitive compensation, commissions, and stock where applicable
* Leaders who support your development through coaching and managing opportunities
* Ability to make a difference and lasting impact
* Work in a dynamic, collaborative, progressive, and high\-performing team
* A world\-class training program in financial services
* Flexible work/life balance options
* Opportunities to do challenging work
* Opportunities to take on progressively greater accountabilities
* Access to a variety of job opportunities across business and geographies
 The Expected Salary Range For The Above Position Is $135,000 \- $225,000 Depending On Factors Including But Not Limited To The Candidate’s Experience, Skills, Registration Status; Market Conditions; And Business Needs. This Salary Range Does Not Include Other Elements Of Total Compensation, Including A Discretionary Bonus And Benefits Such As A 401(K) Program With Company\-Matching Contributions; Health, Dental, Vision, Life And Disability Insurance; And Paid Time\-Off Plan.
 Rbc’s Compensation Philosophy And Principles Recognize The Importance Of A Highly Qualified Global Workforce And Plays A Critical Role In Attracting, Engaging And Retaining Talent That:
* Drives Rbc’s High Performance Culture
* Enables Collective Achievement Of Our Strategic Goals
* Generates Sustainable Shareholder Returns And Above Market Shareholder Value
 RBC is presently inviting candidates to apply for this existing vacancy. Applying to this posting allows you to express your interest in this current career opportunity at RBC. Qualified applicants may be contacted to review their resume in more detail.
**Job Skills**
 Big Data Management, Data Mining, Data Science, Deep Learning, Machine Learning (ML), Predictive Analytics, Programming Languages
**Additional Job Details**
**Address:**
 BROOKFIELD PLACE FKA 3 WORLD FINANCIAL CENTER, 200 VESEY STREET:NEW YORK
**City:**
 New York
**Country:**
 United States of America
**Work hours/week:**
 40
**Employment Type:**
 Full time
**Platform:**
 CAPITAL MARKETS
**Job Type:**
 Regular
**Pay Type:**
 Salaried
**Posted Date:**
 2026\-01\-08
**Application Deadline:**
 2026\-01\-15
**Note** 
**:** 
*Applications will be accepted until 11:59 PM on the day prior to the application deadline date above*
**I** 
****nclusion** 
 and Equal Opportunity Employment**
 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
**Join our Talent Community**
 Stay in\-the\-know about great career opportunities at RBC. Sign up and get customized info on our latest jobs, career tips and Recruitment events that matter to you.
 Expand your limits and create a new future together at RBC. Find out how we use our passion and drive to enhance the well\-being of our clients and communities at jobs.rbc.com\&lt;/a/span\&gt;
 RBC is presently inviting candidates to apply for this existing vacancy. Applying to this posting allows you to express your interest in this current career opportunity at RBC. Qualified applicants may be contacted to review their resume in more detail.</t>
        </is>
      </c>
    </row>
    <row r="28">
      <c r="A28" t="inlineStr">
        <is>
          <t>li-4358913031</t>
        </is>
      </c>
      <c r="B28" t="inlineStr">
        <is>
          <t>Senior AI Engineer</t>
        </is>
      </c>
      <c r="C28" t="inlineStr">
        <is>
          <t>Franklin Fitch</t>
        </is>
      </c>
      <c r="D28" t="inlineStr">
        <is>
          <t>linkedin</t>
        </is>
      </c>
      <c r="E28" t="inlineStr"/>
      <c r="F28" t="inlineStr"/>
      <c r="G28" t="inlineStr">
        <is>
          <t>Boston, MA</t>
        </is>
      </c>
      <c r="H28" t="inlineStr"/>
      <c r="I28" t="inlineStr">
        <is>
          <t>We are looking for a
 **Senior AI Engineer** 
 to design, integrate, and operate an AI platform built on leading third\-party LLM providers.
 This role focuses on delivering
 **secure, reliable, and compliant AI services** 
 that integrate with core enterprise systems and drive measurable productivity gains for technical and non\-technical users.
 What You’ll Do
* Design and maintain scalable APIs and SDKs enabling agentic and RAG\-based AI solutions
* Integrate AI capabilities with enterprise tools (e.g. ITSM, CRM, document management, Microsoft 365\)
* Build and govern custom GPT\-style applications, connectors, and enterprise integrations
* Maintain vector databases and retrieval pipelines to ensure high\-accuracy, domain\-grade outputs
* Support adoption through reference implementations, templates, and enablement sessions
 What We’re Looking For
* Strong experience in software or AI engineering, including 3\+ years building LLM\-powered applications
* Strong cloud and DevOps experience (containers, CI/CD, IaC); Azure experience preferred
* Hands\-on expertise with RAG, embeddings, vector databases, and agent frameworks
* Proven experience designing secure AI integrations and custom GPT\-style tools
* Background in regulated environments (legal, financial, or similar) is a strong plus
* Strong Python and R. experience
 This role offers the opportunity to
 **shape and scale enterprise AI capabilities** 
 in a highly regulated environment, working closely with technical teams and business stakeholders to move AI from pilot to production.</t>
        </is>
      </c>
    </row>
    <row r="29">
      <c r="A29" t="inlineStr">
        <is>
          <t>li-4358487986</t>
        </is>
      </c>
      <c r="B29" t="inlineStr">
        <is>
          <t>Machine Learning Engineer, Sr.</t>
        </is>
      </c>
      <c r="C29" t="inlineStr">
        <is>
          <t>Pinterest</t>
        </is>
      </c>
      <c r="D29" t="inlineStr">
        <is>
          <t>linkedin</t>
        </is>
      </c>
      <c r="E29" t="inlineStr"/>
      <c r="F29" t="inlineStr"/>
      <c r="G29" t="inlineStr"/>
      <c r="H29" t="inlineStr"/>
      <c r="I29"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Pinterest helps more than half a billion users discover new ideas to help design their lives. Our users come to Pinterest to explore ideas and run more than 6 billion search queries every month. Many of these queries represent exploratory search intent and are broad, which means that the search system should be able to deeply understand this intent, and then help people explore content, personalize results, harness visual signals effectively, and show the most engaging content up front. In addition, the team also owns query refinements and modules that help Pinners narrow their search intent from broad exploratory queries, to help them narrow their results down. All of this means that Pinterest search presents a unique challenge quite unlike other search systems and the opportunity to innovate on a product that only Pinterest can build.
 The Closeup Relevance team owns Closeup recommendations (a.k.a. related pins), which help pinners explore topics they are interested in and get continuous inspirations. This is the largest recommendation surface on Pinterest and we work with some of the largest datasets in the world, creating unique experiences for hundreds of millions of pinners. Our system serves billions of daily impressions and is critical for company business. We are looking for a highly motivated Staff ML engineer to work as a cross‑team technical leader.
**About The Role**
 As a Staff Machine Learning Engineer at Pinterest, you will be at the forefront of innovation within our recommendation systems. You will work in a dynamic, cross\-functional environment alongside talented ML engineers, data scientists, and product teams to develop and enhance our state\-of\-the\-art recommendation tech stack. Your leadership will be instrumental in redesigning and optimizing the full recommendation funnel, ensuring that our users receive the most relevant and engaging content tailored to their interests.
 You will be responsible for developing a compelling technical vision and strategic roadmap that drives impactful results across the organization. Your expertise will guide the team in delivering cutting\-edge ML solutions that influence millions of users daily. Collaborating closely with teams such as Content Quality, Core Infrastructure, and ML Platform, you will ensure the seamless integration of innovations into the Pinterest ecosystem. Additionally, you will serve as a mentor and leader, fostering a culture of innovation, excellence, and continuous learning. Your role will also involve providing visibility to senior leadership regarding the team's global impact and expanding influence through stakeholder partnerships, including product management and data science teams.
**Qualifications**
* 7\+ years of professional experience in Machine Learning.
* 5\+ years of proposing and delivering innovations from original research or adopting cutting\-edge ML research.
* 3\+ years of experience leading large\-scale and mature ML recommendation systems teams, in an end\-to\-end fashion.
* Bachelor’s or Master’s degree in Computer Science, Data Science, or a related field, or equivalent practical experience.
* Proven ability to thrive in ambiguous environments and define solutions for open\-ended problems.
* Experience in setting and executing technical strategies at both team and organizational levels.
* Expertise in machine learning modeling, infrastructure, statistics, backend systems, batch, and real\-time processing systems.
* Strong leadership skills with the ability to drive team roadmaps and deliver impactful solutions.
* Demonstrated product impact and understanding of consumer\-facing products.
**Responsibilities**
* Work collaboratively in a cross\-team environment, leading ML innovation initiatives and redesigns of the recommendation funnel.
* Develop and communicate a compelling technical vision and strategic plan for the team’s growth and impact.
* Lead the design, development, and deployment of scalable ML recommendation models and systems.
* Partner with product managers, data scientists, and engineering teams to align technical solutions with business goals.
* Mentor and develop senior engineers, fostering a culture of innovation, technical excellence, and continuous improvement.
* Provide regular updates and visibility to senior leadership on team progress and impact.
* Identify opportunities for new features, improvements, and innovations in recommendation algorithms.
* Ensure the robustness, scalability, and efficiency of ML systems across production environments.
**Benefits**
* Competitive salary and equity options.
* Flexible work environment with remote work options.
* Comprehensive health, dental, and vision insurance plans.
* Generous paid time off and parental leave policies.
* Opportunities for professional development and continuous learning.
* Inclusive and diverse workplace culture that values innovation and collaboration.
 Equal Opportunity
 Pinterest is an equal opportunity employer and makes employment decisions based on merit. We are committed to creating an inclusive environment for all employees and applicants. All qualified applicants will receive consideration for employment without regard to race, color, religion, sex, sexual orientation, gender identity, gender expression, age, marital status, veteran status, disability, or any other protected characteristic under applicable law. We encourage candidates from diverse backgrounds to apply and support equal opportunity employment practices.</t>
        </is>
      </c>
    </row>
    <row r="30">
      <c r="A30" t="inlineStr">
        <is>
          <t>li-4318378140</t>
        </is>
      </c>
      <c r="B30" t="inlineStr">
        <is>
          <t>AI Engineer</t>
        </is>
      </c>
      <c r="C30" t="inlineStr">
        <is>
          <t>Apexon</t>
        </is>
      </c>
      <c r="D30" t="inlineStr">
        <is>
          <t>linkedin</t>
        </is>
      </c>
      <c r="E30" t="inlineStr"/>
      <c r="F30" t="inlineStr"/>
      <c r="G30" t="inlineStr">
        <is>
          <t>Dallas, TX</t>
        </is>
      </c>
      <c r="H30" t="inlineStr"/>
      <c r="I30" t="inlineStr">
        <is>
          <t>**About Apexon:** 
 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
 In this role, you will be responsible for launching and implementing GenAI agentic solutions aimed at reducing the risk and cost of managing large\-scale production environments with varying complexities. You will address various production runtime challenges by developing agentic AI solutions that can diagnose, reason, and take actions in production environments to improve productivity and address issues related to production support.
**What you’ll do:** 
* Build agentic AI systems: Design and implement tool\-calling agents that combine retrieval, structured reasoning, and secure action execution (function calling, change orchestration, policy enforcement) following MCP protocol. Engineer robust guardrails for safety, compliance, and least\-privilege access.
* Productionize LLMs: Build evaluation framework for open\-source and foundational LLMs; implement retrieval pipelines, prompt synthesis, response validation, and self\-correction loops tailored to production operations.
* Integrate with runtime ecosystems: Connect agents to observability, incident management, and deployment systems to enable automated diagnostics, runbook execution, remediation, and post\-incident summarization with full traceability.
* Collaborate directly with users: Partner with production engineers, and application teams to translate production pain points into agentic AI roadmaps; define objective functions linked to reliability, risk reduction, and cost; and deliver auditable, business\-aligned outcomes.
* Safety, reliability, and governance: Build validator models, adversarial prompts, and policy checks into the stack; enforce deterministic fallbacks, circuit breakers, and rollback strategies; instrument continuous evaluations for usefulness, correctness, and risk.
* Scale and performance: Optimize cost and latency via prompt engineering, context management, caching, model routing, and distillation; leverage batching, streaming, and parallel tool\-calls to meet stringent SLOs under real\-world load.
* Build a RAG pipeline: Curate domain\-knowledge; build data\-quality validation framework; establish feedback loops and milestone framework maintain knowledge freshness.
* Raise the bar: Drive design reviews, experiment rigor, and high\-quality engineering practices; mentor peers on agent architectures, evaluation methodologies, and safe deployment patterns
**ESSENTIAL SKILLS** 
* 5\+ years of software development in one or more languages (Python, C/C\+\+, Go, Java); strong hands\-on experience building and maintaining large\-scale Python applications preferred.
* 3\+ years designing, architecting, testing, and launching production ML systems, including model deployment/serving, evaluation and monitoring, data processing pipelines, and model fine\-tuning workflows.
* Practical experience with Large Language Models (LLMs): API integration, prompt engineering, fine\-tuning/adaptation, and building applications using RAG and tool\-using agents (vector retrieval, function calling, secure tool execution).
* Understanding of different LLMs, both commercial and open source, and their capabilities (e.g., OpenAI, Gemini, Llama, Qwen, Claude).
* Solid grasp of applied statistics, core ML concepts, algorithms, and data structures to deliver efficient and reliable solutions.
* Strong analytical problem\-solving, ownership, and urgency; ability to communicate complex ideas simply and collaborate effectively across global teams with a focus on measurable business impact.
* Preferred: Proficiency building and operating on cloud infrastructure (ideally AWS), including containerized services (ECS/EKS), serverless (Lambda), data services (S3, DynamoDB, Redshift), orchestration (Step Functions), model serving (SageMaker), and infra\-as\-code (Terraform/CloudFormation).
**Our Commitment to Diversity \&amp; Inclusion:** 
 Did you know that Apexon has been Certified™ by Great Place To Work®, the global
 authority on workplace culture, in each of the three regions in which it operates: USA (for the fourth time in 2023\), India (seven consecutive certifications as of 2023\), and the UK.Apexon is committed to being an equal opportunity employer and promoting diversity in the workplace. We are taking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t>
        </is>
      </c>
    </row>
    <row r="31">
      <c r="A31" t="inlineStr">
        <is>
          <t>li-4358903018</t>
        </is>
      </c>
      <c r="B31" t="inlineStr">
        <is>
          <t>AI Engineer</t>
        </is>
      </c>
      <c r="C31" t="inlineStr">
        <is>
          <t>Robert Half</t>
        </is>
      </c>
      <c r="D31" t="inlineStr">
        <is>
          <t>linkedin</t>
        </is>
      </c>
      <c r="E31" t="inlineStr"/>
      <c r="F31" t="inlineStr"/>
      <c r="G31" t="inlineStr">
        <is>
          <t>Shakopee, MN</t>
        </is>
      </c>
      <c r="H31" t="inlineStr"/>
      <c r="I31" t="inlineStr">
        <is>
          <t>We are looking for a skilled AI Engineer to join our team. In this role, you will design, develop, and implement advanced AI\-driven solutions to address complex business challenges. You will work on a variety of projects, including predictive analytics, intelligent automation, and machine learning model integration, while contributing to the development of scalable AI infrastructure.
 Responsibilities:
 • Develop and deploy AI models and algorithms to solve business problems effectively.
 • Build scalable AI solutions that integrate seamlessly with existing systems.
 • Design and maintain AI infrastructure, including data pipelines and model training environments.
 • Collaborate with cross\-functional teams to translate requirements into actionable AI designs.
 • Optimize machine learning models to improve performance and reliability.
 • Implement and test solutions using Test Driven Development methodologies.
 • Stay updated on emerging AI technologies and recommend their adoption.
 • Ensure ethical and responsible use of AI technologies.
 • Participate in code reviews and share knowledge across the team.
 • Document AI processes and maintain clear technical records.
 • Bachelor’s degree in Computer Science or a related field, or equivalent experience.
 • At least 5 years of software development experience, including Python, Java, or similar languages.
 • Proficiency with machine learning frameworks such as TensorFlow and PyTorch.
 • Solid understanding of data structures and algorithms.
 • Proven ability to work collaboratively in a team environment.
 • Strong analytical and problem\-solving skills.
 • Excellent communication and documentation abilities.
 • Familiarity with cloud platforms like AWS or Google Cloud Platform is preferred.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32">
      <c r="A32" t="inlineStr">
        <is>
          <t>li-4314890845</t>
        </is>
      </c>
      <c r="B32" t="inlineStr">
        <is>
          <t>AI/ML Engineer</t>
        </is>
      </c>
      <c r="C32" t="inlineStr">
        <is>
          <t>CyberCoders</t>
        </is>
      </c>
      <c r="D32" t="inlineStr">
        <is>
          <t>linkedin</t>
        </is>
      </c>
      <c r="E32" t="inlineStr"/>
      <c r="F32" t="inlineStr"/>
      <c r="G32" t="inlineStr">
        <is>
          <t>New York, NY</t>
        </is>
      </c>
      <c r="H32" t="inlineStr"/>
      <c r="I32" t="inlineStr">
        <is>
          <t>****Job Title:****
 AI/ML Engineer (Entry\-Level)
**Location:** 
 Hybrid in NYC (Manhattan)
**Salary:** 
 $120\-150k/year
**Requirements:** 
 BS or MS in Computer Science or related, Software Engineering Internship or Entrepreneurship experience
 We're a venture\-backed SaaS startup building intelligent platforms to disrupt a $2T\+ legacy industry. Founded by serial entrepreneurs behind companies like ServiceTitan and Curbside, we've raised $50M\+, 10x'ed revenue in under four years, and earned the trust of 150\+ customers\-all while operating in a vertical SaaS market with no clear winner.
 Our product is loved (NPS 80\+), our team is recognized (SMB Tech Top 50\), and our culture is built around curiosity, grit, and impact. Now we're hiring an
 **Entry\-Level AI/ML Engineer** 
 to help us scale real\-time intelligence across logistics and infrastructure challenges.
 This is a hybrid role with 3 days on\-site in NYC.
 **Relocation assistance offered!**
**What You'll Do**
* Build and deploy ML models using Python, TensorFlow, PyTorch, and scikit\-learn
* Collaborate cross\-functionally with product, engineering, and data teams
* Apply computer vision, NLP, and time\-series analysis to real\-world problems
* Own model evaluation, feature engineering, and scalable deployment in AWS/GCP
* Help shape responsible, ethical AI practices in a high\-impact domain
**What We're Looking For**
* Bachelor's or Master's degree in Computer Science or a related technical field
* Programming skills in Python, Java, C\+\+, or similar
* Strong foundation in math, statistics, and software development
**Benefits**
* $120K\-$150K base \+ full medical, dental, vision \+ 401k
* Flexible time off \+ mission\-driven culture
* Diverse, inclusive team where individuality is celebrated
* A chance to build AI that powers real\-world change\-not just dashboards
**Email Your Resume In Word To**
 Looking forward to receiving your resume through our website and going over the position with you. Clicking apply is the best way to apply, but you may also:
 abi.harper@cybercoders.com
* Please do NOT change the email subject line in any way. You must keep the JobID: linkedin : AH12\-1880399L708 \-\- in the email subject line for your application to be considered.\*\*\*
 Abi Harper \- Lead Recruiter
 For this position, you must be currently authorized to work in the United States without the need for sponsorship for a non\-immigrant visa.
 This job was first posted by CyberCoders on 10/14/2025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33">
      <c r="A33" t="inlineStr">
        <is>
          <t>li-4340805191</t>
        </is>
      </c>
      <c r="B33" t="inlineStr">
        <is>
          <t>Applied AI Engineer - AI Solutions</t>
        </is>
      </c>
      <c r="C33" t="inlineStr">
        <is>
          <t>Snorkel AI</t>
        </is>
      </c>
      <c r="D33" t="inlineStr">
        <is>
          <t>linkedin</t>
        </is>
      </c>
      <c r="E33" t="inlineStr"/>
      <c r="F33" t="inlineStr"/>
      <c r="G33" t="inlineStr">
        <is>
          <t>San Francisco, CA</t>
        </is>
      </c>
      <c r="H33" t="inlineStr"/>
      <c r="I33" t="inlineStr">
        <is>
          <t>****About Snorkel****
 At Snorkel, we believe meaningful AI doesn’t start with the model, it starts with the data.
 We’re on a mission to help enterprises transform expert knowledge into specialized AI at scale. The AI landscape has gone through incredible changes between 2015, when Snorkel started as a research project in the Stanford AI Lab, to the generative AI breakthroughs of today. But one thing has remained constant: the data you use to build AI is the key to achieving differentiation, high performance, and production\-ready systems. We work with some of the world’s largest organizations to empower scientists, engineers, financial experts, product creators, journalists, and more to build custom AI with their data faster than ever before. Excited to help us redefine how AI is built? Apply to be the newest Snorkeler!
**About Snorkel**
 We’re on a mission to democratize AI by building the definitive AI data development platform. The AI landscape has gone through incredible change between 2016, when Snorkel started as a research project in the Stanford AI Lab, to the generative AI breakthroughs of today. But one thing has remained constant: the data you use to build AI is the key to achieving differentiation, high performance, and production\-ready systems. We work with some of the world’s largest organizations to empower scientists, engineers, financial experts, product creators, journalists, and more to build custom AI with their data faster than ever before. Excited to help us redefine how AI is built? Apply to be the newest Snorkeler!
 As an Applied AI Engineer, you’ll research and utilize state\-of\-the\-art Gen AI and machine learning (ML) techniques to successfully deliver solutions to our customers. You will work directly with our customers to understand their business and technical needs and design and deliver AI solutions to solve them \- either by leveraging Snorkel Flow or developing custom approaches when needed. You will also help define Snorkel’s Applied AI tooling by translating repeatable real\-world challenges into reusable solution recipes, workflows, best practices, and platform\-level capabilities that become part of Snorkel Flow’s next generation of AI tooling. We move fast and are constantly prototyping and innovating new ways to deliver value to our customers. This position is ideal for someone who enjoys solving complex problems, bridging the gap between AI technology and business value, working directly with customers, keeping up\-to date with AI research, and standardizing bespoke solutions into internal recipes and staying naturally curious about the infrastructure that underpin the Applied AI stack end\-to\-end.
 Main Responsibilities
* Partner with customers to build and deploy impactful Gen AI and machine learning solutions, from use case scoping and data exploration to model development and deployment. This may involve leveraging Snorkel Flow or designing custom approaches using state\-of\-the\-art tools, with the goal of delivering real business value and informing the evolution of the Snorkel platform.
* Develop and implement state of the art AI systems such as retrieval\-augmented generation (RAG), fine\-tuning pipelines, prompt engineering recipes and agentic workflows.
* Create augmented real\-world datasets and comprehensive evaluation workflows to ensure model reliability, transparency, and stakeholder trust. A data\- and evaluation\-first mindset is essential for success in this role.
* Forge and manage relationships with our customers’ leadership and stakeholders to ensure successful development and deployment of AI projects with Snorkel Flow.
* Collaborate closely with pre\-sales Solutions and Product teams to map customer needs to existing capabilities, prioritize roadmap gaps, and guide successful project setup.
* Work with other Applied AI Engineers to standardize solutions and contribute to internal tooling and best practices.
* Lead stakeholder education on quantitative capabilities, helping them to understand the strengths and weaknesses of different approaches and what problems are best\-suited for Snorkel AI.
* Serve as the voice of our customers for new AI paradigms, data science workflows, and share customer feedback to product teams.
* Conduct one\-to\-few and one\-to\-many enablement workshops to transfer knowledge to customers considering or already using Snorkel AI.
* Annual travel up to 25%.
**Preferred Qualifications**
* B.S. degree in a quantitative field such as Computer Science, Engineering, Mathematics, Statistics, or comparable degree/experience.
* 3\+ years of customer\-facing experience in the design and implementation of AI/ML solutions.
* Proficiency in Python, including strong grounding in software engineering fundamentals (e.g., modular design, testing, profiling, packaging) and experience with modern Python constructs and libraries for type validation and typed data modeling (e.g., pydantic), building type\-safe systems (e.g., mypy), testing (e.g., pytest), packaging and environment configuration (e.g., poetry), API and service frameworks (e.g., FastAPI), serialization and structured data handling (e.g., msgspec), and orchestration tooling relevant to ML deployment (e.g., Ray, Airflow).
* Expertise across the Applied AI stack, spanning classical ML libraries (e.g., scikit\-learn), deep learning frameworks (e.g., PyTorch), foundation\-model ecosystems (e.g., Hugging Face Transformers), vector/embedding tooling (e.g., FAISS), data processing frameworks (e.g., pandas, Spark), retrieval/RAG tooling (e.g., Chroma, Weaviate), synthetic dataset curation, evaluation workflows, and LLM orchestration, workflow, agent authoring tools (e.g., LlamaIndex, LangGraph, CrewAI).
* Experience leading strategic, customer\-facing initiatives and collaborating with business stakeholders to ensure ML solutions drive successful business outcomes, with a strong focus on teaching and enablement.
* Outstanding presentation skills to technical and executive audiences, whether impromptu on a whiteboard or using presentations and demos.
* Ability to work in a fast\-paced environment and balance priorities across multiple projects at once.
 Compensation range for Tier 1 locations of San Francisco Bay Area $172K \- $300K OTE. All offers also include equity in the form of employee stock options. Our compensation ranges are determined by role, level, and location. Within the range, individual pay is determined by work location and additional factors, including job\-related skills, experience, and relevant education or training.
**Locations**
 Redwood City, CA \- Hybrid; San Francisco, CA \- Hybrid \- US
 Salary Range
 $172,000—$300,000 USD
**Be Your Best at Snorkel**
 Joining Snorkel AI means becoming part of a company that has market proven solutions, robust funding, and is scaling rapidly—offering a unique combination of stability and the excitement of high growth. As a member of our team, you’ll have meaningful opportunities to shape priorities and initiatives, influence key strategic decisions, and directly impact our ongoing success. Whether you’re looking to deepen your technical expertise, explore leadership opportunities, or learn new skills across multiple functions, you’re fully supported in building your career in an environment designed for growth, learning, and shared success.
*Snorkel AI is proud to be an Equal Employment Opportunity employer and is committed to building a team that represents a variety of backgrounds, perspectives, and skills. Snorkel AI embraces diversity and provides equal employment opportunities to all employees and applicants for employment. Snorkel AI prohibits discrimination and harassment of any type on the basis of race, color, religion, age, sex, national origin, disability status, genetics, protected veteran status, sexual orientation, gender identity or expression, or any other characteristic protected by federal, state, or local law. All employment is decided on the basis of qualifications, performance, merit, and business need.*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34">
      <c r="A34" t="inlineStr">
        <is>
          <t>li-4359354063</t>
        </is>
      </c>
      <c r="B34" t="inlineStr">
        <is>
          <t>Founding Machine Learning Engineer</t>
        </is>
      </c>
      <c r="C34" t="inlineStr">
        <is>
          <t>Randstad Digital Americas</t>
        </is>
      </c>
      <c r="D34" t="inlineStr">
        <is>
          <t>linkedin</t>
        </is>
      </c>
      <c r="E34" t="inlineStr"/>
      <c r="F34" t="inlineStr"/>
      <c r="G34" t="inlineStr">
        <is>
          <t>Chicago, IL</t>
        </is>
      </c>
      <c r="H34" t="inlineStr"/>
      <c r="I34" t="inlineStr">
        <is>
          <t>**Job Summary**
 We are seeking a Founding Machine Learning Engineer to own the predictive core of our
 technology. You will be responsible for designing and training the models that translate raw
 neural signals into actionable life\-saving alerts. This role is ideal for an engineer who thrives on
 building from scratch and applying state\-of\-the\-art Computer Vision architectures to complex
 time\-series data.
 location: Chicago, Illinois
 job type: Permanent
 salary: $120,000 \- 160,000 per year
 work hours: 9am to 5pm
 education: Bachelors
**Responsibilities**
 Key Responsibilities
 \- Model Development: Build, train, and optimize deep learning models (CNNs, Transform\-
 ers) from scratch to detect pre\-ictal states in EEG data.
* Pipeline Architecture: Design end\-to\-end ML pipelines on AWS or GCP, ensuring efficient
 data ingestion and model deployment.
* Signal Processing: Implement advanced preprocessing techniques for high\-frequency
 neural signals to maximize model performance.
* Strategic Innovation: Stay at the forefront of ML research, evaluating and implementing
 novel architectures to improve prediction lead times and accuracy.
**Qualifications**
* Experience: 3\+ years of professional ML experience in an industry setting (preferential to
 academic\-only backgrounds).
* Technical Stack: Expert proficiency in Python, TensorFlow, Keras, and Jupyter Notebooks.
 \- Deep Learning: Proven track record of training Computer Vision models (CNNs, Trans\-
 formers) from scratch for complex pattern recognition.
* Cloud Infrastructure: Hands\-on experience with AWS or Google Cloud Platform (GCP) for
 ML workloads.
 \- The "Plus" Factor: Direct experience with EEG or ECoG signal processing is highly desir\-
 able.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35">
      <c r="A35" t="inlineStr">
        <is>
          <t>li-4283747270</t>
        </is>
      </c>
      <c r="B35" t="inlineStr">
        <is>
          <t>Senior Staff Machine Learning Engineer - AI Safety and Guardrail</t>
        </is>
      </c>
      <c r="C35" t="inlineStr">
        <is>
          <t>Airbnb</t>
        </is>
      </c>
      <c r="D35" t="inlineStr">
        <is>
          <t>linkedin</t>
        </is>
      </c>
      <c r="E35" t="inlineStr"/>
      <c r="F35" t="inlineStr"/>
      <c r="G35" t="inlineStr"/>
      <c r="H35" t="inlineStr"/>
      <c r="I35"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Machine Learning and Artificial Intelligence are at the heart of the Airbnb product. From Trust to Payments, and from Customer Service to Marketing, we rely on ML and AI to ensure that guests and hosts have the best possible experience with Airbnb.
 The Community Support Products (CSP) Machine Learning team is the core team responsible for driving CSxAI (Community Support x Artificial Intelligence) initiatives by adopting the Generative AI technologies to enable an intelligent, scalable and exceptional service experience. The team develops and enhances various AI models, ML services and tools including LLM fine\-tuning and optimization, RAG/Search, LLM evaluation and testing automation, feedback\-based learning and guardrail for a wide range of applications in Airbnb.
**The Difference You Will Make**
 As a key member of Airbnb’s CSP Machine Learning team, the Guardrail and AI Safety Engineer ensures that our AI\-powered systems \- spanning chatbots, AI Assistants, and Agent Copilot \- are reliable, safe, and aligned with both our trust and governance standards. You will collaborate cross\-functionally with ML, engineering, product and policy teams to build, monitor, and enforce technical safety mechanisms across the AI system lifecycle.
**A Typical Day**
* Collaborate with cross functional teams to identify issues, evaluate risks, design monitoring systems, tailor safeguard measures and deploy efficient solutions to ensure safe, robust and responsible use of AI adoption in CS products.
* Design and implement appropriate guardrails to mitigate risks like hallucinations, privacy breaches, prompt injections, harmful responses, or bias.
* Set up continuous risk monitoring pipelines and alerting to enable human\-in\-the\-loop feedback and mitigation.
* Collaborate with trust, security, legal and operation teams to enable risk management.
* Collaborate with evaluation and data platform to design and build out data flywheel for fixing model failure modes and guardrail improvement.
* Partner with product, design, trust \&amp; safety, and legal teams to ensure AI\-driven features meet global privacy and compliance standards.
* Own documentation, guardrail white papers, and onboarding materials to support knowledge sharing and auditability.
* Partner with ML infrastructure to scale safety features across Airbnb products.
**Your Expertise**
* PhD/Master’s degree, preferably in CS, or equivalent experience
* 7/10\+ years of work experience in developing and deploying machine learning models in production
* Strong understanding of machine learning principles and algorithms
* Hands\-on programming experience in python and in\-depth knowledge of machine learning frameworks
* 2\+ years of experience with one or more of the following broader areas: Content Safety/Integrity, ML Fairness and Bias, Responsible AI, AI Model Security, or related areas
* Nice to have: Experience with AI technologies in Customer Support Products, LLM alignment techniques (SFT, RLHF, DPO, etc) and LLM evaluation.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$244,000—$305,000 USD</t>
        </is>
      </c>
    </row>
    <row r="36">
      <c r="A36" t="inlineStr">
        <is>
          <t>li-4334302113</t>
        </is>
      </c>
      <c r="B36" t="inlineStr">
        <is>
          <t>Senior Staff Machine Learning Engineer - Risk AI/ML</t>
        </is>
      </c>
      <c r="C36" t="inlineStr">
        <is>
          <t>Coinbase</t>
        </is>
      </c>
      <c r="D36" t="inlineStr">
        <is>
          <t>linkedin</t>
        </is>
      </c>
      <c r="E36" t="inlineStr"/>
      <c r="F36" t="inlineStr"/>
      <c r="G36" t="inlineStr"/>
      <c r="H36" t="inlineStr"/>
      <c r="I36"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**About the Team** 
 The Risk AI/ML team has a critical mission: to foster business growth by effectively managing the financial threats impacting the business and our users. We are on the front lines, building the flexible, scalable, and intelligent systems required to detect and prevent fraud, scams, and account takeovers at scale. As a member of this team, you will build and deploy the sophisticated AI/ML models that power our real\-time, near\-real\-time, and scheduled risk\-detection workflows. You will collaborate closely with Platform, Product, Analyst, and Ops teams to uncover new fraud patterns, fight baddies, and continuously improve our defensive capabilities, protecting our good users and the open financial system.
**About the Role** 
 We are looking for a Senior Staff Machine Learning Engineer to lead the design and implementation of advanced AI/ML models \&amp; systems that power our critical risk and fraud\-fighting platforms. This role is essential to protecting our good customers by harnessing diverse and extensive data sources, including the blockchain, to grant millions of individuals access to cryptocurrency while simultaneously identifying and thwarting malicious entities. Your work will directly stop fraud, prevent account takeovers, and fight scams.
 You will operate as both a hands\-on technical contributor and AI/ML applied science leader of complex initiatives, setting technical direction across teams, mentoring senior engineers, and ensuring that our AI/ML solutions are robust, efficient, and aligned with company strategy.
**What you’ll be doing:** 
* **Lead Strategic AI/ML Initiatives:** 
 Drive the end\-to\-end design and deployment of AI/ML models and systems that scale to millions of users. You will investigate and harness cutting\-edge methodologies (e.g., large\-scale deep learning, LLMs, GNNs, reinforcement learning) to address diverse challenges like fraud detection, recommender systems, feed ranking, and risk assessment.
* **Architect Scalable Models \&amp; Systems:** 
 Architect and build production\-grade AI/ML models \&amp; pipelines, that enable low\-latency, high\-reliability predictions. You will develop and deploy robust, low\-maintenance applied AI/ML solutions
* **Drive Execution \&amp; Collaboration:** 
 Deliver high\-quality, measurable results while managing ambiguity, prioritizing technical debt, and ensuring systems evolve with business growth. You must have solid communication skills to collaborate with and influence stakeholders with various technical and non\-technical backgrounds.
* **Elevate AI/ML \&amp; Engineering Excellence, Mentorship:** 
 Provide technical guidance and mentorship, elevating engineering excellence across the organization. You will help democratize access to AI/ML by creating onboarding codelabs, tools, and infrastructure to foster a culture of widespread AI/ML across the team, org and Coinbase.
**What we look for:** 
* **10\+ years** 
 of professional experience in software engineering and/or AI/ML, including significant experience deploying AI/ML systems into production.
* **Passion \&amp; Values:** 
 A passion for building an open financial system that connects the world and a strong desire to protect good users from bad actors. You are motivated by the challenges of fighting fraud, detecting scams, preventing account takeovers, and generally thwarting "baddies." You exhibit our core cultural values: add positive energy, communicate clearly, be curious, and be a builder.
* **Deep AI/ML Expertise:** 
 Expertise in one or more areas of applied AI/ML (e.g., Risk ML, Gradient Boosting trees, large\-scale deep learning, NLP/LLMs, computer vision, recommender systems, reinforcement learning, GNNs).
* **Strong Technical \&amp; Coding Skills:** 
 Strong coding skills (e.g., Python) with deep experience in AI/ML frameworks (TensorFlow, PyTorch, etc). Experience building backend systems at scale with a focus on data processing, AI/ML, or analytics.
* **Technical Leadership:** 
 Demonstrated ability to lead complex, cross\-team technical initiatives and deliver impactful AI/ML solutions at scale.
* **Strategic Communication:** 
 Strong communication and leadership skills, with experience influencing technical direction across engineering, product, and leadership teams.
* **Mentorship:** 
 A proven track record of mentoring senior engineers and raising the technical bar on engineering teams.
**Nice to Haves:** 
* Master’s or PhD in Computer Science, AI/ML, Data Mining, Statistics, or related technical field.
* Knowledge of modern data and AI/ML infrastructure (e.g., Apache Airflow, Spark, Flink, Kafka/Kinesis, Snowflake, Hadoop, Hive).
* Familiarity with MLOps best practices, including monitoring, retraining, and continuous improvement of production models.
* Experience with model interpretability and responsible AI.
* Experience with data analysis and visualization.
 Job ID: GPML07US
 Pay Transparency Notice: Depending on your work location, the target annual salary for this position can range as detailed below. Full time offers from Coinbase also include bonus eligibility \+ equity eligibility \+ benefits (including medical, dental, vision and 401(k)).
 Pay Range: : $262,650 USD \- $309,000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37">
      <c r="A37" t="inlineStr">
        <is>
          <t>li-4344643765</t>
        </is>
      </c>
      <c r="B37" t="inlineStr">
        <is>
          <t>Senior AI Engineer, AI Labs</t>
        </is>
      </c>
      <c r="C37" t="inlineStr">
        <is>
          <t>NPR</t>
        </is>
      </c>
      <c r="D37" t="inlineStr">
        <is>
          <t>linkedin</t>
        </is>
      </c>
      <c r="E37" t="inlineStr"/>
      <c r="F37" t="inlineStr"/>
      <c r="G37" t="inlineStr">
        <is>
          <t>Washington, DC</t>
        </is>
      </c>
      <c r="H37" t="inlineStr"/>
      <c r="I37" t="inlineStr">
        <is>
          <t>**Overview**
*A thriving, mission\-driven multimedia organization, NPR produces award\-winning news, information, and music programming in partnership with hundreds of independent public radio stations across the nation. The NPR audience values information, creativity, curiosity, and social responsibility – and our employees do too. We are innovators and leaders in diverse fields, from journalism and digital media to IT and development. Every day, our employees and member stations touch the lives of millions worldwide.*
*Across our organization, we’re building a workplace where collaboration is essential, diverse voices are heard, and inclusion is the key to our success. We are committed to doing the right thing in our journalism and in every role at NPR* 
*.* 
*This means that integrity, adherence to our ethical standards, and compliance with legal obligations are fundamental responsibilities for every employee at NPR.*
**Intro to Position**
 The Senior AI Engineer, AI Labs, is a foundational role in building NPR's first Generative AI (GAI)\-focused product development team. Reporting to the VP of AI Labs, this engineer will be responsible for the technical development and implementation of generative AI solutions. The core mission is to engineer systems that leverage GAI to enhance the quality and actionability of our content metadata, thereby directly supporting the organization's goals of improving content personalization and increasing editorial efficiency. This role involves hands\-on work in integrating AI products into core NPR systems, ensuring solutions are scalable, align with ethical guidelines, and are built upon industry best practices. This is a critical opportunity to shape NPR's technical AI adoption and build a new, innovative function.
**Responsibilities**
* Engineering \&amp; Implementation: Design, develop, and deploy scalable Generative AI (GAI) solutions, focusing on enhancing content metadata quality and actionability to meet organizational objectives.
* Architecture \&amp; Technical Best Practices: Establish and champion technical best practices for Generative AI systems, including MLOps, RAG architectures, prompt engineering, and model evaluation, ensuring high\-quality, maintainable code.
* Cross\-functional Development: Collaborate closely with Product Managers, data scientists, software and infrastructure engineers, and relevant subject matter experts to translate product requirements and roadmaps into robust, production\-ready AI systems.
* System Optimization \&amp; Performance: Implement data\-driven methods, A/B testing, and performance monitoring to optimize the efficiency, scalability, and impact of AI models and pipelines.
* Technical Communication: Clearly articulate technical architectures, development progress, and engineering challenges to product and non\-technical stakeholders.
* Responsible AI: Integrate ethical AI principles and compliance standards directly into the design and implementation of all AI products, in alignment with company policies.
* Technology Scouting: Research and evaluate emerging AI technologies, frameworks, and industry trends to drive continuous technical innovation within the AI Labs.
**The above duties and responsibilities are not an exhaustive list of required responsibilities, duties and skills. Other duties may be assigned, and this job description is subject to change at any time.**
**Minimum Qualifications**
* 5\+ years of professional experience in software development, data science, or machine learning engineering, with a focus on building and deploying production systems.
* 2\+ years of hands\-on experience working with generative AI, machine learning, or data products.
* Expert proficiency in Python and experience creating functional prototypes to validate technical feasibility and user flows.
* Demonstrable understanding and experience building products that leverage Large Language Models, RAG architectures, prompting, function calling, retrieval, vector databases, embeddings, fine\-tuning, and model evaluation.
* Familiarity with building and integrating MCP servers and agentic workflows
* Background in creating QA systems for AI processes and development
* Excellent communication skills and the ability to clearly articulate technical architectures and challenges to product and non\-technical stakeholders.
* A collaborative and respectful approach to work and an ability to adapt quickly to change.
* A deep commitment to the mission of NPR and to the responsible implementation of Generative AI technologies.
**Preferred Qualifications**
* Experience designing and building highly scalable, production\-grade AI/ML pipelines and services.
* Proficiency with cloud platforms, particularly AWS and Google Cloud Platform (GCP) and MLOps tools, particularly MLFlow and Vertex AI.
* Experience with DevOps practices, including CI/CD and enterprise infrastructure\-as\-code.
* Experience working in media organizations and an understanding of media delivery systems.
**Work Location \&amp; Requirements**
* Hybrid Permitted: This is a hybrid permitted role. Some aspects of this role include duties that are better performed at an NPR facility. The employee will be required to be in the office, preferably at the Washington, D.C. location, at least two to three days a week.
**Job Type**
* This is a full\-time, exempt position.
**Compensation**
 Salary Range: The U.S. based anticipated salary range for this opportunity is $160,000 \- 186,000 plus benefits. The range displayed reflects the minimum and maximum salaries NPR expects to provide for new hires for the position across all US locations.
 NPR offers access to comprehensive benefits for employees and dependents. Regular, full\-time employees scheduled to work 30 hours or more per week are eligible to enroll in NPR’s benefits options. Benefits include access to health and wellness, paid time off, and financial well\-being. Plan options include medical, dental, vision, life/ accidental death and dismemberment, long\-term disability, short\-term disability, and voluntary retirement savings to all eligible NPR employees.
**Does this sound like you? If so, we want to hear from you.**
 The range displayed reflects the minimum and maximum salaries NPR expects to provide for new hires for the position across all US locations.
 NPR Pay Range
 $160,000—$186,000 USD
 NPR is an Equal Opportunity Employer. NPR is committed to being an inclusive workplace that welcomes diverse and unique perspectives, all working toward the same goal – to create a more informed public. Qualified applicants receive consideration for employment without regard to race, color, ethnicity, national origin, ancestry, age, religion, religious belief, sex (including pregnancy, childbirth and related medical conditions, lactation, and reproductive health decisions), sexual orientation, gender, gender identity or expression, transgender status, gender non\-conforming status, intersex status, sexual stereotypes, nationality, citizenship status, personal appearance, marital status, family status, family responsibilities, military status, veteran status, mental and physical disability, medical condition, genetic information, genetic characteristics of yourself or a family member, political views and affiliation, unemployment status, protective order status, status as a victim of domestic violence, sexual assault, or stalking, or any other basis prohibited under applicable law.
**If you are a person with a disability needing assistance with the application process, please reach out to employeerelations@npr.org.**
 You may read NPR’s privacy policy to learn about how NPR may handle information you submit with any application.
 Want more NPR? Explore the stories behind the stories on our NPR Extra blog. Get social with NPR Extra on Facebook and Instagram. Find more career opportunities at NPR.org/careers.</t>
        </is>
      </c>
    </row>
    <row r="38">
      <c r="A38" t="inlineStr">
        <is>
          <t>li-4339001458</t>
        </is>
      </c>
      <c r="B38" t="inlineStr">
        <is>
          <t>Full Stack AI Engineer</t>
        </is>
      </c>
      <c r="C38" t="inlineStr">
        <is>
          <t>Vertex Service Partners</t>
        </is>
      </c>
      <c r="D38" t="inlineStr">
        <is>
          <t>linkedin</t>
        </is>
      </c>
      <c r="E38" t="inlineStr"/>
      <c r="F38" t="inlineStr"/>
      <c r="G38" t="inlineStr">
        <is>
          <t>Charlotte, NC</t>
        </is>
      </c>
      <c r="H38" t="inlineStr"/>
      <c r="I38" t="inlineStr">
        <is>
          <t>****About Us****
*Vertex Service Partners is a home improvement services company focused on residential roofing and other exterior services across the United States. Backed by Alpine Investors, a top\-decile private equity fund with $4\.0 billion of committed capital, Vertex is building a best\-in\-class national platform.* 
*Our company is built on our core values—
 **servant leadership, unwavering character, a growth mindset, persistence, empowerment, pace, and fun** 
 —and guided by three pillars: being the
 **Employer of Choice** 
 ,
 **Partner of Choice** 
 , and
 **Contractor of Choice** 
 . We offer transformative support in operations, marketing, training, talent, finance, and technology, all while preserving the autonomy of local brands.*
**Location:** 
 Hybrid (Charlotte, NC \+ Remote)
**Job Type:** 
 Full\-time
**FLSA:** 
 Exempt, Salary
**Reports to:** 
 VP of Technology
****About Vertex Service Partners****
 Vertex Service Partners is a residential home improvement services company focused on roofing and other exterior services across the United States. Backed by Alpine Investors, a top\-decile private equity fund with $4\.0 billion of committed capital, Vertex is building a best\-in\-class national platform.
****Position Summary****
 We are seeking a Full Stack AI Engineer who combines strong software engineering fundamentals with applied AI creativity. This role plays a foundational part in shaping Vertex’s AI and automation strategy—architecting, building, and deploying intelligent tools that transform how our businesses operate.
 You will own full\-stack development of AI\-driven internal tools, partner directly with operators and business units, and help build Vertex’s internal culture of AI adoption. This role requires high ownership, strong execution, and a passion for building practical, real\-world AI solutions.
****Key Responsibilities****
***Build AI\-Powered Internal Tools***
* Design, prototype, and deploy full\-stack applications using FastAPI/Django and React/Next.js.
* Develop AI features including chat assistants, retrieval workflows, summarization, and workflow automation.
* Integrate APIs and data systems including OpenAI, LangChain, ServiceTitan, and Snowflake.
***Architect and Scale Vertex’s AI Foundations***
* Establish scalable patterns for APIs, cloud deployments, CI/CD, and front\-end frameworks.
* Implement reliable pipelines for retrieval\-augmented generation (RAG), prompt management, vector storage, and model orchestration.
* Build reusable libraries and architectural components to accelerate future AI initiatives.
***Automate Operational Workflows***
* Identify manual workflows across operations, sales, finance, and field teams; replace them with AI\-enabled tools and automation.
* Partner with FP\&amp;A, Data Engineering, and Operations to ensure data is modeled effectively to support automations.
* Build intuitive interfaces and solutions designed for non\-technical internal users.
***Drive AI Culture Across the Organization***
* Lead workshops, demos, and internal sessions on how to use AI tools effectively.
* Build self\-service templates and guided workflows to help business users adopt AI independently.
* Create documentation and best practices for AI tooling across the organization.
***Cross\-Functional Collaboration***
* Work closely with the VP of Technology and executive leadership to prioritize AI opportunities.
* Translate ambiguous business problems into prototypes and production\-ready solutions.
* Communicate complex technical concepts clearly and simply to non\-technical teams.
****Qualifications****
* 4–7\+ years of professional experience in software engineering with modern web frameworks.
* Proficiency in Python and TypeScript; experience with FastAPI/Django and React/Next.js.
* Hands\-on experience with LLMs, RAG systems, vector databases, and prompt engineering.
* Familiarity with Snowflake or similar data warehouse technologies.
* Experience building and deploying applications in a cloud environment (Azure preferred).
* Strong ownership mindset with the ability to iterate quickly and deliver high\-quality tools.
* Ability to translate complex operational or business problems into simple, elegant solutions.
* Excellent communication skills and comfort working directly with non\-technical business users.
****Benefits****
 Full\-time employees are eligible to participate in the following benefits:
* Health, Dental, and Vision Insurance
* 401(k) with company match
* Paid Time Off
* Retirement Plan
* Opportunities for growth and on\-the\-job training
*Vertex Service Partners is an equal opportunity employer and does not discriminate based on race, color, religion, sex, national origin, political affiliation, sexual orientation, marital status, disability, age, military service, or any other protected class. If you need a reasonable accommodation due to a disability, please contact Human Resources with your request and contact information.* 
*Applicant Privacy Policy*
**Why Join Us?**
 At Vertex Service Partners, we take pride in our people, our work, and our commitment to integrity. If you're looking for a company where you can grow professionally while making a real impact, we’d love to hear from you!
**Apply Today!**
****Benefits:****
 Full\-time employees are eligible to participate in the following benefits:
* Health, Dental, and Vision Insurance
* 401(k) with company match
* Company sponsored Life and AD\&amp;D coverage
* Paid Time Off
* Opportunities for growth and on\-the\-job training
**Why Join Us?**
* Build Something Big – Shape processes for a rapidly growing organization.
* Growth\-Oriented Culture – Work in a dynamic, people\-first environment.
* Make an Impact Across Regions – Partner with business leaders to drive meaningful change.
**Apply Today!**
*Vertex Service Partners is an equal opportunity employer and does not discriminate based on race, color, religion, sex, national origin, political affiliation, sexual orientation, marital status, disability, age, military service, or any other protected class. If you need a reasonable accommodation due to a disability, please contact Human Resources with your request and contact information. Applicant Privacy Policy*</t>
        </is>
      </c>
    </row>
    <row r="39">
      <c r="A39" t="inlineStr">
        <is>
          <t>li-4310955626</t>
        </is>
      </c>
      <c r="B39" t="inlineStr">
        <is>
          <t>Generative AI Engineer</t>
        </is>
      </c>
      <c r="C39" t="inlineStr">
        <is>
          <t>Idexcel</t>
        </is>
      </c>
      <c r="D39" t="inlineStr">
        <is>
          <t>linkedin</t>
        </is>
      </c>
      <c r="E39" t="inlineStr"/>
      <c r="F39" t="inlineStr"/>
      <c r="G39" t="inlineStr">
        <is>
          <t>Herndon, VA</t>
        </is>
      </c>
      <c r="H39" t="inlineStr"/>
      <c r="I39" t="inlineStr">
        <is>
          <t>Idexcel is seeking a Senior Engineer to join our Enterprise GenAI Engineering Organization and be a key part of the Enterprise GenAI tech team. As a GenAI engineer, you will lead the development cutting\-edge generative artificial intelligence solutions using large language models, agentic frameworks, retrieval augmented generation and other innovative technologies. The ideal candidate will have experience in designing, developing, and deploying applications leveraging LLM models and systems, with a strong focus on prompt engineering, RAG implementations, evaluations and agentic frameworks.
 In this role, you will:
 · Design, develop, deploy GenAI applications using LM's, agent framework and related technologies
 · Collaborate with and/or embed with line of business team teams to create reusable components and frameworks to accelerate the delivery of GenAI solutions
 · Develop and maintain large\-scale applications using Java, Python and other relevant technologies (e.g., cloud technologies, containerization, etc)
 · Develop reference services that can be leveraged enterprise\-wide such as document parsing, synthetic data generation, summarization and deep research
 · Stay up to date with the latest advancements in GenAI, LLM, agentic frameworks and drive innovation to improve existing systems and develop new ones
 · Troubleshoot and resolve complex technical issues related to applications?and models
 · Develop GenAI observability solutions to ensure systems are monitored to increase operational efficiency and managed to mitigate risk
 · Resolve coding, testing and escalated platform issues of a technically challenging nature
 · Collaborate with the team to ensure compliance and risk management requirements for supported area are met and work with other stakeholders to implement key risk initiatives
 · Collaborate and influence all levels of professionals including managers
 Required Qualifications:
 · 4\+ years of Specialty Software Engineering experience, or equivalent demonstrated through one or a combination of the following: work experience, training, military experience, education
 · 4\+ years of experience in software development
 · 4\+ years of Java, Python and other relevant technologies
 · 1\+ years of Experience with SDLC and Agile tools such as JIRA, GitHub, Jenkins, Confluence etc.
 Desired Qualifications:
 · 1\+ year of GenAI and ML concepts, including Evaluations, Fine Tuning and Prompt engineering
 · Knowledge agentic design patterns
 · Prompt Engineering concepts such as Zero\-Shot, Few\-shot, self\-consistency and chain of thought prompting</t>
        </is>
      </c>
    </row>
    <row r="40">
      <c r="A40" t="inlineStr">
        <is>
          <t>li-4294953596</t>
        </is>
      </c>
      <c r="B40" t="inlineStr">
        <is>
          <t>PhD Machine Learning Engineer, New Grad</t>
        </is>
      </c>
      <c r="C40" t="inlineStr">
        <is>
          <t>Stripe</t>
        </is>
      </c>
      <c r="D40" t="inlineStr">
        <is>
          <t>linkedin</t>
        </is>
      </c>
      <c r="E40" t="inlineStr"/>
      <c r="F40" t="inlineStr"/>
      <c r="G40" t="inlineStr">
        <is>
          <t>Seattle, WA</t>
        </is>
      </c>
      <c r="H40" t="inlineStr"/>
      <c r="I4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Stripe's Applied ML organization is excited to offer new grad PhD machine learning engineering positions for 2026\. This is an exceptional opportunity to contribute to critical projects that directly enhance Stripe's suite of products, focusing on areas such as foundation models used for dozens of tasks e.g. fraud detection, enhanced support, and predicting user behavior.
 You will tackle challenging problems at the intersection of finance, technology, and data. You'll have the chance to work on creative projects like the Stripe Assistant and the Stripe Foundation Model, which leverage machine learning to revolutionize how businesses interact with financial services and data.
 What you’ll do
**Responsibilities**
* Develop and deploy large\-scale machine learning systems that drive significant business value across various domains.
* Engage in the end\-to\-end process of designing, training, improving, and launching machine learning models.
* Write production\-scale ML models that will be deployed to help Stripe enable economic infrastructure access for a diverse range of businesses globally.
* Collaborate across teams to incorporate feedback and proactively seek solutions to challenges.
* Rapidly learn new technologies and approaches, demonstrating a strong ability to ask insightful questions and communicate the status of your work effectively.
 Who you are
**Minimum Requirements**
* A deep understanding of computer science, obtained through the pursuit of a PhD in Computer Science, Machine Learning, or a closely related field, with the expectation of graduating in winter 2025 or spring/summer 2026\.
* Practical experience with programming and machine learning, evidenced by projects, classwork, or research. Familiarity with languages such as Python, Scala, Spark and libraries such as Pandas, NumPy, and Scikit\-learn.
* Expertise in areas of machine learning such as supervised and unsupervised learning techniques, ML operations, and possibly experience in Large Language Models or Reinforcement Learning.
* Demonstrated ability to work on collaborative projects, with experience in receiving and applying feedback from various stakeholders.
* A proactive approach to learning unfamiliar systems and a demonstrated ability to understand complex systems independently.
**Preferred Qualifications**
* Two years of university education or equivalent experience, with in\-depth knowledge in specific domains of machine learning.
* Published and presented peer\-reviewed articles in top\-tier venues.
* Experience in writing high\-quality pull requests, maintaining good test coverage, and completing projects with minimal defects.
* Familiarity with navigating new codebases and managing work across different programming languages.
* Excellent written communication skills to clearly articulate your work to both team members and wider Stripe audiences.
 Application requirements
**Please Submit The Following With Your Application**
* A description of your work history (either a resume, LinkedIn Profile, website, or other portfolio of work)
* Examples of relevant work and your approach to learning, such as GitHub repositories, StackOverflow contributions, or other project portfolios.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$180,000 \- $270,000\.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41">
      <c r="A41" t="inlineStr">
        <is>
          <t>li-4330980678</t>
        </is>
      </c>
      <c r="B41" t="inlineStr">
        <is>
          <t>Lead ML Engineer</t>
        </is>
      </c>
      <c r="C41" t="inlineStr">
        <is>
          <t>RemoteHunter</t>
        </is>
      </c>
      <c r="D41" t="inlineStr">
        <is>
          <t>linkedin</t>
        </is>
      </c>
      <c r="E41" t="inlineStr"/>
      <c r="F41" t="inlineStr"/>
      <c r="G41" t="inlineStr"/>
      <c r="H41" t="inlineStr"/>
      <c r="I41" t="inlineStr">
        <is>
          <t>About the Opportunity:
 This role is part of a Data and Analytics division focused on understanding vehicle pricing features and predicting future vehicle values. The team delivers accurate, transparent, industry\-leading analytics. The AI Engineer will develop innovative machine learning processes, deploy models into production on AWS and/or Palantir, and create tools for monitoring ML algorithms. This is an opportunity to contribute significantly to automotive industry analytics within a mature, collaborative data science team.
 Responsibilities:
 • Analyze automotive industry data daily
 • Collaborate with business units to define AI project pipelines for operational efficiency and revenue growth
 • Develop reusable frameworks to integrate multiple AI models into production workflows
 • Lead simultaneous creation and production deployment of multiple AI models
 • Communicate effectively with customer success, product, and senior data science leadership with minimal supervision
 • Coach team members on exploratory data analysis, feature engineering, and data transformations
 • Lead program increment planning for upcoming quarter’s major development modules or projects with limited supervision
 • Understand various data science models, data sources, and data limitations across business units
 • Proactively propose and coordinate solutions to resolve issues, seeking leadership support as needed
 Requirements:
 • Enthusiasm for the automotive industry
 • Passion for solving problems using data
 • Proven ability to lead the creation and deployment of multiple AI models simultaneously
 • Proficiency in AI programming languages, including Python
 • Experience using AI evaluation metrics such as accuracy, precision, recall, ROC, AUC, F1 scores, MSE, and R\-squared
 • Skilled at designing innovative AI solutions for complex problems
 • Effective collaboration with stakeholders to promote AI adoption and best practices
 • 8\+ years working with large datasets
 • 8\+ years with statistical programming software (Spark and Python preferred)
 • 10\+ years working with database software (RedShift, Hive, SQL, MySQL)
 • 5\+ years deploying cloud\-based automated analytic processes
 • 5\+ years of experience deploying machine learning models with automated monitoring
 • Master’s degree in Statistics, Data Science, Economics, or related technical field
 Nice to Have:
 • Experience with automotive market data
 • Experience with AWS tools such as Sagemaker, Glue, Batch, Lambda
 • Experience working with Palantir
 • Experience deploying machine learning models into production via API
 • Experience with specialized UI applications for ML model interaction (e.g., StreamLit, Gradio)
 • Experience with MLOps and CICD for automated training, evaluation, and re\-deployment cycles
 • Experience enabling model training/inference and lifecycle integration through APIs for live user interactions
 • Experience deploying models with non\-pandas/non\-SQL data structures
 • PhD in Statistics, Data Science, Economics, or related field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2">
      <c r="A42" t="inlineStr">
        <is>
          <t>li-4320515356</t>
        </is>
      </c>
      <c r="B42" t="inlineStr">
        <is>
          <t>AI/ML Engineer – Consultant or Senior Consultant</t>
        </is>
      </c>
      <c r="C42" t="inlineStr">
        <is>
          <t>Slalom</t>
        </is>
      </c>
      <c r="D42" t="inlineStr">
        <is>
          <t>linkedin</t>
        </is>
      </c>
      <c r="E42" t="inlineStr"/>
      <c r="F42" t="inlineStr"/>
      <c r="G42" t="inlineStr">
        <is>
          <t>Florida, United States</t>
        </is>
      </c>
      <c r="H42" t="inlineStr"/>
      <c r="I42" t="inlineStr">
        <is>
          <t>* Please note: This role is not eligible for 100% remote work. Employees must currently live within a commutable distance of one of these offices (New York City, NY/ Denver, CO/ Miami, FL) and must be willing to be onsite at the client and/or Slalom office when needed.\*\*\*\*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Slalom's Data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
**What You’ll Do**
* Apply Machine Learning, Deep Learning, and other relevant technologies to assist in building AI tools that solve real business problems.
* Assist in the design, development, presentation, and delivery of traditional ML solutions in areas such as Computer Vision, NLP, Recommendation Systems, etc.
* Stay updated on fundamental AI/ML concepts and emerging trends to contribute to solution discussions and development.
* Contribute to the growth of the AI/ML community within the organization through learning, mentoring, and sharing knowledge.
**What You’ll Bring**
* 3\-6 years of experience implementing models or machine learning algorithms into production
* 1\-3 years of professional Managed or IT Professional consulting experience.
* Strong consultative and communication skills, and the ability to convey complex technical concepts to diverse stakeholders.
* Solid technical foundation, combined with constant curiosity to stay on the creative edge of ML/AI solutions.
* Technical and conversational fluency in AI, GenAI, Machine Learning and at least one of the major clouds (AWS, GCP, Azure)
* Hands\-on experience with RAG, agentic workflows, fine tuning, or other LLM\-based techniques.
* Experience deploying ML/AI into production, and ability to talk through best practices and pitfalls.
* Understanding of validation frameworks for AI and ML tools, with knowledge of the production\-ready offerings on the market for AI validation.
* Excellent python, especially for ML/AI use cases.
* Data Science and/or Data Engineering background preferred.
* Nice to have:
+ Experience in a sales support role, within Data Science, Machine Learning, or AI.
+ Familiarity with leading data platforms like Databricks and Snowflake, and their basic services.
+ Experience implementing MLOps best practices and ML workflow tools, and the ability to translate this experience to creative LLMOps solutions.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**Hiring Locations:**
* Denver, CO
* Miami, FL
* New York City, NY
**Slalom Is Committed To Fair And Equitable Compensation Practices.**
 For candidates located in our (New York City, NY) offices, the base salary range for a Consultant is $105,000 to $157,500 and for a Senior Consultant is $120,000 to $180,000\.
 For candidates located in our ( Miami, FL or Denver, CO) offices, the base salary range for a Consultant is $96,000 to $144,000 and for a Senior Consultant is $110,000 to $165,000\.
 In addition, individuals may be eligible for an annual discretionary bonus. Actual compensation will depend upon an individual’s skills, experience, qualifications, location, and other relevant factors. The salary pay range is subject to change and may be modified at any time.
**We will accept applications until December 24th, 2025, or until the position is filled.**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43">
      <c r="A43" t="inlineStr">
        <is>
          <t>li-4320435557</t>
        </is>
      </c>
      <c r="B43" t="inlineStr">
        <is>
          <t>Google Cloud Data &amp; AI Engineer</t>
        </is>
      </c>
      <c r="C43" t="inlineStr">
        <is>
          <t>Slalom</t>
        </is>
      </c>
      <c r="D43" t="inlineStr">
        <is>
          <t>linkedin</t>
        </is>
      </c>
      <c r="E43" t="inlineStr"/>
      <c r="F43" t="inlineStr"/>
      <c r="G43" t="inlineStr">
        <is>
          <t>North Carolina, United States</t>
        </is>
      </c>
      <c r="H43" t="inlineStr"/>
      <c r="I43" t="inlineStr">
        <is>
          <t>**Who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You will collaborate with cross\-functional teams, including Google Cloud architects, data scientists, and business units, to design and implement Google Cloud data and AI solutions. As a Consultant, Senior Consultant or Principal at Slalom, you will be a part of a team of curious learners who lean into the latest technologies to innovate and build impactful solutions for our clients.
**What You’ll Do**
* Design, build, and operationalize large\-scale enterprise data and AI solutions using Google Cloud services such as BigQuery, Vertex AI, Dataflow, Cloud Storage, Pub/Sub and more.
* Implement cloud\-based data solutions for data ingestion, transformation, and storage; and AI solutions for model development, deployment, and monitoring, ensuring both areas meet performance, scalability, and compliance needs.
* Develop and maintain comprehensive architecture plans for data and AI solutions, ensuring they are optimized for both data processing and AI model training within the Google Cloud ecosystem.
* Provide technical leadership and guidance on Google Cloud best practices for data engineering (e.g., ETL pipelines, data pipelines) and AI engineering (e.g., model deployment, MLOps).
* Conduct assessments of current data architectures and AI workflows, and develop strategies for modernizing, migrating, or enhancing data systems and AI models within Google Cloud.
* Stay current with emerging Google Cloud data and AI technologies, such as BigQuery ML, AutoML, and Vertex AI, and lead efforts to integrate new innovations into solutions for clients.
* Mentor and develop team members to enhance their skills in Google Cloud data and AI technologies, while providing leadership and training on both data pipeline optimization and AI/ML best practices.
**What You’ll Bring**
* Proven experience as a Cloud Data and AI Engineer or similar role, with hands\-on experience in Google Cloud tools and services (e.g., BigQuery, Vertex AI, Dataflow, Cloud Storage, Pub/Sub, etc.).
* Strong knowledge of data engineering concepts, such as ETL processes, data warehousing, data modeling, and data governance.
* Proficiency in AI engineering, including experience with machine learning models, model training, and MLOps pipelines using tools like Vertex AI, BigQuery ML, and AutoML.
* Strong problem\-solving and decision\-making skills, particularly with large\-scale data systems and AI model deployment.
* Strong communication and collaboration skills to work with cross\-functional teams, including data scientists, business stakeholders, and IT teams, bridging data engineering and AI efforts.
* Experience with agile methodologies and project management tools in the context of Google Cloud data and AI projects.
* Ability to work in a fast\-paced environment, managing multiple Google Cloud data and AI engineering projects simultaneously.
* Knowledge of security and compliance best practices as they relate to data and AI solutions on Google Cloud.
* Google Cloud certifications (e.g., Professional Data Engineer, Professional Database Engineer, Professional Machine Learning Engineer) or willingness to obtain certification within a defined timeframe.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target base salaries are listed below. In addition, individuals may be eligible for an annual discretionary bonus. Actual compensation will depend upon an individual’s skills, experience, qualifications, location, and other relevant factors. The target salary pay range is subject to change and may be modified at any time.
**East Bay, San Francisco, Silicon Valley**
* Consultant $114,000\-$171,000
* Senior Consultant: $131,000\-$196,500
* Principal: $145,000\-$217,500
**San Diego, Los Angeles, Orange County, Seattle, Houston, New Jersey, New York City, Westchester, Boston, Washington DC:**
* Consultant $105,000\-$157,500
* Senior Consultant: $120,000\-$180,000
* Principal: $133,000\-$199,500
**All other locations:**
* Consultant: $96,000\-$144,000
* Senior Consultant: $110,000\-$165,000
* Principal: $122,000\-$183,000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are accepting applications until 12/31\.*</t>
        </is>
      </c>
    </row>
    <row r="44">
      <c r="A44" t="inlineStr">
        <is>
          <t>li-4330972209</t>
        </is>
      </c>
      <c r="B44" t="inlineStr">
        <is>
          <t>Director, Tech Lead - AI Engineer</t>
        </is>
      </c>
      <c r="C44" t="inlineStr">
        <is>
          <t>Prudential Financial</t>
        </is>
      </c>
      <c r="D44" t="inlineStr">
        <is>
          <t>linkedin</t>
        </is>
      </c>
      <c r="E44" t="inlineStr"/>
      <c r="F44" t="inlineStr"/>
      <c r="G44" t="inlineStr">
        <is>
          <t>Newark, NJ</t>
        </is>
      </c>
      <c r="H44" t="inlineStr"/>
      <c r="I44" t="inlineStr">
        <is>
          <t>**Job Classification**
 Technology \- Engineering \&amp; Cloud
 The Engineering team is seeking a Senior Level candidate to lead the adoption and enablement of Claude Code and AI\-powered development tools across Prudential. This exciting position will offer a qualified individual the opportunity to lead a team of engineers who are passionate about leveraging cutting\-edge AI technology to transform the software development lifecycle and enhance developer productivity.
 We are looking for someone who is self\-motivated, has a passion for emerging AI technologies, strong presentation skills, and a desire to drive organizational change through innovative tooling and best practices.
 The successful candidate will work on defining, building, and maintaining a comprehensive Claude Code ecosystem that includes custom plugins, skills, sub\-agents, and slash commands. They will also be responsible for keeping the organization at the forefront of AI trends in the SDLC space.
 This position requires an individual with strong analytical, programming, problem\-solving, organizational, technical, and communication skills who must be able to work on complex projects with minimal guidance while effectively communicating progress to leadership and stakeholders.
**What You Will Do**
* Demonstrate leadership experience managing teams focused on developer tooling, automation, and AI\-powered development platforms
* Effectively lead a team responsible for architecting, building, maintaining, and supporting Claude Code plugins, skills, sub\-agents, and custom commands
* Manage a highly technical Agile Delivery Team focused on AI tooling and developer experience
* Strong experience with AI development tools, prompt engineering, and LLM integration patterns
* Deliver end\-to\-end solutions using innovative approaches to integrate AI capabilities into the SDLC
* Design and implement custom Claude Code extensions including:
* MCP (Model Context Protocol) servers and integrations
* Custom skills for specialized workflows
* Sub\-agents for autonomous task completion
* Slash commands for streamlined developer workflows
* Work with internal and external stakeholders to continuously improve upon AI tooling capabilities and develop technology roadmaps
**Evangelization and Training**
* Create and deliver compelling presentations to leadership and stakeholders on Claude Code adoption metrics, ROI, and strategic initiatives
* Run regular office hours to support developers and answer questions about Claude Code capabilities
* Develop comprehensive training materials including documentation, tutorials, video content, and hands\-on workshops
* Evangelize AI best practices and trends in the SDLC space including AI\-assisted development, prompt engineering, autonomous agents, and workflow automation
* Build a community of practice around AI\-powered development tools within Prudential
**Innovation and Trend Monitoring**
* Stay current with the latest AI trends, tools, and best practices in software development
* Evaluate emerging AI technologies and their potential application to Prudential's development workflows
* Assess and evaluate MCP servers and integrations for security, reliability, and enterprise fit
* Identify opportunities to leverage AI for improving code quality, security, testing, and deployment processes
* Drive continuous innovation in how development teams leverage AI capabilities
**Governance and Best Practices**
* Establish security and compliance guidelines for AI tool usage
* Define standards for prompt engineering, agent development, and integration patterns
* Implement metrics and monitoring to track adoption, usage patterns, and productivity gains
* Work with InfoSec and compliance teams to ensure AI tool usage meets enterprise requirements
**What You Bring**
* At least 5 \- 8 years of experience working in technology and 2 \- 4 years of technical leadership experience
* Extensive development/automation experience in an enterprise environment, either through 1st person implementation or driving a team that achieved such outcomes
* Demonstrated experience with AI/LLM tools and platforms (Claude, ChatGPT, Copilot, or similar)
* Strong programming background in multiple languages (Python, JavaScript/TypeScript, Java, etc.)
* Fluency with Agile Delivery methodologies
* Proven ability to create technical training content and deliver presentations to diverse audiences
* Experience running office hours, workshops, or technical enablement sessions
* Strong written and verbal communication skills with ability to influence at all organizational levels
**Technical Skills**
* Hands\-on experience with Claude Code or similar AI development tools
* Strong technical troubleshooting and problem\-solving skills
* Knowledge of the Model Context Protocol (MCP) and building MCP servers
* Experience evaluating and integrating MCP servers from various sources
* Familiarity with AI agent frameworks and autonomous agent development
* Understanding of prompt engineering principles and best practices
* Experience with DevOps, CI/CD pipelines, and development automation
* Knowledge of VS Code extensions, IDE integrations, or developer tooling
**Soft Skills**
* Ability to process new concepts and technologies quickly; has an appetite for learning in the fast\-moving AI space
* Ability to communicate complex technical concepts clearly to non\-technical audiences
* A problem\-solving mindset with skills and attributes to find the most appropriate solutions that bring desired change/outcomes
* Exceptional presentation and communication skills; comfortable presenting to executive leadership
* Patient and empathetic when teaching and enabling others
* A passion to provide world\-class developer experience and customer service
* Self\-directed with ability to work independently while also being a strong collaborator
* Bachelor's or Master's degree in Computer Science/Information Systems or related technical field
**Bonus Qualifications**
* Previous experience as a software engineer or developer advocate
* Experience building developer tools, IDE extensions, or CLI applications
* Background in machine learning, NLP, or AI/ML engineering
* Knowledge of Site Reliability Engineering (SRE) capabilities like observability, monitoring, and error budgeting
* Experience with enterprise\-scale tool adoption and change management initiatives
* Contributions to open\-source AI or developer tooling projects
* Speaking experience at technical conferences or meetups
* Experience creating video tutorials or technical content for developer audiences
 Success Metrics
**Success In This Role Will Be Measured By**
* Claude Code adoption rates across Prudential development teams
* Number and quality of custom plugins, skills, and commands developed
* Developer satisfaction scores and productivity improvements
* Quality and reach of training materials and office hours participation
* Stakeholder feedback on presentations and communications
* Innovation in applying AI to solve real development challenges
 \*\*Join us in shaping the future of software development at Prudential through the power of AI!\*\*
**What We Offer You**
 Prudential is required by state specific laws to include the salary range for this role when hiring a resident in applicable locations. The salary range for this role is from $171,500\.00 to $257,300\.00\. Specific pricing for the role may vary within the above range based on many factors including geographic location, candidate experience, and skills.
* Market competitive base salaries, with a yearly bonus potential at every level.
* Medical, dental, vision, life insurance, disability insurance, Paid Time Off (PTO), and leave of absences, such as parental and military leave.
* 401(k) plan with company match (up to 4%).
* Company\-funded pension plan.
* Wellness Programs including up to $1,600 a year for reimbursement of items purchased to support personal wellbeing needs.
* Work/Life Resources to help support topics such as parenting, housing, senior care, finances, pets, legal matters, education, emotional and mental health, and career development.
* Education Benefit to help finance traditional college enrollment toward obtaining an approved degree and many accredited certificate programs.
*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t>
        </is>
      </c>
    </row>
    <row r="45">
      <c r="A45" t="inlineStr">
        <is>
          <t>li-4359401321</t>
        </is>
      </c>
      <c r="B45" t="inlineStr">
        <is>
          <t>Senior Machine Learning Engineer</t>
        </is>
      </c>
      <c r="C45" t="inlineStr">
        <is>
          <t>Capital One</t>
        </is>
      </c>
      <c r="D45" t="inlineStr">
        <is>
          <t>linkedin</t>
        </is>
      </c>
      <c r="E45" t="inlineStr"/>
      <c r="F45" t="inlineStr"/>
      <c r="G45" t="inlineStr">
        <is>
          <t>McLean, VA</t>
        </is>
      </c>
      <c r="H45" t="inlineStr"/>
      <c r="I45"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6">
      <c r="A46" t="inlineStr">
        <is>
          <t>li-4335781917</t>
        </is>
      </c>
      <c r="B46" t="inlineStr">
        <is>
          <t>AI Engineer (AJC)</t>
        </is>
      </c>
      <c r="C46" t="inlineStr">
        <is>
          <t>Atlanta Journal-Constitution</t>
        </is>
      </c>
      <c r="D46" t="inlineStr">
        <is>
          <t>linkedin</t>
        </is>
      </c>
      <c r="E46" t="inlineStr"/>
      <c r="F46" t="inlineStr"/>
      <c r="G46" t="inlineStr">
        <is>
          <t>Atlanta, GA</t>
        </is>
      </c>
      <c r="H46" t="inlineStr"/>
      <c r="I46" t="inlineStr">
        <is>
          <t>At The Atlanta Journal\-Constitution (AJC), our mission is to be the most essential and engaging source of news for the people of Atlanta, Georgia and the South. As we transition from a historic daily newspaper to a dynamic modern media company, we are seeking a talented AI Engineer to join our team. The AJC believes that when you cover the South, you uncover the nation. It's a belief that's produced award\-winning journalism, elevated our community, and captured the substance and soul of our hometown.
 If you're ready to make headlines with your talent and drive, we want you on our team. Apply now and be a part of the next chapter in the AJC's transformation. The Atlanta Journal\-Constitution (AJC) is evolving from a legacy newspaper into a modern digital media company, committed to delivering credible, compelling journalism that informs and engages Atlantans and the broader South.
 We're looking for an AI Engineer who can design, build, and ship end\-to\-end AI solutions\-especially LLM\-powered personalization and intelligent search/assistant experiences that operate reliably in real time. You'll work across the stack (data, modeling, services, evaluation, and guardrails), collaborate deeply with product and engineering, and help us turn unstructured and structured information into practical, safe, and transparent capabilities for readers and internal teams.
**What You'll Do**
* Build LLM applications end\-to\-end: design, prototype, and productionize RAG pipelines, vector search, and agentic workflows that power personalization, content discovery, and on\-site assistance.
* Own retrieval \&amp; data foundations: create ingestion and chunking pipelines; manage embeddings and vector indexes (e.g., pgvector/Snowflake vectors/Pinecone); implement metadata schemas, recency signals, and hybrid retrieval (BM25 \+ ANN).
* Engineer reliability \&amp; safety: implement guardrails (schema\-constrained generation, tool access controls, moderation, grounding checks, citation verification) and fallbacks; design red\-team tests and safety playbooks; and prioritize governance \&amp; security of proprietary data
* Measure what matters: build offline/online evaluation harnesses (precision/recall, answer quality, hallucination rate, latency, cost); define acceptance criteria and run A/B tests with product partners.
* Ship real\-time experiences: stand up low\-latency inference services and event\-driven pipelines (e.g., Lambda/FastAPI/ECS; queues/streams) with caching layers (Redis/Valkey) and robust observability (traces, logs, drift monitors).
* Support personalization at scale: collaborate on user modeling (content/user embeddings, topic/intent signals), feature stores, and policy/business\-rule layering for rankers and bandits.
* Build internal AI tools: deliver secure, enterprise search and analytics copilots that unify docs, data catalogs, tickets, dashboards, and code\-unlocking self\-service insights across the newsroom and business teams.
* Partner cross\-functionally: work with principal architects, software engineers, data scientists, and product managers to scope MVPs, de\-risk unknowns, and iterate quickly.
* Contribute to DS/ML delivery: help package, deploy, and operationalize real\-time ML models with clear APIs, tests, and CI/CD.
* Champion transparency \&amp; governance: document designs and decisions; communicate trade\-offs to non\-technical stakeholders; uphold privacy, security, and compliance for PII and model usage.
**Required Qualifications**
**WHO YOU ARE**
* Applicants must currently be authorized to work in the United States for any employer without current or future sponsorship. No OPT, CPT, STEM/OPT or visa sponsorship now or in future.
* Bachelor's degree plus 6\+ years in AI, Data Science/ML, or Software Engineering (or equivalent experience), including shipping production services.
* Must live within a commutable distance to the Midtown Atlanta and work in a hybrid setting.
* Hands\-on LLM app experience: prompt engineering, system prompts/tooling, RAG design, agent frameworks, structured outputs and response validation.
* Search \&amp; vectors: practical experience with vector databases or vector capabilities (e.g., Snowflake vector functions, pgvector, Pinecone), LangChain and hybrid retrieval techniques.
* Data fluency: strong SQL; comfort joining/curating large text corpora; experience with Snowflake (or similar), and familiarity with orchestration and streaming patterns.
* Backend engineering: build and operate APIs/services (Python preferred); familiarity with serverless or containerized deployments (AWS Lambda, ECS/Fargate, FastAPI).
* Real\-time systems: understanding of low\-latency inference, caching, rate\-limiting, and cost controls; experience instrumenting services for performance and reliability.
* Integrating solutions: experience in integrating AI/ML into existing applications in batch and real\-time.
* Evaluation \&amp; experimentation: ability to design eval sets, define quality metrics, and run A/B tests; experience reducing hallucinations and enforcing guardrails.
* Guardrails \&amp; ethics mindset: knowledge of safety layers, data governance, prompt leakage risks, and secure tool use\-balancing capability with responsibility.
* Version Control: Experience with GitHub \+ CI/CD
* Collaboration \&amp; communication: clear, concise explainer of complex topics; able to connect technical decisions to business outcomes and user value.
**Why It Matters**
 To grow our mission and our audience, we need to deliver experiences that feel tailored, helpful, and trustworthy\-both to readers and to our internal teams. You'll be a key builder of those capabilities, turning cutting\-edge AI into safe, transparent, and real\-time products that deepen engagement, strengthen our subscriber value proposition, and amplify the impact of AJC journalism.
 USD 111,500\.00 \- 185,900\.00 per year
**Compensation**
 Compensation includes a base salary of $111,500\.00 \- $185,900\.00\.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47">
      <c r="A47" t="inlineStr">
        <is>
          <t>li-4352100822</t>
        </is>
      </c>
      <c r="B47" t="inlineStr">
        <is>
          <t>Senior Machine Learning Engineer (Op AI) with Security Clearance</t>
        </is>
      </c>
      <c r="C47" t="inlineStr">
        <is>
          <t>ClearanceJobs</t>
        </is>
      </c>
      <c r="D47" t="inlineStr">
        <is>
          <t>linkedin</t>
        </is>
      </c>
      <c r="E47" t="inlineStr"/>
      <c r="F47" t="inlineStr"/>
      <c r="G47" t="inlineStr">
        <is>
          <t>San Diego, CA</t>
        </is>
      </c>
      <c r="H47" t="inlineStr"/>
      <c r="I47" t="inlineStr">
        <is>
          <t>About Us: PMAT is an innovative small business founded with a passion for developing forward\-leaning solutions from exceptional people that increase the mission's capability. We focus on designing and building impactful digital solutions that utilize modern cloud, data, and software concepts. Our passion is working on complex and progressive challenges such as edge platform computing, containerizing legacy platforms, distributed data platforms, or heterogeneous data analysis. We recruit, retain, and foster a team motivated to pursue passions, investigate new ways of doing things, and embody an innovative and entrepreneurial spirit. We believe in being curious about every element of a problem and experiment relentlessly. We foster continuous learning in an environment that encourages positive collaboration and expands our capabilities. We tap into collective intelligence, acknowledging that the most brilliant people may not be in the room. Above all else, we believe that delivering and demonstrating is more potent than a sheet of paper. We are passionate about mission\-centric design and delivering effective capabilities to and for the warfighter. Whether you're an experienced engineer or just beginning your career, you'll work alongside experts who are committed to solving mission\-critical problems. If you're passionate about using your skills to make a real difference, apply today and become part of a team that's shaping the future of defense technology! About the Role: PMAT is seeking a Senior Machine Learning Engineer to design, develop, and implement advanced machine learning models and algorithms in support of naval applications. This role requires deep technical expertise in modern machine learning methods, distributed systems, cloud\-native development, and software engineering best practices. The Senior ML Engineer will collaborate with multidisciplinary teams to deliver mission\-focused AI solutions that integrate into operational Navy environments. Responsibilities:
* Design, develop, and implement machine learning models and algorithms for naval applications.
* Develop and deploy algorithms, mathematical models, and machine learning models into real\-world operational environments.
* Perform data preprocessing, feature engineering, model evaluation, and validation.
* Collaborate with engineers, data scientists, and mission stakeholders to align ML solutions with operational requirements.
* Develop cloud\-native ML pipelines using AWS, Azure, Docker, Kubernetes, or equivalent platforms.
* Implement ML solutions using frameworks such as TensorFlow, PyTorch, and scikit\-learn.
* Contribute to distributed computing and parallel processing approaches to optimize ML model performance.
* Participate in CI/CD pipeline development, automation, and DevSecOps workflows.
* Apply cybersecurity principles in the design and deployment of machine learning systems.
* Provide documentation, technical reports, and engineering artifacts consistent with PMAT and government standards.
* Stay current with advancements in machine learning, data science, and emerging technologies relevant to naval and DoD applications. Required Skills and Experience:
* At least 10 years of experience as a data scientist, data engineer, geospatial engineer, machine learning engineer, or software engineer.
* Proven experience developing and deploying algorithms, mathematical models, or machine learning models in real\-world applications.
* Strong programming skills in Python.
* Familiarity with cloud platforms (e.g., AWS, Azure) or containerization technologies (e.g., Docker, Kubernetes).
* Familiarity with software engineering best practices, including Git.
* Experience with ML frameworks such as TensorFlow, PyTorch, or scikit\-learn.
* Strong programming skills in Java, C\+\+, Go, or Rust.
* Experience with distributed computing and parallel processing.
* Experience with CI/CD pipelines and automation tools (GitHub Actions, GitLab CI, Jenkins).
* Strong analytical, problem\-solving, and communication skills.
* Ability to work effectively in a collaborative team environment.
* Previous experience supporting government agencies or military organizations. Preferred Skills and Experience:
* Experience with cloud\-native architecture and software API design.
* Experience integrating machine learning into operational DoD systems or edge computing environments.
* Familiarity with DoD AI strategies, MLOps, or data engineering in secure environments.
* Experience supporting NAVWAR, NIWC Pacific, or other Navy C2/ISR programs. Education and Certification Requirements:
* Bachelor of Science degree in Artificial Intelligence, Data Science, Computer Science, Machine Learning, or Statistics.
* Advanced degrees (MS/PhD) in related fields are preferred but not required.
* Additional certifications in cloud, cybersecurity, AI/ML, or DevSecOps are a plus if required by contract. Citizenship and Clearance Requirements:
* US Citizenship
* No dual citizenship
* Active DoD TS w/ SCI eligibility highly preferred
* Active Secret may be acceptable Location:
* San Diego, CA (primary) Travel:
* Travel required up to 15% to Arlington, VA; Colorado Springs, CO; Charleston, SC; Denver, CO; or other customer locations as needed. Work Environment: PMAT offices as needed. In some cases, work in a government facility may be required. Travel may be required for customer engagement, team coordination, and mission execution. PMAT is an equal\-opportunity employer. We believe in hiring a diverse workforce and sustaining an inclusive, people\-first culture. We are committed to non\-discrimination on any protected basis, such as disability and veteran status, or any other basis covered under applicable law. \#CJ</t>
        </is>
      </c>
    </row>
    <row r="48">
      <c r="A48" t="inlineStr">
        <is>
          <t>li-4358784360</t>
        </is>
      </c>
      <c r="B48" t="inlineStr">
        <is>
          <t>Senior Lead AI Engineer (Gen AI Platform Services)</t>
        </is>
      </c>
      <c r="C48" t="inlineStr">
        <is>
          <t>Capital One</t>
        </is>
      </c>
      <c r="D48" t="inlineStr">
        <is>
          <t>linkedin</t>
        </is>
      </c>
      <c r="E48" t="inlineStr"/>
      <c r="F48" t="inlineStr"/>
      <c r="G48" t="inlineStr">
        <is>
          <t>San Jose, CA</t>
        </is>
      </c>
      <c r="H48" t="inlineStr"/>
      <c r="I48"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9">
      <c r="A49" t="inlineStr">
        <is>
          <t>li-4359401324</t>
        </is>
      </c>
      <c r="B49" t="inlineStr">
        <is>
          <t>Senior Lead AI Engineer (Gen AI Platform Services)</t>
        </is>
      </c>
      <c r="C49" t="inlineStr">
        <is>
          <t>Capital One</t>
        </is>
      </c>
      <c r="D49" t="inlineStr">
        <is>
          <t>linkedin</t>
        </is>
      </c>
      <c r="E49" t="inlineStr"/>
      <c r="F49" t="inlineStr"/>
      <c r="G49" t="inlineStr">
        <is>
          <t>San Francisco, CA</t>
        </is>
      </c>
      <c r="H49" t="inlineStr"/>
      <c r="I49"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0">
      <c r="A50" t="inlineStr">
        <is>
          <t>li-4358964459</t>
        </is>
      </c>
      <c r="B50" t="inlineStr">
        <is>
          <t>Principal Data Scientist/ML Engineer</t>
        </is>
      </c>
      <c r="C50" t="inlineStr">
        <is>
          <t>Agero, Inc.</t>
        </is>
      </c>
      <c r="D50" t="inlineStr">
        <is>
          <t>linkedin</t>
        </is>
      </c>
      <c r="E50" t="inlineStr"/>
      <c r="F50" t="inlineStr"/>
      <c r="G50" t="inlineStr"/>
      <c r="H50" t="inlineStr"/>
      <c r="I50" t="inlineStr">
        <is>
          <t>**About Agero:** 
 Wherever drivers go, we’re leading the way. Agero’s mission is to rethink the vehicle ownership experience through a powerful combination of passionate people and data\-driven technology, strengthening our clients’ relationships with their customers. As the \#1 B2B, white\-label provider of digital driver assistance services, we’re pushing the industry in a new direction, taking manual processes, and redefining them as digital, transparent, and connected. This includes: an industry\-leading dispatch management platform powered by Swoop; comprehensive accident management services; knowledgeable consumer affairs and connected vehicle capabilities; and a growing marketplace of services, discounts and support enabled by a robust partner ecosystem. The company has over 150 million vehicle coverage points in partnership with leading automobile manufacturers, insurance carriers and many others. Managing one of the largest national networks of service providers, Agero responds to approximately 12 million service events annually. Agero, a member company of The Cross Country Group, is headquartered in Medford, Mass., with operations throughout North America. To learn more, visit https://www.agero.com/.
**Note** 
 :
 **For technical and other select roles, your first day will be spent at our HQ in Medford, MA to facilitate a smooth onboarding experience. Willingness to travel is required, as you may need to attend on\-site team meetings from time to time.** 
**Role Description and Mission:** 
 Agero’s Motor Club handles millions of roadside events every year. We’re piloting a next\-gen Dispatch System that fuses short and long\-term horizon optimizers to decide who gets which job, when, and why. 
 You will be instrumental in developing, evaluating and productionizing this system, building out the prediction models, incorporating them into the optimizer and leading the team to a successful outcome.
**Key Outcomes:** 
* Architect \&amp; ship: Design end\-to\-end Python services (batch \+ streaming) that ingest model outputs, run constrained optimization, and surface real\-time dispatch decisions.
* Model \&amp; simulate: Build/extend ML models (gradient\-boosting, deep learning, OR\-Tools) and run time\-horizon simulations to quantify cost vs. service\-level trade\-offs.
* Operationalize: Automate training, validation, A/B rollout, and monitoring (SageMaker / Airflow).
* Lead \&amp; collaborate: Partner with Product, Ops, and Data Engineering; mentor a small squad of DS/ML engineers; present findings to execs.
* Continuously improve: Instrument NPS / cost telemetry, identify failure modes, and iterate.
**Skills, Education, \&amp; Experience:** 
* 6 \+ yrs combined experience in Data Science and ML Engineering with ownership of production systems.
* Expert\-level Python.
* Hands\-on optimization (Mixed Integer Programming / Linear Optimization / Stochastic Optimization) and modern ML (XGBoost, PyTorch).
* Proven record designing cloud\-native pipelines on AWS, GCP or Azure (AWS).
* Strong SQL, feature\-store design, and data\-quality mindset.
* Ability to translate business objectives into mathematically rigorous experiments.
**Nice to Haves:** 
* Experience with dispatch, logistics, or  supply\-demand marketplaces.
* Familiarity with Monte\-Carlo tree search, multi\-agent simulation, or hierarchical RL.
* Prior work balancing short\-term incentives against long\-term KPIs (e.g., LTV, NPS).
**Sound like a fit? Reach out with a link to your GitHub or a brief project write\-up.** 
**Hiring In:** 
* **United States:  AZ, CA, FL, GA, NH, IL, KY, MA, MI, NC, NM, NY, TN, VA**
**The anticipated closing date to submit applications for this role is January 20, 2026**
 The base salary range presented represents the anticipated low and high end salary range for new hires in this position. Your final base salary will be determined based on factors such as work location, experience, job related skills, and relevant training and education. The range listed is just one component of the total compensation package provided by Agero to employees.
 National Pay Range: $150,000 USD \- $200,000 USD
**Life at Agero:** 
 At Agero, you'll find a workplace where your unique perspective is not just welcomed, it's celebrated. We believe that our differences make us stronger, and we're committed to creating an environment where every employee feels a sense of belonging. If you're looking for a company that values your individuality, provides opportunities for growth, and champions open communication, Agero is the place for you. Join our team and help us drive the future of driver assistance, while experiencing a workplace where you can truly thrive.
**Benefits Built for Well\-being:** 
 Agero’s innovation is driven by a workforce where all associates feel like they can truly thrive. Agero offers a wide range of benefits to promote well\-being, encourage personal development, and ensure financial stability. Our benefits include:
* Health and Wellness: Healthcare, dental, vision, disability, life insurance, and mental health benefits for associates and their families.
* Financial Security: 401(k) plan with company match and tuition assistance to support your future goals.
* Work\-Life Balance: Flexible time off, paid sick leave, and ten paid holidays annually.
	+ For Contact Center Roles: Accrual of up to 3 weeks Paid Time Off per year, paid sick leave, and ten paid holidays annually.
* Family Support: Parental planning benefits to assist associates through life’s milestones.
* Bonus/Incentive Programs
 Join Agero and experience a workplace that invests in your success both personally and professionally.
 \*It is unlawful in Massachusetts to required or administer a lie detector test as a condition of employment or continued employment. An employer who violates this law shall be subject to criminal penalties and civil liability.</t>
        </is>
      </c>
    </row>
    <row r="51">
      <c r="A51" t="inlineStr">
        <is>
          <t>li-4359390451</t>
        </is>
      </c>
      <c r="B51" t="inlineStr">
        <is>
          <t>Principal Applied Scientist</t>
        </is>
      </c>
      <c r="C51" t="inlineStr">
        <is>
          <t>Microsoft</t>
        </is>
      </c>
      <c r="D51" t="inlineStr">
        <is>
          <t>linkedin</t>
        </is>
      </c>
      <c r="E51" t="inlineStr"/>
      <c r="F51" t="inlineStr"/>
      <c r="G51" t="inlineStr">
        <is>
          <t>Redmond, WA</t>
        </is>
      </c>
      <c r="H51" t="inlineStr"/>
      <c r="I51" t="inlineStr">
        <is>
          <t>**Overview**
 We are seeking a highly motivated and technically skilled
 **Applied Data Scientist** 
 to join the PAX team, driving innovation at the intersection of organizational intelligence, Generative AI, and Bizchat integration. This role will replace Qiang Gan and focus on building and evaluating intelligent experiences that empower users to query and understand organizational data through conversational interfaces.
 You will lead efforts in prompt engineering, SEVAL (Semantic Evaluation), and Bizchat integration, collaborating across engineering, product, and research teams to deliver high\-quality, scalable AI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Bizchat Integration
* Architect and implement data pipelines and APIs that connect PAX organizational datasets to Bizchat and Copilot experiences.
* Collaborate with platform teams to ensure seamless integration of PAX plugins and reasoning models into Bizchat workflows.
* Drive experimentation and tuning of Bizchat responses using PAX data, ensuring high answer rates and relevance across public and private attributes.
* Prompt Engineering
* Design, test, and optimize prompts for LLM\-powered agents and tools within Bizchat and Copilot Studio.
* Develop multi\-turn conversational flows and agentic reasoning chains to support complex organizational queries.
* Collaborate with product and UX teams to refine prompt strategies for clarity, safety, and user satisfaction.
* SEVAL \&amp; Evaluation Frameworks
* Build and maintain SEVAL pipelines to evaluate grounding, factuality, latency, and cost of AI responses.
* Lead efforts to expand SEVAL coverage for cross\-org queries, dynamic attributes, and custom columns.
* Partner with engineering to implement telemetry and feedback loops for continuous model improvement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Experience with SEVAL or similar semantic evaluation systems.
* Prior work on conversational AI, NLP, or organizational analytics.
* Proven ability to work cross\-functionally in fast\-paced, ambiguous environments.
* Solid communication skills and ability to influence across teams.
* 7\+ years of experience in applied data science, machine learning, or AI product development.
* Solid proficiency in ML frameworks.
* Hands\-on experience with LLMs, prompt engineering, and agentic workflows.
* Experience with evaluation frameworks and metrics\-driven experimentation.
* Familiarity with Microsoft stack: Azure ML, Copilot Studio, Power Platform, and Bizchat APIs.
 \#DPG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2">
      <c r="A52" t="inlineStr">
        <is>
          <t>li-4359333329</t>
        </is>
      </c>
      <c r="B52" t="inlineStr">
        <is>
          <t>Senior Applied Scientist, Amazon Industrial Robotics</t>
        </is>
      </c>
      <c r="C52" t="inlineStr">
        <is>
          <t>Amazon</t>
        </is>
      </c>
      <c r="D52" t="inlineStr">
        <is>
          <t>linkedin</t>
        </is>
      </c>
      <c r="E52" t="inlineStr"/>
      <c r="F52" t="inlineStr"/>
      <c r="G52" t="inlineStr">
        <is>
          <t>Middlesex County, MA</t>
        </is>
      </c>
      <c r="H52" t="inlineStr"/>
      <c r="I52" t="inlineStr">
        <is>
          <t>**Description**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PhD, or Master's degree and 4\+ years of CS, CE, ML or related field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A3131920</t>
        </is>
      </c>
    </row>
    <row r="53">
      <c r="A53" t="inlineStr">
        <is>
          <t>li-4358488564</t>
        </is>
      </c>
      <c r="B53" t="inlineStr">
        <is>
          <t>Principal Applied Scientist</t>
        </is>
      </c>
      <c r="C53" t="inlineStr">
        <is>
          <t>Microsoft</t>
        </is>
      </c>
      <c r="D53" t="inlineStr">
        <is>
          <t>linkedin</t>
        </is>
      </c>
      <c r="E53" t="inlineStr"/>
      <c r="F53" t="inlineStr"/>
      <c r="G53" t="inlineStr">
        <is>
          <t>Redmond, WA</t>
        </is>
      </c>
      <c r="H53" t="inlineStr"/>
      <c r="I53" t="inlineStr">
        <is>
          <t>**Overview**
 Joining the CoreAI organization at Microsoft means becoming part of the team that builds the end\-to\-end AI stack powering Azure’s innovation. As a Principal Applied Scientist on the GenAI Infra and Solutions team within CoreAI, you will help develop the AI infrastructure that accelerates the creation of agentic AI systems across Microsoft. This role is dedicated to advancing scientific methods and scalable infrastructure for training agentic models to achieve frontier\-level performance. You will contribute to LLMs, SLMs, and agentic models using both proprietary and open\-source frameworks, all aimed at delivering reliable, enterprise\-grade agentic workflows.
 We are seeking a curious, independent, adaptable problem\-solver who thrives on continuous learning, embraces changing priorities, and is motivated by creating meaningful impact. Candidates must be self\-driven, able to write efficient code, debug complex training jobs, document findings, and demonstrate a track record in these fields. In addition, we value an agile, startup\-style mindset \- someone who can iterate quickly, pivot when needed, and collaborate effectively in fast\-paced, dynamic environments.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Write efficient, production\-quality code and debug complex training jobs
* Build and maintain training pipelines and architectures across both proprietary and open\-source frameworks
* Collaborate effectively within interdisciplinary teams and communicate complex research concepts in clear, actionable ways
* Document findings and insights to enable effective cross\-team collaboration and knowledge sharing
* Drive innovations that power flagship Microsoft products and services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Doctorate in Computer Science, Electrical or Computer Engineering, or related field AND 5\+ year(s) related experience (e.g., statistics, predictive analytics, research) OR Master's Degree Computer Science, Electrical or Computer Engineering, or related field AND 7\+ years related experience (e.g., statistics, predictive analytics, research)
* 5\+ years of coding experience in Python and experience with ML frameworks such as PyTorch and Triton
* 3\+ years experience of large\-scale model training for LLMs, SLMs, and agentic models
* 3\+ years of proven ability to design and scale training infrastructure and pipelines in production environments
* Experience with agent training frameworks
* Leadership and influence with the ability to lead projects and influence others across teams and disciplines
* Hands\-on experience with large\-scale distributed training and/or serving with demonstrated ability to dive deep into complex systems, troubleshoot unconventional issues, and craft innovative solutions under real\-world constraints
* Extensive experience with large\-scale training, model inference, reinforcement learning, and reasoning models
* Demonstrated ability to work in cross\-functional teams and collaborate effectively with researchers, product managers, and other engineers to deliver complex ML solutions
* Startup\-style mindset: agile, solution\-oriented, and self\-driven
 \#coreai
 \#aiplatform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4">
      <c r="A54" t="inlineStr">
        <is>
          <t>li-4358488549</t>
        </is>
      </c>
      <c r="B54" t="inlineStr">
        <is>
          <t>Principal Optimization and Machine Learning Engineer</t>
        </is>
      </c>
      <c r="C54" t="inlineStr">
        <is>
          <t>Agero, Inc.</t>
        </is>
      </c>
      <c r="D54" t="inlineStr">
        <is>
          <t>linkedin</t>
        </is>
      </c>
      <c r="E54" t="inlineStr"/>
      <c r="F54" t="inlineStr"/>
      <c r="G54" t="inlineStr"/>
      <c r="H54" t="inlineStr"/>
      <c r="I54" t="inlineStr">
        <is>
          <t>**About Agero:** 
 Wherever drivers go, we’re leading the way. Agero’s mission is to rethink the vehicle ownership experience through a powerful combination of passionate people and data\-driven technology, strengthening our clients’ relationships with their customers. As the \#1 B2B, white\-label provider of digital driver assistance services, we’re pushing the industry in a new direction, taking manual processes, and redefining them as digital, transparent, and connected. This includes: an industry\-leading dispatch management platform powered by Swoop; comprehensive accident management services; knowledgeable consumer affairs and connected vehicle capabilities; and a growing marketplace of services, discounts and support enabled by a robust partner ecosystem. The company has over 150 million vehicle coverage points in partnership with leading automobile manufacturers, insurance carriers and many others. Managing one of the largest national networks of service providers, Agero responds to approximately 12 million service events annually. Agero, a member company of The Cross Country Group, is headquartered in Medford, Mass., with operations throughout North America. To learn more, visit https://www.agero.com/.
**Note** 
 :
 **For technical and other select roles, your first day will be spent at our HQ in Medford, MA to facilitate a smooth onboarding experience. Willingness to travel is required, as you may need to attend on\-site team meetings from time to time.** 
**Role Description and Mission:** 
 Agero’s Motor Club handles millions of roadside events every year. We’re piloting a next\-gen Dispatch System that fuses short and long\-term horizon optimizers to decide who gets which job, when, and why. 
 You will be instrumental in developing, evaluating and productionizing this system, building out the prediction models, incorporating them into the optimizer and leading the team to a successful outcome.
**Key Outcomes:** 
* Architect \&amp; ship: Design end\-to\-end Python services (batch \+ streaming) that ingest model outputs, run constrained optimization, and surface real\-time dispatch decisions.
* Model \&amp; simulate: Build/extend ML models (gradient\-boosting, deep learning, OR\-Tools) and run time\-horizon simulations to quantify cost vs. service\-level trade\-offs.
* Operationalize: Automate training, validation, A/B rollout, and monitoring (SageMaker / Airflow).
* Lead \&amp; collaborate: Partner with Product, Ops, and Data Engineering; mentor a small squad of DS/ML engineers; present findings to execs.
* Continuously improve: Instrument NPS / cost telemetry, identify failure modes, and iterate.
**Skills, Education, \&amp; Experience:** 
* 6 \+ yrs combined experience in Data Science and ML Engineering with ownership of production systems.
* Expert\-level Python.
* Hands\-on optimization (Mixed Integer Programming / Linear Optimization / Stochastic Optimization) and modern ML (XGBoost, PyTorch).
* Proven record designing cloud\-native pipelines on AWS, GCP or Azure (AWS).
* Strong SQL, feature\-store design, and data\-quality mindset.
* Ability to translate business objectives into mathematically rigorous experiments.
**Nice to Haves:** 
* Experience with dispatch, logistics, or  supply\-demand marketplaces.
* Familiarity with Monte\-Carlo tree search, multi\-agent simulation, or hierarchical RL.
* Prior work balancing short\-term incentives against long\-term KPIs (e.g., LTV, NPS).
**Sound like a fit? Reach out with a link to your GitHub or a brief project write\-up.** 
**Hiring In:** 
* **United States:  AZ, CA, FL, GA, NH, IL, KY, MA, MI, NC, NM, NY, TN, VA**
**The anticipated closing date to submit applications for this role is February 20, 2026**
 The base salary range presented represents the anticipated low and high end salary range for new hires in this position. Your final base salary will be determined based on factors such as work location, experience, job related skills, and relevant training and education. The range listed is just one component of the total compensation package provided by Agero to employees.
 National Pay Range: $150,000 USD \- $200,000 USD
**Life at Agero:** 
 At Agero, you'll find a workplace where your unique perspective is not just welcomed, it's celebrated. We believe that our differences make us stronger, and we're committed to creating an environment where every employee feels a sense of belonging. If you're looking for a company that values your individuality, provides opportunities for growth, and champions open communication, Agero is the place for you. Join our team and help us drive the future of driver assistance, while experiencing a workplace where you can truly thrive.
**Benefits Built for Well\-being:** 
 Agero’s innovation is driven by a workforce where all associates feel like they can truly thrive. Agero offers a wide range of benefits to promote well\-being, encourage personal development, and ensure financial stability. Our benefits include:
* Health and Wellness: Healthcare, dental, vision, disability, life insurance, and mental health benefits for associates and their families.
* Financial Security: 401(k) plan with company match and tuition assistance to support your future goals.
* Work\-Life Balance: Flexible time off, paid sick leave, and ten paid holidays annually.
	+ For Contact Center Roles: Accrual of up to 3 weeks Paid Time Off per year, paid sick leave, and ten paid holidays annually.
* Family Support: Parental planning benefits to assist associates through life’s milestones.
* Bonus/Incentive Programs
 Join Agero and experience a workplace that invests in your success both personally and professionally.
 \*It is unlawful in Massachusetts to required or administer a lie detector test as a condition of employment or continued employment. An employer who violates this law shall be subject to criminal penalties and civil liability.</t>
        </is>
      </c>
    </row>
    <row r="55">
      <c r="A55" t="inlineStr">
        <is>
          <t>li-4351969565</t>
        </is>
      </c>
      <c r="B55" t="inlineStr">
        <is>
          <t>Applied Scientist, Special Projects</t>
        </is>
      </c>
      <c r="C55" t="inlineStr">
        <is>
          <t>myGwork - LGBTQ+ Business Community</t>
        </is>
      </c>
      <c r="D55" t="inlineStr">
        <is>
          <t>linkedin</t>
        </is>
      </c>
      <c r="E55" t="inlineStr"/>
      <c r="F55" t="inlineStr"/>
      <c r="G55" t="inlineStr">
        <is>
          <t>Seattle, WA</t>
        </is>
      </c>
      <c r="H55" t="inlineStr"/>
      <c r="I55" t="inlineStr">
        <is>
          <t>**This job is with Amazon, an inclusive employer and a member of myGwork – the largest global platform for the LGBTQ\+ business community. Please do not contact the recruiter directly.**
**Description**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PhD in computer science, machine learning, engineering, or related fields
* Experience with programming languages such as Python, Java, C\+\+
* Expert knowledge of machine learning and deep learning; experience in applying ML to protein biology.
**Preferred Qualifications**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site.]]\&gt;</t>
        </is>
      </c>
    </row>
    <row r="56">
      <c r="A56" t="inlineStr">
        <is>
          <t>li-4359401494</t>
        </is>
      </c>
      <c r="B56" t="inlineStr">
        <is>
          <t>Senior Applied Scientist</t>
        </is>
      </c>
      <c r="C56" t="inlineStr">
        <is>
          <t>Microsoft</t>
        </is>
      </c>
      <c r="D56" t="inlineStr">
        <is>
          <t>linkedin</t>
        </is>
      </c>
      <c r="E56" t="inlineStr"/>
      <c r="F56" t="inlineStr"/>
      <c r="G56" t="inlineStr">
        <is>
          <t>Redmond, WA</t>
        </is>
      </c>
      <c r="H56" t="inlineStr"/>
      <c r="I56" t="inlineStr">
        <is>
          <t>**Overview**
 Core Search and AI team (Bing) is looking for people who want to build the next generation of search using advanced AI technologies, especially large language models, at scale. We are responsible for the largest machine learning models at Microsoft by volume and take pride in being the first in the world to solve many practical AI at Scale challenges. Our work spans a very large scope of scenarios including delivering high quality search results from a massive document corpus, query and document understanding, summarization to generate document snippets for representation and ranking, and AI search grounding, etc.
 As a team, we leverage the diverse backgrounds and experiences of passionate engineers, scientists, and program managers to help us realize our goal of making the world smarter and more productive. We believe great products are built by inclusive teams of customer\-obsessed individuals who trust each other and work together closely.  We collaborate regularly across the company to find technological breakthroughs from groups like Microsoft Research to infusing AI into the rest of Microsoft products like Office and Azure.
 Microsoft's mission is to empower every person and every organization on the planet to achieve more, and we believe that artificial intelligence will play a critical role in accomplishing that mission. The Core Search and AI team is the leading applied machine learning team at Microsoft responsible for delivering the highest\-quality search experience to over 500M\+ monthly active users around the world in Microsoft’s search engine, Bing and other dependent search engines such as Yahoo, DuckDuckGo, and new startups like Neeva.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Advance the state\-of\-the\-art machine learning and NLP algorithms, especially apply LLM models to real\-world large\-scale search and grounding systems.
* Work on the full lifecycle of machine learning development including training data collection, feature engineering, model training, offline and online experimentation, and deployment and maintenance.
* Mentor and grow junior engineers in the team.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5\+ years of experience coding in Python, C\+\+, C\#, C or Java.
* 4\+ years of experience coding in Python, C\+\+, C\#, C or Java.
* 3\+ year of industry experiences applying Machine Learning techniques.
* Experience building and improving large scale Machine Learning system for search, ads, and recommendation, adopting LLM.
* Research background on Machine Learning, LLM and NLP.
* Proficient problem solver: ability to identify and solve problems that the world has not solved before.\#MicrosoftAI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7">
      <c r="A57" t="inlineStr">
        <is>
          <t>li-4358924539</t>
        </is>
      </c>
      <c r="B57" t="inlineStr">
        <is>
          <t>Computer Vision/ML Engineer</t>
        </is>
      </c>
      <c r="C57" t="inlineStr">
        <is>
          <t>Norbert Health</t>
        </is>
      </c>
      <c r="D57" t="inlineStr">
        <is>
          <t>linkedin</t>
        </is>
      </c>
      <c r="E57" t="inlineStr"/>
      <c r="F57" t="inlineStr"/>
      <c r="G57" t="inlineStr">
        <is>
          <t>Brooklyn, NY</t>
        </is>
      </c>
      <c r="H57" t="inlineStr"/>
      <c r="I57" t="inlineStr">
        <is>
          <t>**The Company**
 Norbert is building autonomous robots that deliver healthcare.
 Our AI sensing platform mounts on mobile robots and does the work of a care team member—rounding on patients, capturing vitals without contact (FDA\-cleared for pulse and respiratory rate, more in the pipeline), running assessments, documenting to the EMR, and escalating when something's wrong. Autonomously.
 We're not building demos. We're deployed in real facilities today, monitoring hundreds of patients daily. We're solving one of healthcare's hardest problems: a global nursing shortage that will hit 40% by 2030\.
 We're a small, international team backed by top\-tier VCs, with offices in Brooklyn and Paris. We ship things that matter.
**The position**
 We are looking for our lead deep learning engineer to spearhead the development of our groundbreaking sensing technology.
**What You Will Do**
* Design, fine\-tune, and deploy computer vision models (YOLO, InsightFace, MediaPipe, facial landmark detection, object tracking, pose estimation) for real\-time inference on the edge
* Optimize models for embedded deployment using quantization, pruning, TensorRT, and NVIDIA Triton
* Build and maintain MLOps pipelines for model training, validation, and performance monitoring
* Develop video processing pipelines that integrate with both classical signal processing and ML based vital sign extraction
* Establish engineering best practices and help reduce technical debt as we scale
* Contribute to the architecture and implementation of the computer vision stack from research to production
**What We Look For**
* Master's or PhD degree in Machine learning / Computer vision
* Strong fundamentals: data structures, CV algorithms, and systems programming
* Strong C\+\+ skills \- this is critical for our edge deployment pipeline
* Solid Python proficiency for ML experimentation and tooling
* Ability to work independently, solve complex problems, and drive projects to completion
* 5\+ years experience deploying computer vision models to production, ideally on resource\-constrained devices
* Experience with PyTorch and model optimization for edge AI
* Proven ability to take models from research to production on embedded hardware
**Nice To Haves**
* Experience with NVIDIA Jetson platform, TensorRT, or Triton Inference Server
* MLOps experience (experiment tracking, model versioning, performance monitoring)
* Experience with sensor fusion (RGB, IR, depth cameras)
* Background in medical devices, regulated environments, or healthcare applications
* Experience working in fast\-moving early\-stage environments
**What We Offer**
* Real impact: your code provides care for patients today
* High autonomy and technical ownership \- you'll shape our computer vision architecture
* Work at the intersection of cutting\-edge AI, edge computing, and healthcare
* A talented, excellent, diverse and international team
* Cutting\-edge stack: embedded AI, robotics, LLMs, multimodal sensing
* Talented, international team tackling meaningful problems in remote patient monitoring
* Competitive salary and equity
* Transparent, mission\-driven culture focused on continuous learning</t>
        </is>
      </c>
    </row>
    <row r="58">
      <c r="A58" t="inlineStr">
        <is>
          <t>li-4358905235</t>
        </is>
      </c>
      <c r="B58" t="inlineStr">
        <is>
          <t>Associate Machine Learning Engineer</t>
        </is>
      </c>
      <c r="C58" t="inlineStr">
        <is>
          <t>T-Mobile</t>
        </is>
      </c>
      <c r="D58" t="inlineStr">
        <is>
          <t>linkedin</t>
        </is>
      </c>
      <c r="E58" t="inlineStr"/>
      <c r="F58" t="inlineStr"/>
      <c r="G58" t="inlineStr">
        <is>
          <t>Bellevue, WA</t>
        </is>
      </c>
      <c r="H58" t="inlineStr"/>
      <c r="I58"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Are you ready to join the Un\-carrier movement?
 The Associate Machine Learning (ML) Engineer at T\-Mobile is instrumental in advancing our AI\-driven initiatives. This role focuses on supporting the design, development, and deployment of machine learning models that enhance our customer interactions and operational efficiency. By leveraging data\-driven insights and modern ML frameworks, the engineer contributes to innovation and helps integrate AI technologies into T\-Mobile’s products and services.
 Working closely with senior ML engineers, data scientists, and cross\-functional engineering teams, this role provides an opportunity to gain hands\-on experience with end\-to\-end ML pipelines, big data platforms, and cloud technologies while learning industry best practices.
 We pride ourselves on encouraging a culture of innovation, advocating for agile methodologies, and promoting transparency in all that we do. Join us in embodying the spirit of the 'Un\-carrier' and make a tangible impact! Our team is dynamic where no day is the same, and we are diverse and inclusive passionate about growth and transformation. If you're up to the challenge, apply today!
 Job Responsibilities
* Assist in designing, developing and refining machine learning models to enhance customer interactions and operational efficiency.
* Support data preparation, training, testing, and evaluation for ML and deep learning models.
* Build and maintain data pipelines for large\-scale training and inference
* Optimize model performance, including feature engineering, hyperparameter tuning, and algorithm selection.
* Work with large language models (LLMs) and leverage ML frameworks for training, testing and evaluation.
* Collaborate with data scientists and engineering teams to integrate ML models into production systems and ensure scalability.
* Utilize platforms such as Databricks, Snowflake, and Apache Spark to build and manage ML pipelines.
* Support the development of end\-to\-end model training pipelines using TensorFlow, Keras, PyTorch, HuggingFace and TensorBoard for visualization.
* Leverage containerization and orchestration tools (Docker, Kubernetes)
* Stay updated with the latest AI/ML research, tools, and technologies to enhance development practices.
 Education and Work Experience
* Bachelor's Degree in Computer Science, Engineering, Statistics, Informatics, Information Systems, Machine Learning, or another quantitative field (Required).
* Master's/Advanced Degree in Computer Science, Machine Learning, Data Science, or a related field (Preferred).
* Experience in developing or deploying ML models (academic, internship, or professional experience acceptable).
* Experience with cloud technologies for model training and deployment (Preferred).
**Knowledge, Skills, And Abilities**
- Machine Learning \&amp; Deep Learning:
* Solid understanding of classic supervised and unsupervised machine learning algorithms (e.g., classification, clustering, regression, SVM) (Required)
* Familiarity with deep learning architectures (LSTM, CNNs) and LLMs (Preferred).
* Knowledge of ML frameworks like TensorFlow, Keras, and PyTorch as well as MLOps tools (Preferred).
- Data Engineering \&amp; Platforms:
* Proficiency in data manipulation and analysis using Apache Spark, Databricks, and Snowflake for big data processing (Required).
* Working knowledge of SQL for querying and managing databases (Preferred).
* Experience with containerization and orchestration tools (Docker, Kubernetes) (Preferred).
- Programming:
* Proficiency in Python or R (Required).
* Strong knowledge of software engineering principles: version control, testing, CI/CD. (Preferred)
* Familiarity with Agile practices for iterative development (Preferred).
- Mathematics \&amp; Statistics:
* Strong foundation in probability, statistics, and mathematics (Required).
- Collaboration \&amp; Communication:
* Ability to work in cross\-functional teams to integrate AI technologies into production (Required).
* Strong problem\-solving and analytical skills to troubleshoot ML solutions (Required).
* Excellent communication skills to collaborate with technical and non\-technical teams (Preferred).
* At least 18 years of age
* Legally authorized to work in the United States
**Travel** 
 :
 Travel Required (Yes/No): No
**DOT Regulated** 
 :
 DOT Regulated Position (Yes/No): No
 Safety Sensitive Position (Yes/No): No
 Base Pay Range: $75,300 \- $135,800
 Corporate Bonus Target: 10%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copy and paste this link into your browser: https://paylookup.t\-mobile.com/paylookup?reqID\=REQ329855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59">
      <c r="A59" t="inlineStr">
        <is>
          <t>li-4358944834</t>
        </is>
      </c>
      <c r="B59" t="inlineStr">
        <is>
          <t>AI Engineer (LLMs for Healthcare)</t>
        </is>
      </c>
      <c r="C59" t="inlineStr">
        <is>
          <t>Keebler Health</t>
        </is>
      </c>
      <c r="D59" t="inlineStr">
        <is>
          <t>linkedin</t>
        </is>
      </c>
      <c r="E59" t="inlineStr"/>
      <c r="F59" t="inlineStr"/>
      <c r="G59" t="inlineStr">
        <is>
          <t>Durham, NC</t>
        </is>
      </c>
      <c r="H59" t="inlineStr"/>
      <c r="I59" t="inlineStr">
        <is>
          <t>**About Keebler Health**
 Keebler Health is building the operating system for value\-based care. Our mission is to help risk\-bearing healthcare organizations thrive in value\-based arrangements by unlocking the full power of their data. We empower leading primary care groups, ACOs, and health plans to act on real\-time insights that improve outcomes, reduce costs, and fuel sustainable growth.
 We're a fast\-moving, high\-performing team, and we’re looking for people who share our bias toward speed, urgency, and excellence. As a member of the team, you won’t just write code or stay in your lane—you’ll shape critical systems, innovate quickly, and set a high bar for a product that supports the future of U.S. healthcare.
**About The Role**
 We are seeking a talented and motivated
 ****mid to senior level AI Engineer****
 with expertise in developing and fine\-tuning large language models (LLMs), healthcare workflows, and AI/ML engineering best practices. The ideal candidate will bring a deep understanding of healthcare\-specific challenges and modern AI techniques to drive innovation in Value\-Based Care solutions. Level and salary will commensurate with experience.
 Key Responsibilities
****AI/ML Engineering****
* Fine\-tune and optimize large language models (LLMs) to address specific healthcare applications.
* Develop and apply advanced prompt engineering techniques to enhance model outputs for clinical scenarios.
* Implement Retrieval\-Augmented Generation (RAG) systems to improve knowledge retrieval from large datasets.
* Work with knowledge graphs to organize and integrate healthcare\-specific data for enhanced decision\-making.
* Evaluate black\-box models using precision, recall, and other performance metrics, ensuring robustness and reliability.
 Healthcare Expertise
* Collaborate with healthcare professionals to understand workflows and identify opportunities for AI\-driven enhancements.
* Design and build AI models that align with healthcare standards and regulations (e.g., HIPAA compliance).
* Integrate domain\-specific knowledge of healthcare data, including FHIR and interoperability standards, into AI solutions.
 MLOps \&amp; Deployment
* Develop and maintain scalable, production\-ready AI pipelines using MLOps tools.
* Deploy and monitor AI models in production environments to ensure performance and compliance.
* Optimize infrastructure for efficient training, testing, and deployment of models.
 Innovation and Optimization
* Stay at the forefront of advancements in AI, especially in healthcare applications.
* Identify and resolve performance bottlenecks in AI workflows.
* Explore emerging trends and technologies in LLMs and healthcare to continually improve solutions.
 Collaboration and Impact
* Partner with cross\-functional teams, including data engineers and clinicians, to ensure seamless integration of AI into healthcare workflows.
* Communicate technical results and insights effectively to non\-technical stakeholders.
**Required Qualifications**
* Proven experience in LLM fine\-tuning and advanced prompt engineering.
* Strong background in Python and modern ML frameworks (e.g., Huggingface, pyTorch).
* Familiarity with healthcare workflows and regulatory requirements (e.g., HIPAA, FHIR standards).
* Hands\-on experience with retrieval\-augmented generation (RAG) techniques.
* Expertise in evaluating AI models using performance metrics like precision, and recall.
**Preferred Skills**
* Experience with MLOps frameworks such as MLflow, Langfuse, or similar tools.
* Understanding of healthcare data standards, including HL7 and HEDIS metrics.
* Strong problem\-solving skills in integrating AI with complex healthcare datasets.
* Familiarity with cloud platforms (e.g., AWS, GCP, or Azure) and containerization (Docker, Kubernetes).
****When applying****
**In Addition To Your Resume, Also Include**
* A highly personalized, bold, and hilarious “Keebler Health–style” introduction that grabs attention \- outgoing, fun, and uniquely you (not uniquely ChatGPT). Think: confident, high\-energy, slightly irreverent (but still professional), with a smart nod to healthcare, value\-based care, and the fact that we’re building something real.
 What We Offer
* Competitive salary and benefits package.
* Opportunity to work in a fast\-paced, innovative environment.
* Professional growth and development opportunities.
* Collaborative and supportive team culture.
* Chance to make a meaningful impact on the healthcare industry.</t>
        </is>
      </c>
    </row>
    <row r="60">
      <c r="A60" t="inlineStr">
        <is>
          <t>li-4358945012</t>
        </is>
      </c>
      <c r="B60" t="inlineStr">
        <is>
          <t>AI Engineer, Multimodal Models</t>
        </is>
      </c>
      <c r="C60" t="inlineStr">
        <is>
          <t>CliniComp</t>
        </is>
      </c>
      <c r="D60" t="inlineStr">
        <is>
          <t>linkedin</t>
        </is>
      </c>
      <c r="E60" t="inlineStr"/>
      <c r="F60" t="inlineStr"/>
      <c r="G60" t="inlineStr">
        <is>
          <t>San Diego, CA</t>
        </is>
      </c>
      <c r="H60" t="inlineStr"/>
      <c r="I60" t="inlineStr">
        <is>
          <t>We are looking for a passionate and autonomous Multimodal AI Engineer to contribute to our innovative projects in the field of the multimodal foundation models for LLM, image, and clinical data analysis.
 **T** 
 he Multimodal AI Engineer will work with a dynamic team who is pushing the boundaries of AI machine learning in the healthcare domain and building real\-world products for electronic health record (EHR) system. You will research best practices for data curation, preparation and training of our state\-of\-the\-art foundation models and address some of the hardest problems in computer science.
**Requirements**
**Location:** 
 This position is based in the San Diego metropolitan area; candidates must reside locally or be willing to relocate.
* Master's degree in Computer Science with a focus on LLM and image multimodal foundation models.
* Excellent programming skills in Python and C/C\+\+.
* Proficiency in PyTorch framework and the common NLP libraries (NLTK, spaCy, scikit\-learn, etc.)
* Experience with state\-of\-the\-art deep learning architectures (ViT/SWIN transformer, GPT, CLIP, etc.).
* Experience with model compression and large\-scale distributed model training (data\-parallel and model\-parallel) techniques.
* An outstanding track record of publications (NeurIPS, CVPR, ICML, AAAI, etc.) and contributions to the machine learning communities (kaggle, Hugging Face, etc.).
* Hands\-on experience with parameter\-efficient tuning (QLoRA) techniques and the LangChain framework is a plus.
* Experience with prompt engineering and fine\-tuning Llama 2 or PaLM 2 with domain specific data is a plus.
* Experience with CUDA programming is a plus.
* Experience with imaging processing (opencv2, VTK, ITK, DCMTK, Albumentations) is a plus.
* Experience with vector databases (Chroma, Pinecone, Milvus, redis, etc.) is a plus.
* Experience with human\-in\-the\-loop, Reinforcement Learning from Human Feedback (RLHF), and continuous online training is a plus.
* Knowledge for Stable Diffusion, OpenJourney, or DeepFloyd IF is a plus.
**Benefits**
 The annual salary range for this position in the San Diego market is $185,000 to $215,000\.
 CliniComp's salary ranges are benchmarked and determined by role and level. The range displayed on each job posting reflects the minimum and maximum target for new hire salaries for the position across all US locations and could be higher or lower based on a multitude of factors, including job\-related skills, experience, location, and relevant education or training.
* 100% covered Medical and Dental coverage option for you and your family.
* Generous 401(k) plan and contribution.
* Events and biweekly lunches.
* Engaging wellness activities including an onsite nutritionist and personal trainer\-led group fitness.
* ...and more!
 CliniComp is an equal opportunity employer. We consider all qualified applicants without regard to race, color, religion, sex, sexual orientation, gender identity or expression, national origin, age, disability, veteran status, or any other characteristic protected by applicable law.
 CliniComp will provide reasonable accommodations to qualified individuals with disabilities in accordance with applicable law.</t>
        </is>
      </c>
    </row>
    <row r="61">
      <c r="A61" t="inlineStr">
        <is>
          <t>li-4359375219</t>
        </is>
      </c>
      <c r="B61" t="inlineStr">
        <is>
          <t>ML Engineer</t>
        </is>
      </c>
      <c r="C61" t="inlineStr">
        <is>
          <t>Elevate</t>
        </is>
      </c>
      <c r="D61" t="inlineStr">
        <is>
          <t>linkedin</t>
        </is>
      </c>
      <c r="E61" t="inlineStr"/>
      <c r="F61" t="inlineStr"/>
      <c r="G61" t="inlineStr">
        <is>
          <t>North Carolina, United States</t>
        </is>
      </c>
      <c r="H61" t="inlineStr"/>
      <c r="I61" t="inlineStr">
        <is>
          <t>**About Elevate**
 Elevate is a full\-service consulting firm that inspires high\-performing organizations to find their limits and push past them. With expertise in brand consulting, sales strategy, data\-driven insights, and talent optimization, Elevate gives its clients a competitive edge in the fight for people’s precious time and attention. Established in 2018, Elevate set out to help sports teams and leagues spark innovation and drive performance. In the years since, the world of sports has transformed, today standing at the convergence of media, entertainment, and consumer brands, with Elevate supporting some of the world’s most ambitious businesses across these sectors. Elevate’s proprietary technology, data sources, and software products combined with our thoughtful insights, and people\-centric approach give clients a 360\-degree view of their customers, underpinning intelligent decision\-making on marketing spend, growth strategy, and more.
 Our team of 400\+ employees spans the globe with in 20 locations worldwide. We value recruiting diverse individuals to our team to bring new perspectives to our company and look forward to learning more about you in the recruitment process. To learn more and see what we’ve been up to, follow Elevate on X, LinkedIn, and Instagram.
**Where you come in**
 Elevate is embarking on an exciting transformation journey from a consulting company to a product\-led organization where our technology will become a primary revenue driver. Join our rapidly growing engineering team that's setting the foundation for this transformation.
 You'll collaborate with talented engineers, data scientists, and product leaders to build intelligent systems that enhance our product platforms. You'll develop ML models for dynamic pricing, demand forecasting, recommendation systems, and predictive analytics that enable clients to maximize revenue and optimize business outcomes. Your work will directly impact how we price products, recommend content, and optimize operations across our platforms.
**What You'll Bring**
* ML Engineering Expertise: 3\+ years of experience building and deploying machine learning systems in production environments
* Python \&amp; ML Frameworks: Strong Python skills with experience in PyTorch, TensorFlow, scikit\-learn, or similar ML frameworks
* Model Deployment: Experience deploying ML models to production, including MLOps practices, model versioning, and A/B testing
* Data Pipeline Experience: Strong background building data processing pipelines for training and inference
* Cloud ML Platforms: Experience with AWS SageMaker, GCP AI Platform, Azure ML, or similar cloud ML services
* Product Engineering Mindset: Understanding that technology exists to solve customer problems and create business value
* Problem\-Solving Approach: You start with understanding the problem deeply before jumping to solutions
* Experimentation Mindset: You value learning through rapid experimentation and embrace a "progress over perfection" approach
* Outcome Orientation: You measure success by business impact and customer satisfaction, not just by model accuracy metrics
* Communication Skills: Ability to explain ML capabilities and limitations to both technical and non\-technical stakeholders
* Agency Experience: Experience working effectively with development agency partners is a plus
* Domain Experience: Background in pricing systems, recommendation engines, or transactional platforms is highly valuable
**How You'll Make An Impact**
* Build Pricing Models: Develop and deploy ML models for dynamic pricing that optimize revenue and business outcomes
* Create Recommendation Systems: Build recommendation engines that suggest relevant content and products to users
* Enable Demand Forecasting: Develop predictive models that forecast demand to optimize inventory and pricing strategies
* Integrate ML into Products: Seamlessly embed ML models into our product backend services and APIs
* Optimize for Scale: Build systems that can handle real\-time inference at scale while maintaining model performance
* Establish MLOps Practices: Create pipelines for model training, deployment, monitoring, and iteration
* Solve Real Business Problems: Work directly with product managers and stakeholders to understand problems and validate ML solutions
* Collaborate Across Teams: Partner with engineers, data scientists, and product teams to deliver cohesive ML\-powered solutions
**Your Journey: First 90 Days
 First 30 Days**
* Deep dive into our existing platform architecture, data infrastructure, and business requirements
* Understand current pricing strategies, recommendation approaches, and optimization challenges
* Build relationships with your engineering teammates, data scientists, key stakeholders, and agency partners
* Partner with the team to develop your personal roadmap for impact
**Days 31\-60**
* Implement your first ML model for a core use case (e.g., pricing or recommendations)
* Design and run experiments to validate model performance and business impact
* Begin establishing patterns for ML development, deployment, and monitoring
**Days 61\-90**
* Deploy ML models into production and monitor their performance
* Lead technical planning for scaling ML capabilities across the platform
* Contribute to roadmap for next\-generation ML features and capabilities
**Why This Role Matters Now**
* Growing Team: Join a talented and expanding engineering team that's building the foundation for Elevate's product\-led future
* Product\-Led Transformation: Drive the shift to a product\-led organization following the playbook of companies like Spotify, Airbnb, and Stripe
* Learning Culture: Grow alongside passionate engineers in an environment that values continuous learning and knowledge sharing
* Significant Impact: Your ML models will directly enable products that drive millions in revenue for our clients
* Autonomy and Ownership: Lead with significant autonomy while owning outcomes, not just outputs
**The Technology You'll Work With**
* Our ML stack includes:
* ML Frameworks: PyTorch, TensorFlow, scikit\-learn, XGBoost
* Data Infrastructure: AWS (Redshift, Glue, S3, Lambda, SageMaker)
* Model Deployment: AWS SageMaker, Lambda, ECS
* Data Processing: Pandas, NumPy, Spark
* Development Practices: MLOps pipelines, model versioning, A/B testing frameworks, CI/CD
**Our Product Engineering Principles**
* Customer Obsession: We start with the customer and work backward. We don't build features; we solve customer and business problems.
* Ownership: Teams own outcomes, not just outputs. Success means business impact and customer delight, not shipping on schedule.
* Simplicity: We choose architectural and product simplicity over complexity. Complex solutions are harder to maintain, evolve, and explain.
* Data\-Driven Decisions: We measure what matters and use data to guide our product development and business decisions.
* Rapid Learning: We implement quick feedback loops, focus on learning through experimentation, and value progress over perfection.
* Transparency: We invite visibility and are transparent with where we're spending our time.
 We're looking for engineers who want to do the best work of their careers while transforming how the sports and entertainment industry operates. At Elevate, you'll have the freedom to solve meaningful problems, the support to grow as a leader, and the satisfaction of seeing your work impact millions of fans. If you're ready to help shape our product\-led future, we'd love to connect.
**Position And Benefits Details**
* Full Time, Exempt
* Medical, Dental, Vision, Life, Short\-Term \&amp; Long\-Term Disability Insurance \+ FSA, HSA, and more
* 401k Employer Match after meeting eligibility requirements
* 14 Paid Holidays
* Unlimited PTO
* Paid Parental Leave
**Working Conditions**
***Travel Requirements***
* Occasional travel may be required
***Physical Demands***
* Extensive work in front of a screen
***Work Environment***
* This role is remote, with the potential for a hybrid work arrangement in the following cities: New York, NY; Santa Clara, CA; Charlotte, NC; Salt Lake City, UT; or Nashville, TN.
*This position is open to all qualified candidates. If you need assistance or an accommodation due to a disability in connection with the application process, you may contact us at* 
 HR@oneelevate.com
*We are proud to be an equal opportunity/veterans/disabled/ LGBT employer. We celebrate diversity and are committed to creating an inclusive environment for all employees. All employment is decided based on qualifications, merit, and business need, without regard to race, color, religion, gender, sexual orientation, national origin, disability status, protected veteran status, genetic information, or any other characteristic protected by applicable law.*</t>
        </is>
      </c>
    </row>
    <row r="62">
      <c r="A62" t="inlineStr">
        <is>
          <t>li-4358735294</t>
        </is>
      </c>
      <c r="B62" t="inlineStr">
        <is>
          <t>Machine Learning Engineer</t>
        </is>
      </c>
      <c r="C62" t="inlineStr">
        <is>
          <t>DRC Systems</t>
        </is>
      </c>
      <c r="D62" t="inlineStr">
        <is>
          <t>linkedin</t>
        </is>
      </c>
      <c r="E62" t="inlineStr"/>
      <c r="F62" t="inlineStr"/>
      <c r="G62" t="inlineStr">
        <is>
          <t>Atlanta, GA</t>
        </is>
      </c>
      <c r="H62" t="inlineStr"/>
      <c r="I62" t="inlineStr">
        <is>
          <t>Remote Role : Alpharetta Georgia 30009 \-100% REMOTE
 W2 Candidates : with minimum validity of 12 months
**Must Have**
* Need good clinical and claims knowledge
* 7\+ years of healthcare exp
* 4\+ years of experience in machine learning, NLP, or deep learning
* They are working on an AI evidence engine
* focused on LLM
* 2 rounds of Zoom interviews then offer.
 What You'll Do
* Develop, fine\-tune, and optimize LLMs and modern deep learning models
* Write high\-quality prompts, instructions, and training examples to shape model behavior
* Design, implement, and maintain instruction orchestration and evaluation workflows for LLM\-based systems
* Build and maintain training pipelines, datasets, and evaluation workflows
* Design and execute functional and automated tests to validate AI outputs and system behavior
* Analyze model performance, identify failure patterns (e.g., accuracy gaps, hallucinations, edge cases), and drive improvements
* Collaborate with engineering and product teams (and review partner or vendor work) to deploy and iterate on AI features
* Contribute to the ongoing maintenance and improvement of existing AI systems
 What We're Looking For
* 7\+ years of experience in machine learning, NLP, or deep learning
* Hands\-on experience with LLMs (GPT, LLaMA, Mistral, or similar) in applied or production contexts
* Healthcare data experience is required, including working knowledge of:
* Strong Python skills; experience with PyTorch or TensorFlow
* Familiarity with HuggingFace tools and modern model\-training workflows
* Experience evaluating AI output quality, hallucination behavior, reliability, and consistency
* Experience designing automated evaluation, regression testing, or benchmarking pipelines for AI systems
* Ability to work with minimal direction, take ownership of problem areas, and operate effectively in ambiguous problem spaces
* Excellent communication skills for writing prompts, instructions, technical documentation, and evaluation artifacts
* Experience optimizing LLM and deep learning workloads on AWS, including model training, GPU utilization, and cost\-efficient inference deployments</t>
        </is>
      </c>
    </row>
    <row r="63">
      <c r="A63" t="inlineStr">
        <is>
          <t>li-4330917291</t>
        </is>
      </c>
      <c r="B63" t="inlineStr">
        <is>
          <t>AI/ML Engineer</t>
        </is>
      </c>
      <c r="C63" t="inlineStr">
        <is>
          <t>Vanguard</t>
        </is>
      </c>
      <c r="D63" t="inlineStr">
        <is>
          <t>linkedin</t>
        </is>
      </c>
      <c r="E63" t="inlineStr"/>
      <c r="F63" t="inlineStr"/>
      <c r="G63" t="inlineStr">
        <is>
          <t>Charlotte, NC</t>
        </is>
      </c>
      <c r="H63" t="inlineStr"/>
      <c r="I63" t="inlineStr">
        <is>
          <t>**Core Responsibilities**
* Leverages data pipeline designs and supports the development of data pipelines to support model development. Proficient with software tools that develop data pipelines in a distributed computing environment (PySprak, GlueETL).
* Supports integration of model pipelines in a production environment. Develops understanding of SDLC for model production.
* Reviews pipeline designs, makes data model design changes as needed. Documents and reviews design changes with data science teams.
* Supports data discovery \&amp; automated ingestion for model development. Performs detailed analysis of raw data sources for data quality, applies business context, and model development needs.
* Engages with internal stakeholders to understand and probe business processes in order to develop hypotheses. Brings structure to requests and translates requirements into an analytic approach. Participates in and influences ongoing business planning and departmental prioritization activities.
* Runs model monitoring scripts, follows process for alerts to management as needed. Addresses issues found in data pipelines from model monitoring alerts.
* Participates in special projects and performs other duties as assigned.
**Qualifications**
* Gen AI experience \- finetuning SLMs , application evaluation
* Experience with AWS suite of tools such as bedrock , agent core
* Undergraduate degree or equivalent combination of training and experience.
* Minimum of five years related work experience.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64">
      <c r="A64" t="inlineStr">
        <is>
          <t>li-4344531853</t>
        </is>
      </c>
      <c r="B64" t="inlineStr">
        <is>
          <t>Machine Learning Engineer</t>
        </is>
      </c>
      <c r="C64" t="inlineStr">
        <is>
          <t>Talent Stack</t>
        </is>
      </c>
      <c r="D64" t="inlineStr">
        <is>
          <t>linkedin</t>
        </is>
      </c>
      <c r="E64" t="inlineStr"/>
      <c r="F64" t="inlineStr"/>
      <c r="G64" t="inlineStr"/>
      <c r="H64" t="inlineStr"/>
      <c r="I64" t="inlineStr">
        <is>
          <t>**Member of Technical Staff – Machine Learning Engineer (Secret Clearance)** 
**Location: Washington, DC (Hybrid – DMV) travel to SCIF's as needed** 
**Clearance: Active and transferable Secret Clearance** 
**Salary: $150,000\-$215,000 and 5000 of equity shares** 
 Talent Stack is supporting a confidential, defense\-focused technology client in hiring a Machine Learning Engineer to build and deploy production\-grade AI applications in mission\-critical environments.
**About the Role:** 
**This role is ideal for engineers who enjoy working across machine learning, data engineering, and software engineering, with a strong emphasis on systems design, performance, and real\-world deployment. The work directly supports high\-impact programs in secure and regulated settings. This is NOT a Data Science role.** 
**What We’re Looking For:** 
* Engineers with hands\-on experience deploying ML systems into production
* Strong software engineering fundamentals, not research\-only or experimentation\-focused profiles
* Comfort working across ML models, backend services, and data pipelines
* Experience improving performance, scalability, and reliability of deployed systems
* Engineers who value ownership, maintainability, and usability
* Willingness to work on\-site in secure DC\-area environments (SCIFs) as required
**What You’ll Do:** 
* Design, build, and maintain production ML systems using Python
* Lead platform and system upgrades to improve scalability and performance
* Develop interactive, user\-facing analytics dashboards using a Python\-based SDK
* Optimize data access patterns and runtime performance
* Troubleshoot and resolve issues in live, mission\-critical applications
* Partner closely with Technical Product Managers to enhance usability and delivery
**Required Qualifications:** 
* 4\+ years of professional experience as an ML Engineer, Software Engineer, or similar
* Bachelors degree from a top US based Computer Science program/STEM related degree.
* 4\+ years of Python engineering experience in production environments
* Proven experience deploying and maintaining ML models in live systems
* Solid understanding of software engineering best practices (testing, version control, performance, maintainability)
* Experience working in security\-sensitive, regulated, or mission\-critical environments
* Active Secret clearance
* Prior experience supporting DoD, IC, or federal customers
* Strong systems and performance optimization experience
* Experience building user\-facing analytics or decision\-support tools
**Work Environment:** 
* **Hybrid role based in Washington, DC**
* **40\-hour work week with flexible start/end times**
* **Core hours: 10am–4pm**
* **On\-site work in SCIFs required based on project needs**
* **Occasional travel to U.S. customer sites**
* **Visa sponsorship not available, Must be a US citizen**
**Active and transferable U.S. government–issued security clearance is required prior to start date. Candidates must currently hold an active Secret, (TS) or TS/SCI clearance.** 
**U.S. citizenship is required, as only U.S. citizens are eligible for a security clearance.** 
**Recruitment Agencies Disclaimer:** 
 This position is posted for direct applicants only. We kindly request that external recruiters, staffing agencies, or search firms refrain from submitting candidates. Unsolicited resumes will be treated as direct applications, and no agency fees will be honored.
 Reference \# P3</t>
        </is>
      </c>
    </row>
    <row r="65">
      <c r="A65" t="inlineStr">
        <is>
          <t>li-4331013156</t>
        </is>
      </c>
      <c r="B65" t="inlineStr">
        <is>
          <t>Senior AI/ML Engineer</t>
        </is>
      </c>
      <c r="C65" t="inlineStr">
        <is>
          <t>Vanguard</t>
        </is>
      </c>
      <c r="D65" t="inlineStr">
        <is>
          <t>linkedin</t>
        </is>
      </c>
      <c r="E65" t="inlineStr"/>
      <c r="F65" t="inlineStr"/>
      <c r="G65" t="inlineStr">
        <is>
          <t>Charlotte, NC</t>
        </is>
      </c>
      <c r="H65" t="inlineStr"/>
      <c r="I65" t="inlineStr">
        <is>
          <t>**Core Responsibilities**
* Develops complex data pipelines and implements data engineering design principles for iterative data pipeline development to drive scale and efficiency. Proficient in model development environments and coding best practices to enable model deployment.
* Integrates and optimizes existing data and model pipelines in a production environment. Identifies and diagnoses data inconsistencies and errors, documents assumptions, and forages to fill data gaps. Applies knowledge of experimental methodologies, statistics, optimization, probability theory, and machine learning concepts to create self\-running artificial intelligence (AI) systems to automate predictive models. Proficient in SDLC processes and related tools and technologies.
* Partners with data science teams to review model ready dataset document/feature documentation. Develops data model design and document and reviews for completeness with data science teams.
* Partners with data science teams to understand data requirements, performs data discovery for model development. Performs detailed analysis of raw data sources for data quality, applies business context, and model development needs. Drives efficiency through the use of data discovery tools.
* Engages with internal stakeholders to understand and probe business processes and develop hypotheses. Brings structure to requests and translates requirements into an analytic approach. Participates in and influences ongoing business planning and departmental prioritization activities.
* Writes model monitoring scripts as needed. Diagnoses root causes based on model monitoring alerts and triages issues. Coordinates and plans response to model monitoring alerts and resolves issues.
* Serves as a machine learning engineering subject matter expert on cross functional teams for large strategic initiatives and contributes to the growth of the Vanguard analytic community.
* Participates in special projects and performs other duties as assigned.
**Qualifications**
* Gen AI experience \- finetuning SLMs , application evaluation
* Experience with AWS suite of tools such as bedrock , agent core
* Undergraduate degree or equivalent combination of training and experience. Graduate degree preferred.
* Minimum of 8\+ years related work experience.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66">
      <c r="A66" t="inlineStr">
        <is>
          <t>li-4352101618</t>
        </is>
      </c>
      <c r="B66" t="inlineStr">
        <is>
          <t>Senior AI Engineer- build an AI product from scratch- $250,000-$300,000 base + bonus!</t>
        </is>
      </c>
      <c r="C66" t="inlineStr">
        <is>
          <t>Saragossa</t>
        </is>
      </c>
      <c r="D66" t="inlineStr">
        <is>
          <t>linkedin</t>
        </is>
      </c>
      <c r="E66" t="inlineStr"/>
      <c r="F66" t="inlineStr"/>
      <c r="G66" t="inlineStr"/>
      <c r="H66" t="inlineStr"/>
      <c r="I66" t="inlineStr">
        <is>
          <t>Looking to take on a high\-impact AI engineering role where your work shapes how thousands of professional services and legal firms make decisions every day?
 This firm is building the next generation of AI\-powered legal SaaS platform\- transforming how firms automate workflows, normalize data, surface insights, and drive intelligent decision\-making at scale across a universe of customers.
 They’re searching for a Senior AI Engineer to lead the evolution of their decision intelligence systems. This platform is relied on by 100,000\+ users who depend on accurate, explainable insights to run their business. You should have experience developing an AI product at a similar or larger scale.
 In this role, you’ll apply advanced LLMs, vector retrieval, and AWS\-native AI tools to turn massive and unstructured datasets into reliable, repeatable, high\-utility intelligence. You’ll work closely with product teams to understand real customer use cases, normalize and unify data from multiple sources, and design decision\-support engines that eliminate hallucinations, maintain cost efficiency, and power operational transformation.
 You’ll help expand model capabilities as the product grows, leveraging tools like AWS Bedrock, SageMaker, serverless AWS components, and frameworks such as LangChain, LlamaIndex, or Pydantic\-based architectures. You will also have advanced experience with Python.
 They’re looking for someone who has shipped AI\-driven features in large\-scale SaaS environments, reimagined existing systems using agentic patterns, and built decision\-support tools that materially improved customer experience or operational efficiency. If you’ve taken AI from theory to production, navigated the challenges of reliability and model behavior, and built systems that deliver real business value, you’ll thrive here.
 Salary: $250,000\-$300,000
 No up\-to\-date resume required. Apply now!</t>
        </is>
      </c>
    </row>
    <row r="67">
      <c r="A67" t="inlineStr">
        <is>
          <t>li-4352171254</t>
        </is>
      </c>
      <c r="B67" t="inlineStr">
        <is>
          <t>AI &amp; DSP Audio Engineer / Senior Machine Learning Engineer</t>
        </is>
      </c>
      <c r="C67" t="inlineStr">
        <is>
          <t>AZcare</t>
        </is>
      </c>
      <c r="D67" t="inlineStr">
        <is>
          <t>linkedin</t>
        </is>
      </c>
      <c r="E67" t="inlineStr"/>
      <c r="F67" t="inlineStr"/>
      <c r="G67" t="inlineStr"/>
      <c r="H67" t="inlineStr"/>
      <c r="I67" t="inlineStr">
        <is>
          <t>AI \&amp; DSP Audio Engineer / Senior Machine Learning Engineer
 Remote \| Full\-Time \| U.S. Working Hours \| Fluent English Required
**Compensation:** 
 USD $225k
**Location:** 
 Remote (collaboration aligned with U.S. business hours)
**Apply** 
 : Send your English resume to jobs\+Data709@azcare.ai
**About AZcare:** 
 AZcare is building the first enterprise\-grade, HIPAA\-compliant outbound AI calling platform for the healthcare industry. Our AI agents autonomously handle high\-friction, phone\-based workflows that consume billions of hours annually, including:
* Medical appointment scheduling and follow\-ups
* Insurance eligibility and billing inquiries
* Hospital and care coordination workflows
* Readmission prevention and patient outreach
 We’re looking for a Senior ML / AI Engineer to help build and scale the ML systems behind AZcall as it operates in production healthcare environments.
**Role Overview** 
 We are seeking a Senior AI \&amp; DSP Audio Engineer / Senior Machine Learning Engineer to lead and evolve the intelligent audio and ML systems powering AZcare’s voice\-driven platform.
 This is a hands\-on, end\-to\-end role covering DSP algorithm design, audio modeling, data pipelines, machine learning, and production deployment. You will work closely with engineering, product, and operations to translate research\-grade ideas into robust, real\-world systems.
 This role is well\-suited for an experienced engineer who is comfortable owning and operating complex systems in the face of ambiguity typical of early\-stage, high\-impact products.
**Key Responsibilities:** 
 Audio, DSP, and ML Systems
 Design, implement, and optimize digital signal processing (DSP) and audio analysis pipelines
 Model real\-world acoustics, microphone behavior, noise, and speech variability.
 Apply machine learning to audio, speech, and related modalities (with optional exposure to vision)
 Data Acquisition \&amp; Preparation.
**Core Responsibilities:** 
**Data \&amp; Pipelines** 
* Collect, clean, label, and transform data from online and offline sources
* Build scalable preprocessing and feature\-engineering pipelines for production use
**Model Development \&amp; Deployment** 
* Train, fine\-tune, and optimize ML models for reliability, latency, and robustness
* Adapt pre\-trained models to healthcare\-specific workflows
* Deploy models to production with monitoring and continuous iteration
**Large Language Models** 
* Design prompts and workflows for LLM\-based systems
* Apply LLMs to summarization, automation, analytics, and decision support
* Adapt and fine\-tune LLMs for compliance\-sensitive healthcare use cases
**Evaluation \&amp; Optimization** 
* Define meaningful performance metrics beyond offline accuracy
* Analyze failure modes and edge cases in real\-world systems
* Continuously improve system accuracy, stability, and scalability
**Collaboration \&amp; Architecture** 
* Work closely with engineering, product, and operations teams
* Communicate technical trade\-offs clearly
* Contribute to system architecture and long\-term technical strategy
**Required Qualifications** 
 M.S. with 5\+ years of industry experience or B.S. with 10\+ years of industry experience
 Strong proficiency in Python
 Hands\-on experience with PyTorch, TensorFlow, or Scikit\-learn
 Experience with data extraction and web scraping (e.g., BeautifulSoup, Scrapy, APIs)
 Deep understanding of data cleaning, preprocessing, and feature engineering
 Familiarity with cloud platforms (AWS, GCP, or Azure) for ML deployment
 Strong written and verbal English communication skills
 Proven ability to operate independently and solve open\-ended problems
**Nice\-to\-Have (Bonus)** 
 Experience with audio ML, speech processing, ASR, VAD, or conversational systems.
 Familiarity with vector databases, LLM orchestration, or agent frameworks.
 Prior experience deploying ML systems into production at scale.
 Exposure to regulated or compliance\-constrained environments (e.g., healthcare, finance)
**Why Join AZcare** 
 Work on a real, unsolved problem: eliminating phone\-based friction in healthcare.
 Build systems that operate in messy, real\-world conditions, not demos.
 Collaborate with a senior, globally distributed, execution\-focused team.
 High ownership, high trust, and direct impact on product direction.
 Opportunity for long\-term growth as the platform scales.
 Apply: Send your English resume to jobs\+Data709@azcare.ai</t>
        </is>
      </c>
    </row>
    <row r="68">
      <c r="A68" t="inlineStr">
        <is>
          <t>li-4359314097</t>
        </is>
      </c>
      <c r="B68" t="inlineStr">
        <is>
          <t>Generative AI Engineer</t>
        </is>
      </c>
      <c r="C68" t="inlineStr">
        <is>
          <t>MDP Global</t>
        </is>
      </c>
      <c r="D68" t="inlineStr">
        <is>
          <t>linkedin</t>
        </is>
      </c>
      <c r="E68" t="inlineStr"/>
      <c r="F68" t="inlineStr"/>
      <c r="G68" t="inlineStr"/>
      <c r="H68" t="inlineStr"/>
      <c r="I68" t="inlineStr">
        <is>
          <t>Are you passionate about turning cutting\-edge large language models and generative AI into real\-world products that drive impact?
 Our client is a fast\-growing AI\-powered SaaS platform revolutionizing, serving thousands of users across the US. They are building next\-generation generative AI solutions that deliver real\-world impact while fostering a collaborative, innovative culture.
**In this role, you'll:** 
* Design, fine\-tune, and deploy large\-scale generative AI models (LLMs) and machine learning systems using PyTorch, TensorFlow, and Hugging Face
* Build end\-to\-end ML pipelines including data processing, model training, evaluation, MLOps (CI/CD, monitoring, versioning), and production deployment
* Collaborate closely with product, data, and engineering teams to integrate AI features that solve complex problems and deliver measurable business value
* Optimize models for performance, cost, latency, and scalability — from prototyping to serving millions of inferences
* Experiment with the latest advancements in multimodal AI, RAG, AI agents, and foundation model customization
* Mentor team members and contribute to our AI best practices and architecture decisions
**What we're looking for:** 
* 3\+ years of hands\-on experience as an AI/ML Engineer, Machine Learning Engineer, or similar role
* Strong proficiency in Python and deep learning frameworks (PyTorch and/or TensorFlow)
* Experience with LLMs (fine\-tuning, prompt engineering, RAG, evaluation), generative AI, and tools like Hugging Face, LangChain/LlamaIndex, or OpenAI/Anthropic APIs
* Solid understanding of MLOps practices (Docker, Kubernetes, MLflow, Kubeflow, cloud platforms like AWS SageMaker / GCP Vertex AI / Azure ML)
* Proven track record deploying models to production and handling real\-time inference at scale
* Excellent problem\-solving skills and ability to communicate technical concepts to cross\-functional teams
* Bonus: Experience with computer vision, NLP, multimodal models, agentic AI systems, or big data tools (Spark, Snowflake)
 Location: Remote (US) Remote
 Employment Type: Full\-time
 Salary Range: $160,000 – $200,000 USD base \+ bonus
 Sound like the right fit for you?
 Apply below!</t>
        </is>
      </c>
    </row>
    <row r="69">
      <c r="A69" t="inlineStr">
        <is>
          <t>li-4358914061</t>
        </is>
      </c>
      <c r="B69" t="inlineStr">
        <is>
          <t>Head of AI/ML Engineering</t>
        </is>
      </c>
      <c r="C69" t="inlineStr">
        <is>
          <t>LendKoi</t>
        </is>
      </c>
      <c r="D69" t="inlineStr">
        <is>
          <t>linkedin</t>
        </is>
      </c>
      <c r="E69" t="inlineStr"/>
      <c r="F69" t="inlineStr"/>
      <c r="G69" t="inlineStr"/>
      <c r="H69" t="inlineStr"/>
      <c r="I69" t="inlineStr">
        <is>
          <t>Are you a hands\-on machine learning architect and leader looking for an exciting new chapter on the frontier of consumer finance and technology?
**About LendKoi** 
 LendKoi is a financial technology company that provides credit and a digital financial suite for immigrants. We’re on a mission to empower the billions of credit invisible individuals to achieve stability and thrive. We’re an early\-stage startup backed by Techstars NYC and top angels with an incredible team.
**www.lendkoi.com** 
**About the Role** 
 This is a unique opportunity to work on an impactful product and deploy models with purpose and value. We’re looking for a star Head of AI/ML Engineering to build our platform and share the mission. You will lead design and execution of AI products and machine learning models. You’ll bring strong problem\-solving skills, a collaborative spirit, and a passion for building models, and robust, scalable, and user\-friendly web applications. You will work closely alongside experienced leaders, a cross\-functional team, and our vendor partners. You will influence process, product, and vision.
 The compensation for this role is pay \+ equity.
 Flexible New York City hybrid. Full time.
**How to apply:** 
 https://welcome.lendkoi.com/head\-of\-engineering
**Qualifications** 
* Technical
 leadership experience: staff machine learning engineer, founding engineer, lead machine learning engineer, VP of engineering, principal ML architect, principal data scientist, CTO, or similar.
* 6\+ years of experience designing, building, and deploying production\-grade ML models.
* Strong familiarity deploying supervised and unsupervised models, including CI/CD pipelines, versioning, automated deployment, monitoring, and model calibration.
* Bridge the gap between data science and software engineering by not only designing algorithmic strategies but also architecting and writing the backend infrastructure required to deploy, serve, and scale them in the product.
* Own the full lifecycle of AI feature development, taking concepts from model architecture and prototyping directly through to production\-grade coding and full\-stack integration within the application.
* Curiosity about fintech \+ empathy for users (you are passionate about building technology that solves real\-world financial challenges).
* A deep understanding of code versioning tools like Git and best practices for repository management.
* Excellent documentation skills and a commitment to maintaining organized, understandable code.
* Curiosity about fintech \+ empathy for users (you are passionate about building technology that solves real\-world financial challenges).
* Comfortable in a lean, early\-stage environment with high ownership (hands\-on, end\-to\-end builder); you are a self\-starter who builds without needing constant oversight.
* Available 3\-4 days/week; flexible New York City hybrid – occasional in\-office, as needed.
* PhD in computer science, data science, or engineering.
* Background check, in\-person New York interview, and references required.
**Preferred** 
* Hands\-on full\-stack app development experience.
* Proficiency with AWS, TypeScript, Next.js, Python and Django, including the Django REST framework.
* Experience with fintech, credit, lending, banking, payments, stablecoin, cryptocurrency, blockchain, or other financial applications.</t>
        </is>
      </c>
    </row>
    <row r="70">
      <c r="A70" t="inlineStr">
        <is>
          <t>li-4358904290</t>
        </is>
      </c>
      <c r="B70" t="inlineStr">
        <is>
          <t>AI/ML Engineer (Agentic Required)</t>
        </is>
      </c>
      <c r="C70" t="inlineStr">
        <is>
          <t>Luxoft</t>
        </is>
      </c>
      <c r="D70" t="inlineStr">
        <is>
          <t>linkedin</t>
        </is>
      </c>
      <c r="E70" t="inlineStr"/>
      <c r="F70" t="inlineStr"/>
      <c r="G70" t="inlineStr"/>
      <c r="H70" t="inlineStr"/>
      <c r="I70" t="inlineStr">
        <is>
          <t>**Description:** 
* You will join a core engineering team within one of the leading U.S. video‑content providers, supporting hundreds of distributed software engineering teams and operating across a large‑scale infrastructure that spans internal data centers, broadcast facilities, and public cloud (AWS).
* The project focuses on building agentic retrieval workflows, data pipelines, and ML/LLM‑driven scoring systems that enhance engineering productivity and code‑quality metrics. You will design retrieval agents, optimize LLM prompting strategies, build robust orchestration, and integrate backend services that process PR, commit, and code‑quality metadata at scale.
**Target Background** 
 :
* 5\-10\+ years as a software/data/ML engineer.
* Strong Python expertise and familiarity with modern data/ML tooling.
* Proven delivery of production\-grade orchestration systems (Dagster/Airflow) on AWS.
* Practical experience with prompt/LLM optimization (DSPy preferred).
* Comfortable working with Git/PR metadata, code diffs, backfills, and performance‑critical data pipelines.
**Responsibilities:** 
* CES improvements: PR\-level scoring, historical context, context\-retrieval agent, automated score correction, training data prep from feedback.
* Data/PR tracking: ingest PRs, link to commits/branches, track merges to main, backfills.
* Orchestration \&amp; reliability: Dagster migration, retries, scheduling, monitoring, data quality alerts.
* LLM/prompt optimization: DSPy\-based prompt tuning, eval set creation, feedback\-driven corrections, prompt cost/quality tradeoffs.
* Metadata \&amp; classification: role/work\-type classification, epic linking improvements, filters/explorer features.
**Mandatory Skills Description:** 
* Agentic coding: build retrieval agents that pull code context/diffs/history to improve scoring (aligns with CES Phase 3 and quality metric work).
* Data pipelines: Dagster (preferred) or equivalent orchestrator; AWS\-native pipelines (ECS/EventBridge/Lambda/S3/Glue experience a plus); robust backfills and retries.
* LLM/Prompting: DSPy or similar prompt/policy optimization; prompt chaining; context packing; eval design and execution.
* Data modeling \&amp; analytics: PR/commit linking, branch/main tracking, epic linking; quality/effort scoring signals; anomaly detection for data quality.
* Backend integration: building services that ingest PR/commit metadata, compute CES/quality metrics, and expose them to UI/API.
* Eval/feedback loops: design and run eval sets; collect user feedback; close the loop with automated/manual score correction.
**Nice\-to\-Have Skills Description:** 
* Experience with code\-scoring/effort or quality metrics; SonarQube integration.
* Graph\-ish linking across artifacts (Jira/PR/commit/branch) for epic/work\-type classification.
* Experience tuning performance/cost for LLM calls (OSS LLM evals, batching, caching).
* Observability for pipelines (metrics/traces/logs) and data quality alerting.</t>
        </is>
      </c>
    </row>
    <row r="71">
      <c r="A71" t="inlineStr">
        <is>
          <t>li-4330925865</t>
        </is>
      </c>
      <c r="B71" t="inlineStr">
        <is>
          <t>Principal AI/ML Engineer</t>
        </is>
      </c>
      <c r="C71" t="inlineStr">
        <is>
          <t>Vanguard</t>
        </is>
      </c>
      <c r="D71" t="inlineStr">
        <is>
          <t>linkedin</t>
        </is>
      </c>
      <c r="E71" t="inlineStr"/>
      <c r="F71" t="inlineStr"/>
      <c r="G71" t="inlineStr">
        <is>
          <t>Malvern, PA</t>
        </is>
      </c>
      <c r="H71" t="inlineStr"/>
      <c r="I71" t="inlineStr">
        <is>
          <t>**Core Responsibilities**
* Leads complex model development and deployment pipelines. Establishes best practices and drives innovation in data preparation and consumption. Expert in end\-to\-end data and model pipeline deployment and automation technologies.
* Integrates and optimizes existing complex data and model pipelines in a production environment. Identifies and diagnoses data inconsistencies and errors, documents assumptions, and forages to fill data gaps. Applies expert knowledge of experimental methodologies, statistics, optimization, probability theory, and machine learning concepts to create self\-running artificial intelligence (AI) systems to automate predictive models. Expert level knowledge in SDLC and related tools and processes. Serves as a thought partner for Machine Learning Operations team.
* Leads engineering design for complex data pipeline designs. Proficient in developing highly efficient designs and strategy for both batch and real\-time data pipelines.
* Partners with data science teams to understand data requirements, performs data discovery for model development. Performs detailed analysis of raw data sources for data quality, applies business context, and model development needs. Drives best practices and innovation is data discovery techniques.
* Engages with internal stakeholders to understand and probe business processes and develop hypotheses. Brings structure to requests and translates requirements into an analytic approach. Participates in and influences ongoing business planning and departmental prioritization activities.
* Writes model monitoring scripts as needed. Diagnoses root causes based on model monitoring alerts and triages issues. Coordinates and plans response to model monitoring alerts and resolves issues.
* Serves as a machine learning engineering subject matter expert on cross functional teams for large strategic initiatives and contributes to the growth of the Vanguard analytic community. Serves as data and Machine Learning engineering thought partner for the enterprise.
* Participates in special projects and performs other duties as assigned.
**Qualifications**
* Gen AI experience \- finetuning SLMs , application evaluation
* Experience with AWS suite of tools such as bedrock , agent core
* Undergraduate degree or equivalent combination of training and experience. Graduate degree preferred.
* Minimum of ten years related work experience.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72">
      <c r="A72" t="inlineStr">
        <is>
          <t>li-4331083115</t>
        </is>
      </c>
      <c r="B72" t="inlineStr">
        <is>
          <t>Machine Learning Engineer</t>
        </is>
      </c>
      <c r="C72" t="inlineStr">
        <is>
          <t>Jobs via Dice</t>
        </is>
      </c>
      <c r="D72" t="inlineStr">
        <is>
          <t>linkedin</t>
        </is>
      </c>
      <c r="E72" t="inlineStr"/>
      <c r="F72" t="inlineStr"/>
      <c r="G72" t="inlineStr"/>
      <c r="H72" t="inlineStr"/>
      <c r="I72" t="inlineStr">
        <is>
          <t>Dice is the leading career destination for tech experts at every stage of their careers. Our client, KE Staffing, is seeking the following. Apply via Dice today!
**Must have:**
* Need good clinical and claims knowledge
* 7\+ years of healthcare exp
* 4\+ years of experience in machine learning, NLP, or deep learning
**What We Re Looking For**
* 7\+ years of experience in machine learning, NLP, or deep learning
* Hands\-on experience with LLMs (GPT, LLaMA, Mistral, or similar) in applied or production contexts
* Healthcare data experience is required, including working knowledge of:
* Strong Python skills; experience with PyTorch or TensorFlow.
* Familiarity with HuggingFace tools and modern model\-training workflows.
* Experience evaluating AI output quality, hallucination behavior, reliability, and consistency.
* Experience designing automated evaluation, regression testing, or benchmarking pipelines for AI systems.</t>
        </is>
      </c>
    </row>
    <row r="73">
      <c r="A73" t="inlineStr">
        <is>
          <t>li-4331570179</t>
        </is>
      </c>
      <c r="B73" t="inlineStr">
        <is>
          <t>Lead ML Engineer</t>
        </is>
      </c>
      <c r="C73" t="inlineStr">
        <is>
          <t>RemoteHunter</t>
        </is>
      </c>
      <c r="D73" t="inlineStr">
        <is>
          <t>linkedin</t>
        </is>
      </c>
      <c r="E73" t="inlineStr"/>
      <c r="F73" t="inlineStr"/>
      <c r="G73" t="inlineStr"/>
      <c r="H73" t="inlineStr"/>
      <c r="I73" t="inlineStr">
        <is>
          <t>About the Opportunity:
 This role is part of a Data and Analytics division focused on understanding vehicle pricing features and predicting future vehicle values. The team delivers accurate, transparent, industry\-leading analytics. The AI Engineer will develop innovative machine learning processes, deploy models into production on AWS and/or Palantir, and create tools for monitoring ML algorithms. This is an opportunity to contribute significantly to automotive industry analytics within a mature, collaborative data science team.
 Responsibilities:
 • Analyze automotive industry data daily
 • Collaborate with business units to define AI project pipelines for operational efficiency and revenue growth
 • Develop reusable frameworks to integrate multiple AI models into production workflows
 • Lead simultaneous creation and production deployment of multiple AI models
 • Communicate effectively with customer success, product, and senior data science leadership with minimal supervision
 • Coach team members on exploratory data analysis, feature engineering, and data transformations
 • Lead program increment planning for upcoming quarter’s major development modules or projects with limited supervision
 • Understand various data science models, data sources, and data limitations across business units
 • Proactively propose and coordinate solutions to resolve issues, seeking leadership support as needed
 Requirements:
 • Enthusiasm for the automotive industry
 • Passion for solving problems using data
 • Proven ability to lead the creation and deployment of multiple AI models simultaneously
 • Proficiency in AI programming languages, including Python
 • Experience using AI evaluation metrics such as accuracy, precision, recall, ROC, AUC, F1 scores, MSE, and R\-squared
 • Skilled at designing innovative AI solutions for complex problems
 • Effective collaboration with stakeholders to promote AI adoption and best practices
 • 8\+ years working with large datasets
 • 8\+ years with statistical programming software (Spark and Python preferred)
 • 10\+ years working with database software (RedShift, Hive, SQL, MySQL)
 • 5\+ years deploying cloud\-based automated analytic processes
 • 5\+ years of experience deploying machine learning models with automated monitoring
 • Master’s degree in Statistics, Data Science, Economics, or related technical field
 Nice to Have:
 • Experience with automotive market data
 • Experience with AWS tools such as Sagemaker, Glue, Batch, Lambda
 • Experience working with Palantir
 • Experience deploying machine learning models into production via API
 • Experience with specialized UI applications for ML model interaction (e.g., StreamLit, Gradio)
 • Experience with MLOps and CICD for automated training, evaluation, and re\-deployment cycles
 • Experience enabling model training/inference and lifecycle integration through APIs for live user interactions
 • Experience deploying models with non\-pandas/non\-SQL data structures
 • PhD in Statistics, Data Science, Economics, or related field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4">
      <c r="A74" t="inlineStr">
        <is>
          <t>li-4330954697</t>
        </is>
      </c>
      <c r="B74" t="inlineStr">
        <is>
          <t>AI/ML Engineer</t>
        </is>
      </c>
      <c r="C74" t="inlineStr">
        <is>
          <t>Jobs via Dice</t>
        </is>
      </c>
      <c r="D74" t="inlineStr">
        <is>
          <t>linkedin</t>
        </is>
      </c>
      <c r="E74" t="inlineStr"/>
      <c r="F74" t="inlineStr"/>
      <c r="G74" t="inlineStr">
        <is>
          <t>Alpharetta, GA</t>
        </is>
      </c>
      <c r="H74" t="inlineStr"/>
      <c r="I74" t="inlineStr">
        <is>
          <t>Dice is the leading career destination for tech experts at every stage of their careers. Our client, MphasiS Corporation USA, is seeking the following. Apply via Dice today!
 AI/ML Engineer
 Mandatory Skills:
* \- Model development \&amp; deployment
* \- REST API integration for ML models
 Preferred Skills:
* \- Experience with NLP, deep learning
* \- Cloud ML platforms (AWS SageMaker, Azure AI)</t>
        </is>
      </c>
    </row>
    <row r="75">
      <c r="A75" t="inlineStr">
        <is>
          <t>li-4351341505</t>
        </is>
      </c>
      <c r="B75" t="inlineStr">
        <is>
          <t>Machine Learning Engineer - NYC- Leading Global Prop Trading Firm</t>
        </is>
      </c>
      <c r="C75" t="inlineStr">
        <is>
          <t>Jobs via eFinancialCareers</t>
        </is>
      </c>
      <c r="D75" t="inlineStr">
        <is>
          <t>linkedin</t>
        </is>
      </c>
      <c r="E75" t="inlineStr"/>
      <c r="F75" t="inlineStr"/>
      <c r="G75" t="inlineStr">
        <is>
          <t>New York, NY</t>
        </is>
      </c>
      <c r="H75" t="inlineStr"/>
      <c r="I75" t="inlineStr">
        <is>
          <t>**Salary: up to $300,000 USD base \+ annual bonus**
**Summary**
 Exciting opportunity to work at one of the world's leading propriety trading firms with offices across the globe. You will be working with an elite global team of top minds in machine learning and engineering to help drive the direction of their ML platform.
 Seeking accomplished engineers with expertise in machine learning and robust mathematical foundations to work on building the firm\-wired machine learning infrastructure
 **and/or** 
 working with quantitative researchers on building end\-to\-end machine learning models.
**Requirements**
* Experience building and maintaining ML infrastructure from concept to production.
* Strong experience in model training and mathematical concepts like optimization theory, regularization techniques and linear algebra.
* Eagerness to stay updated on cutting\-edge ML advancements.
* Ability to create and maintain organized, reproducible research code.
* Expertise in ML frameworks, particularly PyTorch, or Jax, TensorFlow or similar.
* Innovative mindset, with a focus on questioning and improving methods.
**NB: Please only apply if you meet the above criteria.**
**Benefits And Incentives**
* Annual bonus.
* Health insurance and other benefits.
* Paid time off and parental leave.
* A retirement plan with a company match.
* And more!
 Whilst we carefully review all applications, to all jobs, due to the high volume of applications we receive it is not possible to respond to those who have not been successful.
**Contact**
 If this sounds like you or you'd like to know more, please get in touch:
**Clouie Anareta**
 clouie.anareta@oxfordknight.com
 linkedin.com/in/clouieanareta</t>
        </is>
      </c>
    </row>
    <row r="76">
      <c r="A76" t="inlineStr">
        <is>
          <t>li-4331221016</t>
        </is>
      </c>
      <c r="B76" t="inlineStr">
        <is>
          <t>Staff AI Engineer (Autonomous QA Systems)</t>
        </is>
      </c>
      <c r="C76" t="inlineStr">
        <is>
          <t>ContextAI</t>
        </is>
      </c>
      <c r="D76" t="inlineStr">
        <is>
          <t>linkedin</t>
        </is>
      </c>
      <c r="E76" t="inlineStr"/>
      <c r="F76" t="inlineStr"/>
      <c r="G76" t="inlineStr"/>
      <c r="H76" t="inlineStr"/>
      <c r="I76" t="inlineStr">
        <is>
          <t>**Role Overview** 
 We’re hiring a senior AI engineer to help evolve the systems behind ContextQA’s autonomous QA platform. This is a hands\-on role focused on building durable, production\-grade AI capabilities rather than research prototypes.
**What You’ll Do** 
* Design and improve systems for context ingestion, persistence, and reasoning
* Strengthen how AI agents generate, optimize, and execute tests
* Improve reliability, cost efficiency, and scalability of AI\-driven workflows
* Translate long\-term architectural direction into incremental, shippable improvements
* Collaborate closely with engineering and product to align AI capabilities with customer needs
**What Works Well in This Role** 
* Experience building and operating AI\-driven systems in production
* Strong systems thinking and comfort with distributed architectures
* Practical mindset around tradeoffs, failure modes, and cost constraints
* Ability to operate with evolving requirements and imperfect inputs
* Interest in developer tools, testing platforms, or infrastructure is a plus
**Impact** 
 This role is central to ContextQA’s long\-term vision: building the first truly autonomous AI QA engineer that can reason about software, change, and risk with minimal human input.
 You’ll lead the evolution from advanced automation to autonomy—shaping how the system gathers and retains context, understands application behavior, generates meaningful tests, and improves itself over time. The decisions you make will influence the platform’s architecture, intelligence, and competitive differentiation for years.
 Success in this role means:
* Moving the platform meaningfully closer to a self\-directed QA agent
* Establishing architectural patterns that support long\-lived learning and reasoning
* Turning an ambitious vision into a production system customers trust
 Competitive Salary, Equity, and Benefits</t>
        </is>
      </c>
    </row>
    <row r="77">
      <c r="A77" t="inlineStr">
        <is>
          <t>li-4352022400</t>
        </is>
      </c>
      <c r="B77" t="inlineStr">
        <is>
          <t>Principal AI Engineer</t>
        </is>
      </c>
      <c r="C77" t="inlineStr">
        <is>
          <t>LogicMonitor</t>
        </is>
      </c>
      <c r="D77" t="inlineStr">
        <is>
          <t>linkedin</t>
        </is>
      </c>
      <c r="E77" t="inlineStr"/>
      <c r="F77" t="inlineStr"/>
      <c r="G77" t="inlineStr">
        <is>
          <t>San Francisco, CA</t>
        </is>
      </c>
      <c r="H77" t="inlineStr"/>
      <c r="I77" t="inlineStr">
        <is>
          <t>**About Us:**
 We love going to work and think you should too. Our team is dedicated to trust, customer obsession, agility, and striving to be better everyday. These values serve as the foundation of our culture, guiding our actions and driving us towards excellence. We foster a culture of performance and recognition, allowing us to transform growth as we enable our employees to do the best work of their careers.
**This role is open to candidates based in or near San Francisco, CA.** 
 At LogicMonitor, we hire within our Centers of Energy—vibrant locations where our teams connect, collaborate, and innovate.
 To learn more about life at LogicMonitor, check out our Careers Page.
**What You'll Do:**
 LogicMonitor® is the AI\-first hybrid observability platform powering the next generation of digital infrastructure. LogicMonitor delivers complete visibility and actionable intelligence across on\-premises, cloud, and edge environments. By anticipating issues before they strike, optimizing resources in real time, and enabling faster, smarter decisions, LogicMonitor helps IT and business leaders protect margins, accelerate innovation, and deliver exceptional digital experiences without compromise.
 Our customers love LogicMonitor's ability to bring cloud and traditional IT together into one view, as seen in minimal churn rates, expansion business, and exciting new customer references. In fact, LogicMonitor has received the highest Net Promoter Score of any IT Infrastructure Management provider. LogicMonitor also boasts high employee satisfaction. We have been certified as a Great Place To Work®, and named one of BuiltIn's Best Places to Work for the seventh year in a row!
 Edwin AI is LogicMonitor’s enterprise AIOps platform, designed to help organizations detect, understand, and resolve incidents faster by reasoning across metrics, logs, topology, and change intelligence. As Edwin AI evolves toward AI\-driven action and remediation, we are building enterprise\-grade AI agents that integrate deeply with systems like ServiceNow to automate incident workflows with safety, reliability, and auditability.
 We are seeking a
 **Principal AI Engineer** 
 to design and build AI agents that operate across observability data and ITSM systems. This role focuses on turning AI insights into safe, deterministic actions—building systems that can enrich incidents, orchestrate workflows, and reduce MTTR in large\-scale, multi\-tenant enterprise environments. This is a hands\-on senior individual contributor role with high ownership and technical authority.
**Here's a closer look at this key role:**
* Design and implement AI agents within Edwin AI that reason over metrics, logs, topology, and change data
* Build and operate deep integrations with ServiceNow (Incidents, Problems, Changes, CMDB)
* Translate observability insights and RCA outputs into ServiceNow\-native actions and workflows
* Implement event\-driven, asynchronous pipelines for long\-running and approval\-based actions
* Define and enforce guardrails, validation, auditability, and human\-in\-the\-loop controls for AI actions
* Ensure enterprise standards for security, reliability, and tenant isolation
* Partner with Product, Platform, and Observability teams to shape Edwin AI agent capabilities
* Provide technical leadership and mentorship on agentic AI system design
**What You'll Need:**
* 8\+ years of backend or platform engineering experience
* Proven experience building distributed, microservices\-based systems at scale
* Hands\-on experience integrating with ServiceNow or enterprise ITSM platforms
* Production experience building AI agents or LLM\-powered systems that invoke tools or workflows
* Experience with AIOps, observability platforms, or cloud management systems
* Experience building AI systems that trigger real operational actions
* Familiarity with Model Context Protocol (MCP) or equivalent agent\-tool architectures
* Strong proficiency in Java and/or Python
* Experience with Kubernetes, containers, and cloud\-native systems
* Deep understanding of async execution, retries, idempotency, and failure handling
* Experience designing audit\-safe, compliance\-friendly enterprise automation
*Residents of California, click Here to view our California Applicant Privacy Notice.*
*Anticipated Application Close Date: 03/05/26*
***LogicMonitor is an Equal Opportunity Employer**
 At LogicMonitor, we believe that innovation thrives when every voice is heard and each individual is empowered to bring their unique perspective. We’re committed to creating a workplace where diversity is celebrated, and all employees feel inspired and supported to contribute their best.*
*For us, equal opportunity means fostering a truly inclusive culture where everyone has the chance to grow and succeed. We don’t just open doors; we invite you to step through and be part of something bigger. All qualified applicants will receive consideration for employment without regard to race, color, religion, sex, sexual orientation, gender identity, national origin, disability, or status as a protected veteran.*
***Work Authorization:**
 At this time, we are able to consider candidates who are authorized to work in the United States on a full\-time, permanent basis without requiring new or initial employer\-sponsored work authorization.
 Candidates who currently hold valid U.S. work authorization that can be transferred to a new employer (such as certain H\-1B statuses) may be considered on a case\-by\-case basis.
 We are not able to provide new sponsorship for employment\-based visas that require an initial petition or application by the employer.*
 \#BI\-Hybrid
 LogicMonitor is dedicated to fostering a culture of transparency and fairness, including our commitment to pay transparency. We provide the base salary ranges for all positions posted within the United States. Compensation packages at LogicMonitor for eligible roles include base salary, a variable plan depending on role, along with comprehensive benefits. The range displayed on each job posting reflects the minimum and maximum base salary target for new hires in the position, determined by work location and additional factors, including job\-related skills, experience, interview performance, and relevant education or training. As part of our holistic compensation philosophy, your package will also include, but is not limited to: Comprehensive health, dental and vision coverage, generous parental leave policies, access to our Employee Assistance Program and various Wellness programs, a 401K with company matching, a Lifestyle Spending Account, and an unlimited vacation policy. For more information on our benefits, see our careers page.
 The Base Salary range for this role is:: $215,160 USD \- $268,950 USD
 Our goal is to ensure an accessible and inclusive experience for every candidate.
 If you need a reasonable accommodation during the application or interview process under applicable local law, please submit a request via this Accommodation Request Form.
 Know your rights: workplace discrimination is illegal. Please click here to review LogicMonitor’s U.S. Pay Transparency Nondiscrimination Provision.</t>
        </is>
      </c>
    </row>
    <row r="78">
      <c r="A78" t="inlineStr">
        <is>
          <t>li-4330992003</t>
        </is>
      </c>
      <c r="B78" t="inlineStr">
        <is>
          <t>Fulltime ,Senior AI Engineer with strong financial domain , New York (4 days onsite )</t>
        </is>
      </c>
      <c r="C78" t="inlineStr">
        <is>
          <t>Noblesoft Technologies</t>
        </is>
      </c>
      <c r="D78" t="inlineStr">
        <is>
          <t>linkedin</t>
        </is>
      </c>
      <c r="E78" t="inlineStr"/>
      <c r="F78" t="inlineStr"/>
      <c r="G78" t="inlineStr">
        <is>
          <t>Ithaca, NY</t>
        </is>
      </c>
      <c r="H78" t="inlineStr"/>
      <c r="I78" t="inlineStr">
        <is>
          <t>Hi,
 Job Title:
 **Senior AI Engineer/ AI Evangelist \- Hands\-On**
 Location:
 **New York (3 Bryant Park New York, NY – 10036\) – 4 Days onsite Role**
**FTE role**
**Essential Experience \&amp; Skills**
* Advanced Python expertise, plus experience with other major backend languages (e.g., Java, C\+\+, Go) and modern AI/ML toolkits
* Demonstrated proficiency in designing, validating, and launching code\-generation systems and agentic workflows, strong familiarity with prompt engineering and AI model deployment
* Track record of hands\-on technical leadership within agile teams, overseeing both human and AI\-generated codebases and ensuring auditability, explainability, and compliance at scale
* Expertise in code review, automated testing, and documentation standards for mixed human/AI development environments
**Key Responsibilities**
* Build and demonstrate AI\-powered solutions for financial applications preferably in investment banking, Trading or insurance environments.
* Translate complex AI concepts into actionable business value for both technical and non\-technical stakeholders, simplifying information for internal teams and executive leadership.
* Lead workshops, seminars, and training sessions for teams across the organization, promoting AI literacy and upskilling staff in banking, investment, or insurance environments.
* Ability and /or experience in authoring technical blogs, white papers, and internal documentation that explain the impact and possibilities of AI in the financial domain.
* Experience on working on advisory capacity to CxO, Head of Engineering, Head of Architecture on technical strategies
* Act as a visible presence at industry conferences, webinars, and external forums to position the organization as a leader in responsible AI use within finance.
* Partner with compliance, risk, and IT teams to ensure all AI solutions meet strict regulatory and ethical standards prevalent in financial services.
* Prototype, test, and deploy AI models that address market forecasting, customer insights, automated underwriting, or anti\-money laundering strategies.
**Key Technical And Design Responsibilities**
* Build, deploy, and manage both agentic AI architectures and generative code systems, ensuring scalable and secure integration of technologies like LLMs, code generators, and automation agents within production workflows.
* Oversee technical design, implementation, and code reviews—especially for code created or assisted by AI tools—maintaining high standards of security, performance, and maintainability in Python and other programming languages.
* Develop robust testing and validation protocols for AI\-generated code and agent behavior, including prompt engineering, debugging, and post\-deployment monitoring for unusual failure patterns or compliance issues.
* Lead technical teams, mentor junior engineers, and set excellence in software engineering practices; create documentation and establish guidelines for both human and AI\-driven contributions
* Collaborate with cross\-functional stakeholders (DevOps, security, product, and business leaders) to ensure rapid, safe adoption of agentic and generative AI features
**Essential Qualifications**
* Bachelor’s or master’s degree in computer science, Data Science, Finance, or related field.
* Experience in one or many of the high\-level programming languages like C\+\+, Java, C\#
* Good understanding of Typescript, Node.js and other JS framework for UI development
* Strong hands\-on experience with Python, SQL, and AI/ML frameworks (e.g., TensorFlow, PyTorch) as applied to financial data and workflows
* At least 4\+ years working in AI roles within finance, fintech, or technical consulting, preferably with exposure to regulatory environments.
* Deep knowledge of AI ethics, compliance, Guardrails, data privacy, and compliance trends relevant to the financial sector.
* Excellent communication, stakeholder engagement, and technical storytelling abilities.\[7]\[3]
* Demonstrated ability to manage multiple priorities and projects while maintaining strategic alignment and rigorous attention to detail.
**Desired Traits**
* Passion for driving innovation and adoption of AI in highly regulated settings.
* Effective at stakeholder education—from boardroom to engineering teams.
* Strong problem\-solving mindset, able to translate technical outputs into practical business recommendations.
* Integrity and diligence, with a commitment to both organizational objectives and ethical AI deployment.</t>
        </is>
      </c>
    </row>
    <row r="79">
      <c r="A79" t="inlineStr">
        <is>
          <t>li-4358724776</t>
        </is>
      </c>
      <c r="B79" t="inlineStr">
        <is>
          <t>Machine Learning Engineer</t>
        </is>
      </c>
      <c r="C79" t="inlineStr">
        <is>
          <t>Capital One</t>
        </is>
      </c>
      <c r="D79" t="inlineStr">
        <is>
          <t>linkedin</t>
        </is>
      </c>
      <c r="E79" t="inlineStr"/>
      <c r="F79" t="inlineStr"/>
      <c r="G79" t="inlineStr">
        <is>
          <t>McLean, VA</t>
        </is>
      </c>
      <c r="H79" t="inlineStr"/>
      <c r="I79"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2 years of experience designing and building data\-intensive solutions using distributed computing (Internship experience does not apply)
* At least 2 years of experience programming with Python, Scala, or Java
* At least 1 year of Machine Learning experience with an industry recognized ML framework (scikit\-learn, PyTorch, Dask, Spark, or TensorFlow)
****Preferred Qualifications:****
* Experience developing and deploying ML solutions in a public cloud such as AWS, Azure, or Google Cloud Platform
* 1\+ years of experience working with large code bases in a team environment
* 1\+ years of experience with distributed file systems or multi\-node database paradigms
* Contributed to open source ML software
* 1\+ years of experience building production\-ready data pipelines that feed ML models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Machine Learning Engineer
 Richmond, VA: $123,300 \- $140,700 for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0">
      <c r="A80" t="inlineStr">
        <is>
          <t>li-4358954293</t>
        </is>
      </c>
      <c r="B80" t="inlineStr">
        <is>
          <t>Senior Lead AI Engineer (Gen AI Platform Services)</t>
        </is>
      </c>
      <c r="C80" t="inlineStr">
        <is>
          <t>Capital One</t>
        </is>
      </c>
      <c r="D80" t="inlineStr">
        <is>
          <t>linkedin</t>
        </is>
      </c>
      <c r="E80" t="inlineStr"/>
      <c r="F80" t="inlineStr"/>
      <c r="G80" t="inlineStr">
        <is>
          <t>Cambridge, MA</t>
        </is>
      </c>
      <c r="H80" t="inlineStr"/>
      <c r="I80"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1">
      <c r="A81" t="inlineStr">
        <is>
          <t>li-4358754478</t>
        </is>
      </c>
      <c r="B81" t="inlineStr">
        <is>
          <t>Senior Lead AI Engineer (Gen AI Platform Services)</t>
        </is>
      </c>
      <c r="C81" t="inlineStr">
        <is>
          <t>Capital One</t>
        </is>
      </c>
      <c r="D81" t="inlineStr">
        <is>
          <t>linkedin</t>
        </is>
      </c>
      <c r="E81" t="inlineStr"/>
      <c r="F81" t="inlineStr"/>
      <c r="G81" t="inlineStr">
        <is>
          <t>McLean, VA</t>
        </is>
      </c>
      <c r="H81" t="inlineStr"/>
      <c r="I81"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2">
      <c r="A82" t="inlineStr">
        <is>
          <t>li-4331073029</t>
        </is>
      </c>
      <c r="B82" t="inlineStr">
        <is>
          <t>agent AI Engineer (Onsite in Scottsdale, AZ (Hybrid) - Max pay rate 50/H C2C</t>
        </is>
      </c>
      <c r="C82" t="inlineStr">
        <is>
          <t>Jobs via Dice</t>
        </is>
      </c>
      <c r="D82" t="inlineStr">
        <is>
          <t>linkedin</t>
        </is>
      </c>
      <c r="E82" t="inlineStr"/>
      <c r="F82" t="inlineStr"/>
      <c r="G82" t="inlineStr">
        <is>
          <t>Scottsdale, AZ</t>
        </is>
      </c>
      <c r="H82" t="inlineStr"/>
      <c r="I82" t="inlineStr">
        <is>
          <t>Dice is the leading career destination for tech experts at every stage of their careers. Our client, EdgeAll, is seeking the following. Apply via Dice today!
**Key Responsibilities**
* Design, build and operate MCP servers and MCP agents that host, orchestrate and monitor AI/agent workloads.
* Develop agentic AI, prompt engineering patterns, LLM integrations and developer tooling for production use.
* Own deployment, scaling, reliability and cost\-efficiency on Kubernetes/Docker and Google Cloud with automated CI/CD
* Design and implement RAG (RetrievalAugmented Generation) pipelines and integrations with vector stores and retrieval tooling; use LangChain and Langfuse for orchestration, chaining, and observability.
**Core Responsibilities**
* Implement and maintain MCP server and agent code, APIs, and SDKs for model access and agent orchestration.
* Design agent behavior, workflows and safety guards for agentic AI systems.
* Create, test and iterate prompt templates, evaluation harnesses and grounding/chainofthought strategies.
* Integrate LLMs and model providers (selfhosted and cloud APIs) with unified adapters and telemetry.
* Build developer tooling: CLI, local runner, simulators, and debugging tools for agents and prompts.
* Containerize services (Docker), manage orchestration (Kubernetes/GKE), and optimize nodes, autoscaling and resource requests.
* Ensure observability: logging, metrics, traces, dashboards, alerting and SLOs for model infra and agents.
* Create runbooks, playbooks and incident response procedures; reduce MTTR and perform postmortems.
* Design and maintain RAG workflows: document chunking, embeddings, vector indexing, retrieval strategies, reranking and context injection.
* Integrate and instrument LangChain for composable chains, agents and tooling; use Langfuse (or equivalent tracing) to capture prompts, model calls, RAG traces and evaluation telemetry.
**Required Skills \&amp; Experience**
* 5\+ years of Strong Software Engineering (Python/NodeJS), system design and production service experience.
* 2\+ years of Experience with LLMs, prompt engineering, and agent frameworks.
* 2\+ years of Experience Practical experience implementing RAG: embeddings, vector DBs and retrieval tuning.
* 2\+ years of Experience with LangChain patterns and with toolchain telemetry (Langfuse or similar) for prompt/model traceability.
* 5\+ years of Experience with Kubernetes, Docker, CI/CD and infrastructureascode experience.
* 2\+ years of Experience with Practical experience with Google Cloud Platform services
* 2\+ years of Experience with Observability, testing, and security best practices for distributed systems.
* 2\+ years of Experience with evaluating and mitigating retrieval/augmentation failures, hallucinations, and leakage risks in RAG systems.
* Familiarity with vendor and opensource vector stores and embedding providers.
* Familiarity with CI/CD pipelines (Jenkins, GitHub Actions, GitLab CI, or ArgoCD).</t>
        </is>
      </c>
    </row>
    <row r="83">
      <c r="A83" t="inlineStr">
        <is>
          <t>li-4330993466</t>
        </is>
      </c>
      <c r="B83" t="inlineStr">
        <is>
          <t>Senior AI Engineer with strong financial domain experience</t>
        </is>
      </c>
      <c r="C83" t="inlineStr">
        <is>
          <t>Jobs via Dice</t>
        </is>
      </c>
      <c r="D83" t="inlineStr">
        <is>
          <t>linkedin</t>
        </is>
      </c>
      <c r="E83" t="inlineStr"/>
      <c r="F83" t="inlineStr"/>
      <c r="G83" t="inlineStr">
        <is>
          <t>New York, NY</t>
        </is>
      </c>
      <c r="H83" t="inlineStr"/>
      <c r="I83" t="inlineStr">
        <is>
          <t>Dice is the leading career destination for tech experts at every stage of their careers. Our client, Alltech Consulting Services, Inc., is seeking the following. Apply via Dice today!
 Job Title:
 **Senior AI Engineer with strong financial domain experience.**
 Location:
 **New York (3 Bryant Park New York, NY 10036\) 4 Days onsite Role**
**FTE role**
**Essential Experience \&amp; Skills:**
**Advanced Python expertise, plus experience with other major backend languages (e.g., Java, C\+\+, Go) and modern AI/ML toolkits**
**Demonstrated proficiency in designing, validating, and launching code\-generation systems and agentic workflows, strong familiarity with prompt engineering and AI model deployment**
**Track record of hands\-on technical leadership within agile teams, overseeing both human and AI\-generated codebases and ensuring auditability, explainability, and compliance at scale**
**Expertise in code review, automated testing, and documentation standards for mixed human/AI development environments**
**Key Responsibilities:**
 Build and demonstrate AI\-powered solutions for financial applications preferably in investment banking, Trading or insurance environments.
 Translate complex AI concepts into actionable business value for both technical and non\-technical stakeholders, simplifying information for internal teams and executive leadership.
 Lead workshops, seminars, and training sessions for teams across the organization, promoting AI literacy and upskilling staff in banking, investment, or insurance environments.
 Ability and /or experience in authoring technical blogs, white papers, and internal documentation that explain the impact and possibilities of AI in the financial domain.
 Experience on working on advisory capacity to CxO, Head of Engineering, Head of Architecture on technical strategies
 Act as a visible presence at industry conferences, webinars, and external forums to position the organization as a leader in responsible AI use within finance.
 Partner with compliance, risk, and IT teams to ensure all AI solutions meet strict regulatory and ethical standards prevalent in financial services.
 Prototype, test, and deploy AI models that address market forecasting, customer insights, automated underwriting, or anti\-money laundering strategies.
**Key Technical And Design Responsibilities**
 Build, deploy, and manage both agentic AI architectures and generative code systems, ensuring scalable and secure integration of technologies like LLMs, code generators, and automation agents within production workflows.
 Oversee technical design, implementation, and code reviews especially for code created or assisted by AI tools maintaining high standards of security, performance, and maintainability in Python and other programming languages.
 Develop robust testing and validation protocols for AI\-generated code and agent behavior, including prompt engineering, debugging, and post\-deployment monitoring for unusual failure patterns or compliance issues.
 Lead technical teams, mentor junior engineers, and set excellence in software engineering practices; create documentation and establish guidelines for both human and AI\-driven contributions
 Collaborate with cross\-functional stakeholders (DevOps, security, product, and business leaders) to ensure rapid, safe adoption of agentic and generative AI features
**Essential Qualifications**
 Bachelor s or master s degree in computer science, Data Science, Finance, or related field.
 Experience in one or many of the high\-level programming languages like C\+\+, Java, C\#
 Good understanding of Typescript, Node.js and other JS framework for UI development
 Strong hands\-on experience with Python, SQL, and AI/ML frameworks (e.g., TensorFlow, PyTorch) as applied to financial data and workflows
 At least 4\+ years working in AI roles within finance, fintech, or technical consulting, preferably with exposure to regulatory environments.
 Deep knowledge of AI ethics, compliance, Guardrails, data privacy, and compliance trends relevant to the financial sector.
 Excellent communication, stakeholder engagement, and technical storytelling abilities.\[7]\[3]
 Demonstrated ability to manage multiple priorities and projects while maintaining strategic alignment and rigorous attention to detail.
**Desired Traits**
 Passion for driving innovation and adoption of AI in highly regulated settings.
 Effective at stakeholder education from boardroom to engineering teams.
 Strong problem\-solving mindset, able to translate technical outputs into practical business recommendations.
 Integrity and diligence, with a commitment to both organizational objectives and ethical AI deployment.</t>
        </is>
      </c>
    </row>
    <row r="84">
      <c r="A84" t="inlineStr">
        <is>
          <t>li-4331003379</t>
        </is>
      </c>
      <c r="B84" t="inlineStr">
        <is>
          <t>Sr. AWS Bedrock AI Engineer</t>
        </is>
      </c>
      <c r="C84" t="inlineStr">
        <is>
          <t>Jobs via Dice</t>
        </is>
      </c>
      <c r="D84" t="inlineStr">
        <is>
          <t>linkedin</t>
        </is>
      </c>
      <c r="E84" t="inlineStr"/>
      <c r="F84" t="inlineStr"/>
      <c r="G84" t="inlineStr"/>
      <c r="H84" t="inlineStr"/>
      <c r="I84" t="inlineStr">
        <is>
          <t>Dice is the leading career destination for tech experts at every stage of their careers. Our client, Estuate Inc., is seeking the following. Apply via Dice today!
 Hi,
 We have a very urgent requirement for
 **Sr. AWS Bedrock AI Engineer.** 
 Please let me know if you or someone you know is interested.
 Please see the job details below.
 Job Title:
 **Sr. AWS Bedrock AI Engineer**
 Location: Remote
 Duration: 8 Months
**Sr. AWS Bedrock AI Engineer**
 Strong Python skills with AWS Bedrock agentic services, Program AWS services like S3,Lambda, API gateway, Step functions. Hands\-on experience with RAG implementations. Experience building and consuming REST/GraphQL APIs.
 Kakuli \| Estuate, Inc.
 P :
 E:
 830 Hillview Ct, \#280, Milpitas, CA 95035</t>
        </is>
      </c>
    </row>
    <row r="85">
      <c r="A85" t="inlineStr">
        <is>
          <t>li-4359481558</t>
        </is>
      </c>
      <c r="B85" t="inlineStr">
        <is>
          <t>Applied Scientist II, Prime Video Personalization and Discovery Science</t>
        </is>
      </c>
      <c r="C85" t="inlineStr">
        <is>
          <t>Prime Video &amp; Amazon MGM Studios</t>
        </is>
      </c>
      <c r="D85" t="inlineStr">
        <is>
          <t>linkedin</t>
        </is>
      </c>
      <c r="E85">
        <f>HYPERLINK("https://www.linkedin.com/jobs/view/4359481558", "https://www.linkedin.com/jobs/view/4359481558")</f>
        <v/>
      </c>
      <c r="F85" t="inlineStr"/>
      <c r="G85" t="inlineStr">
        <is>
          <t>New York, United States</t>
        </is>
      </c>
      <c r="H85" t="inlineStr"/>
      <c r="I85"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A3155448</t>
        </is>
      </c>
    </row>
    <row r="86">
      <c r="A86" t="inlineStr">
        <is>
          <t>li-4359611501</t>
        </is>
      </c>
      <c r="B86" t="inlineStr">
        <is>
          <t>Applied Scientist II, Prime Video Personalization and Discovery Science</t>
        </is>
      </c>
      <c r="C86" t="inlineStr">
        <is>
          <t>Prime Video &amp; Amazon MGM Studios</t>
        </is>
      </c>
      <c r="D86" t="inlineStr">
        <is>
          <t>linkedin</t>
        </is>
      </c>
      <c r="E86">
        <f>HYPERLINK("https://www.linkedin.com/jobs/view/4359611501", "https://www.linkedin.com/jobs/view/4359611501")</f>
        <v/>
      </c>
      <c r="F86" t="inlineStr"/>
      <c r="G86" t="inlineStr">
        <is>
          <t>Sunnyvale, CA</t>
        </is>
      </c>
      <c r="H86" t="inlineStr"/>
      <c r="I86"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A3155448</t>
        </is>
      </c>
    </row>
    <row r="87">
      <c r="A87" t="inlineStr">
        <is>
          <t>li-4359385553</t>
        </is>
      </c>
      <c r="B87" t="inlineStr">
        <is>
          <t>Applied Scientist, Generative AI Innovation Center, Model Customization</t>
        </is>
      </c>
      <c r="C87" t="inlineStr">
        <is>
          <t>Amazon Web Services (AWS)</t>
        </is>
      </c>
      <c r="D87" t="inlineStr">
        <is>
          <t>linkedin</t>
        </is>
      </c>
      <c r="E87">
        <f>HYPERLINK("https://www.linkedin.com/jobs/view/4359385553", "https://www.linkedin.com/jobs/view/4359385553")</f>
        <v/>
      </c>
      <c r="F87">
        <f>HYPERLINK("https://www.amazon.jobs/jobs/3155502/applied-scientist-generative-ai-innovation-center-model-customization?cmpid=SPLICX0248M&amp;utm_source=linkedin.com&amp;utm_campaign=cxro&amp;utm_medium=social_media&amp;utm_content=job_posting&amp;ss=paid&amp;urlHash=Wx2x", "https://www.amazon.jobs/jobs/3155502/applied-scientist-generative-ai-innovation-center-model-customization?cmpid=SPLICX0248M&amp;utm_source=linkedin.com&amp;utm_campaign=cxro&amp;utm_medium=social_media&amp;utm_content=job_posting&amp;ss=paid&amp;urlHash=Wx2x")</f>
        <v/>
      </c>
      <c r="G87" t="inlineStr">
        <is>
          <t>Seattle, WA</t>
        </is>
      </c>
      <c r="H87" t="inlineStr"/>
      <c r="I87" t="inlineStr">
        <is>
          <t>**Description**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3\+ years of building machine learning models for business application experience
* PhD degree in computer science, engineering, mathematics, operations research, or in a highly quantitative field, or Master’s degree plus 5 years of relevant work experience
* 5\+ years of hands on experience with Python to build, train, and evaluate models
* 2\+ years of experience in any of the following areas: algorithms and data structures, parsing, numerical optimization, data mining, parallel and distributed computing, high\-performance computing
* Experience with design, development, and optimization of generative AI solutions, algorithms, or technologies
* Scientific publication track record at top\-tier AI/ML/NLP conferences or journals
**Preferred Qualifications**
* 2\+ years demonstrated experience with Large Language Model (LLM) and Foundational Model post\-training, continual pre\-training, fine\-tuning, or reinforcement learning techniques.
* Demonstrated experience with building LLM\-powered agentic workflow, orchestration, and agent customization
* Track record of building and deploying ML models at scale
* Experience with model optimization techniques (quantization, distillation, compression, inference optimization etc.)
* Experience with open\-source frameworks for model customization like trl, verl, and for building LLM\-powered applications like LangChain, LlamaIndex, and/ or similar tools
* Hands\-on experience building generative AI applications on AWS using services such as Amazon Bedrock and Amazon SageMaker
* Strong communication skills, with attention to detail and ability to convey rigorous technical concepts and considerations to non\-experts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A3155502</t>
        </is>
      </c>
    </row>
    <row r="88">
      <c r="A88" t="inlineStr">
        <is>
          <t>li-4359441411</t>
        </is>
      </c>
      <c r="B88" t="inlineStr">
        <is>
          <t>Applied Scientist, Generative AI Innovation Center, Model Customization</t>
        </is>
      </c>
      <c r="C88" t="inlineStr">
        <is>
          <t>Amazon Web Services (AWS)</t>
        </is>
      </c>
      <c r="D88" t="inlineStr">
        <is>
          <t>linkedin</t>
        </is>
      </c>
      <c r="E88">
        <f>HYPERLINK("https://www.linkedin.com/jobs/view/4359441411", "https://www.linkedin.com/jobs/view/4359441411")</f>
        <v/>
      </c>
      <c r="F88" t="inlineStr"/>
      <c r="G88" t="inlineStr">
        <is>
          <t>Bellevue, WA</t>
        </is>
      </c>
      <c r="H88" t="inlineStr"/>
      <c r="I88" t="inlineStr">
        <is>
          <t>**Description**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3\+ years of building machine learning models for business application experience
* PhD degree in computer science, engineering, mathematics, operations research, or in a highly quantitative field, or Master’s degree plus 5 years of relevant work experience
* 5\+ years of hands on experience with Python to build, train, and evaluate models
* 2\+ years of experience in any of the following areas: algorithms and data structures, parsing, numerical optimization, data mining, parallel and distributed computing, high\-performance computing
* Experience with design, development, and optimization of generative AI solutions, algorithms, or technologies
* Scientific publication track record at top\-tier AI/ML/NLP conferences or journals
**Preferred Qualifications**
* 2\+ years demonstrated experience with Large Language Model (LLM) and Foundational Model post\-training, continual pre\-training, fine\-tuning, or reinforcement learning techniques.
* Demonstrated experience with building LLM\-powered agentic workflow, orchestration, and agent customization
* Track record of building and deploying ML models at scale
* Experience with model optimization techniques (quantization, distillation, compression, inference optimization etc.)
* Experience with open\-source frameworks for model customization like trl, verl, and for building LLM\-powered applications like LangChain, LlamaIndex, and/ or similar tools
* Hands\-on experience building generative AI applications on AWS using services such as Amazon Bedrock and Amazon SageMaker
* Strong communication skills, with attention to detail and ability to convey rigorous technical concepts and considerations to non\-experts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A3155502</t>
        </is>
      </c>
    </row>
    <row r="89">
      <c r="A89" t="inlineStr">
        <is>
          <t>li-4359471558</t>
        </is>
      </c>
      <c r="B89" t="inlineStr">
        <is>
          <t>Applied Scientist, Generative AI Innovation Center, Model Customization</t>
        </is>
      </c>
      <c r="C89" t="inlineStr">
        <is>
          <t>Amazon Web Services (AWS)</t>
        </is>
      </c>
      <c r="D89" t="inlineStr">
        <is>
          <t>linkedin</t>
        </is>
      </c>
      <c r="E89">
        <f>HYPERLINK("https://www.linkedin.com/jobs/view/4359471558", "https://www.linkedin.com/jobs/view/4359471558")</f>
        <v/>
      </c>
      <c r="F89" t="inlineStr"/>
      <c r="G89" t="inlineStr">
        <is>
          <t>New York, United States</t>
        </is>
      </c>
      <c r="H89" t="inlineStr"/>
      <c r="I89" t="inlineStr">
        <is>
          <t>**Description**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3\+ years of building machine learning models for business application experience
* PhD degree in computer science, engineering, mathematics, operations research, or in a highly quantitative field, or Master’s degree plus 5 years of relevant work experience
* 5\+ years of hands on experience with Python to build, train, and evaluate models
* 2\+ years of experience in any of the following areas: algorithms and data structures, parsing, numerical optimization, data mining, parallel and distributed computing, high\-performance computing
* Experience with design, development, and optimization of generative AI solutions, algorithms, or technologies
* Scientific publication track record at top\-tier AI/ML/NLP conferences or journals
**Preferred Qualifications**
* 2\+ years demonstrated experience with Large Language Model (LLM) and Foundational Model post\-training, continual pre\-training, fine\-tuning, or reinforcement learning techniques.
* Demonstrated experience with building LLM\-powered agentic workflow, orchestration, and agent customization
* Track record of building and deploying ML models at scale
* Experience with model optimization techniques (quantization, distillation, compression, inference optimization etc.)
* Experience with open\-source frameworks for model customization like trl, verl, and for building LLM\-powered applications like LangChain, LlamaIndex, and/ or similar tools
* Hands\-on experience building generative AI applications on AWS using services such as Amazon Bedrock and Amazon SageMaker
* Strong communication skills, with attention to detail and ability to convey rigorous technical concepts and considerations to non\-experts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A3155502</t>
        </is>
      </c>
    </row>
    <row r="90">
      <c r="A90" t="inlineStr">
        <is>
          <t>li-4359621494</t>
        </is>
      </c>
      <c r="B90" t="inlineStr">
        <is>
          <t>Applied Scientist, Generative AI Innovation Center, Model Customization</t>
        </is>
      </c>
      <c r="C90" t="inlineStr">
        <is>
          <t>Amazon Web Services (AWS)</t>
        </is>
      </c>
      <c r="D90" t="inlineStr">
        <is>
          <t>linkedin</t>
        </is>
      </c>
      <c r="E90">
        <f>HYPERLINK("https://www.linkedin.com/jobs/view/4359621494", "https://www.linkedin.com/jobs/view/4359621494")</f>
        <v/>
      </c>
      <c r="F90" t="inlineStr"/>
      <c r="G90" t="inlineStr">
        <is>
          <t>Arlington, VA</t>
        </is>
      </c>
      <c r="H90" t="inlineStr"/>
      <c r="I90" t="inlineStr">
        <is>
          <t>**Description**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3\+ years of building machine learning models for business application experience
* PhD degree in computer science, engineering, mathematics, operations research, or in a highly quantitative field, or Master’s degree plus 5 years of relevant work experience
* 5\+ years of hands on experience with Python to build, train, and evaluate models
* 2\+ years of experience in any of the following areas: algorithms and data structures, parsing, numerical optimization, data mining, parallel and distributed computing, high\-performance computing
* Experience with design, development, and optimization of generative AI solutions, algorithms, or technologies
* Scientific publication track record at top\-tier AI/ML/NLP conferences or journals
**Preferred Qualifications**
* 2\+ years demonstrated experience with Large Language Model (LLM) and Foundational Model post\-training, continual pre\-training, fine\-tuning, or reinforcement learning techniques.
* Demonstrated experience with building LLM\-powered agentic workflow, orchestration, and agent customization
* Track record of building and deploying ML models at scale
* Experience with model optimization techniques (quantization, distillation, compression, inference optimization etc.)
* Experience with open\-source frameworks for model customization like trl, verl, and for building LLM\-powered applications like LangChain, LlamaIndex, and/ or similar tools
* Hands\-on experience building generative AI applications on AWS using services such as Amazon Bedrock and Amazon SageMaker
* Strong communication skills, with attention to detail and ability to convey rigorous technical concepts and considerations to non\-experts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A3155502</t>
        </is>
      </c>
    </row>
    <row r="91">
      <c r="A91" t="inlineStr">
        <is>
          <t>li-4352083016</t>
        </is>
      </c>
      <c r="B91" t="inlineStr">
        <is>
          <t>Machine Learning Engineer II</t>
        </is>
      </c>
      <c r="C91" t="inlineStr">
        <is>
          <t>Attentive</t>
        </is>
      </c>
      <c r="D91" t="inlineStr">
        <is>
          <t>linkedin</t>
        </is>
      </c>
      <c r="E91">
        <f>HYPERLINK("https://www.linkedin.com/jobs/view/4352083016", "https://www.linkedin.com/jobs/view/4352083016")</f>
        <v/>
      </c>
      <c r="F91">
        <f>HYPERLINK("https://jobs.lever.co/attentive/e93d2b42-c184-4608-9bca-99ea76ffb67a/apply?lever-source=LinkedIn&amp;urlHash=9ePa", "https://jobs.lever.co/attentive/e93d2b42-c184-4608-9bca-99ea76ffb67a/apply?lever-source=LinkedIn&amp;urlHash=9ePa")</f>
        <v/>
      </c>
      <c r="G91" t="inlineStr">
        <is>
          <t>New York, NY</t>
        </is>
      </c>
      <c r="H91" t="inlineStr"/>
      <c r="I91"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As a Machine Learning Engineer II, you will contribute to building and improving machine learning models and infrastructure that power real\-time personalization across the Attentive platform. This role is ideal for an engineer who has solid production ML experience and is looking to grow their impact, technical depth, and ownership within a collaborative team environment.
 You will work closely with senior ML engineers, product managers, and platform teams to implement end\-to\-end ML use cases while continuing to develop strong ML engineering fundamentals.
**What You’ll Accomplish** 
* Build and maintain machine learning models and pipelines used in production
* Contribute to data processing, feature engineering, model training, and evaluation workflows
* Assist in deploying, monitoring, and validating ML models in production environments
* Partner with senior engineers and product managers to implement ML\-driven features
* Write high\-quality, well\-tested code and help prevent regressions through testing and monitoring
* Learn and apply best practices in ML engineering, system reliability, and scalability
* Participate in design discussions, code reviews, and team knowledge sharing
* Grow your technical skills in a fast\-paced, high\-impact environment
**Your Expertise** 
* 3\+ years of professional software engineering experience, with 2\+ years working on machine learning or data\-driven systems
* Proficiency in Python and familiarity with ML frameworks such as PyTorch, TensorFlow, or xgboost
* Experience with data analysis and processing tools such as pandas, SQL, Spark, or similar
* Exposure to building or supporting ML pipelines for training, validation, or deployment
* Understanding of production concerns such as monitoring, performance, and data quality
* Strong collaboration and communication skills, with a growth\-oriented mindset
**What We Use** 
* Infrastructure: Kubernetes (AWS EKS), Istio, Datadog, Terraform, Cloudflare, Helm
* Backend: Java / Spring Boot microservices (Gradle), DynamoDB, Kinesis, Airflow, Postgres, PlanetScale, Redis
* Frontend: React, TypeScript, GraphQL, Storybook, Radix UI, Vite, Playwright
* ML \&amp; Data: Python, Metaflow, HuggingFace 🤗, PyTorch, TensorFlow, Panda
 You'll get competitive
 perks and benefits
 , from health \&amp; wellness to equity, to help you bring your best self to work.
**For US based applicants:
 \- The US base salary range for this full\-time position is $212,000 \- 280,000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92">
      <c r="A92" t="inlineStr">
        <is>
          <t>li-4351995584</t>
        </is>
      </c>
      <c r="B92" t="inlineStr">
        <is>
          <t>Machine Learning Engineer II</t>
        </is>
      </c>
      <c r="C92" t="inlineStr">
        <is>
          <t>Attentive</t>
        </is>
      </c>
      <c r="D92" t="inlineStr">
        <is>
          <t>linkedin</t>
        </is>
      </c>
      <c r="E92">
        <f>HYPERLINK("https://www.linkedin.com/jobs/view/4351995584", "https://www.linkedin.com/jobs/view/4351995584")</f>
        <v/>
      </c>
      <c r="F92">
        <f>HYPERLINK("https://jobs.lever.co/attentive/e93d2b42-c184-4608-9bca-99ea76ffb67a/apply?lever-source=LinkedIn&amp;urlHash=9ePa", "https://jobs.lever.co/attentive/e93d2b42-c184-4608-9bca-99ea76ffb67a/apply?lever-source=LinkedIn&amp;urlHash=9ePa")</f>
        <v/>
      </c>
      <c r="G92" t="inlineStr">
        <is>
          <t>San Francisco, CA</t>
        </is>
      </c>
      <c r="H92" t="inlineStr"/>
      <c r="I92"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As a Machine Learning Engineer II, you will contribute to building and improving machine learning models and infrastructure that power real\-time personalization across the Attentive platform. This role is ideal for an engineer who has solid production ML experience and is looking to grow their impact, technical depth, and ownership within a collaborative team environment.
 You will work closely with senior ML engineers, product managers, and platform teams to implement end\-to\-end ML use cases while continuing to develop strong ML engineering fundamentals.
**What You’ll Accomplish** 
* Build and maintain machine learning models and pipelines used in production
* Contribute to data processing, feature engineering, model training, and evaluation workflows
* Assist in deploying, monitoring, and validating ML models in production environments
* Partner with senior engineers and product managers to implement ML\-driven features
* Write high\-quality, well\-tested code and help prevent regressions through testing and monitoring
* Learn and apply best practices in ML engineering, system reliability, and scalability
* Participate in design discussions, code reviews, and team knowledge sharing
* Grow your technical skills in a fast\-paced, high\-impact environment
**Your Expertise** 
* 3\+ years of professional software engineering experience, with 2\+ years working on machine learning or data\-driven systems
* Proficiency in Python and familiarity with ML frameworks such as PyTorch, TensorFlow, or xgboost
* Experience with data analysis and processing tools such as pandas, SQL, Spark, or similar
* Exposure to building or supporting ML pipelines for training, validation, or deployment
* Understanding of production concerns such as monitoring, performance, and data quality
* Strong collaboration and communication skills, with a growth\-oriented mindset
**What We Use** 
* Infrastructure: Kubernetes (AWS EKS), Istio, Datadog, Terraform, Cloudflare, Helm
* Backend: Java / Spring Boot microservices (Gradle), DynamoDB, Kinesis, Airflow, Postgres, PlanetScale, Redis
* Frontend: React, TypeScript, GraphQL, Storybook, Radix UI, Vite, Playwright
* ML \&amp; Data: Python, Metaflow, HuggingFace 🤗, PyTorch, TensorFlow, Panda
 You'll get competitive
 perks and benefits
 , from health \&amp; wellness to equity, to help you bring your best self to work.
**For US based applicants:
 \- The US base salary range for this full\-time position is $212,000 \- 280,000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93">
      <c r="A93" t="inlineStr">
        <is>
          <t>li-4359471294</t>
        </is>
      </c>
      <c r="B93" t="inlineStr">
        <is>
          <t>AI Engineer</t>
        </is>
      </c>
      <c r="C93" t="inlineStr">
        <is>
          <t>Singleton Group</t>
        </is>
      </c>
      <c r="D93" t="inlineStr">
        <is>
          <t>linkedin</t>
        </is>
      </c>
      <c r="E93">
        <f>HYPERLINK("https://www.linkedin.com/jobs/view/4359471294", "https://www.linkedin.com/jobs/view/4359471294")</f>
        <v/>
      </c>
      <c r="F93" t="inlineStr"/>
      <c r="G93" t="inlineStr">
        <is>
          <t>Austin, TX</t>
        </is>
      </c>
      <c r="H93" t="inlineStr"/>
      <c r="I93" t="inlineStr">
        <is>
          <t>We're looking for someone that can help a client handle the "software engineering side" of AI/ML projects. Our client is a media consulting company and has a number of possible AI use cases. This person will be joining a small team that is addressing those use cases by building experimental products and POCs.
 A successful candidate will have:
* A mindset that allows them to dive into projects and try new things on a regular basis
* 3\+ years of overall software engineering experience with Python
* At least 1 year of working on production AI systems, ideally AI Agents or autonomous systems
* Experience with DevOps concepts and deploying applications
 This position will require 2 days a week onsite at an office in Downtown Austin. We'll be prioritizing people already located in the Austin metro area as we are deciding which candidates to speak with.</t>
        </is>
      </c>
    </row>
    <row r="94">
      <c r="A94" t="inlineStr">
        <is>
          <t>li-4352162310</t>
        </is>
      </c>
      <c r="B94" t="inlineStr">
        <is>
          <t>Machine Learning Engineer</t>
        </is>
      </c>
      <c r="C94" t="inlineStr">
        <is>
          <t>Mayzax Solutions</t>
        </is>
      </c>
      <c r="D94" t="inlineStr">
        <is>
          <t>linkedin</t>
        </is>
      </c>
      <c r="E94">
        <f>HYPERLINK("https://www.linkedin.com/jobs/view/4352162310", "https://www.linkedin.com/jobs/view/4352162310")</f>
        <v/>
      </c>
      <c r="F94" t="inlineStr"/>
      <c r="G94" t="inlineStr">
        <is>
          <t>Delaware, United States</t>
        </is>
      </c>
      <c r="H94" t="inlineStr"/>
      <c r="I94" t="inlineStr">
        <is>
          <t>**About the Company** 
 Mayzax Solutions is a company located in Delaware, USA (Onsite / Hybrid / Remote – based on project requirements). Our mission is to provide innovative solutions in the field of machine learning and AI, fostering a culture of collaboration and continuous learning.
**About the Role** 
 Mayzax Solutions is looking for a motivated Entry\-Level Machine Learning Engineer to join our growing team. This role is ideal for recent graduates or early\-career professionals who are passionate about machine learning and eager to work on real\-world data and AI projects in a production environment. You will work under the guidance of senior engineers and data scientists to build, test, and deploy machine learning models that support business objectives.
**Responsibilities** 
* Assist in developing and training machine learning models using structured and unstructured data
* Perform data cleaning, preprocessing, and feature engineering
* Support model evaluation, testing, and performance optimization
* Help deploy ML models using APIs or cloud\-based platforms
* Collaborate with senior ML engineers, data scientists, and software teams
* Participate in code reviews, documentation, and knowledge sharing
* Monitor model performance and assist with updates and improvements
**Qualifications** 
* Bachelor’s or Master’s degree in Computer Science, Data Science, AI, Engineering, or related field
**Required Skills** 
* Strong foundation in Python programming
* Basic understanding of machine learning concepts (supervised/unsupervised learning)
* Familiarity with libraries such as Pandas, NumPy, Scikit\-learn
* Understanding of data structures, algorithms, and basic statistics
* Willingness to learn and work in a fast\-paced environment
**Preferred Skills** 
* Academic or project experience with TensorFlow or PyTorch
* Exposure to SQL and basic data querying
* Familiarity with Git / version control
* Knowledge of cloud platforms (AWS, Azure, or GCP) is a plus
* Internship, academic projects, or GitHub portfolio related to ML/AI
**Pay range and compensation package** 
 Entry\-level opportunity to start a career in Machine Learning \&amp; AI. Mentorship from experienced ML and software engineers. Hands\-on experience with real client projects. Career growth and upskilling opportunities. Supportive and collaborative work culture.
**Equal Opportunity Statement** 
 We are committed to diversity and inclusivity in our hiring practices and strive to create a workplace where everyone feels valued and respected.</t>
        </is>
      </c>
    </row>
    <row r="95">
      <c r="A95" t="inlineStr">
        <is>
          <t>li-4330917291</t>
        </is>
      </c>
      <c r="B95" t="inlineStr">
        <is>
          <t>AI/ML Engineer</t>
        </is>
      </c>
      <c r="C95" t="inlineStr">
        <is>
          <t>Vanguard</t>
        </is>
      </c>
      <c r="D95" t="inlineStr">
        <is>
          <t>linkedin</t>
        </is>
      </c>
      <c r="E95">
        <f>HYPERLINK("https://www.linkedin.com/jobs/view/4330917291", "https://www.linkedin.com/jobs/view/4330917291")</f>
        <v/>
      </c>
      <c r="F95" t="inlineStr"/>
      <c r="G95" t="inlineStr">
        <is>
          <t>Charlotte, NC</t>
        </is>
      </c>
      <c r="H95" t="inlineStr"/>
      <c r="I95" t="inlineStr">
        <is>
          <t>**Core Responsibilities**
* Leverages data pipeline designs and supports the development of data pipelines to support model development. Proficient with software tools that develop data pipelines in a distributed computing environment (PySprak, GlueETL).
* Supports integration of model pipelines in a production environment. Develops understanding of SDLC for model production.
* Reviews pipeline designs, makes data model design changes as needed. Documents and reviews design changes with data science teams.
* Supports data discovery \&amp; automated ingestion for model development. Performs detailed analysis of raw data sources for data quality, applies business context, and model development needs.
* Engages with internal stakeholders to understand and probe business processes in order to develop hypotheses. Brings structure to requests and translates requirements into an analytic approach. Participates in and influences ongoing business planning and departmental prioritization activities.
* Runs model monitoring scripts, follows process for alerts to management as needed. Addresses issues found in data pipelines from model monitoring alerts.
* Participates in special projects and performs other duties as assigned.
**Qualifications**
* Gen AI experience \- finetuning SLMs , application evaluation
* Experience with AWS suite of tools such as bedrock , agent core
* Undergraduate degree or equivalent combination of training and experience.
* Minimum of five years related work experience.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96">
      <c r="A96" t="inlineStr">
        <is>
          <t>li-4331551219</t>
        </is>
      </c>
      <c r="B96" t="inlineStr">
        <is>
          <t>Senior Machine Learning Engineer</t>
        </is>
      </c>
      <c r="C96" t="inlineStr">
        <is>
          <t>Conviva</t>
        </is>
      </c>
      <c r="D96" t="inlineStr">
        <is>
          <t>linkedin</t>
        </is>
      </c>
      <c r="E96">
        <f>HYPERLINK("https://www.linkedin.com/jobs/view/4331551219", "https://www.linkedin.com/jobs/view/4331551219")</f>
        <v/>
      </c>
      <c r="F96" t="inlineStr"/>
      <c r="G96" t="inlineStr">
        <is>
          <t>Foster City, CA</t>
        </is>
      </c>
      <c r="H96" t="inlineStr"/>
      <c r="I96" t="inlineStr">
        <is>
          <t>**Conviva is the intelligence layer for digital businesses, turning every consumer interaction into outcome\-based intelligence—linking engagement patterns across AI agents, apps, websites, and streaming video to real results such as purchases, bookings, and resolved support requests. Powered by its patented Time\-State Technology®, the Conviva® Operational Data Platform delivers real\-time insights and automation that help leading enterprises grow, improve satisfaction, and build lasting trust.**
 As a
 **Senior Machine Learning Engineer** 
 , you will play a key role in advancing our AI initiatives and contributing to the development of our Real\-Time Performance Analytics Platform. You will work across a broad range of ML technologies to create innovative, customer\-focused solutions.
 In this role, you’ll collaborate closely with vertical product teams to design and deploy ML models directly within product pipelines. You’ll work with other team members to build scalable ML tooling and infrastructure, combining research, product integration, and data development.
**What Success Will Look Like**
* Design, develop, and deploy machine learning models that power AI\-based features across a large\-scale data analytics platform.
* Own ML systems end\-to\-end, from data ingestion and feature engineering to training, deployment, monitoring, and iteration in production environments.
* Build and maintain ML infrastructure and MLOps pipelines for scalable, repeatable model development and deployment.
* Collaborate with infrastructure and backend engineers and product teams to ensure ML solutions are aligned with platform performance and user needs.
* Continuously evaluate model performance using robust testing, monitoring, and alerting systems for data and model drift.
* Identify opportunities to improve system robustness and proactively detect data, device, or user level anomalies through intelligent alert mechanisms.
* Drive technical decisions, code quality, and best practices for ML engineering within a small, high\-impact team.
**Who You Are And What You've Done**
* PhD in Computer Science, Machine Learning, or a related technical field; OR a Master’s degree in Computer Science or Machine Learning with 2\+ years of experience in machine learning engineering or a related field.
* Proven track record of owning the ML lifecycle: data pipelines, model training, validation, deployment, monitoring, and optimization.
* Strong software engineering background with 5\+ years of experience and proficiency in modern languages like Python, Rust, Java, or Scala.
* Experience with big data frameworks (e.g., RAY, Spark, Flink) and ML infrastructure (e.g., MLflow, Kubeflow, or custom pipelines).
* Strong cross\-functional collaboration skills and a bias toward proactive problem\-solving, continuous improvement, and system\-level thinking.
**What Would Make You Stand Out (Bonus Points)**
* Experience with real\-time data processing and analytics.
* Familiarity with time series analysis and forecasting techniques.
* Background in building AI\-powered alerts, anomaly detection, or similar AI driven applications.
* Familiarity with cloud\-based ML deployment and MLOps best practices.
* This position will be based in our Foster City, CA office.
*The expected salary range for this full\-time position is $180,000 \- $220,000 \+ equity \+ benefits. The actual level and compensation are determined by several factors, such as your qualifications, professional background, and relevant experience.*
**To learn more about how Conviva can help improve the performance and outcomes of your digital services, visit www.conviva.com**</t>
        </is>
      </c>
    </row>
    <row r="97">
      <c r="A97" t="inlineStr">
        <is>
          <t>li-4352073505</t>
        </is>
      </c>
      <c r="B97" t="inlineStr">
        <is>
          <t>Machine Learning Engineer - Autonomy</t>
        </is>
      </c>
      <c r="C97" t="inlineStr">
        <is>
          <t>Wayve</t>
        </is>
      </c>
      <c r="D97" t="inlineStr">
        <is>
          <t>linkedin</t>
        </is>
      </c>
      <c r="E97">
        <f>HYPERLINK("https://www.linkedin.com/jobs/view/4352073505", "https://www.linkedin.com/jobs/view/4352073505")</f>
        <v/>
      </c>
      <c r="F97" t="inlineStr"/>
      <c r="G97" t="inlineStr">
        <is>
          <t>Sunnyvale, CA</t>
        </is>
      </c>
      <c r="H97" t="inlineStr"/>
      <c r="I97" t="inlineStr">
        <is>
          <t>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**The Role**
 We're looking for leaders who can foster innovation, drive strategic initiatives, and steer teams towards achieving breakthroughs in data centric AI.
 This role will sit in our Embodied AI division which consists of modelling, robotics, data and detectives teams working together to deliver an Autonomous Driving product.
 We are looking for an experienced Machine Learning Engineer to help us in our journey to scale end\-to\-end neural networks for autonomous driving. You’ll be working across our embodied AI org team to build, integrate, test and scale algorithms, tools, and machine learning solutions for autonomous driving.
**Challenges you will own**
* Technical leadership of at least one company wide program
* Developing and implementing machine learning models and robotics systems to enhance the capabilities of our Autonomous Vehicle stack.
* Collaborating with cross\-functional teams to contribute to the broader company strategy and roadmap, focusing on machine learning applications.
* Enhancing skills and knowledge in machine learning through continuous learning and application, while contributing to the growth and mentorship of junior engineers.
* Allocating personal bandwidth and technical resources effectively to meet both project requirements and personal professional development needs.
* Working with leadership and other teams to foster a culture that promotes collaboration, high impact, innovation, and a healthy work environment.
* Evaluating project decisions and outcomes, identifying dependencies, and analysing risks associated with machine learning deployments.
* Troubleshooting and optimising machine learning models and systems \- identify potential issues, challenge existing assumptions, introduce innovative solutions, and implement feedback loops to enhance model performance.
**About you**
**Essential**
* 7\+ years of software and machine learning engineering experience in an industrial or applied research environment
* Good insight into the practical aspects of training, validation, testing and metrics for deep learning features/models
* Passion to work in a team on research ideas that have real product impact
* A good grasp of machine learning literature, ideally published
* Comfortable working with large quantities of image and video data
* BSc above in Machine Learning, Computer Science, Engineering, or a related technical discipline or equivalent experience
**Desirable**
* Strong software engineering experience in Python and other relevant languages (e.g. C\+\+ and CUDA)
* Direct experience working in at least one of computer vision, robotics, simulation, graphics, or large language models.
* MS, or above in Machine Learning, Computer Science, Engineering, or a related technical discipline or equivalent experience
**What we offer you**
* The chance to be part of a truly mission driven organisation and an opportunity to shape the future of autonomous driving. Unlike our competitors, Wayve is still relatively small and nimble, giving you the chance to make a huge impact
* Competitive compensation and benefits
* A dynamic and fast\-paced work environment in which you will grow every day \- learning on the job, from the brightest minds in our space, and with support for more formal learning opportunities too
* A culture that is ego\-free, respectful and welcoming (of you and your dog) \- we even eat lunch together every day
* Benefits such as an onsite chef, workplace nursery scheme, private health insurance, cycle scheme, therapy, yoga, two onsite bars, large social budgets
* At Wayve we want the best of all worlds so we operate a hybrid working policy that combines time together in our offices and workshops to fuel innovation, culture, relationships and learning, and time spent working from home. We also operate core working hours so you can be where you need to be for family and loved ones too. Teams determine the routines that work best for them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For more information visit Careers at Wayve.
 To learn more about what drives us, visit Values at Wayve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is>
      </c>
    </row>
    <row r="98">
      <c r="A98" t="inlineStr">
        <is>
          <t>li-4359325630</t>
        </is>
      </c>
      <c r="B98" t="inlineStr">
        <is>
          <t>Machine Learning Engineer</t>
        </is>
      </c>
      <c r="C98" t="inlineStr">
        <is>
          <t>Coinbase</t>
        </is>
      </c>
      <c r="D98" t="inlineStr">
        <is>
          <t>linkedin</t>
        </is>
      </c>
      <c r="E98">
        <f>HYPERLINK("https://www.linkedin.com/jobs/view/4359325630", "https://www.linkedin.com/jobs/view/4359325630")</f>
        <v/>
      </c>
      <c r="F98" t="inlineStr"/>
      <c r="G98" t="inlineStr">
        <is>
          <t>New York, NY</t>
        </is>
      </c>
      <c r="H98" t="inlineStr"/>
      <c r="I98" t="inlineStr">
        <is>
          <t>Base is planning to bring a million developers and a billion users onchain. We need your help to make that happen.
 We believe that the onchain platform is the most important builder platform since the internet ("online"). We believe that the onchain platform should be open source, free to use, and globally available. And we believe that in order to make it really work, we need all hands on deck, working together to scale in a secure, decentralized, easy\-to\-use way.
 At Base, we live by our Stay Based values: we do the right thing, work hard, stay optimistic, prioritize the team, and push creative boundaries—all while building the future of onchain. We value a Zone 3\+ work ethic, where our team rises to the challenge, embraces hard weeks, and makes small to significant personal tradeoffs when necessary to drive impact and innovation.
 Base is incubated within Coinbase and plans to progressively decentralize in the years ahead. We believe that decentralization is critical to creating an open, global crypto economy that is accessible to everyone.
 Base is built on Optimism's open\-source OP Stack. We're joining as the second Core Dev team working on the OP Stack to ensure it's a public good available to everyone; and contributing a portion of sequencer revenue to funding public goods.
 The Base App Social Feed team is looking for a Machine Learning Engineer to help with building the foundation for a high\-signal social and trading feed experience, focusing on relevance, discovery, safety, and performance. As an Machine Learning Engineer, you'll design production\-scale ranking and AI systems end\-to\-end, owning data pipelines, features and embeddings, retrieval and RAG, and online inference while partnering closely with Data Science to measure the impact of new ranking models.
 What you'll be doing:
* Design, build, and iterate AI and ML\-powered ranking and relevance systems (including candidate generation, filtering, personalization, bandits, and learning\-to\-rank) that balance engagement, quality, and safety while meeting latency and reliability SLOs.
* Develop features and embeddings for users, content, graph, temporal, and safety signals; establish feature contracts, offline backfills, and online freshness.
* Stand up vector retrieval and RAG pipelines for semantic search, content understanding, and safety heuristics; tune retrieval quality, token/latency budgets, and evaluation.
* Build and operate online inference and batch scoring services for LLMs and ML models; optimize throughput, cost, caching, and autoscaling; introduce GPU\-aware scheduling where appropriate.
* Partner with Data Platform on data movement and pipelines (batch and streaming) that power ranking models and analytics; ensure data quality, lineage, documentation, and observability.
* Partner with Data Science to frame metrics and hypotheses, design trustworthy experiments, analyze results, and productionize improvements.
* Productionize models end\-to\-end (training, evaluation, versioning, registries, rollouts, shadowing/canary, rollback) with strong CI/CD and infra\-as\-code practices.
* Establish ML observability (data/feature drift, model performance, safety thresholds, online/offline eval, dashboards and alerting) to maintain quality over time.
* Collaborate cross\-functionally with product, design, platform/infra, safety, and CX to align on goals, roadmap, and risk management.
* Contribute to engineering excellence through documentation, code reviews, reliability improvements, and mentorship to junior engineers.
 What we look for in you:
* 3\+ years of ML engineering or recommender\-systems experience (or equivalent), including shipping production models and improving them iteratively.
* Strong software engineering fundamentals with proficiency in Python and SQL; experience building reliable services and data pipelines at scale.
* LLM and AI inference experience, including prompt/program design, evaluation frameworks, agentic workflows, or online performance optimization.
* Data pipelines and orchestration (batch and streaming), data quality/observability, and schema/feature contract management.
* ML operations (model registries, feature stores, experiment frameworks, offline/online evaluation, rollouts, and monitoring).
* Experimentation mindset with practical A/B testing design, metric selection, and rigorous analysis in partnership with Data Science.
* Clear, pragmatic communication and the ability to collaborate across product, design, and engineering to drive outcomes.
* A hunger to learn more about AI and ranking at production scale
* BS/MS in Computer Science, Machine Learning, or equivalent practical experience.
 Nice to haves:
* Experience with social feeds, marketplace dynamics, or personalization at scale.
* Hands\-on experience with ranking/relevance, candidate generation/two\-tower models, embeddings/vector search, contextual bandits, or RAG or retrieval\-enhanced workflows.
* Experience with content safety and quality signals (e.g., NSFW/abuse detection, watermarking, spam/fraud patterns) and ranking\-time mitigation.
* Knowledge of privacy, compliance, and responsible AI considerations in production ML.
* Exposure to Go or other strongly typed languages used in high\-performance backends.
*Position ID: GBML04US*
**Pay Transparency Notice** 
 :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$152,405—$190,000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99">
      <c r="A99" t="inlineStr">
        <is>
          <t>li-4331920455</t>
        </is>
      </c>
      <c r="B99" t="inlineStr">
        <is>
          <t>AI Engineer</t>
        </is>
      </c>
      <c r="C99" t="inlineStr">
        <is>
          <t>Medpace</t>
        </is>
      </c>
      <c r="D99" t="inlineStr">
        <is>
          <t>linkedin</t>
        </is>
      </c>
      <c r="E99">
        <f>HYPERLINK("https://www.linkedin.com/jobs/view/4331920455", "https://www.linkedin.com/jobs/view/4331920455")</f>
        <v/>
      </c>
      <c r="F99">
        <f>HYPERLINK("https://careers.medpace.com/jobs/12103?lang=en-us&amp;iis=Job%20Board&amp;iisn=LinkedIn&amp;urlHash=Jycl", "https://careers.medpace.com/jobs/12103?lang=en-us&amp;iis=Job%20Board&amp;iisn=LinkedIn&amp;urlHash=Jycl")</f>
        <v/>
      </c>
      <c r="G99" t="inlineStr">
        <is>
          <t>Cincinnati, OH</t>
        </is>
      </c>
      <c r="H99" t="inlineStr"/>
      <c r="I99" t="inlineStr">
        <is>
          <t>Do you have a passion for Artificial Intelligence (AI) and are looking to make a difference in how the latest clinical trials progress into the market?
 Do you have a background in data science and/or computer science with experience working with AI tools for interactive AI applications across various IT systems?
 If so, we have an exciting opportunity for you at Medpace.
 We are currently seeking a professional with experience with artificial intelligence (AI) tools such as NLP, LLM, IA etc. This professional will be programming and fine\-tuning various AI tools and helping IT teams to implement them into new applications.
 This professional will work collaboratively across the organization with multiple teams to improve the efficiency of company processes and provide insights and assistance to users.
**Responsibilities**
* Design, implement, and deploy machine learning models and systems to solve complex problems and drive business outcomes;
* Research, develop, and implement machine learning algorithms and models for tasks such as classification, regression, clustering, anomaly detection, and recommendation systems;
* Research, develop, and implement AI tools such as NLP, LLM, and IA;
* Collect, preprocess, and curate large datasets required for training generative models;
* Experiment with different machine learning techniques and algorithms, including supervised, unsupervised, semi\-supervised, reinforcement, and deep learning;
* Design and optimize machine learning pipelines and workflows, incorporating techniques for data cleaning, feature engineering, model selection, and hyperparameter tuning; and
* Develop scalable and efficient machine learning infrastructure and systems for training, testing, and deploying models in production environments.
**Qualifications**
* Bachelor’s degree or higher in Artificial Intelligence, Computer or Data Science, or related field. Master’s degree preferred;
* Proven experience implementing and fine\-tuning Large Language Models or interactive AI applications (\&gt;1 year post\-graduate experience);
* Technical proficiency in programming languages and frameworks commonly used in NLP and AI (e.g., Python, TensorFlow, PyTorch);
* Preferably several years of experience working with different AI capabilities and showcasing your passion both at work and outside work in the utilization of AI;
* Excellent communication skills to collaborate effectively with cross\-functional teams;
* A passion for staying up\-to\-date with the latest advancements in NLP and AI technologies; and
* Analytical thinker with great attention to detail.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100">
      <c r="A100" t="inlineStr">
        <is>
          <t>li-4352083290</t>
        </is>
      </c>
      <c r="B100" t="inlineStr">
        <is>
          <t>Senior Machine Learning Engineer (REMOTE)</t>
        </is>
      </c>
      <c r="C100" t="inlineStr">
        <is>
          <t>Signet Jewelers</t>
        </is>
      </c>
      <c r="D100" t="inlineStr">
        <is>
          <t>linkedin</t>
        </is>
      </c>
      <c r="E100">
        <f>HYPERLINK("https://www.linkedin.com/jobs/view/4352083290", "https://www.linkedin.com/jobs/view/4352083290")</f>
        <v/>
      </c>
      <c r="F100" t="inlineStr"/>
      <c r="G100" t="inlineStr"/>
      <c r="H100" t="inlineStr"/>
      <c r="I100" t="inlineStr">
        <is>
          <t>We have many opportunities available on our other career site pages. Click here to link to our careers page!
 Signet Jewelers is the world's largest retailer of diamond jewelry, operating more than 2,800 stores worldwide under the iconic brands: Kay Jewelers, Zales, Jared, H.Samuel, Ernest Jones, Peoples, Banter by Piercing Pagoda, Rocksbox, JamesAllen.com and Diamonds Direct. We are a people\-first company and this core value is at the heart of everything we do, from empowering our valued team members, to collaborating with our customers, to fostering the communities in which we live and serve. People – and the love their actions inspire – are what drive us. We’re not only proud of the love we inspire outside our walls, we’re especially proud of the diversity, inclusion and equity we’re inspiring inside. There are dynamic career paths awaiting you – rewarding opportunities to impact the lives of others and inspire love. Join us!
 We are looking for a hands\-on Senior Machine Learning Engineer to operationalize advanced models across elasticity, uplift, forecasting, and other AI use cases. This role sits at the intersection of Data Engineering, MLOps, and Applied Machine Learning, ensuring that models developed by Data Science teams are production\-ready, performant, and scalable.
**Key Responsibilities**
* Design, build, and automate production\-grade data pipelines to support elasticity, uplift, and other analytical models
* Implement clean, reusable data transformation logic that ensures consistency across modeling, analytics, and reporting layers
* Develop and maintain real\-time inference services (e.g., AWS SageMaker endpoints) to allow business teams and applications to consume model outputs seamlessly
* Establish MLOps best practices, including:
+ Model performance monitoring and drift detection
+ Automated retraining and evaluation pipelines
+ Feature / model versioning and lineage tracking
* Enable CI/CD for ML deployments, ensuring reliability, reproducibility, and rapid iteration
* Partner with Data Science teams to accelerate experimentation and automate recurring workflows
* Identify and drive automation opportunities across the broader AI \&amp; Data Science ecosystem to improve scalability, reliability, and cost efficiency
**Preferred Qualifications**
* Bachelor’s or Master’s degree in Computer Science, Data Engineering, Applied ML, or equivalent experience
* 3–6 years of industry experience in ML Engineering or MLOps
* Experience in retail analytics — such as demand forecasting, pricing, promotions, inventory optimization, customer segmentation, or e\-commerce metrics — is highly preferred
* Strong programming skills in Python (pandas, PySpark, FastAPI, etc.)
* Experience building and managing ETL/ELT pipelines
* Hands\-on experience deploying ML systems on AWS (SageMaker, Lambda, ECS/EKS, S3, Kinesis/Streams, etc.)
* Experience with CI/CD tools (GitHub Actions, CodePipeline, Jenkins, etc.)
* Familiarity with monitoring and observability for ML (model drift, feature drift, inference latency, cost monitoring)
* Experience with containerization \&amp; orchestration (Docker, Kubernetes) is a plus
**Nice to Have**
* Experience building data products or ML\-powered APIs that expose predictions or insights back to business applications.
* Experience with feature stores (SageMaker Feature Store / Feast)
* Experience supporting batch \+ real\-time inference workloads
**Who You Are**
* You enjoy solving problems at the intersection of data \+ ML \+ production systems
* You care deeply about scalability, automation, and reliability
* You love partnering with Data Scientists and Analysts to turn prototypes into products
**BENEFITS AND PERKS:**
* Comprehensive healthcare, dental, and vision insurance to keep you and your family covered \- with benefits active on day 1 of employment
* Generous 401(k) matching after just one year to help secure your financial future
* Ample paid time off, plus seven holidays to recharge and unwind
* Exclusive discounts on premium merchandise just for you
* Dynamic Learning \&amp; Development programs to support your growth
* And more!
***The salary range for this opportunity is $115,000\-130,000***
*. Base pay offered may vary depending on rising class standing, geographic region, internal equity, job\-related knowledge, skills, and experience, among other factors.*</t>
        </is>
      </c>
    </row>
    <row r="101">
      <c r="A101" t="inlineStr">
        <is>
          <t>li-4358985605</t>
        </is>
      </c>
      <c r="B101" t="inlineStr">
        <is>
          <t>Senior AI Engineer</t>
        </is>
      </c>
      <c r="C101" t="inlineStr">
        <is>
          <t>Valorem Reply</t>
        </is>
      </c>
      <c r="D101" t="inlineStr">
        <is>
          <t>linkedin</t>
        </is>
      </c>
      <c r="E101">
        <f>HYPERLINK("https://www.linkedin.com/jobs/view/4358985605", "https://www.linkedin.com/jobs/view/4358985605")</f>
        <v/>
      </c>
      <c r="F101" t="inlineStr"/>
      <c r="G101" t="inlineStr"/>
      <c r="H101" t="inlineStr"/>
      <c r="I101" t="inlineStr">
        <is>
          <t>Valorem Reply is an award\-winning digital transformation firm focused on delivering data\-driven enterprise, IT modernization, customer experience, product transformation and digital workplace. Through the expertise of their people and power of Microsoft technologies, they provide hyper\-scale and agile delivery of unique digital business services, strategic business models and design\-led user experiences. Their innovative strategies and solutions securely and rapidly transform the way their clients do business.
 As a Senior AI Engineer, you will understand how AI is positioned to meet business objectives and then deliver projects for customers as part of a team. This is a hands\-on role involving consulting, leading, coding, and delivering sophisticated AI solutions. Projects will span from workshops to comprehensive enterprise\-level deployments.
**Responsibilities**
* Implementing AI solutions through people, processes, and technology
* Facilitate customer education and ideation workshops focused on developing use cases and implementing modern AI/ML solutions
* Consulting with stakeholders to identify opportunities for AI integration, advising on best practices, and tailoring AI strategies to meet business objectives
* Defining project requirements clearly, designing robust solution architectures, and ensuring alignment with business goals and technical capabilities
* Leading the development and implementation of AI\-driven solutions, managing the entire AI project lifecycle, including data collection, model training, deployment, and monitoring. Demonstrated expertise in Microsoft Azure AI services and proficiency in leveraging OpenAI technologies is essential
* Facilitating cross\-functional collaboration, working closely with technical and non\-technical teams to deliver outstanding service to customers and ensure the successful integration of AI solutions into business processes
* Staying updated on the latest advancements in AI and Generative AI, and advising teams on integrating cutting\-edge techniques, to enhance project outcomes and drive innovation
**Minimum Requirements**
* Bachelor’s degree in computer science, artificial intelligence, data science, or a related field
* Proven client facing experience, translating complex requirements into actionable AI solutions that meet business objectives
* 5 years of professional software engineering experience in Azure and Python
* 3 years of experience with relational and nonrelational databases such as SQL Server, PostgreSQL, Cosmos DB, MongoDB, etc
* 2 years demonstratable experience with Azure AI solution design and production delivery,highlighting proficiency in natural language processing (NLP), retrieval augmented generation (RAG), and Azure AI Services (OpenAI, Speech, Vision, etc.) using tools like Azure AI Foundry, prompt flow, and Copilot Studio
* Production experience with Azure AI platform, and the implementation of enterprise solutions
* Experience with open\-source models, fine\-tuning, advanced prompt engineering, responsible AI practices, and managing an organization’s models
**Preferred Qualifications**
* Professional software engineering experience in C\#.net
* Full software development life cycle, including coding standards, code reviews, source control management, build processes, testing, and operations experience
* Developing cloud software services and an understanding of design for scalability,performance, and reliability in Azure
* Ability to support go\-to\-market content with technical support and present AI related research to customers and at events
* Experience with DevOps tools and processes such as Azure DevOps, GitHub, Docker and Kubernetes
**About Reply**
 Reply specializes in the design and implementation of solutions based on new communication channels and digital media. Reply is a network of highly specialized companies supporting global industrial groups operating in the telecom and media, industry and services, banking, insurance and public administration sectors in the definition and development of business models enabled for the new paradigms of AI, cloud computing, digital media and the Internet of Things. Reply services include Consulting, System Integration and Digital Services.
 The base compensation range for this full\-time position is between $140,000 \- $180,000 plus benefits. Compensation decisions are supported through market data, where regional variances may exist based on cost of labor. We also take into consideration prior experience, relevant skills, education and/or training, certifications and, as applicable, other required qualifications. If you have questions regarding compensation, the talent acquisition team can provide relevant details during the interview process.
 Reply is an equal opportunity employer. We are committed to provide equal opportunity regardless of race, color, ancestry, religion, sex, national origin, sexual orientation, age, citizenship, marital status, disability, gender identity or Veteran status. If you need assistance and reasonable accommodation due to a disability during the application or the recruiting process, email us at jobusa@reply.com. Visit our website at www.reply.com to learn more about our open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2">
      <c r="A102" t="inlineStr">
        <is>
          <t>li-4351987453</t>
        </is>
      </c>
      <c r="B102" t="inlineStr">
        <is>
          <t>Machine Learning Engineer (AI Synthesis)</t>
        </is>
      </c>
      <c r="C102" t="inlineStr">
        <is>
          <t>Wayve</t>
        </is>
      </c>
      <c r="D102" t="inlineStr">
        <is>
          <t>linkedin</t>
        </is>
      </c>
      <c r="E102">
        <f>HYPERLINK("https://www.linkedin.com/jobs/view/4351987453", "https://www.linkedin.com/jobs/view/4351987453")</f>
        <v/>
      </c>
      <c r="F102">
        <f>HYPERLINK("https://wayve.firststage.co/jobs/vWmxfzOtu0/view?source=linkedin.com&amp;urlHash=xNA1", "https://wayve.firststage.co/jobs/vWmxfzOtu0/view?source=linkedin.com&amp;urlHash=xNA1")</f>
        <v/>
      </c>
      <c r="G102" t="inlineStr">
        <is>
          <t>Sunnyvale, CA</t>
        </is>
      </c>
      <c r="H102" t="inlineStr"/>
      <c r="I102" t="inlineStr">
        <is>
          <t>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**The role**
 At Wayve, we’re revolutionizing the way autonomous vehicles learn and operate, and the AI Synthesis team plays a pivotal role in that mission by building scalable, data\-driven scenarios for evaluating and validating self\-driving models. As a ML Engineer on the Scenario Technology and Coverage team, you'll lead the design and implementation of scalable ML\-based tools that enhance our scenario pipeline—from data mining and scenario generation to simulation\-based evaluation. Your work will be critical in ensuring that our driving models are thoroughly tested and optimized across diverse and realistic conditions.
**Challenges You Will Own**
* Lead the development of robust ML models and augmentation techniques that power our scenario generation and validation systems.
* Architect scalable systems for mining, curating, and synthesizing data to fuel scenario databases, using both real\-world and synthetic data.
* Collaborate with cross\-functional teams, including Simulation and Science, to integrate state\-of\-the\-art technologies into our scenario pipelines.
* Drive innovation in scenario coverage, focusing on both closed\-loop and open\-loop evaluations.
* Own end\-to\-end technical solutions: from translating product requirements into engineering tasks to delivering high\-impact ML models and infrastructure improvements.
* Identify and address infrastructure gaps, leading initiatives to enhance our foundational tools.
* Guide the team in navigating complex technical challenges and setting the technical direction in scenario technology.
* Mentor engineers across teams, fostering growth and innovation in scenario\-driven ML engineering.
**About you**
 In order to set you up for success as a ML Engineer at Wayve, we’re looking for the following skills and experience.
**Essential**
* M.S. or Ph.D. in Computer Science, Machine Learning, or related fields, with 7\+ years of industry experience.
* Proven experience in building, deploying, and scaling production\-level ML solutions.
* Deep understanding of ML fundamentals with expertise in one or more areas: Deep Learning, Computer Vision, Traditional ML, or Large Language Models.
* Proficiency in Python, with a strong focus on clean, well\-structured, and testable code.
* Experience leading and executing large\-scale, cross\-functional projects.
* 7\+ years of experience in ML engineering and 4\+ years in production deployments.
* Hands\-on experience with data pipelines, SQL, and managing large\-scale databases.
**Desirable**
* 3\+ years of experience in simulation, perception, or autonomous driving technologies.
* Familiarity with training and evaluating autonomous vehicle models.
* Industry experience in autonomous vehicles, robotics, transportation, or computer vision.
 This is a full\-time role based in our office in Sunnyvale. At Wayve we want the best of all worlds so we operate a hybrid working policy that combines time together in our offices and workshops to fuel innovation, culture, relationships and learning, and time spent working from home. We operate core working hours so you can determine the schedule that works best for you and your team.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For more information visit Careers at Wayve.
 To learn more about what drives us, visit Values at Wayve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is>
      </c>
    </row>
    <row r="103">
      <c r="A103" t="inlineStr">
        <is>
          <t>li-4352162210</t>
        </is>
      </c>
      <c r="B103" t="inlineStr">
        <is>
          <t>Senior Machine Learning Engineer</t>
        </is>
      </c>
      <c r="C103" t="inlineStr">
        <is>
          <t>Attentive</t>
        </is>
      </c>
      <c r="D103" t="inlineStr">
        <is>
          <t>linkedin</t>
        </is>
      </c>
      <c r="E103">
        <f>HYPERLINK("https://www.linkedin.com/jobs/view/4352162210", "https://www.linkedin.com/jobs/view/4352162210")</f>
        <v/>
      </c>
      <c r="F103">
        <f>HYPERLINK("https://jobs.lever.co/attentive/8e40ea44-9c5f-401e-bf11-577bc4054b56/apply?lever-source=LinkedIn&amp;urlHash=PeQf", "https://jobs.lever.co/attentive/8e40ea44-9c5f-401e-bf11-577bc4054b56/apply?lever-source=LinkedIn&amp;urlHash=PeQf")</f>
        <v/>
      </c>
      <c r="G103" t="inlineStr">
        <is>
          <t>New York, NY</t>
        </is>
      </c>
      <c r="H103" t="inlineStr"/>
      <c r="I103"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Our Machine Learning Engineering team powers personalized experiences for hundreds of millions of customers across thousands of brands. As a Senior Machine Learning Engineer, you will play a critical role in building, scaling, and operating production\-grade ML systems that drive real\-time personalization across the Attentive platform.
 You will operate with a high degree of ownership, partner closely with Product and Engineering, and help raise the technical bar across our ML systems in a fast\-paced, high\-impact environment.
**What You’ll Accomplish** 
* Design, build, and operate scalable machine learning systems used in real\-time targeting, decisioning, personalization systems
* Own ML projects end\-to\-end, from data exploration and modeling to deployment, monitoring, and iteration
* Proactively safeguard model and system quality through testing, monitoring, validation, and alerting
* Collaborate cross\-functionally with product, data, and other engineering partners to translate business problems into ML solutions
* Continuously improve system reliability, performance, and engineering efficiency
* Contribute to technical direction and best practices across the ML engineering team
* Mentor and support other engineers through code reviews, design discussions, and knowledge sharing
* Thrive in a high\-impact, fast\-paced, late\-stage startup environment
**Your Expertise** 
* 6\+ years of professional experience building production machine\-learning software systems
* Proven experience owning ML systems long enough to see the downstream impact of design decisions
* Strong proficiency in Python and experience with ML frameworks such as PyTorch, TensorFlow, or xgboost
* Experience with data processing and analytics tools such as pandas, Spark, SQL, and matplotlib
* Hands\-on experience building automated pipelines for data processing, model training, validation, and deployment
* Experience collaborating with cross\-functional teams to deliver ML\-powered features
* Strong communication skills and a high sense of ownership
**What We Use** 
* Infrastructure: Kubernetes (AWS EKS), Istio, Datadog, Terraform, Cloudflare, Helm
* Backend: Java / Spring Boot microservices (Gradle), DynamoDB, Kinesis, Airflow, Postgres, PlanetScale, Redis
* Frontend: React, TypeScript, GraphQL, Storybook, Radix UI, Vite, Playwright
* ML \&amp; Data: Python, Metaflow, HuggingFace 🤗, PyTorch, TensorFlow, Panda
 You'll get competitive
 perks and benefits
 , from health \&amp; wellness to equity, to help you bring your best self to work.
**For US based applicants:
 \- The US base salary range for this full\-time position is $244,000 \- 320,000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104">
      <c r="A104" t="inlineStr">
        <is>
          <t>li-4352181266</t>
        </is>
      </c>
      <c r="B104" t="inlineStr">
        <is>
          <t>Senior Machine Learning Engineer</t>
        </is>
      </c>
      <c r="C104" t="inlineStr">
        <is>
          <t>Attentive</t>
        </is>
      </c>
      <c r="D104" t="inlineStr">
        <is>
          <t>linkedin</t>
        </is>
      </c>
      <c r="E104">
        <f>HYPERLINK("https://www.linkedin.com/jobs/view/4352181266", "https://www.linkedin.com/jobs/view/4352181266")</f>
        <v/>
      </c>
      <c r="F104" t="inlineStr"/>
      <c r="G104" t="inlineStr">
        <is>
          <t>San Francisco, CA</t>
        </is>
      </c>
      <c r="H104" t="inlineStr"/>
      <c r="I104"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Our Machine Learning Engineering team powers personalized experiences for hundreds of millions of customers across thousands of brands. As a Senior Machine Learning Engineer, you will play a critical role in building, scaling, and operating production\-grade ML systems that drive real\-time personalization across the Attentive platform.
 You will operate with a high degree of ownership, partner closely with Product and Engineering, and help raise the technical bar across our ML systems in a fast\-paced, high\-impact environment.
**What You’ll Accomplish** 
* Design, build, and operate scalable machine learning systems used in real\-time targeting, decisioning, personalization systems
* Own ML projects end\-to\-end, from data exploration and modeling to deployment, monitoring, and iteration
* Proactively safeguard model and system quality through testing, monitoring, validation, and alerting
* Collaborate cross\-functionally with product, data, and other engineering partners to translate business problems into ML solutions
* Continuously improve system reliability, performance, and engineering efficiency
* Contribute to technical direction and best practices across the ML engineering team
* Mentor and support other engineers through code reviews, design discussions, and knowledge sharing
* Thrive in a high\-impact, fast\-paced, late\-stage startup environment
**Your Expertise** 
* 6\+ years of professional experience building production machine\-learning software systems
* Proven experience owning ML systems long enough to see the downstream impact of design decisions
* Strong proficiency in Python and experience with ML frameworks such as PyTorch, TensorFlow, or xgboost
* Experience with data processing and analytics tools such as pandas, Spark, SQL, and matplotlib
* Hands\-on experience building automated pipelines for data processing, model training, validation, and deployment
* Experience collaborating with cross\-functional teams to deliver ML\-powered features
* Strong communication skills and a high sense of ownership
**What We Use** 
* Infrastructure: Kubernetes (AWS EKS), Istio, Datadog, Terraform, Cloudflare, Helm
* Backend: Java / Spring Boot microservices (Gradle), DynamoDB, Kinesis, Airflow, Postgres, PlanetScale, Redis
* Frontend: React, TypeScript, GraphQL, Storybook, Radix UI, Vite, Playwright
* ML \&amp; Data: Python, Metaflow, HuggingFace 🤗, PyTorch, TensorFlow, Panda
 You'll get competitive
 perks and benefits
 , from health \&amp; wellness to equity, to help you bring your best self to work.
**For US based applicants:
 \- The US base salary range for this full\-time position is $244,000 \- 320,000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105">
      <c r="A105" t="inlineStr">
        <is>
          <t>li-4359621275</t>
        </is>
      </c>
      <c r="B105" t="inlineStr">
        <is>
          <t>Machine Learning Engineer</t>
        </is>
      </c>
      <c r="C105" t="inlineStr">
        <is>
          <t>Technologent</t>
        </is>
      </c>
      <c r="D105" t="inlineStr">
        <is>
          <t>linkedin</t>
        </is>
      </c>
      <c r="E105">
        <f>HYPERLINK("https://www.linkedin.com/jobs/view/4359621275", "https://www.linkedin.com/jobs/view/4359621275")</f>
        <v/>
      </c>
      <c r="F105">
        <f>HYPERLINK("https://technologent.catsone.com/careers/73765-General/jobs/16763551-Machine-Learning-Engineer?source=LinkedIn&amp;urlHash=w4ml", "https://technologent.catsone.com/careers/73765-General/jobs/16763551-Machine-Learning-Engineer?source=LinkedIn&amp;urlHash=w4ml")</f>
        <v/>
      </c>
      <c r="G105" t="inlineStr">
        <is>
          <t>Fort Lauderdale, FL</t>
        </is>
      </c>
      <c r="H105" t="inlineStr"/>
      <c r="I105" t="inlineStr">
        <is>
          <t>**The Opportunity:** 
 We are looking for a
 **Machine Learning Engineer** 
 to design, build, and support machine learning solutions with a strong emphasis on Python, APIs, and modern LLM\-based applications. This role will focus on developing and integrating machine learning and generative AI capabilities into production systems, leveraging cloud infrastructure on Google Cloud Platform (GCP).
 The ideal candidate has hands\-on experience working with large language models (LLMs), building Python\-based APIs, and applying frameworks such as LangChain and LangGraph to real\-world use cases.
* Role: Machine Learning Engineer
* Experience: 6\-9 Years (flexible based on depth of ML/LLM experience)
* Work Location: Fort Lauderdale, FL
* Project Duration: 12\+ Months Contract
**Key Responsibilities**
* Design, develop, and maintain machine learning solutions using Python
* Build and integrate Python\-based APIs to support ML and LLM\-driven applications
* Develop and deploy LLM and generative AI workflows using frameworks such as LangChain and LangGraph
* Apply machine learning techniques to solve real\-world business problems
* Deploy and operate ML workloads on Google Cloud Platform (GCP)
* Collaborate with cross\-functional teams to integrate ML capabilities into production systems
* Ensure solutions follow best practices for performance, scalability, and reliability
**Required Qualifications**
* Strong proficiency in Python for machine learning and backend development
* Hands\-on experience working with machine learning models in production environments
* Practical experience with LLMs and Generative AI use cases
* Experience building and consuming Python\-based APIs
* Working knowledge of Google Cloud Platform (GCP)
* Understanding of ML workflows, model experimentation, and deployment
**Preferred Qualifications**
* Experience with LangChain and LangGraph
* Familiarity with modern GenAI architectures and tooling
* Experience deploying ML or AI services in cloud environments
* Background in building scalable, production\-grade ML systems
 Technologent is an Equal Opportunity Employer \-\- EEO/AA Employer/Vet/Disabled \-\- for reasonable accommodations, please contact us at hr@technologent.com
 Technologent is a Global Provider of Edge\-to\-Edge℠ Information Technology Solutions and Services for Fortune 1000 and SMB companies. We offer a unique blend of business practices that are aligned to solve for top CIO concerns. Our core competencies focus on data center infrastructure, business continuity, data protection, service automation and orchestration, continuous intelligence, monitoring, connectivity, collaboration and cybersecurity. These practices are supported by our professional services, digital transformation services and financial services offerings. By providing custom solutions and services designed to fit your business needs, we enable your organization to be more agile, responsive and competitive. Technologent empowers your company to ascend to the next level in IT.
 Headquartered in Irvine, CA, Technologent has offices throughout the US and proudly serves clients around the world. When partnering with Technologent, organizations benefit from the highest caliber of professionals, committed to delivering exceptional business outcomes backed by unmatched service and support.</t>
        </is>
      </c>
    </row>
    <row r="106">
      <c r="A106" t="inlineStr">
        <is>
          <t>li-4331013156</t>
        </is>
      </c>
      <c r="B106" t="inlineStr">
        <is>
          <t>Senior AI/ML Engineer</t>
        </is>
      </c>
      <c r="C106" t="inlineStr">
        <is>
          <t>Vanguard</t>
        </is>
      </c>
      <c r="D106" t="inlineStr">
        <is>
          <t>linkedin</t>
        </is>
      </c>
      <c r="E106">
        <f>HYPERLINK("https://www.linkedin.com/jobs/view/4331013156", "https://www.linkedin.com/jobs/view/4331013156")</f>
        <v/>
      </c>
      <c r="F106" t="inlineStr"/>
      <c r="G106" t="inlineStr">
        <is>
          <t>Charlotte, NC</t>
        </is>
      </c>
      <c r="H106" t="inlineStr"/>
      <c r="I106" t="inlineStr">
        <is>
          <t>**Core Responsibilities**
* Develops complex data pipelines and implements data engineering design principles for iterative data pipeline development to drive scale and efficiency. Proficient in model development environments and coding best practices to enable model deployment.
* Integrates and optimizes existing data and model pipelines in a production environment. Identifies and diagnoses data inconsistencies and errors, documents assumptions, and forages to fill data gaps. Applies knowledge of experimental methodologies, statistics, optimization, probability theory, and machine learning concepts to create self\-running artificial intelligence (AI) systems to automate predictive models. Proficient in SDLC processes and related tools and technologies.
* Partners with data science teams to review model ready dataset document/feature documentation. Develops data model design and document and reviews for completeness with data science teams.
* Partners with data science teams to understand data requirements, performs data discovery for model development. Performs detailed analysis of raw data sources for data quality, applies business context, and model development needs. Drives efficiency through the use of data discovery tools.
* Engages with internal stakeholders to understand and probe business processes and develop hypotheses. Brings structure to requests and translates requirements into an analytic approach. Participates in and influences ongoing business planning and departmental prioritization activities.
* Writes model monitoring scripts as needed. Diagnoses root causes based on model monitoring alerts and triages issues. Coordinates and plans response to model monitoring alerts and resolves issues.
* Serves as a machine learning engineering subject matter expert on cross functional teams for large strategic initiatives and contributes to the growth of the Vanguard analytic community.
* Participates in special projects and performs other duties as assigned.
**Qualifications**
* Gen AI experience \- finetuning SLMs , application evaluation
* Experience with AWS suite of tools such as bedrock , agent core
* Undergraduate degree or equivalent combination of training and experience. Graduate degree preferred.
* Minimum of 8\+ years related work experience.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107">
      <c r="A107" t="inlineStr">
        <is>
          <t>li-4359383714</t>
        </is>
      </c>
      <c r="B107" t="inlineStr">
        <is>
          <t>Machine Learning Engineer</t>
        </is>
      </c>
      <c r="C107" t="inlineStr">
        <is>
          <t>CRC Group</t>
        </is>
      </c>
      <c r="D107" t="inlineStr">
        <is>
          <t>linkedin</t>
        </is>
      </c>
      <c r="E107">
        <f>HYPERLINK("https://www.linkedin.com/jobs/view/4359383714", "https://www.linkedin.com/jobs/view/4359383714")</f>
        <v/>
      </c>
      <c r="F107" t="inlineStr"/>
      <c r="G107" t="inlineStr">
        <is>
          <t>Charlotte, NC</t>
        </is>
      </c>
      <c r="H107" t="inlineStr"/>
      <c r="I107" t="inlineStr">
        <is>
          <t>**About the Role** 
 We are building the foundation of the machine learning function at a market\-leading insurance company. As one of the first data science hires, you will play a pivotal role in shaping our ML strategy, frameworks, and operating model. This is a unique opportunity to be hands\-on, developing and maintaining production\-grade solutions while influencing the long\-term vision and scaling of our ML capabilities.
**Key Responsibilities** 
**Strategic Contribution** 
* Partner with the Head of ML, product and data teams to define and implement the company\-wide ML framework and best practices.
* Contribute to the roadmap for ML development, adoption and team growth.
**Hands\-On Development** 
* Ideate, design and build ML and AI prototypes to validate priority use cases and solve complex business problems to drive tangible value, while collaborating with product and business teams.
* Develop and deploy production\-grade ML models and data pipelines.
* Build orchestration and integration frameworks for ML models and pipelines.
* Develop and maintain CI/CD pipelines for ML solutions, including test automation, to ensure successful deployment of updated models
**Operational Excellence** 
* Monitor, maintain, and retrain models in production to ensure performance and compliance.
* Manage data updates, versioning, and integrity for deployed solutions.
* Implement robust monitoring and alerting systems for ML services.
**Team Building** 
* Help establish processes, tools, and standards for a growing ML team.
* Mentor future hires and contribute to a collaborative, innovative culture.
**Qualifications** 
**Technical Skills** 
* Strong proficiency in Python and ML frameworks.
* Experience with Databricks and Azure for data engineering and ML workflows.
* Familiarity with MLOps tools (MLflow, Lakehouse Monitoring, Azure DevOps) and CI/CD practices.
* Solid understanding of data science and engineering principles and model lifecycle management.
**Experience** 
* 5\+ years total in data analytics, infrastructure, engineering and science roles.
* 2\+ years in applied ML engineering or data science roles.
* Proven track record of deploying ML models into production environments.
* Familiarity with monitoring, retraining, and maintaining ML systems at scale.
**Soft Skills** 
* Ability to work independently and collaboratively in a fast\-paced environment.
* Strong communication skills to influence stakeholders and explain technical concepts.
**Nice\-to\-Have:** 
* Knowledge of
 **insurance industry data** 
 and business processes
**Why Join Us?** 
* Be a founding member of the ML team at a leading insurance company.
* Drive strategic decisions while staying hands\-on with cutting\-edge technology.
* Opportunity to shape the ML operating model and scale a high\-impact team.</t>
        </is>
      </c>
    </row>
    <row r="108">
      <c r="A108" t="inlineStr">
        <is>
          <t>li-4352134189</t>
        </is>
      </c>
      <c r="B108" t="inlineStr">
        <is>
          <t>AI Engineer, Multimodal Models</t>
        </is>
      </c>
      <c r="C108" t="inlineStr">
        <is>
          <t>CliniComp</t>
        </is>
      </c>
      <c r="D108" t="inlineStr">
        <is>
          <t>linkedin</t>
        </is>
      </c>
      <c r="E108">
        <f>HYPERLINK("https://www.linkedin.com/jobs/view/4352134189", "https://www.linkedin.com/jobs/view/4352134189")</f>
        <v/>
      </c>
      <c r="F108" t="inlineStr"/>
      <c r="G108" t="inlineStr">
        <is>
          <t>San Diego, CA</t>
        </is>
      </c>
      <c r="H108" t="inlineStr"/>
      <c r="I108" t="inlineStr">
        <is>
          <t>We are looking for a passionate and autonomous Multimodal AI Engineer to contribute to our innovative projects in the field of the multimodal foundation models for LLM, image, and clinical data analysis. The Multimodal AI Engineer will work with a dynamic team who is pushing the boundaries of AI machine learning in the healthcare domain and building real\-world products for electronic health record (EHR) system. You will research best practices for data curation, preparation and training of our state\-of\-the\-art foundation models and address some of the hardest problems in computer science.
**Requirements**
 Location: This position is based in the San Diego metropolitan area; candidates must reside locally or be willing to relocate.
* Master's degree in Computer Science with a focus on LLM and image multimodal foundation models.
* Excellent programming skills in Python and C/C\+\+.
* Proficiency in PyTorch framework and the common NLP libraries (NLTK, spaCy, scikit\-learn, etc.)
* Experience with state\-of\-the\-art deep learning architectures (ViT/SWIN transformer, GPT, CLIP, etc.).
* Experience with model compression and large\-scale distributed model training (data\-parallel and model\-parallel) techniques.
* An outstanding track record of publications (NeurIPS, CVPR, ICML, AAAI, etc.) and contributions to the machine learning communities (kaggle, Hugging Face, etc.).
* Hands\-on experience with parameter\-efficient tuning (QLoRA) techniques and the LangChain framework is a plus.
* Experience with prompt engineering and fine\-tuning Llama 2 or PaLM 2 with domain specific data is a plus.
* Experience with CUDA programming is a plus.
* Experience with imaging processing (opencv2, VTK, ITK, DCMTK, Albumentations) is a plus.
* Experience with vector databases (Chroma, Pinecone, Milvus, redis, etc.) is a plus.
* Experience with human\-in\-the\-loop, Reinforcement Learning from Human Feedback (RLHF), and continuous online training is a plus.
* Knowledge for Stable Diffusion, OpenJourney, or DeepFloyd IF is a plus.
**Benefits**
 The annual salary range for this position in the San Diego market is $185,000 to $215,000\.
 CliniComp's salary ranges are benchmarked and determined by role and level. The range displayed on each job posting reflects the minimum and maximum target for new hire salaries for the position across all US locations and could be higher or lower based on a multitude of factors, including job\-related skills, experience, location, and relevant education or training.
* 100% covered Medical and Dental coverage option for you and your family.
* Generous 401(k) plan and contribution.
* Events and biweekly lunches.
* Engaging wellness activities including an onsite nutritionist and personal trainer\-led group fitness.
* ...and more!
 CliniComp is an equal opportunity employer. We consider all qualified applicants without regard to race, color, religion, sex, sexual orientation, gender identity or expression, national origin, age, disability, veteran status, or any other characteristic protected by applicable law.
 CliniComp will provide reasonable accommodations to qualified individuals with disabilities in accordance with applicable law.</t>
        </is>
      </c>
    </row>
    <row r="109">
      <c r="A109" t="inlineStr">
        <is>
          <t>li-4331003257</t>
        </is>
      </c>
      <c r="B109" t="inlineStr">
        <is>
          <t>Senior AI/ML Engineer</t>
        </is>
      </c>
      <c r="C109" t="inlineStr">
        <is>
          <t>Vanguard</t>
        </is>
      </c>
      <c r="D109" t="inlineStr">
        <is>
          <t>linkedin</t>
        </is>
      </c>
      <c r="E109">
        <f>HYPERLINK("https://www.linkedin.com/jobs/view/4331003257", "https://www.linkedin.com/jobs/view/4331003257")</f>
        <v/>
      </c>
      <c r="F109" t="inlineStr"/>
      <c r="G109" t="inlineStr">
        <is>
          <t>Malvern, PA</t>
        </is>
      </c>
      <c r="H109" t="inlineStr"/>
      <c r="I109" t="inlineStr">
        <is>
          <t>**Core Responsibilities**
* Develops complex data pipelines and implements data engineering design principles for iterative data pipeline development to drive scale and efficiency. Proficient in model development environments and coding best practices to enable model deployment.
* Integrates and optimizes existing data and model pipelines in a production environment. Identifies and diagnoses data inconsistencies and errors, documents assumptions, and forages to fill data gaps. Applies knowledge of experimental methodologies, statistics, optimization, probability theory, and machine learning concepts to create self\-running artificial intelligence (AI) systems to automate predictive models. Proficient in SDLC processes and related tools and technologies.
* Partners with data science teams to review model ready dataset document/feature documentation. Develops data model design and document and reviews for completeness with data science teams.
* Partners with data science teams to understand data requirements, performs data discovery for model development. Performs detailed analysis of raw data sources for data quality, applies business context, and model development needs. Drives efficiency through the use of data discovery tools.
* Engages with internal stakeholders to understand and probe business processes and develop hypotheses. Brings structure to requests and translates requirements into an analytic approach. Participates in and influences ongoing business planning and departmental prioritization activities.
* Writes model monitoring scripts as needed. Diagnoses root causes based on model monitoring alerts and triages issues. Coordinates and plans response to model monitoring alerts and resolves issues.
* Serves as a machine learning engineering subject matter expert on cross functional teams for large strategic initiatives and contributes to the growth of the Vanguard analytic community.
* Participates in special projects and performs other duties as assigned.
**Qualifications**
* Gen AI experience \- finetuning SLMs , application evaluation
* Experience with AWS suite of tools such as bedrock , agent core
* Undergraduate degree or equivalent combination of training and experience. Graduate degree preferred.
* Minimum of 8\+ years related work experience.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110">
      <c r="A110" t="inlineStr">
        <is>
          <t>li-4331053003</t>
        </is>
      </c>
      <c r="B110" t="inlineStr">
        <is>
          <t>Principal AI/ML Engineer</t>
        </is>
      </c>
      <c r="C110" t="inlineStr">
        <is>
          <t>Vanguard</t>
        </is>
      </c>
      <c r="D110" t="inlineStr">
        <is>
          <t>linkedin</t>
        </is>
      </c>
      <c r="E110">
        <f>HYPERLINK("https://www.linkedin.com/jobs/view/4331053003", "https://www.linkedin.com/jobs/view/4331053003")</f>
        <v/>
      </c>
      <c r="F110" t="inlineStr"/>
      <c r="G110" t="inlineStr">
        <is>
          <t>Charlotte, NC</t>
        </is>
      </c>
      <c r="H110" t="inlineStr"/>
      <c r="I110" t="inlineStr">
        <is>
          <t>**Core Responsibilities**
* Leads complex model development and deployment pipelines. Establishes best practices and drives innovation in data preparation and consumption. Expert in end\-to\-end data and model pipeline deployment and automation technologies.
* Integrates and optimizes existing complex data and model pipelines in a production environment. Identifies and diagnoses data inconsistencies and errors, documents assumptions, and forages to fill data gaps. Applies expert knowledge of experimental methodologies, statistics, optimization, probability theory, and machine learning concepts to create self\-running artificial intelligence (AI) systems to automate predictive models. Expert level knowledge in SDLC and related tools and processes. Serves as a thought partner for Machine Learning Operations team.
* Leads engineering design for complex data pipeline designs. Proficient in developing highly efficient designs and strategy for both batch and real\-time data pipelines.
* Partners with data science teams to understand data requirements, performs data discovery for model development. Performs detailed analysis of raw data sources for data quality, applies business context, and model development needs. Drives best practices and innovation is data discovery techniques.
* Engages with internal stakeholders to understand and probe business processes and develop hypotheses. Brings structure to requests and translates requirements into an analytic approach. Participates in and influences ongoing business planning and departmental prioritization activities.
* Writes model monitoring scripts as needed. Diagnoses root causes based on model monitoring alerts and triages issues. Coordinates and plans response to model monitoring alerts and resolves issues.
* Serves as a machine learning engineering subject matter expert on cross functional teams for large strategic initiatives and contributes to the growth of the Vanguard analytic community. Serves as data and Machine Learning engineering thought partner for the enterprise.
* Participates in special projects and performs other duties as assigned.
**Qualifications**
* Gen AI experience \- finetuning SLMs , application evaluation
* Experience with AWS suite of tools such as bedrock , agent core
* Undergraduate degree or equivalent combination of training and experience. Graduate degree preferred.
* Minimum of ten years related work experience.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111">
      <c r="A111" t="inlineStr">
        <is>
          <t>li-4331560517</t>
        </is>
      </c>
      <c r="B111" t="inlineStr">
        <is>
          <t>Senior AI Engineer</t>
        </is>
      </c>
      <c r="C111" t="inlineStr">
        <is>
          <t>Medpace</t>
        </is>
      </c>
      <c r="D111" t="inlineStr">
        <is>
          <t>linkedin</t>
        </is>
      </c>
      <c r="E111">
        <f>HYPERLINK("https://www.linkedin.com/jobs/view/4331560517", "https://www.linkedin.com/jobs/view/4331560517")</f>
        <v/>
      </c>
      <c r="F111" t="inlineStr"/>
      <c r="G111" t="inlineStr">
        <is>
          <t>Cincinnati, OH</t>
        </is>
      </c>
      <c r="H111" t="inlineStr"/>
      <c r="I111" t="inlineStr">
        <is>
          <t>Do you have a passion for Artificial Intelligence (AI) and are looking to make a difference in how the latest clinical trials progress into the market?
 Do you have a background in data science and/or computer science with experience working with AI tools for interactive AI applications across various IT systems?
 If so, we have an exciting opportunity for you at Medpace.
 We are currently seeking a Senior professional with experience with artificial intelligence (AI) tools such as NLP, LLM, Agentic AI etc. This professional will be helping educate, program and fine\-tune various AI tools, help IT teams to implement them into new applications, and lead a team of AI Engineers.
 This professional will work collaboratively across the organization with multiple teams to improve the efficiency of company processes and provide insights and assistance to users.
**Responsibilities**
* Design, implement, and deploy machine learning models and systems to solve complex problems and drive business outcomes;
* Research, develop, and implement AI tools such as NLP, LLM, and Agentic AI;
* Supervise and support the AI infrastructure needs, working with the development teams to identify and provide the best AI capabilities possible that can be embedded into front\-end applications;
* Supervise the collection, preprocessing, and curation of large datasets required for training generative models;
* Experiment with different machine learning techniques and algorithms, including supervised, unsupervised, semi\-supervised, reinforcement, and deep learning;
* Design and optimize machine learning pipelines and workflows, incorporating techniques for data cleaning, feature engineering, model selection, and hyperparameter tuning; and
* Develop scalable and efficient machine learning infrastructure and systems for training, testing, and deploying models in production environments.
**Qualifications**
* Bachelor’s degree or higher in Artificial Intelligence, Computer or Data Science, or related field. Master’s degree preferred;
* 5 \+ years of experience implementing and fine\-tuning Large Language Models or interactive AI applications;
* Expert proficiency in programming languages and frameworks commonly used in NLP and AI (e.g., Python, TensorFlow, PyTorch);
* Worked with different cloud platforms (e.g. Azure, AWS, GCP) and different AI tools (e.g. LLMs, Agentic AI etc.);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112">
      <c r="A112" t="inlineStr">
        <is>
          <t>li-4351979209</t>
        </is>
      </c>
      <c r="B112" t="inlineStr">
        <is>
          <t>Senior/Staff Machine Learning Engineer, Planning</t>
        </is>
      </c>
      <c r="C112" t="inlineStr">
        <is>
          <t>PlusAI</t>
        </is>
      </c>
      <c r="D112" t="inlineStr">
        <is>
          <t>linkedin</t>
        </is>
      </c>
      <c r="E112">
        <f>HYPERLINK("https://www.linkedin.com/jobs/view/4351979209", "https://www.linkedin.com/jobs/view/4351979209")</f>
        <v/>
      </c>
      <c r="F112" t="inlineStr"/>
      <c r="G112" t="inlineStr">
        <is>
          <t>Santa Clara, CA</t>
        </is>
      </c>
      <c r="H112" t="inlineStr"/>
      <c r="I112" t="inlineStr">
        <is>
          <t>Plus, also known as PlusAI, is a Physical AI company pioneering AI\-based virtual driver software for factory\-built autonomous trucks. Headquartered in Silicon Valley with operations in the United States and Europe, Plus was named by Fast Company as one of the World’s Most Innovative Companies. Partners including TRATON GROUP’s Scania, MAN, and International brands, Hyundai Motor Company, Iveco Group, Bosch, and DSV are working with Plus to accelerate the deployment of next\-generation autonomous trucks. If you’re ready to make a huge impact and drive the future of autonomy, Plus is looking for talented individuals to join its fast\-growing teams.
 We’re looking for a machine learning engineer to train and deploy the latest generation of ML\-based planning algorithms on the extensive data we collect every day across our autonomous trucking fleet.
**Responsibilities**
* Use complex map and perception sensor output to develop novel deep learning models for our planning stack.
* Design critical safety checks to ensure driving trajectories are feasible and follow rules of road.
* Ensure all model development keeps a real\-time focus and operates efficiently in compute\-constrained environments.
* Track and incorporate the latest multidisciplinary research advancements in a fast\-moving field.
* Ensure that your work is performed in accordance with the company’s Quality Management System (QMS) requirements and contribute to continuous improvement efforts.
* Ensure that technical work meets customer requirements, regulatory standards, and company quality policies.
**Required Skills**
* BS, MS, or PhD in Software, Robotics, or related field
* 4\+ years of machine learning engineering experience for robotics applications
* Experience developing high\-quality software from design and implementation to testing and deployment.
* Expertise with Python, willingness to do some C\+\+ development as needed.
* Experience training with modern frameworks (e.g. PyTorch)
* A rigorous approach to model development: running well\-designed experiments, defining suitable training and validation datasets, and evaluating on the right metrics.
* Hands\-on familiarity with cloud data ingestion pipelines
* Strong communication and collaborative skills
 $130,000 \- $220,000 a year
 Our compensations (cash and equity) are determined based on the position, your location, qualifications, and experience.
**Your opportunities joining Plus**
 Work, learn and grow in a highly future\-oriented, innovative and dynamic field.
 Wide range of opportunities for personal and professional development.
 Catered free lunch, unlimited snacks and beverages.
 Highly competitive salary and benefits package, including 401(k) plan.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3">
      <c r="A113" t="inlineStr">
        <is>
          <t>li-4359481761</t>
        </is>
      </c>
      <c r="B113" t="inlineStr">
        <is>
          <t>Principal Machine Learning Engineer</t>
        </is>
      </c>
      <c r="C113" t="inlineStr">
        <is>
          <t>Atlassian</t>
        </is>
      </c>
      <c r="D113" t="inlineStr">
        <is>
          <t>linkedin</t>
        </is>
      </c>
      <c r="E113">
        <f>HYPERLINK("https://www.linkedin.com/jobs/view/4359481761", "https://www.linkedin.com/jobs/view/4359481761")</f>
        <v/>
      </c>
      <c r="F113">
        <f>HYPERLINK("https://careers-americas.icims.com/jobs/24402/principal-machine-learning-engineer/job?iis=LinkedIn&amp;iisn=LinkedIn_Job_Ad&amp;urlHash=zHHS", "https://careers-americas.icims.com/jobs/24402/principal-machine-learning-engineer/job?iis=LinkedIn&amp;iisn=LinkedIn_Job_Ad&amp;urlHash=zHHS")</f>
        <v/>
      </c>
      <c r="G113" t="inlineStr">
        <is>
          <t>Mountain View, CA</t>
        </is>
      </c>
      <c r="H113" t="inlineStr"/>
      <c r="I113" t="inlineStr">
        <is>
          <t>**Overview**
 At Atlassian, we’re on a mission to unleash the potential of every team. As part of that mission, we're investing deeply in Generative AI — pioneering advanced modeling and rapid innovations that accelerate how teams work, discover, and create.
 We’re seeking a
 **Principal Machine Learning Engineer (P60\)** 
 to join our
 **Knowledge AI** 
 team in US. This is a hands\-on technical leadership role where you’ll push the boundaries of advanced GenAI modeling, agentic AI systems, rapid prototyping, and applied research. You will turn state\-of\-the\-art techniques into high\-impact innovations across Atlassian.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
 **Advance GenAI Modeling with Knowledge**
* Design and build novel approaches for knowledge\-grounded LLMs, embeddings, and multimodal modeling.
* Explore fine\-tuning, post\-training, and retrieval\-augmented strategies to adapt foundation models to Atlassian’s data.
* Lead technical explorations that expand the frontier of what’s possible in applied generative modeling.
 ⚡
 **Prototype \&amp; Experiment Rapidly**
* Drive POC experimentation, from agentic workflows to novel GenAI\-powered assistants.
* Translate research ideas into fast, working prototypes that demonstrate user value.
* Define and implement evaluation methods (groundedness, hallucination detection, human\-in\-the\-loop) to measure success.
 🤝
 **Provide Technical Leadership**
* Provide technical mentorship to team members.
* Influence design and implementation across retrievers, rankers, orchestration, and serving infrastructure.
* Collaborate with product and platform teams to turn prototypes into scalable systems.
 🚀
 **Shape Innovation Strategy**
* Contribute to the roadmap for advanced GenAI modeling and applied research.
* Partner with peers across Rovo, Jira Search, Knowledge AI, and Platform to drive cross\-team impact.
* Champion responsible AI, groundedness, and data quality in all innovations.
**Qualifications**
 ✅
 **Experience**
* 6\+ years in ML/AI engineering, with deep expertise in LLMs, NLP, or search.
* Proven track record of building and shipping ML\-powered or GenAI\-integrated products.
* Hands\-on experience with retrieval\-augmented generation (RAG), embeddings, hybrid retrieval, or agentic workflows.
* Strong background in scaling ML systems from prototype to production.
 💡
 **Skills**
* Expert\-level knowledge of GenAI ecosystems (OpenAI, Anthropic, Mistral, OSS) and fine\-tuning/serving frameworks.
* Deep technical skills across modeling, infrastructure, and orchestration (LangChain, LlamaIndex, vector DBs).
* Strong prototyping ability, balancing speed with rigor in experimentation.
* Ability to set technical direction and inspire peers with thought leadership.
 📚
 **Education**
* Master’s or PhD in Computer Science, Machine Learning, or related fields.
**Nice to Have**
* Experience with multimodal models, knowledge graphs, or semantic embeddings.
* Familiarity with evaluation metrics for search/GenAI (NDCG, groundedness, human preference modeling).
* Contributions to open\-source ML frameworks or GenAI research communities.
* Passion for mentoring and fostering innovation.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232200 \- USD 303150
 Zone B: USD 209700 \- USD 273775
 Zone C: USD 193500 \- USD 252625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14">
      <c r="A114" t="inlineStr">
        <is>
          <t>li-4358549922</t>
        </is>
      </c>
      <c r="B114" t="inlineStr">
        <is>
          <t>Principal Machine Learning Engineer</t>
        </is>
      </c>
      <c r="C114" t="inlineStr">
        <is>
          <t>Atlassian</t>
        </is>
      </c>
      <c r="D114" t="inlineStr">
        <is>
          <t>linkedin</t>
        </is>
      </c>
      <c r="E114">
        <f>HYPERLINK("https://www.linkedin.com/jobs/view/4358549922", "https://www.linkedin.com/jobs/view/4358549922")</f>
        <v/>
      </c>
      <c r="F114" t="inlineStr"/>
      <c r="G114" t="inlineStr">
        <is>
          <t>San Francisco, CA</t>
        </is>
      </c>
      <c r="H114" t="inlineStr"/>
      <c r="I114" t="inlineStr">
        <is>
          <t>**Overview**
 At Atlassian, we’re on a mission to unleash the potential of every team. As part of that mission, we're investing deeply in Generative AI — pioneering advanced modeling and rapid innovations that accelerate how teams work, discover, and create.
 We’re seeking a
 **Principal Machine Learning Engineer (P60\)** 
 to join our
 **Knowledge AI** 
 team in US. This is a hands\-on technical leadership role where you’ll push the boundaries of advanced GenAI modeling, agentic AI systems, rapid prototyping, and applied research. You will turn state\-of\-the\-art techniques into high\-impact innovations across Atlassian.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
 **Advance GenAI Modeling with Knowledge**
* Design and build novel approaches for knowledge\-grounded LLMs, embeddings, and multimodal modeling.
* Explore fine\-tuning, post\-training, and retrieval\-augmented strategies to adapt foundation models to Atlassian’s data.
* Lead technical explorations that expand the frontier of what’s possible in applied generative modeling.
 ⚡
 **Prototype \&amp; Experiment Rapidly**
* Drive POC experimentation, from agentic workflows to novel GenAI\-powered assistants.
* Translate research ideas into fast, working prototypes that demonstrate user value.
* Define and implement evaluation methods (groundedness, hallucination detection, human\-in\-the\-loop) to measure success.
 🤝
 **Provide Technical Leadership**
* Provide technical mentorship to team members.
* Influence design and implementation across retrievers, rankers, orchestration, and serving infrastructure.
* Collaborate with product and platform teams to turn prototypes into scalable systems.
 🚀
 **Shape Innovation Strategy**
* Contribute to the roadmap for advanced GenAI modeling and applied research.
* Partner with peers across Rovo, Jira Search, Knowledge AI, and Platform to drive cross\-team impact.
* Champion responsible AI, groundedness, and data quality in all innovations.
**Qualifications**
 ✅
 **Experience**
* 6\+ years in ML/AI engineering, with deep expertise in LLMs, NLP, or search.
* Proven track record of building and shipping ML\-powered or GenAI\-integrated products.
* Hands\-on experience with retrieval\-augmented generation (RAG), embeddings, hybrid retrieval, or agentic workflows.
* Strong background in scaling ML systems from prototype to production.
 💡
 **Skills**
* Expert\-level knowledge of GenAI ecosystems (OpenAI, Anthropic, Mistral, OSS) and fine\-tuning/serving frameworks.
* Deep technical skills across modeling, infrastructure, and orchestration (LangChain, LlamaIndex, vector DBs).
* Strong prototyping ability, balancing speed with rigor in experimentation.
* Ability to set technical direction and inspire peers with thought leadership.
 📚
 **Education**
* Master’s or PhD in Computer Science, Machine Learning, or related fields.
**Nice to Have**
* Experience with multimodal models, knowledge graphs, or semantic embeddings.
* Familiarity with evaluation metrics for search/GenAI (NDCG, groundedness, human preference modeling).
* Contributions to open\-source ML frameworks or GenAI research communities.
* Passion for mentoring and fostering innovation.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232200 \- USD 303150
 Zone B: USD 209700 \- USD 273775
 Zone C: USD 193500 \- USD 252625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15">
      <c r="A115" t="inlineStr">
        <is>
          <t>li-4330925865</t>
        </is>
      </c>
      <c r="B115" t="inlineStr">
        <is>
          <t>Principal AI/ML Engineer</t>
        </is>
      </c>
      <c r="C115" t="inlineStr">
        <is>
          <t>Vanguard</t>
        </is>
      </c>
      <c r="D115" t="inlineStr">
        <is>
          <t>linkedin</t>
        </is>
      </c>
      <c r="E115">
        <f>HYPERLINK("https://www.linkedin.com/jobs/view/4330925865", "https://www.linkedin.com/jobs/view/4330925865")</f>
        <v/>
      </c>
      <c r="F115" t="inlineStr"/>
      <c r="G115" t="inlineStr">
        <is>
          <t>Malvern, PA</t>
        </is>
      </c>
      <c r="H115" t="inlineStr"/>
      <c r="I115" t="inlineStr">
        <is>
          <t>**Core Responsibilities**
* Leads complex model development and deployment pipelines. Establishes best practices and drives innovation in data preparation and consumption. Expert in end\-to\-end data and model pipeline deployment and automation technologies.
* Integrates and optimizes existing complex data and model pipelines in a production environment. Identifies and diagnoses data inconsistencies and errors, documents assumptions, and forages to fill data gaps. Applies expert knowledge of experimental methodologies, statistics, optimization, probability theory, and machine learning concepts to create self\-running artificial intelligence (AI) systems to automate predictive models. Expert level knowledge in SDLC and related tools and processes. Serves as a thought partner for Machine Learning Operations team.
* Leads engineering design for complex data pipeline designs. Proficient in developing highly efficient designs and strategy for both batch and real\-time data pipelines.
* Partners with data science teams to understand data requirements, performs data discovery for model development. Performs detailed analysis of raw data sources for data quality, applies business context, and model development needs. Drives best practices and innovation is data discovery techniques.
* Engages with internal stakeholders to understand and probe business processes and develop hypotheses. Brings structure to requests and translates requirements into an analytic approach. Participates in and influences ongoing business planning and departmental prioritization activities.
* Writes model monitoring scripts as needed. Diagnoses root causes based on model monitoring alerts and triages issues. Coordinates and plans response to model monitoring alerts and resolves issues.
* Serves as a machine learning engineering subject matter expert on cross functional teams for large strategic initiatives and contributes to the growth of the Vanguard analytic community. Serves as data and Machine Learning engineering thought partner for the enterprise.
* Participates in special projects and performs other duties as assigned.
**Qualifications**
* Gen AI experience \- finetuning SLMs , application evaluation
* Experience with AWS suite of tools such as bedrock , agent core
* Undergraduate degree or equivalent combination of training and experience. Graduate degree preferred.
* Minimum of ten years related work experience.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116">
      <c r="A116" t="inlineStr">
        <is>
          <t>li-4359630866</t>
        </is>
      </c>
      <c r="B116" t="inlineStr">
        <is>
          <t>AI Engineer (Remote)</t>
        </is>
      </c>
      <c r="C116" t="inlineStr">
        <is>
          <t>Lumenalta</t>
        </is>
      </c>
      <c r="D116" t="inlineStr">
        <is>
          <t>linkedin</t>
        </is>
      </c>
      <c r="E116">
        <f>HYPERLINK("https://www.linkedin.com/jobs/view/4359630866", "https://www.linkedin.com/jobs/view/4359630866")</f>
        <v/>
      </c>
      <c r="F116" t="inlineStr"/>
      <c r="G116" t="inlineStr"/>
      <c r="H116" t="inlineStr"/>
      <c r="I116" t="inlineStr">
        <is>
          <t>At Lumenalta, we partner with forward\-thinking organizations to build technology solutions that scale, delight users, and accelerate business growth. Our global teams bring curiosity, commitment, and technical excellence to every project. We value transparency, autonomy, and impact—empowering every team member to do their best work.
 We’re seeking experienced AI Engineers to join a high\-growth fintech prospect focused on back\-office workflow automation. This role is an opportunity to design and deploy production\-grade AI systems for community banks, mortgage, and insurance institutions while shaping a flexible, modern architecture alongside an accomplished executive team.
**What You’ll Be Doing** 
* Design, build, and deploy AI models into production (not just prototypes or wrappers).
* Develop and maintain backend Python services that power intelligent automation workflows.
* Implement enterprise\-scale data pipelines for ingesting and processing financial and regulatory documents, with automated data quality checks and monitoring.
* Train and optimize models on banking rules, compliance standards, and regulatory datasets.
* Build intelligent routing systems (e.g., auto\-approval for simple loans/accounts, escalation to humans for complex cases).
* Collaborate with engineering leadership to shape architecture, delivery models, and stack decisions.
* Ensure compliance\-first design, embedding regulatory considerations into every product feature.
**What We’re Looking For** 
* Experience: 3–5\+ years in AI/ML engineering with a track record of deploying AI into production at scale.
* Technical Skills: Strong backend Python; expertise with ML frameworks (TensorFlow, PyTorch, Scikit\-Learn, etc.); familiarity with modern data pipeline tools (Airflow, Spark, Kafka) and workflow orchestration frameworks such as n8n or LangGraph.
* Applied AI: Background in enterprise applications such as chatbots, workflow automation, RAG pipelines, or intelligent document processing.
* Domain Awareness: Understanding of regulated industries (financial services, insurance, or similar) with the ability to design compliance\-aligned models.
* Collaboration: Comfortable working with a lean, high\-performing team and influencing technical direction.
* Adaptability: Excels in startup\-like environments with flexible, evolving tech stacks.
**Why Lumenalta is an amazing place to work at** 
 At Lumenalta, you can expect that you will:
* Be 100% dedicated to one project at a time so that you can innovate and grow.
* Be a part of a team of talented and friendly senior\-level developers.
* Work on projects that allow you to use leading tech.
 The job is 100% Remote; please ensure you have a comfortable office set at your desired work location.
**Salary** 
 Salary range: $50,000 \- $120,000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117">
      <c r="A117" t="inlineStr">
        <is>
          <t>li-4343506629</t>
        </is>
      </c>
      <c r="B117" t="inlineStr">
        <is>
          <t>Staff Machine Learning Engineer - Recommendations, Quora (Remote)</t>
        </is>
      </c>
      <c r="C117" t="inlineStr">
        <is>
          <t>Quora</t>
        </is>
      </c>
      <c r="D117" t="inlineStr">
        <is>
          <t>linkedin</t>
        </is>
      </c>
      <c r="E117">
        <f>HYPERLINK("https://www.linkedin.com/jobs/view/4343506629", "https://www.linkedin.com/jobs/view/4343506629")</f>
        <v/>
      </c>
      <c r="F117" t="inlineStr"/>
      <c r="G117" t="inlineStr"/>
      <c r="H117" t="inlineStr"/>
      <c r="I117" t="inlineStr">
        <is>
          <t>*\[* 
***Quora is a privately held, "remote\-first" company***
***.** 
 This position can be performed remotely from multiple countries around the world. Please visit* 
*careers.quora.com/eligible\-countries* 
*for details regarding employment eligibility by country.]*
**About Quora**
 Quora’s mission is to grow the world's collective intelligence. To do so, we have two platforms:
* Quora: a global knowledge sharing platform with over 300M monthly unique visitors, bringing people together to share insights on various topics and providing a unique platform to learn and connect with others.
* Poe: a platform providing millions of global users with one place to chat, explore and build with a wide variety of AI language models (bots), including GPT\-5, Claude Sonnet 4\.5, Grok 4, Veo 3\.1, Gemini 2\.5 Flash Image (Nano Banana),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Quora product.**
**About The Team And Role**
 Our small engineering team works on challenging problems every day. We have a culture that's rooted in constantly learning and improving, and our engineers are encouraged to think big and experiment with new ideas. As a remote\-first company, our engineers have a high degree of flexibility and autonomy. Everyone on the engineering team has a significant impact on our product and our company. We are looking for an experienced Machine Learning engineer to join our growing engineering team, working on recommendation systems such as feed, notifications, and Quora’s famous digest emails and A2A. At Quora, we use machine learning in almost every part of the product and recommendation systems play an important role in connecting users with content.
 As a recommendation systems expert, you will have a unique opportunity to have high impact by advancing our ranking systems as well as uncovering new opportunities to apply machine learning to the Quora product. You will also play a key role in developing tools and abstractions that our other developers will build on top of.
**Responsibilities**
* Improve our existing machine learning systems using your core coding skills and ML knowledge
* Identify new opportunities to apply machine learning to different parts of the Quora product
* Work with other machine learning engineers to implement algorithms and systems efficiently
* Take end\-to\-end ownership of machine learning systems \- data pipelines, candidate extraction, feature engineering, model training, as well as integration into our production systems
**Minimum Requirements**
* Availability for meetings and impromptu communication during Quora's “coordination hours" (Mon\-Fri: 9am\-3pm Pacific Time)
* 5\+ years of professional software development experience in machine learning
* 3\+ years of professional experience working on recommendation systems
* Good understanding of mathematical foundations of machine learning algorithms
* Previous experience building end\-to\-end machine learning systems.
* Good communication and interpersonal skills
* BS, MS, or PhD in Computer Science, Engineering, or a related technical field
**Preferred Requirements**
* 3\+ years of experience writing Python or C\+\+ code
* Experience with leading large\-scale multi\-engineer projects
* Flexible and positive team player with outstanding interpersonal skills
* Passion for Quora's mission and goals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We are accepting applications on an ongoing basis. This role is a backfill for an existing vacancy.
 Quora offers a wide range of benefits including medical/dental/vision coverage, equity refreshers, remote work reimbursement, paid time off, employee assistance programs, and more. Benefits are country\-specific and may vary. For more information on benefits, visit this link: https://www.careers.quora.com/benefits
 There are many factors that will determine the starting pay, including but not limited to experience, location, education, and business needs.
* US candidates only: For US based applicants, the salary range is $195,394 \- $300,490 USD \+ equity \+ benefits.
* Canada candidates only: For Toronto and Vancouver based applicants, the salary range is $256,246 \- $315,259 CAD \+ equity \+ benefits. For all other locations in Canada, the salary range is $239,163 \- $294,241 CAD \+ equity \+ benefits.
 We are an equal opportunity employer and value diversity at our company. We do not discriminate on the basis of race, religion, color, national origin, gender, sexual orientation, age, marital status, veteran status, or disability status.
 Please note: AI technology may assist in sorting applications and recording interview notes, but all decisions are made by a member of our team.</t>
        </is>
      </c>
    </row>
    <row r="118">
      <c r="A118" t="inlineStr">
        <is>
          <t>li-4359710020</t>
        </is>
      </c>
      <c r="B118" t="inlineStr">
        <is>
          <t>Principal Machine Learning Engineer</t>
        </is>
      </c>
      <c r="C118" t="inlineStr">
        <is>
          <t>Atlassian</t>
        </is>
      </c>
      <c r="D118" t="inlineStr">
        <is>
          <t>linkedin</t>
        </is>
      </c>
      <c r="E118">
        <f>HYPERLINK("https://www.linkedin.com/jobs/view/4359710020", "https://www.linkedin.com/jobs/view/4359710020")</f>
        <v/>
      </c>
      <c r="F118" t="inlineStr"/>
      <c r="G118" t="inlineStr">
        <is>
          <t>Seattle, WA</t>
        </is>
      </c>
      <c r="H118" t="inlineStr"/>
      <c r="I118" t="inlineStr">
        <is>
          <t>**Overview**
 At Atlassian, we’re on a mission to unleash the potential of every team. As part of that mission, we're investing deeply in Generative AI — pioneering advanced modeling and rapid innovations that accelerate how teams work, discover, and create.
 We’re seeking a
 **Principal Machine Learning Engineer (P60\)** 
 to join our
 **Knowledge AI** 
 team in US. This is a hands\-on technical leadership role where you’ll push the boundaries of advanced GenAI modeling, agentic AI systems, rapid prototyping, and applied research. You will turn state\-of\-the\-art techniques into high\-impact innovations across Atlassian.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
 **Advance GenAI Modeling with Knowledge**
* Design and build novel approaches for knowledge\-grounded LLMs, embeddings, and multimodal modeling.
* Explore fine\-tuning, post\-training, and retrieval\-augmented strategies to adapt foundation models to Atlassian’s data.
* Lead technical explorations that expand the frontier of what’s possible in applied generative modeling.
 ⚡
 **Prototype \&amp; Experiment Rapidly**
* Drive POC experimentation, from agentic workflows to novel GenAI\-powered assistants.
* Translate research ideas into fast, working prototypes that demonstrate user value.
* Define and implement evaluation methods (groundedness, hallucination detection, human\-in\-the\-loop) to measure success.
 🤝
 **Provide Technical Leadership**
* Provide technical mentorship to team members.
* Influence design and implementation across retrievers, rankers, orchestration, and serving infrastructure.
* Collaborate with product and platform teams to turn prototypes into scalable systems.
 🚀
 **Shape Innovation Strategy**
* Contribute to the roadmap for advanced GenAI modeling and applied research.
* Partner with peers across Rovo, Jira Search, Knowledge AI, and Platform to drive cross\-team impact.
* Champion responsible AI, groundedness, and data quality in all innovations.
**Qualifications**
 ✅
 **Experience**
* 6\+ years in ML/AI engineering, with deep expertise in LLMs, NLP, or search.
* Proven track record of building and shipping ML\-powered or GenAI\-integrated products.
* Hands\-on experience with retrieval\-augmented generation (RAG), embeddings, hybrid retrieval, or agentic workflows.
* Strong background in scaling ML systems from prototype to production.
 💡
 **Skills**
* Expert\-level knowledge of GenAI ecosystems (OpenAI, Anthropic, Mistral, OSS) and fine\-tuning/serving frameworks.
* Deep technical skills across modeling, infrastructure, and orchestration (LangChain, LlamaIndex, vector DBs).
* Strong prototyping ability, balancing speed with rigor in experimentation.
* Ability to set technical direction and inspire peers with thought leadership.
 📚
 **Education**
* Master’s or PhD in Computer Science, Machine Learning, or related fields.
**Nice to Have**
* Experience with multimodal models, knowledge graphs, or semantic embeddings.
* Familiarity with evaluation metrics for search/GenAI (NDCG, groundedness, human preference modeling).
* Contributions to open\-source ML frameworks or GenAI research communities.
* Passion for mentoring and fostering innovation.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232200 \- USD 303150
 Zone B: USD 209700 \- USD 273775
 Zone C: USD 193500 \- USD 252625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19">
      <c r="A119" t="inlineStr">
        <is>
          <t>li-4359384479</t>
        </is>
      </c>
      <c r="B119" t="inlineStr">
        <is>
          <t>Senior AI or ML Engineer - Hybrid in Austin, TX, Chicago, IL, or Minneapolis, MN</t>
        </is>
      </c>
      <c r="C119" t="inlineStr">
        <is>
          <t>Optum</t>
        </is>
      </c>
      <c r="D119" t="inlineStr">
        <is>
          <t>linkedin</t>
        </is>
      </c>
      <c r="E119">
        <f>HYPERLINK("https://www.linkedin.com/jobs/view/4359384479", "https://www.linkedin.com/jobs/view/4359384479")</f>
        <v/>
      </c>
      <c r="F119" t="inlineStr"/>
      <c r="G119" t="inlineStr">
        <is>
          <t>Austin, TX</t>
        </is>
      </c>
      <c r="H119" t="inlineStr"/>
      <c r="I119"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We're excited to share an opportunity to join a cutting\-edge project involving the development and enhancement of a voice\-based bot platform built on top of an LLM (Large Language Model) framework. The scope of work includes collaborating on a highly scalable, consumer\-facing system designed for production environments with significant traffic. Ideal candidates should be enthusiastic about emerging technologies in the LLM space, as this role offers hands\-on experience with advanced tools and the chance to explore innovative solutions within a rapidly evolving AI landscape.
 If you are located in Austin, Chicago or Minneapolis, you will have the flexibility to work remotely\*, as well as work in the office as you take on some tough challenges.
 For all hires in the Minneapolis or Washington, D.C. area, you will be required to work in the office a minimum of four days per week.
**Primary Responsibilities**
* Help design and develop the next generation of NLP, ML \&amp; AI products, and services for healthcare
* Develop machine learning and deep learning models and systems in domains including, but not limited to: NLP, NLU, NLG, SLU and multidimensional time series forecasting among others
* Exposure in RAG, LangChain, VectorDBs
* Ability to Quantize, Optimize GenAI models
* Manage NLP \&amp; ML models lifecycle for a suite of products
* Run large complex proof\-of\-concepts for the healthcare business
* Manage prioritization and technology work for building NLP, ML \&amp; AI solutions
* Lead the full end\-to\-end machine learning development process including data ingestion and preparation, feature engineering, analysis and modeling, model deployment, performance tracking and documentation
* Establish best practices for end\-to\-end deep learning and machine learning development cycle to ensure rigor in process and quality in outcome
* Work with a great deal of autonomy to find solutions to complex problems
*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You'll be rewarded and recognized for your performance in an environment that will challenge you and give you clear direction on what it takes to succeed in your role as well as provide development for other roles you may be interested in.
**Required Qualifications**
* 5\+ years of experience in delivering AI/ML projects in a production environment, preferably consumer\-facing and high\-traffic systems
* 5\+ years of client\-side application development, with a solid track record of building scalable and performant user\-facing applications
* 5\+ years of hands\-on coding experience in JavaScript or Python\-must be comfortable writing production\-quality code
* 3\+ years of hands\-on development experience with Large Language Models (LLMs), including prompt engineering, fine\-tuning, or custom LLM orchestration
* 2\+ years of experience working with agentic AI architectures, including task decomposition, memory management, and autonomous agent workflows
**Preferred Qualifications**
- Experience working with AWS Bedrock, including deploying and orchestrating foundation models within a managed environment
- Hands\-on experience integrating conversational AI platforms like Amazon Lex V2 with backend services or bots, especially for voice\-based or multi\-turn conversations
- Familiarity with AWS Lambda for building scalable, serverless microservices that integrate with LLM workflows or bot architectures
- Experience with Amazon Kendra, Amazon SageMaker, or AWS Step Functions is a plus, especially in the context of LLM\-powered knowledge retrieval or orchestration
- Understanding of event\-driven architecture and serverless patterns using AWS SNS/SQS, API Gateway, and DynamoDB
- Experience deploying and monitoring LLM\-enabled bots in Amazon Connect or other customer engagement platforms
- Experience in deploying scalable solutions to complex problems, from defining the problem, implementing the solution, and launching the new product successfully
- Familiarity with CI/CD pipelines on AWS (e.g., CodePipeline, CodeBuild) for automating model updates and bot deployments
- Proven skills in the following:
* NLP, NLU, NLI
* Models: GPT, Llama, Mistral
* Model Optimization
* Retrieval \&amp; Ranking, RAG, RAGAS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$89,900 to $160,600 annually based on full\-time employment. We comply with all minimum wage laws as applicable.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20">
      <c r="A120" t="inlineStr">
        <is>
          <t>li-4331921473</t>
        </is>
      </c>
      <c r="B120" t="inlineStr">
        <is>
          <t>Senior Machine Learning Engineer</t>
        </is>
      </c>
      <c r="C120" t="inlineStr">
        <is>
          <t>Jobs via Dice</t>
        </is>
      </c>
      <c r="D120" t="inlineStr">
        <is>
          <t>linkedin</t>
        </is>
      </c>
      <c r="E120">
        <f>HYPERLINK("https://www.linkedin.com/jobs/view/4331921473", "https://www.linkedin.com/jobs/view/4331921473")</f>
        <v/>
      </c>
      <c r="F120">
        <f>HYPERLINK("https://click.appcast.io/t/gnPhzNeLlkqFMzcbh68KfRXMDshY5rG7MQklN5Ukc_w=&amp;urlHash=N2Qo", "https://click.appcast.io/t/gnPhzNeLlkqFMzcbh68KfRXMDshY5rG7MQklN5Ukc_w=&amp;urlHash=N2Qo")</f>
        <v/>
      </c>
      <c r="G120" t="inlineStr">
        <is>
          <t>Redmond, WA</t>
        </is>
      </c>
      <c r="H120" t="inlineStr"/>
      <c r="I120" t="inlineStr">
        <is>
          <t>**Overview**
 Microsoft is a company where innovators come to collaborate, envision what can be and take their careers to higher levels. This is a world of more possibilities, more innovation, and more openness in a cloud\-enabled world.
 It is an incredible time for AI initiatives at Microsoft. We're pushing the boundaries of AI and Machine Learning across multiple domains to advance Microsoft's ambitious AI goals. Microsoft Copilot Studio is our comprehensive agent building platform that lets its customers create conversational and autonomous agents using natural language or a graphical interface. Copilot Studio makes it simple to design, test, and deploy solutions tailored to its customers' industry, company, department, or role, whether they need agents for internal or external use cases .
 We are looking to hire a Senior Machine Learning Engineer to join our team!
 This role will contribute to the development and integration of cutting\-edge AI technologies into Microsoft Copilot Studio, ensuring they are inclusive, ethical, and impactful. You will also collaborate across product, design, research and engineering teams to bring innovative solutions to life, applying your expertise in machine learning, data science, and software engineering to solve complex problems. Your work will directly influence product quality and customer experiences.
 Additionally, t his opportunity will combine machine learning and AI knowledge with software engineering expertise , while demonstrat ing a growth mindset and customer empathy. Join us in shaping the future of AI agents. Y ou will play a crucial role in developing the Copilot Studio A pplied Science and Research team's direction in m achine learning, Generative AI model fine\-tuning, Agent creation and deployment, AI evaluation and scaling.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Prepare and analyze data for machine learning, identifying optimal features and addressing data gaps.
* Implement machine learning algorithms, large\-scale model fine\-tuning, especially with closed and open source LLMs, SLMs, multimodal or task\-specific models to solve real\-world customer problems and deliver measurable product and customer impact.
* Contribute to or enhance existing innovations by continuously refining well\-established models and training techniques through iterative improvements.
* Develop evaluation frameworks to assess model performance, monitor model behavior, conduct systematic benchmarking, and address identified weaknesses while ensuring compliance with customer standards.
* Write efficient production code and debug complex distributed systems.
* Provide subject matter expertise in AI subfields (e.g., deep learning, Generative AI, NLP, muti\-modal models, reinforcement learning) to help translate cutting\-edge research into practical, real\-world solutions that drive product innovation and business impact.
* Demonstrate deep understanding of small and large language models (SLMs and LLMs) architecture and optimization techniques to adapt out\-of\-the\-box solutions to particular business problems.
**Qualifications**
**Required Qualifications**
* Bachelor's Degree in Statistics, Econometrics, Computer Science, Electrical or Computer Engineering, or related field AND 4\+ years related experience (e.g., statistics predictive analytics, research) Master's Degree in Statistics, Econometrics, Computer Science, Electrical or Computer Engineering, or related field AND 3\+ years related experience (e.g., statistics, predictive analytics, research) Doctorate in Statistics, Econometrics, Computer Science, Electrical or Computer Engineering, or related field AND 1\+ year(s) related experience (e.g., statistics, predictive analytics, research) or equivalent experience.
* 2\+ years of experience with Machine learning or AI\-embedded processes.
**Other Requirements:**
* Ability to meet Microsoft, customer and/or government security screening requirements is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Experience with MLOps Workflows, including CI/CD, monitoring, and retraining pipelines.
* Familiarity with modern LLMOps frameworks (e.g., LangChain, PromptFlow)
* Familiar with AI coding assistant, AI IDE, Agentic coding assistant such as GitHub Copilot, and Cursor
* 2\+ years of experience conducting applied AI research in academic or industry settings
* 2\+ year of experience developing and deploying live production systems or AI services
* Experience across the product lifecycle from ideation to shipping
 \#BICJobs
 \#MCSJobs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1">
      <c r="A121" t="inlineStr">
        <is>
          <t>li-4331521596</t>
        </is>
      </c>
      <c r="B121" t="inlineStr">
        <is>
          <t>Principal Machine Learning Engineer - Evisort AI</t>
        </is>
      </c>
      <c r="C121" t="inlineStr">
        <is>
          <t>Jobs via Dice</t>
        </is>
      </c>
      <c r="D121" t="inlineStr">
        <is>
          <t>linkedin</t>
        </is>
      </c>
      <c r="E121">
        <f>HYPERLINK("https://www.linkedin.com/jobs/view/4331521596", "https://www.linkedin.com/jobs/view/4331521596")</f>
        <v/>
      </c>
      <c r="F121" t="inlineStr"/>
      <c r="G121" t="inlineStr">
        <is>
          <t>Seattle, WA</t>
        </is>
      </c>
      <c r="H121" t="inlineStr"/>
      <c r="I121"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Join the Evisort AI team at Workday, which powers Document Intelligence AI and Workday's CLM and Contract Intelligence offerings. Our mission is to change the way business deals get done.
 We build ground breaking AI technology that can read and understand contract language to make every part of the deal\-making process from drafting, negotiating, reviewing, approving, or managing the contracts happen faster, better, with reduced risks. We build AI first products, and automate manual work, freeing up our customers time and accelerating their businesses.
 You will be joining the Evisort AI team, which functions as a startup within Workday. This is your opportunity to build at the pace of innovation of a startup, while backed by the enormous support and impacting Workday's incredible customer base of 70M\+ users.
**About The Role**
 As a Principal Machine Learning Engineer, you will help develop tailored user experiences using advanced LLMs, Knowledge Graphs, personalization, and predictive analysis. You will collaborate with other engineers to deliver ML solutions across Workday's product ecosystem and utilize software and data engineering stacks to enable training, deployment, and lifecycle management of various ML models. You will develop and deploy new products at scale and leverage Workday's vast computing resources on rich datasets to deliver transformative value to our customers.
 In addition to contributing to feature and service development, you must have an approach of continuous improvement, passion for quality, scale, and security. You must be curious and prepared to question or challenge choices and practices where they don't make sense to you or could be improved. You also should have a product approach and strong intuition around how ML can drive a better customer experience. Lastly, a strong sense of ownership and teamwork are essential to succeed in this role.
**About You**
 Basic Qualifications
* 10\+ years experience as a member of a data science, machine learning engineering, or other relevant software development team building applied machine learning products at scale, including taking products through applied research, design, implementation, production, and production\-based evaluation
* 4\+ years of professional experience in machine learning and deep learning frameworks \&amp; toolkits such as Pytorch, TensorFlow
* 6\+ years of professional experience in building services to host machine learning models in production at scale
* 3\+ years of demonstrated experience working with large language models (LLMs), text generation models, and/or graph neural network models for real\-world use cases
* 6\+ years of proven experience with cloud computing platforms (e.g. AWS, Google Cloud Platform, etc.)
* Proven track record of successfully leading, mentoring, and/or managing ML Engineering teams, taking ownership of development lifecycle and sprint planning; fostering a culture of collaboration, transparency, innovation, and continuous improvement
* Bachelor's (Master's or PhD preferred) degree in engineering, computer science, physics, math or equivalent
****Other Qualifications:****
* Stay up to date with advancements in AI, LLMs, RAG, autonomous agents and orchestration frameworks to drive innovation
* Deep understanding of statistical analysis, unsupervised and supervised machine learning algorithms, and natural language processing for information retrieval and/or recommendation system use cases
* Professional experience in independently solving ambiguous, open\-ended problems and technically leading teams
* Excellent interpersonal and communication skills, with the ability to build strong relationships across teams and stakeholders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USA.WA.Seattle
 Primary Location Base Pay Range: $215,000 USD \- $322,600 USD
 Additional US Location(s) Base Pay Range: $194,600 USD \- $345,600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t>
        </is>
      </c>
    </row>
    <row r="122">
      <c r="A122" t="inlineStr">
        <is>
          <t>li-4331931605</t>
        </is>
      </c>
      <c r="B122" t="inlineStr">
        <is>
          <t>Google Cloud ML Engineer at Dallas, TX (Onsite)</t>
        </is>
      </c>
      <c r="C122" t="inlineStr">
        <is>
          <t>Jobs via Dice</t>
        </is>
      </c>
      <c r="D122" t="inlineStr">
        <is>
          <t>linkedin</t>
        </is>
      </c>
      <c r="E122">
        <f>HYPERLINK("https://www.linkedin.com/jobs/view/4331931605", "https://www.linkedin.com/jobs/view/4331931605")</f>
        <v/>
      </c>
      <c r="F122" t="inlineStr"/>
      <c r="G122" t="inlineStr">
        <is>
          <t>Dallas, TX</t>
        </is>
      </c>
      <c r="H122" t="inlineStr"/>
      <c r="I122" t="inlineStr">
        <is>
          <t>Dice is the leading career destination for tech experts at every stage of their careers. Our client, Info Dinamica Inc, is seeking the following. Apply via Dice today!
**Role: Google Cloud ML Engineer\- Vertex AI**
**Location: Dallas, TX (Onsite)**
**\# of Positions: 06**
**Requirements:**
* Experience architecting, designing, and developing scalable chat Virtual Agent frameworks using Google Vertex AI, with proficiency in Vertex AI Agent Engine, Model Garden and Google Agent Development Kit (ADK).
* Hands\-on experience in developing NLP and GenAI Models on Vertex AI
* Proficiency in training, fine\-tuning, and deploying custom LLMs, transformer models, and Retrieval Augmented Generation (RAG) pipelines to AI Models.
 Required Qualifications:
* 5\-7 years in software development (4\+ in NLP/NLU for chat).
* Good to have an understanding on other Google Cloud Platform services and cloud\-native architectures
 Preferred Qualifications:
* Master's/PhD in Computer Science, AI/ML, or related field
* Must have Google Cloud Platform Certification\- Google Cloud Certified Professional Machine Learning Engineer
* Experience with GenAI frameworks (PaLM, Gemini)
* Integration with CRM, knowledge bases, and live agent systems</t>
        </is>
      </c>
    </row>
    <row r="123">
      <c r="A123" t="inlineStr">
        <is>
          <t>li-4331551549</t>
        </is>
      </c>
      <c r="B123" t="inlineStr">
        <is>
          <t>Senior AI Engineer</t>
        </is>
      </c>
      <c r="C123" t="inlineStr">
        <is>
          <t>Jobs via Dice</t>
        </is>
      </c>
      <c r="D123" t="inlineStr">
        <is>
          <t>linkedin</t>
        </is>
      </c>
      <c r="E123">
        <f>HYPERLINK("https://www.linkedin.com/jobs/view/4331551549", "https://www.linkedin.com/jobs/view/4331551549")</f>
        <v/>
      </c>
      <c r="F123" t="inlineStr"/>
      <c r="G123" t="inlineStr">
        <is>
          <t>Armonk, NY</t>
        </is>
      </c>
      <c r="H123" t="inlineStr"/>
      <c r="I123" t="inlineStr">
        <is>
          <t>Your role and responsibilities
 Senior AI Engineer, IBM Corporation, Armonk, NY and various unanticipated client sites throughout the US (Up to 20% telecommuting permitted):
* Manage broader responsibilities which includes leading AI system architecture, mentoring junior engineers, and driving strategic initiatives across multiple projects.
* Engages with stakeholders to align AI solutions with business objectives.
* Draft solution plays for Go\-To\-Market campaigns positioning AI Offerings.
* Lead engagements and conversations with clients to propose AI solutions offering the best price performance value.
* Present to customer executives and at conferences AI solutions and architecture for use cases across different industries.
* Scale distributed computing workloads on clusters of GPU nodes in Cloud and On\-Premises environments to train AI models.
* Utilize: Python; Machine Learning and Deep Learning Algorithms; Prompt Engineering of LLMs; Fine tuning of LLMs using LangChain; LangGraph; LlamaIndex and Pytorch frameworks; Spark.
 Required: Master's degree or equivalent in Computer Engineering, Artificial Intelligence (AI) and Data Science or related (employer will accept a Bachelor's degree plus five (5\) years of progressive experience in lieu of a Master's degree) and one (1\) year of experience as a Senior AI Engineer or related. One (1\) year of experience must include utilizing Python; Machine Learning and Deep Learning Algorithms; Prompt Engineering of LLMs; Fine tuning of LLMs using LangChain; LangGraph; LlamaIndex and Pytorch frameworks; Spark. $200000 to $250000 per year. Full time. V169\.
 Required education
 Master's Degree
 Required technical and professional expertise
 Master's degree or equivalent in Computer Engineering, Artificial Intelligence (AI) and Data Science or related (employer will accept a Bachelor's degree plus five (5\) years of progressive experience in lieu of a Master's degree) and one (1\) year of experience as a Senior AI Engineer or related. One (1\) year of experience must include utilizing Python; Machine Learning and Deep Learning Algorithms; Prompt Engineering of LLMs; Fine tuning of LLMs using LangChain; LangGraph; LlamaIndex and Pytorch frameworks; Spark.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Restlessly reinventing since 1911, we are not only one of the largest corporate organizations in the world, we're also one of the biggest technology and consulting employers, with many of the Fortune 500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IBM is proud to be an equal\-opportunity employer. All qualified applicants will receive consideration for employment without regard to race, color, religion, sex, gender, gender identity or expression, sexual orientation, national origin, genetics, pregnancy, disability, neurodivergence, age, or other characteristics protected by the applicable law. IBM is also committed to compliance with all fair employment practices regarding citizenship and immigration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2026-01-09T03:07:44Z</dcterms:created>
  <dcterms:modified xsi:type="dcterms:W3CDTF">2026-01-09T03:07:44Z</dcterms:modified>
</cp:coreProperties>
</file>