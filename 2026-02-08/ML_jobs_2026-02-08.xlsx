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in-d6a3c3069d7c772f</t>
        </is>
      </c>
      <c r="B2" t="inlineStr">
        <is>
          <t>Sr. Principal Data Scientist - Machine Learning Engineer</t>
        </is>
      </c>
      <c r="C2" t="inlineStr">
        <is>
          <t>Northrop Grumman</t>
        </is>
      </c>
      <c r="D2" t="inlineStr">
        <is>
          <t>indeed</t>
        </is>
      </c>
      <c r="E2" t="inlineStr"/>
      <c r="F2" t="inlineStr"/>
      <c r="G2" t="inlineStr">
        <is>
          <t>Falls Church, VA, US</t>
        </is>
      </c>
      <c r="H2" s="2" t="n">
        <v>46058</v>
      </c>
      <c r="I2" t="inlineStr">
        <is>
          <t>RELOCATION ASSISTANCE: No relocation assistance available
CLEARANCE TYPE: None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the Insights \&amp; Intelligence (i2\) organization seeks to embed trusted AI and data insights into every business decision at the company. Our Applied Data Science \&amp; AI team builds lightweight, production‑grade analytics solutions that solve problems traditional enterprise tools struggle to meet.
Our team operates with high autonomy, working closely with engineers and business leaders to identify high‑value problems, build apps and other products from the ground up, and deploy them into production. We value speed, intellectual curiosity, and the ability to toggle between “prototype rapidly” and “engineer for production” based on what the situation demands.
As a data scientist / machine learning engineer, you will be a technical force multiplier—working with program teams to understand their challenges, building the infrastructure and applications to address them, and deploying production solutions that drive high\-impact decisions.
Job duties include, but are not limited to:
* Work directly with stakeholders (engineers, program managers, subject matter experts) to scope problems, identify constraints, and iterate on technical solutions
* Bridge analytics and infrastructure by understanding both the business problem and the approach, then building systems that deliver insights
* Build user‑friendly, production‑grade ML/AI applications (e.g., Streamlit, Gradio) that provide data insights to teams across the enterprise and enable better decision making
* Develop and maintain cloud‑based infrastructure (AWS, Databricks) and tooling to support scalable and reliable data analytics workflows
* Design and implement CI/CD pipelines, infrastructure‑as‑code (Terraform, AWS CloudFormation), and MLOps practices that enhance team productivity
* Optimize existing workflows and advocate for software engineering best practices (version control, modular design, testing) to drive team efficiency and code quality
* Stay current on cloud technologies, MLOps trends, and application frameworks to identify opportunities for improvement
**What Makes You Successful in this role:**
**You balance speed with quality:** You can assess when “good enough now” beats “perfect later” and prioritize impact and working solutions over perfection.
**You have high agency:** You proactively gather information, identify blockers, can operate in ambiguity, and make thoughtful decisions with incomplete information.
**You’re technically versatile:** You’re comfortable diving into infrastructure one day and analyzing a dataset the next, stepping into different roles depending on project needs.
**You’re a bridge****‑****builder:** You can talk to data scientists about model deployment, engineers about infrastructure, and business stakeholders about their problem. You translate and collaborate across domains.
**Work Arrangement**
This is a hybrid/remote position. Most of our team is based in the Northern Virginia area, and we welcome candidates who can sometimes collaborate in person, but we operate primarily remotely and value flexibility. This position’s standard work schedule is a 9/80\. The 9/80 schedule allows employees who work a nine\-hour day Monday through Thursday to take every other Friday off.
**Basic Qualifications:**
* Must have a PhD with 4 years of relevant professional experience OR a Master’s degree with 6 years of relevant professional experience OR Bachelor’s degree with 8 years of relevant professional experience
* Must have strong proficiency with Python, SQL, and Git
* Must have experience with frameworks for rapid application development (e.g., Streamlit, Gradio, Starlette, Next.js)
* Must have knowledge of DevOps or MLOps concepts and their application in data science workflows
* Must have strong understanding of containerization (e.g., Docker, Podman)
* Must have the ability to work collaboratively with data teams (data scientists, analysts) to support analytics workflows and insights
* Must have demonstrated problem‑solving and critical‑thinking skills with an ability to handle complex technical challenges
* Must have excellent communication skills and comfort engaging with non‑technical stakeholders
**Preferred Qualifications:**
* Proven track record of deploying and monitoring production‑grade software systems on AWS
* Experience with Databricks and PySpark for data transformation and analytics
* Proven experience building and deploying web‑based visualization or decision‑support tools for business use cases
* Exposure to workflow orchestration tools (e.g., AWS Step Functions, Apache Airflow) and infrastructure‑as‑code tools (e.g., Terraform, AWS CloudFormation)
* Familiarity with scalable data architectures and machine learning deployment frameworks
* Domain experience in manufacturing analytics, operations research, supply chain optimization, or financial forecasting
* Background in consulting, forward‑deployed engineering, or other client‑facing technical roles where you translated ambiguous business problems into technical solutions
Primary Level Salary Range: $142,200\.00 \- $213,200\.00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3">
      <c r="A3" t="inlineStr">
        <is>
          <t>in-ccb918f1fdeca412</t>
        </is>
      </c>
      <c r="B3" t="inlineStr">
        <is>
          <t>Sr. Principal Data Scientist - Machine Learning Engineer</t>
        </is>
      </c>
      <c r="C3" t="inlineStr">
        <is>
          <t>Northrop Grumman</t>
        </is>
      </c>
      <c r="D3" t="inlineStr">
        <is>
          <t>indeed</t>
        </is>
      </c>
      <c r="E3" t="inlineStr"/>
      <c r="F3" t="inlineStr"/>
      <c r="G3" t="inlineStr">
        <is>
          <t>Falls Church, VA, US</t>
        </is>
      </c>
      <c r="H3" s="2" t="n">
        <v>46058</v>
      </c>
      <c r="I3" t="inlineStr">
        <is>
          <t>RELOCATION ASSISTANCE: No relocation assistance available
CLEARANCE TYPE: None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the Insights \&amp; Intelligence (i2\) organization seeks to embed trusted AI and data insights into every business decision at the company. Our Applied Data Science \&amp; AI team builds lightweight, production‑grade analytics solutions that solve problems traditional enterprise tools struggle to meet.
Our team operates with high autonomy, working closely with engineers and business leaders to identify high‑value problems, build apps and other products from the ground up, and deploy them into production. We value speed, intellectual curiosity, and the ability to toggle between “prototype rapidly” and “engineer for production” based on what the situation demands.
As a data scientist / machine learning engineer, you will be a technical force multiplier—working with program teams to understand their challenges, building the infrastructure and applications to address them, and deploying production solutions that drive high\-impact decisions.
Job duties include, but are not limited to:
* Work directly with stakeholders (engineers, program managers, subject matter experts) to scope problems, identify constraints, and iterate on technical solutions
* Bridge analytics and infrastructure by understanding both the business problem and the approach, then building systems that deliver insights
* Build user‑friendly, production‑grade ML/AI applications (e.g., Streamlit, Gradio) that provide data insights to teams across the enterprise and enable better decision making
* Develop and maintain cloud‑based infrastructure (AWS, Databricks) and tooling to support scalable and reliable data analytics workflows
* Design and implement CI/CD pipelines, infrastructure‑as‑code (Terraform, AWS CloudFormation), and MLOps practices that enhance team productivity
* Optimize existing workflows and advocate for software engineering best practices (version control, modular design, testing) to drive team efficiency and code quality
* Stay current on cloud technologies, MLOps trends, and application frameworks to identify opportunities for improvement
**What Makes You Successful in this role:**
**You balance speed with quality:** You can assess when “good enough now” beats “perfect later” and prioritize impact and working solutions over perfection.
**You have high agency:** You proactively gather information, identify blockers, can operate in ambiguity, and make thoughtful decisions with incomplete information.
**You’re technically versatile:** You’re comfortable diving into infrastructure one day and analyzing a dataset the next, stepping into different roles depending on project needs.
**You’re a bridge****‑****builder:** You can talk to data scientists about model deployment, engineers about infrastructure, and business stakeholders about their problem. You translate and collaborate across domains.
**Work Arrangement**
This is a hybrid/remote position. Most of our team is based in the Northern Virginia area, and we welcome candidates who can sometimes collaborate in person, but we operate primarily remotely and value flexibility. This position’s standard work schedule is a 9/80\. The 9/80 schedule allows employees who work a nine\-hour day Monday through Thursday to take every other Friday off.
**Basic Qualifications:**
* Must have a PhD with 4 years of relevant professional experience OR a Master’s degree with 6 years of relevant professional experience OR Bachelor’s degree with 8 years of relevant professional experience
* Must have strong proficiency with Python, SQL, and Git
* Must have experience with frameworks for rapid application development (e.g., Streamlit, Gradio, Starlette, Next.js)
* Must have knowledge of DevOps or MLOps concepts and their application in data science workflows
* Must have strong understanding of containerization (e.g., Docker, Podman)
* Must have the ability to work collaboratively with data teams (data scientists, analysts) to support analytics workflows and insights
* Must have demonstrated problem‑solving and critical‑thinking skills with an ability to handle complex technical challenges
* Must have excellent communication skills and comfort engaging with non‑technical stakeholders
**Preferred Qualifications:**
* Proven track record of deploying and monitoring production‑grade software systems on AWS
* Experience with Databricks and PySpark for data transformation and analytics
* Proven experience building and deploying web‑based visualization or decision‑support tools for business use cases
* Exposure to workflow orchestration tools (e.g., AWS Step Functions, Apache Airflow) and infrastructure‑as‑code tools (e.g., Terraform, AWS CloudFormation)
* Familiarity with scalable data architectures and machine learning deployment frameworks
* Domain experience in manufacturing analytics, operations research, supply chain optimization, or financial forecasting
* Background in consulting, forward‑deployed engineering, or other client‑facing technical roles where you translated ambiguous business problems into technical solutions
Primary Level Salary Range: $142,200\.00 \- $213,200\.00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4">
      <c r="A4" t="inlineStr">
        <is>
          <t>in-885a04fb3962fa6b</t>
        </is>
      </c>
      <c r="B4" t="inlineStr">
        <is>
          <t>AIML Sr. Machine Learning Engineer - Answers, Knowledge &amp; Information (AKI)</t>
        </is>
      </c>
      <c r="C4" t="inlineStr">
        <is>
          <t>Apple</t>
        </is>
      </c>
      <c r="D4" t="inlineStr">
        <is>
          <t>indeed</t>
        </is>
      </c>
      <c r="E4" t="inlineStr"/>
      <c r="F4" t="inlineStr"/>
      <c r="G4" t="inlineStr">
        <is>
          <t>Santa Clara, CA, US</t>
        </is>
      </c>
      <c r="H4" s="2" t="n">
        <v>46060</v>
      </c>
      <c r="I4" t="inlineStr">
        <is>
          <t>Siri helps hundreds of millions of people find the information they are looking for. A critical part of that mission is helping them quickly find and discover local businesses, places of interest, and addresses. Users rely on us for relevant and easy access to local information like finding a favorite or romantic restaurant, business hours, nearby coffee shop addresses, and directions to prominent locations.  
The Geo domain team is redefining how hundreds of millions of people use their devices to navigate and explore the physical world around them. We are part of a wider effort to power search across a variety of Apple products \- including Siri, Spotlight, Safari, Messages, and more. As part of our team, you will be using innovative machine learning techniques and LLMs in order to understand queries, rank documents, and find useful answers to users’ questions.  
We are looking for an experienced ML engineer with hands\-on experience in search and recommendation and deploying powerful machine learning models at scale. You will join a team that combines strong technical skills, product vision, and a love of all things local to bring together the pieces needed to deliver an extraordinary Maps experience in Siri and Spotlight.  
**Description**  
As a member of our fast\-paced group, you’ll have the unique and rewarding opportunity to shape upcoming products from Apple. Our team includes a diversity of backgrounds from applied scientists with a focus in NLP to experienced distributed systems. We are looking for candidates with both applied machine learning experience and strong engineering skills.  
The role will have the following responsibilities:  
* Own the entire ML development cycle from opportunity analysis, exploration, and prototyping to data collection, feature engineering, training, evaluation, and deployment in production.
* Lead the development of machine learning models to improve search quality across retrieval, ranking, reranking, and query understanding.
* Improve search quality and experience by leveraging techniques such as learning\-to\-rank, embedding models, contrastive learning, multi\-task learning, and reinforcement learning where appropriate.
* Mentor junior engineers and provide technical leadership in architecting ML systems and designing ML models.
* Understand product requirements, then translate them into modeling tasks and engineering tasks.
**Preferred Qualifications**  
Advanced diploma in AI, Machine Learning, Computer Science, or Mathematics  
**Minimum Qualifications**  
You have 8\+ years of experience in information retrieval, natural language processing, machine learning, or deep learning.  
You have a deep understanding of machine learning theory, including supervised learning, ranking models, embeddings, representation learning, and evaluation metrics.  
You have proven ability to apply advanced ML techniques to improve search relevance and retrieval quality at scale.  
You are comfortable leading experimentation, offline evaluation, and online A/B testing for iterative improvements in search quality.  
You have excellent interpersonal skills, the ability to work independently as well as as part of a team.  
You have a Master’s Degree in Computer Science or equivalent experience in machine learning or a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5">
      <c r="A5" t="inlineStr">
        <is>
          <t>in-fbfadb01e3bdc32a</t>
        </is>
      </c>
      <c r="B5" t="inlineStr">
        <is>
          <t>AIML Sr. Machine Learning Engineer - Answers, Knowledge &amp; Information (AKI)</t>
        </is>
      </c>
      <c r="C5" t="inlineStr">
        <is>
          <t>Apple</t>
        </is>
      </c>
      <c r="D5" t="inlineStr">
        <is>
          <t>indeed</t>
        </is>
      </c>
      <c r="E5" t="inlineStr"/>
      <c r="F5" t="inlineStr"/>
      <c r="G5" t="inlineStr">
        <is>
          <t>Santa Clara, CA, US</t>
        </is>
      </c>
      <c r="H5" s="2" t="n">
        <v>46060</v>
      </c>
      <c r="I5" t="inlineStr">
        <is>
          <t>Siri helps hundreds of millions of people find the information they are looking for. A critical part of that mission is helping them quickly find and discover local businesses, places of interest, and addresses. Users rely on us for relevant and easy access to local information like finding a favorite or romantic restaurant, business hours, nearby coffee shop addresses, and directions to prominent locations.  
The Geo domain team is redefining how hundreds of millions of people use their devices to navigate and explore the physical world around them. We are part of a wider effort to power search across a variety of Apple products \- including Siri, Spotlight, Safari, Messages, and more. As part of our team, you will be using innovative machine learning techniques and LLMs in order to understand queries, rank documents, and find useful answers to users’ questions.  
We are looking for an experienced ML engineer with hands\-on experience in search and recommendation and deploying powerful machine learning models at scale. You will join a team that combines strong technical skills, product vision, and a love of all things local to bring together the pieces needed to deliver an extraordinary Maps experience in Siri and Spotlight.  
**Description**  
As a member of our fast\-paced group, you’ll have the unique and rewarding opportunity to shape upcoming products from Apple. Our team includes a diversity of backgrounds from applied scientists with a focus in NLP to experienced distributed systems. We are looking for candidates with both applied machine learning experience and strong engineering skills.  
The role will have the following responsibilities:  
* Own the entire ML development cycle from opportunity analysis, exploration, and prototyping to data collection, feature engineering, training, evaluation, and deployment in production.
* Lead the development of machine learning models to improve search quality across retrieval, ranking, reranking, and query understanding.
* Improve search quality and experience by leveraging techniques such as learning\-to\-rank, embedding models, contrastive learning, multi\-task learning, and reinforcement learning where appropriate.
* Mentor junior engineers and provide technical leadership in architecting ML systems and designing ML models.
* Understand product requirements, then translate them into modeling tasks and engineering tasks.
**Preferred Qualifications**  
Advanced diploma in AI, Machine Learning, Computer Science, or Mathematics  
**Minimum Qualifications**  
You have 8\+ years of experience in information retrieval, natural language processing, machine learning, or deep learning.  
You have a deep understanding of machine learning theory, including supervised learning, ranking models, embeddings, representation learning, and evaluation metrics.  
You have proven ability to apply advanced ML techniques to improve search relevance and retrieval quality at scale.  
You are comfortable leading experimentation, offline evaluation, and online A/B testing for iterative improvements in search quality.  
You have excellent interpersonal skills, the ability to work independently as well as as part of a team.  
You have a Master’s Degree in Computer Science or equivalent experience in machine learning or a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6">
      <c r="A6" t="inlineStr">
        <is>
          <t>in-ef159ea14b11e236</t>
        </is>
      </c>
      <c r="B6" t="inlineStr">
        <is>
          <t>Co-Founder Lead Machine Learning Engineer</t>
        </is>
      </c>
      <c r="C6" t="inlineStr"/>
      <c r="D6" t="inlineStr">
        <is>
          <t>indeed</t>
        </is>
      </c>
      <c r="E6" t="inlineStr"/>
      <c r="F6" t="inlineStr"/>
      <c r="G6" t="inlineStr">
        <is>
          <t>Frisco, TX, US</t>
        </is>
      </c>
      <c r="H6" s="2" t="n">
        <v>46061</v>
      </c>
      <c r="I6" t="inlineStr">
        <is>
          <t>*This is a true co\-founding, early\-stage role. While the platform requires a salary range to be listed, this position is initially compensated through equity only, offering up to 2\.5 percent ownership until funding is secured.*
*The commitment during this phase is approximately four hours each weekend, on\-site only, with gas reimbursed and one meal provided during work sessions. This structure reflects the hands\-on, build\-from\-the\-ground\-up nature of the role.*
*Once funding is secured, the role transitions to a full\-time, paid, on\-site position. At that point, the salary range listed in this posting is the compensation range you should expect, alongside the continued expectation of full on\-site availability, including weekends as required by project milestones. Remote work is not possible at any stage.*
*This role is intended for candidates seeking meaningful ownership, direct technical impact, and long\-term upside, rather than short\-term or remote opportunities.*
About the Role
NanoCure AI is developing a next\-generation, drug\-free cancer treatment platform that combines high\-resolution microscopy, AI\-based cell classification, and real\-time physical actuation. We are seeking a recent graduate Machine Learning Engineer to support and harden our training and inference pipelines as we transition from research prototypes to production\-ready systems.
This is not a speculative research role and not a generic “AI engineer” position. You will work directly with senior engineers and the founder to implement, validate, and maintain deterministic, testable ML systems used in lab and pre\-clinical environments.
You will focus on data correctness, model training infrastructure, inference services, and operational reliability, rather than inventing new algorithms.
What You Will Work On
Model Training \&amp; Evaluation
* Support and extend PyTorch\-based training pipelines for binary and multi\-class cell classification.
* Implement and validate dataset loading, split isolation, class balancing, and evaluation metrics.
* Assist in managing stain variability, preprocessing pipelines, and controlled augmentations.
* Help diagnose failure modes such as class bias, threshold instability, and domain shift
Inference Pipelines
* Maintain FastAPI\-based inference services running on NVIDIA Jetson Orin platforms.
* Assist with model loading, runtime configuration, thresholding logic, and decision gating.
* Help ensure inference outputs are deterministic, traceable, and compatible with downstream systems.
* Support multiple inference services running concurrently (e.g., parallel models, ports, or variants).
Data \&amp; Pipeline Reliability
* Build tooling and scripts to verify dataset integrity (duplicate detection, label correctness, leakage checks).
* Assist with logging, monitoring, and basic performance profiling of training and inference runs.
* Help enforce reproducibility (seeds, configs, checkpoints, EMA handling).
Cross\-Functional Support
* Work closely with senior ML, systems, and embedded engineers to integrate models into a larger hardware\-software system.
* Interface with lab personnel to understand real\-world data issues (imaging variability, staining differences, capture artifacts).
* Participate in technical reviews focused on correctness, not hype.
What We’re Looking For (Required)
* Bachelor’s or master’s degree in computer science, Electrical Engineering, Biomedical Engineering, or related field (recent graduate or early career).
* Strong Python proficiency with hands\-on experience using PyTorch.
* Solid understanding of:
* supervised learning
* train/validation/test separation
* loss functions and class imbalance
* evaluation metrics (precision/recall, balanced accuracy, ROC behavior)
* Familiarity with Linux development environments.
* Comfort working with existing codebases and improving them incrementally and safely.
* Ability to reason about why a model is behaving incorrectly, not just how to make it train.
Expected Mindset
* Detail\-oriented and cautious with production systems.
* Willing to ask questions and accept constraints (medical \+ hardware systems demand discipline).
* Interested in building reliable infrastructure, not just training models once.
Nice to Have (Not Required)
* Experience deploying models on embedded or edge devices (Jetson, CUDA, TensorRT).
* Exposure to computer vision or biomedical imaging.
* Familiarity with FastAPI, REST services, or basic systemd/Linux services.
* Experience with experiment tracking, logging, or dataset tooling.
* Coursework or projects involving ML systems, not just notebooks.
What This Role Is *Not*
* Not a pure research scientist role.
* Not responsible for defining medical policy or clinical criteria.
* Not expected to invent new architectures from scratch.
* Not a solo owner of the AI stack.
You will be supported by senior technical leadership and domain experts.
Compensation \&amp; Structure
Up to 2\.5% equity (moves into traditional yearly salary once funding is secured)
Job Type: Full\-time
Pay: $135,000\.00 \- $200,000\.00 per year
Ability to Commute:
* Frisco, TX 75035 (Required)
Work Location: In person</t>
        </is>
      </c>
    </row>
    <row r="7">
      <c r="A7" t="inlineStr">
        <is>
          <t>in-67b1b17e517d2f06</t>
        </is>
      </c>
      <c r="B7" t="inlineStr">
        <is>
          <t>AIML - Sr. Applied Machine Learning Engineer - Answers, Knowledge &amp; Information (AKI)</t>
        </is>
      </c>
      <c r="C7" t="inlineStr">
        <is>
          <t>Apple</t>
        </is>
      </c>
      <c r="D7" t="inlineStr">
        <is>
          <t>indeed</t>
        </is>
      </c>
      <c r="E7" t="inlineStr"/>
      <c r="F7" t="inlineStr"/>
      <c r="G7" t="inlineStr">
        <is>
          <t>Santa Clara, CA, US</t>
        </is>
      </c>
      <c r="H7" s="2" t="n">
        <v>46060</v>
      </c>
      <c r="I7" t="inlineStr">
        <is>
          <t>Do you want to make Siri and Apple products smarter for our users? Our Answers, Knowledge \&amp; Information (AKI) team is redefining how hundreds of millions of people use their devices to get information. We are an Applied ML team pushing the limits on real\-time augmented information retrieval and generation, information safety and search technologies, while also responsible for a few user\-facing production services. We are part of a wider effort to power information across a variety of Apple products \- including: Siri, Spotlight, Safari, Messages, Lookup, and more.  
**Description**  
We are looking for candidates with applied machine learning experience and strong software engineering skills. As a member of our fast\-paced group, you’ll have the unique and rewarding opportunity to shape upcoming products from Apple. Our team includes a diversity of backgrounds from applied machine learning engineers with a focus on ML and LLM to experienced distributed systems engineers.  
You will be using and improving upon the latest advancements in machine learning and software engineering to understand user queries and intents, retrieve and rank documents, and generate helpful answers, and work on horizontal areas on data generation, evaluation, and safety.  
**Preferred Qualifications**  
Analyzing search ranking and relevance requirements issues and opportunities  
Building machine\-learned models for search relevance ranking query understanding and questioning  
Understanding product requirements then translating them into modeling tasks and engineering tasks  
Masters or PhD in the area of Computer Science or equivalent, or a related  
**Minimum Qualifications**  
Experience with using: PyTorch, TensorFlow, or JAX for training and deploying deep learning models  
Proficient in at least two programming languages such as: Go, Swift, Python, C/C\+\+, or Java  
3\+ years of industry related experience, working in collaborative environments  
Bachelors in Computer Science, Artificial Intelligence, Machine Learning, Information Retrieval, Data Science or related field or equivalent work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8">
      <c r="A8" t="inlineStr">
        <is>
          <t>in-4cc8ad790fa38a0d</t>
        </is>
      </c>
      <c r="B8" t="inlineStr">
        <is>
          <t>AIML - Sr. Applied Machine Learning Engineer - Answers, Knowledge &amp; Information (AKI)</t>
        </is>
      </c>
      <c r="C8" t="inlineStr">
        <is>
          <t>Apple</t>
        </is>
      </c>
      <c r="D8" t="inlineStr">
        <is>
          <t>indeed</t>
        </is>
      </c>
      <c r="E8" t="inlineStr"/>
      <c r="F8" t="inlineStr"/>
      <c r="G8" t="inlineStr">
        <is>
          <t>Santa Clara, CA, US</t>
        </is>
      </c>
      <c r="H8" s="2" t="n">
        <v>46060</v>
      </c>
      <c r="I8" t="inlineStr">
        <is>
          <t>Do you want to make Siri and Apple products smarter for our users? Our Answers, Knowledge \&amp; Information (AKI) team is redefining how hundreds of millions of people use their devices to get information. We are an Applied ML team pushing the limits on real\-time augmented information retrieval and generation, information safety and search technologies, while also responsible for a few user\-facing production services. We are part of a wider effort to power information across a variety of Apple products \- including: Siri, Spotlight, Safari, Messages, Lookup, and more.  
**Description**  
We are looking for candidates with applied machine learning experience and strong software engineering skills. As a member of our fast\-paced group, you’ll have the unique and rewarding opportunity to shape upcoming products from Apple. Our team includes a diversity of backgrounds from applied machine learning engineers with a focus on ML and LLM to experienced distributed systems engineers.  
You will be using and improving upon the latest advancements in machine learning and software engineering to understand user queries and intents, retrieve and rank documents, and generate helpful answers, and work on horizontal areas on data generation, evaluation, and safety.  
**Preferred Qualifications**  
Analyzing search ranking and relevance requirements issues and opportunities  
Building machine\-learned models for search relevance ranking query understanding and questioning  
Understanding product requirements then translating them into modeling tasks and engineering tasks  
Masters or PhD in the area of Computer Science or equivalent, or a related  
**Minimum Qualifications**  
Experience with using: PyTorch, TensorFlow, or JAX for training and deploying deep learning models  
Proficient in at least two programming languages such as: Go, Swift, Python, C/C\+\+, or Java  
3\+ years of industry related experience, working in collaborative environments  
Bachelors in Computer Science, Artificial Intelligence, Machine Learning, Information Retrieval, Data Science or related field or equivalent work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9">
      <c r="A9" t="inlineStr">
        <is>
          <t>in-ed0f4179da65a27a</t>
        </is>
      </c>
      <c r="B9" t="inlineStr">
        <is>
          <t>Sr. Applied Scientist, Amazon Ads</t>
        </is>
      </c>
      <c r="C9" t="inlineStr">
        <is>
          <t>Amazon.com</t>
        </is>
      </c>
      <c r="D9" t="inlineStr">
        <is>
          <t>indeed</t>
        </is>
      </c>
      <c r="E9" t="inlineStr"/>
      <c r="F9" t="inlineStr"/>
      <c r="G9" t="inlineStr">
        <is>
          <t>Tukwila, WA, US</t>
        </is>
      </c>
      <c r="H9" s="2" t="n">
        <v>45998</v>
      </c>
      <c r="I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
      <c r="A10" t="inlineStr">
        <is>
          <t>in-ee26e85a7ed8eba1</t>
        </is>
      </c>
      <c r="B10" t="inlineStr">
        <is>
          <t>Sr. Applied Scientist, Amazon Ads</t>
        </is>
      </c>
      <c r="C10" t="inlineStr">
        <is>
          <t>Amazon.com</t>
        </is>
      </c>
      <c r="D10" t="inlineStr">
        <is>
          <t>indeed</t>
        </is>
      </c>
      <c r="E10" t="inlineStr"/>
      <c r="F10" t="inlineStr"/>
      <c r="G10" t="inlineStr">
        <is>
          <t>Boulder, CO, US</t>
        </is>
      </c>
      <c r="H10" s="2" t="n">
        <v>45998</v>
      </c>
      <c r="I1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
      <c r="A11" t="inlineStr">
        <is>
          <t>in-bb37ebe1c9f91f79</t>
        </is>
      </c>
      <c r="B11" t="inlineStr">
        <is>
          <t>Sr. Applied Scientist, Amazon Ads</t>
        </is>
      </c>
      <c r="C11" t="inlineStr">
        <is>
          <t>Amazon.com</t>
        </is>
      </c>
      <c r="D11" t="inlineStr">
        <is>
          <t>indeed</t>
        </is>
      </c>
      <c r="E11" t="inlineStr"/>
      <c r="F11" t="inlineStr"/>
      <c r="G11" t="inlineStr">
        <is>
          <t>Seattle, WA, US</t>
        </is>
      </c>
      <c r="H11" s="2" t="n">
        <v>45998</v>
      </c>
      <c r="I1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
      <c r="A12" t="inlineStr">
        <is>
          <t>in-967b59fd8aa63173</t>
        </is>
      </c>
      <c r="B12" t="inlineStr">
        <is>
          <t>Sr. Applied Scientist, Amazon Ads</t>
        </is>
      </c>
      <c r="C12" t="inlineStr">
        <is>
          <t>Amazon.com</t>
        </is>
      </c>
      <c r="D12" t="inlineStr">
        <is>
          <t>indeed</t>
        </is>
      </c>
      <c r="E12" t="inlineStr"/>
      <c r="F12" t="inlineStr"/>
      <c r="G12" t="inlineStr">
        <is>
          <t>Palo Alto, CA, US</t>
        </is>
      </c>
      <c r="H12" s="2" t="n">
        <v>45998</v>
      </c>
      <c r="I1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
      <c r="A13" t="inlineStr">
        <is>
          <t>in-ce63870ee31bfaa4</t>
        </is>
      </c>
      <c r="B13" t="inlineStr">
        <is>
          <t>Sr. Applied Scientist, Amazon Ads</t>
        </is>
      </c>
      <c r="C13" t="inlineStr">
        <is>
          <t>Amazon.com</t>
        </is>
      </c>
      <c r="D13" t="inlineStr">
        <is>
          <t>indeed</t>
        </is>
      </c>
      <c r="E13" t="inlineStr"/>
      <c r="F13" t="inlineStr"/>
      <c r="G13" t="inlineStr">
        <is>
          <t>Sunnyvale, CA, US</t>
        </is>
      </c>
      <c r="H13" s="2" t="n">
        <v>45998</v>
      </c>
      <c r="I1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
      <c r="A14" t="inlineStr">
        <is>
          <t>in-b603e4ad201efd97</t>
        </is>
      </c>
      <c r="B14" t="inlineStr">
        <is>
          <t>Sr. Applied Scientist, Amazon Ads</t>
        </is>
      </c>
      <c r="C14" t="inlineStr">
        <is>
          <t>Amazon.com</t>
        </is>
      </c>
      <c r="D14" t="inlineStr">
        <is>
          <t>indeed</t>
        </is>
      </c>
      <c r="E14" t="inlineStr"/>
      <c r="F14" t="inlineStr"/>
      <c r="G14" t="inlineStr">
        <is>
          <t>Santa Monica, CA, US</t>
        </is>
      </c>
      <c r="H14" s="2" t="n">
        <v>45998</v>
      </c>
      <c r="I1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
      <c r="A15" t="inlineStr">
        <is>
          <t>in-0feefb7327b78de3</t>
        </is>
      </c>
      <c r="B15" t="inlineStr">
        <is>
          <t>Sr. Applied Scientist, Amazon Ads</t>
        </is>
      </c>
      <c r="C15" t="inlineStr">
        <is>
          <t>Amazon.com</t>
        </is>
      </c>
      <c r="D15" t="inlineStr">
        <is>
          <t>indeed</t>
        </is>
      </c>
      <c r="E15" t="inlineStr"/>
      <c r="F15" t="inlineStr"/>
      <c r="G15" t="inlineStr">
        <is>
          <t>New York, NY, US</t>
        </is>
      </c>
      <c r="H15" s="2" t="n">
        <v>45998</v>
      </c>
      <c r="I1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
      <c r="A16" t="inlineStr">
        <is>
          <t>in-8a85b783c505692f</t>
        </is>
      </c>
      <c r="B16" t="inlineStr">
        <is>
          <t>Sr. Applied Scientist, Amazon Ads</t>
        </is>
      </c>
      <c r="C16" t="inlineStr">
        <is>
          <t>Amazon.com</t>
        </is>
      </c>
      <c r="D16" t="inlineStr">
        <is>
          <t>indeed</t>
        </is>
      </c>
      <c r="E16" t="inlineStr"/>
      <c r="F16" t="inlineStr"/>
      <c r="G16" t="inlineStr">
        <is>
          <t>Brooklyn, NY, US</t>
        </is>
      </c>
      <c r="H16" s="2" t="n">
        <v>45998</v>
      </c>
      <c r="I1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
      <c r="A17" t="inlineStr">
        <is>
          <t>in-76937ef23cafb7c6</t>
        </is>
      </c>
      <c r="B17" t="inlineStr">
        <is>
          <t>Sr. Applied Scientist, Amazon Ads</t>
        </is>
      </c>
      <c r="C17" t="inlineStr">
        <is>
          <t>Amazon.com</t>
        </is>
      </c>
      <c r="D17" t="inlineStr">
        <is>
          <t>indeed</t>
        </is>
      </c>
      <c r="E17" t="inlineStr"/>
      <c r="F17" t="inlineStr"/>
      <c r="G17" t="inlineStr">
        <is>
          <t>Boston, MA, US</t>
        </is>
      </c>
      <c r="H17" s="2" t="n">
        <v>45998</v>
      </c>
      <c r="I1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8">
      <c r="A18" t="inlineStr">
        <is>
          <t>in-9e99f68329b18aab</t>
        </is>
      </c>
      <c r="B18" t="inlineStr">
        <is>
          <t>Sr. Applied Scientist, Amazon Ads</t>
        </is>
      </c>
      <c r="C18" t="inlineStr">
        <is>
          <t>Amazon.com</t>
        </is>
      </c>
      <c r="D18" t="inlineStr">
        <is>
          <t>indeed</t>
        </is>
      </c>
      <c r="E18" t="inlineStr"/>
      <c r="F18" t="inlineStr"/>
      <c r="G18" t="inlineStr">
        <is>
          <t>Corvallis, OR, US</t>
        </is>
      </c>
      <c r="H18" s="2" t="n">
        <v>45998</v>
      </c>
      <c r="I1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9">
      <c r="A19" t="inlineStr">
        <is>
          <t>in-7b924a88947182b9</t>
        </is>
      </c>
      <c r="B19" t="inlineStr">
        <is>
          <t>Sr. Applied Scientist, SPB Advertiser Guidance</t>
        </is>
      </c>
      <c r="C19" t="inlineStr">
        <is>
          <t>Amazon.com</t>
        </is>
      </c>
      <c r="D19" t="inlineStr">
        <is>
          <t>indeed</t>
        </is>
      </c>
      <c r="E19" t="inlineStr"/>
      <c r="F19" t="inlineStr"/>
      <c r="G19" t="inlineStr">
        <is>
          <t>Seattle, WA, US</t>
        </is>
      </c>
      <c r="H19" s="2" t="n">
        <v>45939</v>
      </c>
      <c r="I1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in-88af63c17d753625</t>
        </is>
      </c>
      <c r="B20" t="inlineStr">
        <is>
          <t>Applied Scientist</t>
        </is>
      </c>
      <c r="C20" t="inlineStr">
        <is>
          <t>Amazon.com</t>
        </is>
      </c>
      <c r="D20" t="inlineStr">
        <is>
          <t>indeed</t>
        </is>
      </c>
      <c r="E20" t="inlineStr"/>
      <c r="F20" t="inlineStr"/>
      <c r="G20" t="inlineStr">
        <is>
          <t>Palo Alto, CA, US</t>
        </is>
      </c>
      <c r="H20" s="2" t="n">
        <v>45939</v>
      </c>
      <c r="I2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in-5531aa62975a3bde</t>
        </is>
      </c>
      <c r="B21" t="inlineStr">
        <is>
          <t>Applied Scientist</t>
        </is>
      </c>
      <c r="C21" t="inlineStr">
        <is>
          <t>Amazon.com</t>
        </is>
      </c>
      <c r="D21" t="inlineStr">
        <is>
          <t>indeed</t>
        </is>
      </c>
      <c r="E21" t="inlineStr"/>
      <c r="F21" t="inlineStr"/>
      <c r="G21" t="inlineStr">
        <is>
          <t>Seattle, WA, US</t>
        </is>
      </c>
      <c r="H21" s="2" t="n">
        <v>45939</v>
      </c>
      <c r="I2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in-769f17d365da9a87</t>
        </is>
      </c>
      <c r="B22" t="inlineStr">
        <is>
          <t>Sr. Applied Scientist, SPB Advertiser Guidance</t>
        </is>
      </c>
      <c r="C22" t="inlineStr">
        <is>
          <t>Amazon.com</t>
        </is>
      </c>
      <c r="D22" t="inlineStr">
        <is>
          <t>indeed</t>
        </is>
      </c>
      <c r="E22" t="inlineStr"/>
      <c r="F22" t="inlineStr"/>
      <c r="G22" t="inlineStr">
        <is>
          <t>New York, NY, US</t>
        </is>
      </c>
      <c r="H22" s="2" t="n">
        <v>45939</v>
      </c>
      <c r="I2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in-d2e62538dfb2c7b7</t>
        </is>
      </c>
      <c r="B23" t="inlineStr">
        <is>
          <t>Applied Scientist</t>
        </is>
      </c>
      <c r="C23" t="inlineStr">
        <is>
          <t>Amazon.com</t>
        </is>
      </c>
      <c r="D23" t="inlineStr">
        <is>
          <t>indeed</t>
        </is>
      </c>
      <c r="E23" t="inlineStr"/>
      <c r="F23" t="inlineStr"/>
      <c r="G23" t="inlineStr">
        <is>
          <t>New York, NY, US</t>
        </is>
      </c>
      <c r="H23" s="2" t="n">
        <v>45939</v>
      </c>
      <c r="I2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in-a2abee62c2e2a903</t>
        </is>
      </c>
      <c r="B24" t="inlineStr">
        <is>
          <t>Sr. Applied Scientist, SPB Advertiser Guidance</t>
        </is>
      </c>
      <c r="C24" t="inlineStr">
        <is>
          <t>Amazon.com</t>
        </is>
      </c>
      <c r="D24" t="inlineStr">
        <is>
          <t>indeed</t>
        </is>
      </c>
      <c r="E24" t="inlineStr"/>
      <c r="F24" t="inlineStr"/>
      <c r="G24" t="inlineStr">
        <is>
          <t>Palo Alto, CA, US</t>
        </is>
      </c>
      <c r="H24" s="2" t="n">
        <v>45939</v>
      </c>
      <c r="I2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in-39fa67a712a2700e</t>
        </is>
      </c>
      <c r="B25" t="inlineStr">
        <is>
          <t>Applied Scientist II, Prime Video - Personalization and Discovery Science, Personalization and Discovery Science</t>
        </is>
      </c>
      <c r="C25" t="inlineStr">
        <is>
          <t>Amazon.com</t>
        </is>
      </c>
      <c r="D25" t="inlineStr">
        <is>
          <t>indeed</t>
        </is>
      </c>
      <c r="E25" t="inlineStr"/>
      <c r="F25" t="inlineStr"/>
      <c r="G25" t="inlineStr">
        <is>
          <t>New York, NY, US</t>
        </is>
      </c>
      <c r="H25" s="2" t="n">
        <v>45930</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in-607257dc8c570710</t>
        </is>
      </c>
      <c r="B26" t="inlineStr">
        <is>
          <t>Applied Scientist II, Prime Video - Personalization and Discovery Science, Personalization and Discovery Science</t>
        </is>
      </c>
      <c r="C26" t="inlineStr">
        <is>
          <t>Amazon.com</t>
        </is>
      </c>
      <c r="D26" t="inlineStr">
        <is>
          <t>indeed</t>
        </is>
      </c>
      <c r="E26" t="inlineStr"/>
      <c r="F26" t="inlineStr"/>
      <c r="G26" t="inlineStr">
        <is>
          <t>Seattle, WA, US</t>
        </is>
      </c>
      <c r="H26" s="2" t="n">
        <v>45930</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in-a894cd562406ea1e</t>
        </is>
      </c>
      <c r="B27" t="inlineStr">
        <is>
          <t>Applied Scientist II, Prime Video - Personalization and Discovery Science, Personalization and Discovery Science</t>
        </is>
      </c>
      <c r="C27" t="inlineStr">
        <is>
          <t>Amazon.com</t>
        </is>
      </c>
      <c r="D27" t="inlineStr">
        <is>
          <t>indeed</t>
        </is>
      </c>
      <c r="E27" t="inlineStr"/>
      <c r="F27" t="inlineStr"/>
      <c r="G27" t="inlineStr">
        <is>
          <t>Sunnyvale, CA, US</t>
        </is>
      </c>
      <c r="H27" s="2" t="n">
        <v>45930</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in-39d2060d982f85f0</t>
        </is>
      </c>
      <c r="B28" t="inlineStr">
        <is>
          <t>Applied Scientist II, Prime Video - Personalization and Discovery Science</t>
        </is>
      </c>
      <c r="C28" t="inlineStr">
        <is>
          <t>Amazon.com</t>
        </is>
      </c>
      <c r="D28" t="inlineStr">
        <is>
          <t>indeed</t>
        </is>
      </c>
      <c r="E28" t="inlineStr"/>
      <c r="F28" t="inlineStr"/>
      <c r="G28" t="inlineStr">
        <is>
          <t>New York, NY, US</t>
        </is>
      </c>
      <c r="H28" s="2" t="n">
        <v>45881</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in-6e3706a874290413</t>
        </is>
      </c>
      <c r="B29" t="inlineStr">
        <is>
          <t>Applied Scientist II, Prime Video - Personalization and Discovery Science</t>
        </is>
      </c>
      <c r="C29" t="inlineStr">
        <is>
          <t>Amazon.com</t>
        </is>
      </c>
      <c r="D29" t="inlineStr">
        <is>
          <t>indeed</t>
        </is>
      </c>
      <c r="E29" t="inlineStr"/>
      <c r="F29" t="inlineStr"/>
      <c r="G29" t="inlineStr">
        <is>
          <t>Sunnyvale, CA, US</t>
        </is>
      </c>
      <c r="H29" s="2" t="n">
        <v>45881</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in-71128c5d3660a57c</t>
        </is>
      </c>
      <c r="B30" t="inlineStr">
        <is>
          <t>Sr. Applied Scientist, Prime Video - Personalization and Discovery Science</t>
        </is>
      </c>
      <c r="C30" t="inlineStr">
        <is>
          <t>Amazon.com</t>
        </is>
      </c>
      <c r="D30" t="inlineStr">
        <is>
          <t>indeed</t>
        </is>
      </c>
      <c r="E30" t="inlineStr"/>
      <c r="F30" t="inlineStr"/>
      <c r="G30" t="inlineStr">
        <is>
          <t>Seattle, WA, US</t>
        </is>
      </c>
      <c r="H30" s="2" t="n">
        <v>45881</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in-cc01c8c6bc1ec4d6</t>
        </is>
      </c>
      <c r="B31" t="inlineStr">
        <is>
          <t>Sr. Applied Scientist, Prime Video - Personalization and Discovery Science</t>
        </is>
      </c>
      <c r="C31" t="inlineStr">
        <is>
          <t>Amazon.com</t>
        </is>
      </c>
      <c r="D31" t="inlineStr">
        <is>
          <t>indeed</t>
        </is>
      </c>
      <c r="E31" t="inlineStr"/>
      <c r="F31" t="inlineStr"/>
      <c r="G31" t="inlineStr">
        <is>
          <t>New York, NY, US</t>
        </is>
      </c>
      <c r="H31" s="2" t="n">
        <v>45881</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in-382a7ae521f0969f</t>
        </is>
      </c>
      <c r="B32" t="inlineStr">
        <is>
          <t>Sr. Applied Scientist, Prime Video - Personalization and Discovery Science</t>
        </is>
      </c>
      <c r="C32" t="inlineStr">
        <is>
          <t>Amazon.com</t>
        </is>
      </c>
      <c r="D32" t="inlineStr">
        <is>
          <t>indeed</t>
        </is>
      </c>
      <c r="E32" t="inlineStr"/>
      <c r="F32" t="inlineStr"/>
      <c r="G32" t="inlineStr">
        <is>
          <t>Sunnyvale, CA, US</t>
        </is>
      </c>
      <c r="H32" s="2" t="n">
        <v>45881</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in-79b2f2ce238cffa9</t>
        </is>
      </c>
      <c r="B33" t="inlineStr">
        <is>
          <t>Applied Scientist II, Prime Video - Personalization and Discovery Science</t>
        </is>
      </c>
      <c r="C33" t="inlineStr">
        <is>
          <t>Amazon.com</t>
        </is>
      </c>
      <c r="D33" t="inlineStr">
        <is>
          <t>indeed</t>
        </is>
      </c>
      <c r="E33" t="inlineStr"/>
      <c r="F33" t="inlineStr"/>
      <c r="G33" t="inlineStr">
        <is>
          <t>Seattle, WA, US</t>
        </is>
      </c>
      <c r="H33" s="2" t="n">
        <v>45881</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in-5260898085da0554</t>
        </is>
      </c>
      <c r="B34" t="inlineStr">
        <is>
          <t>Applied Scientist, Prime Video - Personalization and Discovery Science</t>
        </is>
      </c>
      <c r="C34" t="inlineStr">
        <is>
          <t>Amazon.com</t>
        </is>
      </c>
      <c r="D34" t="inlineStr">
        <is>
          <t>indeed</t>
        </is>
      </c>
      <c r="E34" t="inlineStr"/>
      <c r="F34" t="inlineStr"/>
      <c r="G34" t="inlineStr">
        <is>
          <t>Seattle, WA, US</t>
        </is>
      </c>
      <c r="H34" s="2" t="n">
        <v>45845</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in-9356a1f9f2034b4c</t>
        </is>
      </c>
      <c r="B35" t="inlineStr">
        <is>
          <t>Applied Scientist, Prime Video - Personalization and Discovery Science</t>
        </is>
      </c>
      <c r="C35" t="inlineStr">
        <is>
          <t>Amazon.com</t>
        </is>
      </c>
      <c r="D35" t="inlineStr">
        <is>
          <t>indeed</t>
        </is>
      </c>
      <c r="E35" t="inlineStr"/>
      <c r="F35" t="inlineStr"/>
      <c r="G35" t="inlineStr">
        <is>
          <t>New York, NY, US</t>
        </is>
      </c>
      <c r="H35" s="2" t="n">
        <v>45845</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in-ca8a8bc7b81f701b</t>
        </is>
      </c>
      <c r="B36" t="inlineStr">
        <is>
          <t>Applied Scientist, Prime Video - Personalization and Discovery Science</t>
        </is>
      </c>
      <c r="C36" t="inlineStr">
        <is>
          <t>Amazon.com</t>
        </is>
      </c>
      <c r="D36" t="inlineStr">
        <is>
          <t>indeed</t>
        </is>
      </c>
      <c r="E36" t="inlineStr"/>
      <c r="F36" t="inlineStr"/>
      <c r="G36" t="inlineStr">
        <is>
          <t>Sunnyvale, CA, US</t>
        </is>
      </c>
      <c r="H36" s="2" t="n">
        <v>45845</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in-2d5ce3824e5f4bd9</t>
        </is>
      </c>
      <c r="B37" t="inlineStr">
        <is>
          <t>Senior Machine Learning Engineer (NYC)</t>
        </is>
      </c>
      <c r="C37" t="inlineStr">
        <is>
          <t>TWG Global AI</t>
        </is>
      </c>
      <c r="D37" t="inlineStr">
        <is>
          <t>indeed</t>
        </is>
      </c>
      <c r="E37" t="inlineStr"/>
      <c r="F37" t="inlineStr"/>
      <c r="G37" t="inlineStr">
        <is>
          <t>New York, NY, US</t>
        </is>
      </c>
      <c r="H37" s="2" t="n">
        <v>46060</v>
      </c>
      <c r="I37" t="inlineStr">
        <is>
          <t>At TWG Group Holdings, LLC ("TWG Global"), we drive innovation and business transformation across a range of industries, including financial services, insurance, technology, media, and sports, by leveraging data and AI as core assets. Our AI\-first, cloud\-native approach delivers real\-time intelligence and interactive business applications, empowering informed decision\-making for both customers and employees. We prioritize responsible data and AI practices, ensuring ethical standards and regulatory compliance.
Our decentralized structure enables each business unit to operate autonomously, supported by a central AI Solutions Group, while strategic partnerships with leading data and AI vendors fuel game\-changing efforts in marketing, operations, and product development. You will collaborate with management to advance our data and analytics transformation, enhance productivity, and enable agile, data\-driven decisions. By leveraging relationships with top tech startups and universities, you will help create competitive advantages and drive enterprise innovation.
At TWG Global, your contributions will support our goal of sustained growth and superior returns, as we deliver rare value and impact across our businesses.
**The Role**
As a Senior Associate, Machine Learning Engineer, you'll work alongside experienced ML engineers and data scientists to design, build, and scale machine learning systems that deliver real business value. Reporting to the Executive Director of ML Engineering, you'll gain hands\-on experience developing production\-grade pipelines, monitoring frameworks, and scalable ML applications that support mission\-critical business functions. This is a high\-growth opportunity for someone with early industry experience (or strong academic grounding) in machine learning engineering, eager to deepen their expertise in production systems and MLOps while growing within a dynamic AI team operating at the frontier of applied ML.
**Key Responsibilities:**
* Contribute to the design, development, and deployment of ML models and pipelines across business\-critical domains such as financial services and insurance.
* Support production efforts, including model packaging, integration, CI/CD deployment, and monitoring for performance, drift, and reliability.
* Collaborate with senior engineers to build internal ML engineering tools and infrastructure that improve training, testing, and observability workflows.
* Partner with Data Scientists to operationalize prototype models, ensuring they are scalable, robust, and cost\-efficient in production.
* Work with large\-scale datasets to enable feature engineering, transformation, and quality assurance within ML pipelines.
* Implement monitoring dashboards, alerts, and diagnostics for model health and system performance.
* Contribute to documentation, governance, and reproducibility practices, supporting compliance in regulated environments.
**Requirements**
**Qualifications:**
* 5\+ years of experience building and deploying machine learning models in production environments, with exposure to monitoring and diagnostics.
* Solid understanding of machine learning engineering fundamentals (pipelines, deployment, monitoring) and familiarity with data science workflows.
* Experience with MLOps tools such as MLflow, Weights \&amp; Biases, or equivalent. Exposure to observability/monitoring systems (Prometheus, Grafana, ELK, Datadog) is a plus.
* Proficiency in Python and familiarity with ML libraries (scikit\-learn, XGBoost, TensorFlow, PyTorch).
* Strong experience with data manipulation and pipelines using Pandas, NumPy, and SQL.
* Knowledge of containerized deployments (Docker, Kubernetes) and cloud ML services (AWS SageMaker, GCP Vertex AI, or Azure ML) preferred.
* Excellent problem\-solving skills, eagerness to learn, and ability to thrive in a fast\-paced, evolving environment.
* Bachelor's or Master's degree in Computer Science, Machine Learning, or a related technical field.
* Strong written and verbal communication skills, with the ability to explain technical details to both technical and business stakeholders.
**Preferred experience:**
* Hands\-on experience with Palantir platforms (Foundry, AIP, Ontology), including deploying and integrating ML solutions in enterprise ecosystems.
* Familiarity with vector databases (FAISS, Pinecone, Milvus, Weaviate) and LLM engineering workflows.
* Exposure to graph databases (Neo4j, TigerGraph) and their application in AI/ML systems.
**Benefits**
* Work at the forefront of AI/ML innovation in life insurance, annuities, and financial services.
* Drive AI transformation for some of the most sophisticated financial entities.
Competitive compensation, benefits, future equity options, and leadership opportunities.  
* 
**Position Location**
This is an on\-site position based in Manhattan in New York City.
**Compensation**
The base salary for this position is $190,000\-$200,000\. A discretionary bonus will be provided as part of the compensation package, in addition to a full range of medical, financial, and/or other benefits.
*TWG is an equal opportunity employer, and all qualified applicants will receive consideration for employment without regard to race, color, religion, gender, sexual orientation, gender identity, national origin, disability, or status as a protected veteran.*</t>
        </is>
      </c>
    </row>
    <row r="38">
      <c r="A38" t="inlineStr">
        <is>
          <t>in-397b3f7c2c4087d5</t>
        </is>
      </c>
      <c r="B38" t="inlineStr">
        <is>
          <t>Staff / VP, Machine Learning Engineer (NYC)</t>
        </is>
      </c>
      <c r="C38" t="inlineStr">
        <is>
          <t>TWG Global AI</t>
        </is>
      </c>
      <c r="D38" t="inlineStr">
        <is>
          <t>indeed</t>
        </is>
      </c>
      <c r="E38" t="inlineStr"/>
      <c r="F38" t="inlineStr"/>
      <c r="G38" t="inlineStr">
        <is>
          <t>New York, NY, US</t>
        </is>
      </c>
      <c r="H38" s="2" t="n">
        <v>46060</v>
      </c>
      <c r="I38" t="inlineStr">
        <is>
          <t>At TWG Group Holdings, LLC ("TWG Global"), we drive innovation and business transformation across a range of industries, including financial services, insurance, technology, media, and sports, by leveraging data and AI as core assets. Our AI\-first, cloud\-native approach delivers real\-time intelligence and interactive business applications, empowering informed decision\-making for both customers and employees.
We prioritize responsible data and AI practices, ensuring ethical standards and regulatory compliance. Our decentralized structure enables each business unit to operate autonomously, supported by a central AI Solutions Group, while strategic partnerships with leading data and AI vendors fuel game\-changing efforts in marketing, operations, and product development.
You will collaborate with management to advance our data and analytics transformation, enhance productivity, and enable agile, data\-driven decisions. By leveraging relationships with top tech startups and universities, you will help create competitive advantages and drive enterprise innovation.
At TWG Global, your contributions will support our goal of sustained growth and superior returns, as we deliver rare value and impact across our businesses.
**The Role**
As the Staff Machine Learning Engineer (VP) on the ML Engineering team, you will be responsible for designing, deploying, and scaling advanced ML systems that power core business functions across the enterprise. Reporting to the Executive Director of ML Engineering, you will play a critical role in building production\-grade ML infrastructure, reusable frameworks, and scalable model pipelines that deliver measurable business outcomes—ranging from cost optimization to top\-line growth. You will act as a technical thought leader and strategic partner, shaping the organization's machine learning engineering practices and fostering a culture of operational excellence, reliability, and responsible AI adoption.
**Key Responsibilities:**
* Architect and deploy ML systems and platforms that solve high\-impact business problems across regulated enterprise environments.
* Lead the development of production\-ready pipelines, including feature stores, model registries, and scalable inference services.
* Champion MLOps best practices (CI/CD for ML, model versioning, monitoring, observability) to ensure models are reliable, reproducible, and cost\-efficient.
* Partner with Data Scientists to operationalize experimental models, enabling scalability and generalizability across diverse business domains.
* Integrate emerging ML engineering techniques (e.g., LLM deployment, fine\-tuning pipelines, vector databases, RAG systems) into enterprise\-ready solutions.
* Own the design of foundational ML platforms and frameworks that serve as building blocks for downstream AI applications.
* Embed controls, governance, and auditability into ML workflows, ensuring compliance with regulatory standards and responsible AI principles.
* Collaborate with Engineering, Product, and Security teams to embed ML\-driven decision\-making into enterprise platforms and workflows.
* Define and track engineering and model performance metrics (latency, scalability, cost, accuracy) to optimize systems in production.
* Mentor and coach ML engineers, fostering technical excellence, collaboration, and innovation within the AI Science team.
**Requirements**
**Qualifications:**
* 8\+ years of experience building and deploying machine learning systems in production environments at enterprise or platform scale.
* Proven track record of leading ML engineering projects from architecture to deployment, including ownership of production\-grade systems.
* Deep expertise in ML frameworks and engineering stacks (TensorFlow, PyTorch, JAX, Ray, MLflow, Kubeflow).
* Proficiency in Python and at least one backend language (e.g., Java, Scala, Go, C\+\+).
* Strong understanding of cloud ML infrastructure (AWS SageMaker, GCP Vertex AI, Azure ML) and containerized deployments (Kubernetes, Docker).
* Hands\-on experience with data and model pipelines (feature stores, registries, distributed training, inference scaling).
* Knowledge of observability and monitoring stacks (Prometheus, Grafana, ELK, Datadog) for ML system performance.
* Experience collaborating with cross\-functional teams in regulated industries (finance, insurance, health) with compliance and governance needs.
* Exceptional communication and leadership skills, with the ability to translate complex engineering challenges into clear business outcomes.
* Master's or PhD in Computer Science, Machine Learning, or related technical discipline.
**Preferred Qualifications:**
* Hands\-on experience with Palantir platforms (Foundry, AIP, Ontology), including developing, deploying, and integrating ML solutions in enterprise ecosystems.
* Exposure to LLM and GenAI engineering (fine\-tuning, vector search, distributed inference).
* Experience optimizing GPU clusters, distributed training, or HPC environments.
* Familiarity with graph databases (e.g., Neo4j, TigerGraph) and their application in AI/ML systems.
**Benefits**
* Work at the forefront of AI/ML innovation in life insurance, annuities, and financial services.
* Drive AI transformation for some of the most sophisticated financial entities.
Competitive compensation, benefits, future equity options, and leadership opportunities.  
* 
**Position Location**
This is an onsite position based in Manhattan in New York City.
**Compensation**
The salary for this position is $290,000\-$300,0000\. A discretionary bonus will be provided as part of the compensation package, in addition to a full range of medical, financial, and/or other benefits.
*TWG is an equal opportunity employer, and all qualified applicants will receive consideration for employment without regard to race, color, religion, gender, sexual orientation, gender identity, national origin, disability, or status as a protected veteran.*</t>
        </is>
      </c>
    </row>
    <row r="39">
      <c r="A39" t="inlineStr">
        <is>
          <t>in-d4ba992bbf067573</t>
        </is>
      </c>
      <c r="B39" t="inlineStr">
        <is>
          <t>Applied Scientist, Safety ML</t>
        </is>
      </c>
      <c r="C39" t="inlineStr">
        <is>
          <t>Amazon.com</t>
        </is>
      </c>
      <c r="D39" t="inlineStr">
        <is>
          <t>indeed</t>
        </is>
      </c>
      <c r="E39" t="inlineStr"/>
      <c r="F39" t="inlineStr"/>
      <c r="G39" t="inlineStr">
        <is>
          <t>Seattle, WA, US</t>
        </is>
      </c>
      <c r="H39" s="2" t="n">
        <v>46037</v>
      </c>
      <c r="I3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40">
      <c r="A40" t="inlineStr">
        <is>
          <t>in-e384d5a6ef117164</t>
        </is>
      </c>
      <c r="B40" t="inlineStr">
        <is>
          <t>Applied Scientist, Safety ML</t>
        </is>
      </c>
      <c r="C40" t="inlineStr">
        <is>
          <t>Amazon.com</t>
        </is>
      </c>
      <c r="D40" t="inlineStr">
        <is>
          <t>indeed</t>
        </is>
      </c>
      <c r="E40" t="inlineStr"/>
      <c r="F40" t="inlineStr"/>
      <c r="G40" t="inlineStr">
        <is>
          <t>San Francisco, CA, US</t>
        </is>
      </c>
      <c r="H40" s="2" t="n">
        <v>46037</v>
      </c>
      <c r="I4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41">
      <c r="A41" t="inlineStr">
        <is>
          <t>in-53b9186191aaf4b3</t>
        </is>
      </c>
      <c r="B41" t="inlineStr">
        <is>
          <t>Applied Scientist, LLM Code Agents, Kiro Science</t>
        </is>
      </c>
      <c r="C41" t="inlineStr">
        <is>
          <t>Amazon.com</t>
        </is>
      </c>
      <c r="D41" t="inlineStr">
        <is>
          <t>indeed</t>
        </is>
      </c>
      <c r="E41" t="inlineStr"/>
      <c r="F41" t="inlineStr"/>
      <c r="G41" t="inlineStr">
        <is>
          <t>Santa Clara, CA, US</t>
        </is>
      </c>
      <c r="H41" s="2" t="n">
        <v>46035</v>
      </c>
      <c r="I41"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42">
      <c r="A42" t="inlineStr">
        <is>
          <t>in-a1966547f6336a5d</t>
        </is>
      </c>
      <c r="B42" t="inlineStr">
        <is>
          <t>Applied Scientist, LLM Code Agents, Kiro Science</t>
        </is>
      </c>
      <c r="C42" t="inlineStr">
        <is>
          <t>Amazon.com</t>
        </is>
      </c>
      <c r="D42" t="inlineStr">
        <is>
          <t>indeed</t>
        </is>
      </c>
      <c r="E42" t="inlineStr"/>
      <c r="F42" t="inlineStr"/>
      <c r="G42" t="inlineStr">
        <is>
          <t>Seattle, WA, US</t>
        </is>
      </c>
      <c r="H42" s="2" t="n">
        <v>46035</v>
      </c>
      <c r="I42"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43">
      <c r="A43" t="inlineStr">
        <is>
          <t>in-f898fce87ed203ab</t>
        </is>
      </c>
      <c r="B43" t="inlineStr">
        <is>
          <t>Sr Applied Scientist, AWS Proactive Security</t>
        </is>
      </c>
      <c r="C43" t="inlineStr">
        <is>
          <t>Amazon.com</t>
        </is>
      </c>
      <c r="D43" t="inlineStr">
        <is>
          <t>indeed</t>
        </is>
      </c>
      <c r="E43" t="inlineStr"/>
      <c r="F43" t="inlineStr"/>
      <c r="G43" t="inlineStr">
        <is>
          <t>Herndon, VA, US</t>
        </is>
      </c>
      <c r="H43" s="2" t="n">
        <v>46030</v>
      </c>
      <c r="I43"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44">
      <c r="A44" t="inlineStr">
        <is>
          <t>in-31480ffe54d5bcae</t>
        </is>
      </c>
      <c r="B44" t="inlineStr">
        <is>
          <t>Sr Applied Scientist, AWS Proactive Security</t>
        </is>
      </c>
      <c r="C44" t="inlineStr">
        <is>
          <t>Amazon.com</t>
        </is>
      </c>
      <c r="D44" t="inlineStr">
        <is>
          <t>indeed</t>
        </is>
      </c>
      <c r="E44" t="inlineStr"/>
      <c r="F44" t="inlineStr"/>
      <c r="G44" t="inlineStr">
        <is>
          <t>Sunnyvale, CA, US</t>
        </is>
      </c>
      <c r="H44" s="2" t="n">
        <v>46030</v>
      </c>
      <c r="I44"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45">
      <c r="A45" t="inlineStr">
        <is>
          <t>in-70ab4f0a3df7ee63</t>
        </is>
      </c>
      <c r="B45" t="inlineStr">
        <is>
          <t>Sr Applied Scientist, AWS Proactive Security</t>
        </is>
      </c>
      <c r="C45" t="inlineStr">
        <is>
          <t>Amazon.com</t>
        </is>
      </c>
      <c r="D45" t="inlineStr">
        <is>
          <t>indeed</t>
        </is>
      </c>
      <c r="E45" t="inlineStr"/>
      <c r="F45" t="inlineStr"/>
      <c r="G45" t="inlineStr">
        <is>
          <t>Arlington, VA, US</t>
        </is>
      </c>
      <c r="H45" s="2" t="n">
        <v>46030</v>
      </c>
      <c r="I45"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46">
      <c r="A46" t="inlineStr">
        <is>
          <t>in-101d3ab66f882e09</t>
        </is>
      </c>
      <c r="B46" t="inlineStr">
        <is>
          <t>Applied Scientist, Last Mile Delivery Automation</t>
        </is>
      </c>
      <c r="C46" t="inlineStr">
        <is>
          <t>Amazon.com</t>
        </is>
      </c>
      <c r="D46" t="inlineStr">
        <is>
          <t>indeed</t>
        </is>
      </c>
      <c r="E46" t="inlineStr"/>
      <c r="F46" t="inlineStr"/>
      <c r="G46" t="inlineStr">
        <is>
          <t>Bellevue, WA, US</t>
        </is>
      </c>
      <c r="H46" s="2" t="n">
        <v>46026</v>
      </c>
      <c r="I46"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in-3ba91806a799f5c2</t>
        </is>
      </c>
      <c r="B47" t="inlineStr">
        <is>
          <t>Applied Scientist, Last Mile Delivery Automation</t>
        </is>
      </c>
      <c r="C47" t="inlineStr">
        <is>
          <t>Amazon.com</t>
        </is>
      </c>
      <c r="D47" t="inlineStr">
        <is>
          <t>indeed</t>
        </is>
      </c>
      <c r="E47" t="inlineStr"/>
      <c r="F47" t="inlineStr"/>
      <c r="G47" t="inlineStr">
        <is>
          <t>Santa Clara, CA, US</t>
        </is>
      </c>
      <c r="H47" s="2" t="n">
        <v>46026</v>
      </c>
      <c r="I47"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in-576f9650addcfa10</t>
        </is>
      </c>
      <c r="B48" t="inlineStr">
        <is>
          <t>Senior Applied Scientist, Distributed SQL</t>
        </is>
      </c>
      <c r="C48" t="inlineStr">
        <is>
          <t>Amazon Web Services</t>
        </is>
      </c>
      <c r="D48" t="inlineStr">
        <is>
          <t>indeed</t>
        </is>
      </c>
      <c r="E48" t="inlineStr"/>
      <c r="F48" t="inlineStr"/>
      <c r="G48" t="inlineStr">
        <is>
          <t>East Palo Alto, CA, US</t>
        </is>
      </c>
      <c r="H48" s="2" t="n">
        <v>46012</v>
      </c>
      <c r="I48"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49">
      <c r="A49" t="inlineStr">
        <is>
          <t>in-0b4284ca1ca20e7e</t>
        </is>
      </c>
      <c r="B49" t="inlineStr">
        <is>
          <t>Senior Applied Scientist, Distributed SQL</t>
        </is>
      </c>
      <c r="C49" t="inlineStr">
        <is>
          <t>Amazon Web Services</t>
        </is>
      </c>
      <c r="D49" t="inlineStr">
        <is>
          <t>indeed</t>
        </is>
      </c>
      <c r="E49" t="inlineStr"/>
      <c r="F49" t="inlineStr"/>
      <c r="G49" t="inlineStr">
        <is>
          <t>Seattle, WA, US</t>
        </is>
      </c>
      <c r="H49" s="2" t="n">
        <v>46012</v>
      </c>
      <c r="I49"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50">
      <c r="A50" t="inlineStr">
        <is>
          <t>in-d7e9b1ae5fee13c3</t>
        </is>
      </c>
      <c r="B50" t="inlineStr">
        <is>
          <t>Applied Scientist, GenAI Evaluation Media</t>
        </is>
      </c>
      <c r="C50" t="inlineStr">
        <is>
          <t>Amazon.com</t>
        </is>
      </c>
      <c r="D50" t="inlineStr">
        <is>
          <t>indeed</t>
        </is>
      </c>
      <c r="E50" t="inlineStr"/>
      <c r="F50" t="inlineStr"/>
      <c r="G50" t="inlineStr">
        <is>
          <t>Sunnyvale, CA, US</t>
        </is>
      </c>
      <c r="H50" s="2" t="n">
        <v>46006</v>
      </c>
      <c r="I50" t="inlineStr">
        <is>
          <t>**DESCRIPTION**
---------------
We are seeking an Applied Scientist to join our Generate AI Visual Media \- Core Experiences Science team. This organization drives significant business value by revolutionizing how customers interact with product imagery and videos across Amazon. Working at the intersection of Computer Vision and Generative AI, you will help customers make confident purchase decisions through optimized visual content. Our goal is to transform shopping into a personalized journey of inspiration, discovery, and evaluation by helping customers evaluate how products will fit and flatter their unique self before they ship. In this role, you will be responsible for building scalable computer vision and machine learning (CVML) models, and automating their application and expansion to power customer\-facing features.  
We are seeking domain expertise specifically in 3D Generative AI and Inverse Rendering. Relevant topics include Neural Fields, Implicit 3D Representations, NeRFs, Differentiable Rendering/Simulation, and Physically Based Rendering (PBR) Materials. We expect strong expertise at the intersection of Computer Graphics, Computer Vision, and Deep Learning. An inclination towards Generative AI, such as GANs, VQ\-VAE/GAN, and Diffusion Models, is essential. Additionally, experience in application\-specific domains such as Neural Avatars, Parametric Body Models, and Differentiable Rendering/Simulation will be highly advantageous.  
Key job responsibilities  
* Explore, collect, and process data
* Frame and transform ambiguous business challenges into science hypotheses. Design and implement offline and online experiments to evaluate them
* Develop prototypes to test new concepts/proposals for models and algorithms
* Design and build automated, scalable pipelines to train and deploy ML models
**BASIC QUALIFICATIONS**
------------------------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developing and implementing deep learning algorithms, particularly with respect to computer vision algorithms
* Experience in patents or publications at top\-tier peer\-reviewed conferences or journals
* Experience with popular deep learning frameworks such as Tensor Flow and PyTorch.
* Usage of generative AI tools to enhance workflow efficiency, with a willingness to learn effective prompting and evaluation practices.
* Ability to recognize opportunities where generative AI could enhance products, workflows, or customer experiences.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51">
      <c r="A51" t="inlineStr">
        <is>
          <t>in-3e5316620e671a61</t>
        </is>
      </c>
      <c r="B51" t="inlineStr">
        <is>
          <t>Applied Scientist, GenAI Evaluation Media</t>
        </is>
      </c>
      <c r="C51" t="inlineStr">
        <is>
          <t>Amazon.com</t>
        </is>
      </c>
      <c r="D51" t="inlineStr">
        <is>
          <t>indeed</t>
        </is>
      </c>
      <c r="E51" t="inlineStr"/>
      <c r="F51" t="inlineStr"/>
      <c r="G51" t="inlineStr">
        <is>
          <t>New York, NY, US</t>
        </is>
      </c>
      <c r="H51" s="2" t="n">
        <v>46006</v>
      </c>
      <c r="I51" t="inlineStr">
        <is>
          <t>**DESCRIPTION**
---------------
We are seeking an Applied Scientist to join our Generate AI Visual Media \- Core Experiences Science team. This organization drives significant business value by revolutionizing how customers interact with product imagery and videos across Amazon. Working at the intersection of Computer Vision and Generative AI, you will help customers make confident purchase decisions through optimized visual content. Our goal is to transform shopping into a personalized journey of inspiration, discovery, and evaluation by helping customers evaluate how products will fit and flatter their unique self before they ship. In this role, you will be responsible for building scalable computer vision and machine learning (CVML) models, and automating their application and expansion to power customer\-facing features.  
We are seeking domain expertise specifically in 3D Generative AI and Inverse Rendering. Relevant topics include Neural Fields, Implicit 3D Representations, NeRFs, Differentiable Rendering/Simulation, and Physically Based Rendering (PBR) Materials. We expect strong expertise at the intersection of Computer Graphics, Computer Vision, and Deep Learning. An inclination towards Generative AI, such as GANs, VQ\-VAE/GAN, and Diffusion Models, is essential. Additionally, experience in application\-specific domains such as Neural Avatars, Parametric Body Models, and Differentiable Rendering/Simulation will be highly advantageous.  
Key job responsibilities  
* Explore, collect, and process data
* Frame and transform ambiguous business challenges into science hypotheses. Design and implement offline and online experiments to evaluate them
* Develop prototypes to test new concepts/proposals for models and algorithms
* Design and build automated, scalable pipelines to train and deploy ML models
**BASIC QUALIFICATIONS**
------------------------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developing and implementing deep learning algorithms, particularly with respect to computer vision algorithms
* Experience in patents or publications at top\-tier peer\-reviewed conferences or journals
* Experience with popular deep learning frameworks such as Tensor Flow and PyTorch.
* Usage of generative AI tools to enhance workflow efficiency, with a willingness to learn effective prompting and evaluation practices.
* Ability to recognize opportunities where generative AI could enhance products, workflows, or customer experiences.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52">
      <c r="A52" t="inlineStr">
        <is>
          <t>in-98b3eb6eef0a8352</t>
        </is>
      </c>
      <c r="B52" t="inlineStr">
        <is>
          <t>Applied Scientist, GenAI Evaluation Media</t>
        </is>
      </c>
      <c r="C52" t="inlineStr">
        <is>
          <t>Amazon.com</t>
        </is>
      </c>
      <c r="D52" t="inlineStr">
        <is>
          <t>indeed</t>
        </is>
      </c>
      <c r="E52" t="inlineStr"/>
      <c r="F52" t="inlineStr"/>
      <c r="G52" t="inlineStr">
        <is>
          <t>Seattle, WA, US</t>
        </is>
      </c>
      <c r="H52" s="2" t="n">
        <v>46006</v>
      </c>
      <c r="I52" t="inlineStr">
        <is>
          <t>**DESCRIPTION**
---------------
We are seeking an Applied Scientist to join our Generate AI Visual Media \- Core Experiences Science team. This organization drives significant business value by revolutionizing how customers interact with product imagery and videos across Amazon. Working at the intersection of Computer Vision and Generative AI, you will help customers make confident purchase decisions through optimized visual content. Our goal is to transform shopping into a personalized journey of inspiration, discovery, and evaluation by helping customers evaluate how products will fit and flatter their unique self before they ship. In this role, you will be responsible for building scalable computer vision and machine learning (CVML) models, and automating their application and expansion to power customer\-facing features.  
We are seeking domain expertise specifically in 3D Generative AI and Inverse Rendering. Relevant topics include Neural Fields, Implicit 3D Representations, NeRFs, Differentiable Rendering/Simulation, and Physically Based Rendering (PBR) Materials. We expect strong expertise at the intersection of Computer Graphics, Computer Vision, and Deep Learning. An inclination towards Generative AI, such as GANs, VQ\-VAE/GAN, and Diffusion Models, is essential. Additionally, experience in application\-specific domains such as Neural Avatars, Parametric Body Models, and Differentiable Rendering/Simulation will be highly advantageous.  
Key job responsibilities  
* Explore, collect, and process data
* Frame and transform ambiguous business challenges into science hypotheses. Design and implement offline and online experiments to evaluate them
* Develop prototypes to test new concepts/proposals for models and algorithms
* Design and build automated, scalable pipelines to train and deploy ML models
**BASIC QUALIFICATIONS**
------------------------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developing and implementing deep learning algorithms, particularly with respect to computer vision algorithms
* Experience in patents or publications at top\-tier peer\-reviewed conferences or journals
* Experience with popular deep learning frameworks such as Tensor Flow and PyTorch.
* Usage of generative AI tools to enhance workflow efficiency, with a willingness to learn effective prompting and evaluation practices.
* Ability to recognize opportunities where generative AI could enhance products, workflows, or customer experiences.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53">
      <c r="A53" t="inlineStr">
        <is>
          <t>in-c7a2bf33f54526a8</t>
        </is>
      </c>
      <c r="B53" t="inlineStr">
        <is>
          <t>Principal Applied Scientist, Kiro Science</t>
        </is>
      </c>
      <c r="C53" t="inlineStr">
        <is>
          <t>Amazon Web Services</t>
        </is>
      </c>
      <c r="D53" t="inlineStr">
        <is>
          <t>indeed</t>
        </is>
      </c>
      <c r="E53" t="inlineStr"/>
      <c r="F53" t="inlineStr"/>
      <c r="G53" t="inlineStr">
        <is>
          <t>New York, NY, US</t>
        </is>
      </c>
      <c r="H53" s="2" t="n">
        <v>45999</v>
      </c>
      <c r="I53"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54">
      <c r="A54" t="inlineStr">
        <is>
          <t>in-cae7b62edde3ed2c</t>
        </is>
      </c>
      <c r="B54" t="inlineStr">
        <is>
          <t>Principal Applied Scientist, Kiro Science</t>
        </is>
      </c>
      <c r="C54" t="inlineStr">
        <is>
          <t>Amazon Web Services</t>
        </is>
      </c>
      <c r="D54" t="inlineStr">
        <is>
          <t>indeed</t>
        </is>
      </c>
      <c r="E54" t="inlineStr"/>
      <c r="F54" t="inlineStr"/>
      <c r="G54" t="inlineStr">
        <is>
          <t>Santa Clara, CA, US</t>
        </is>
      </c>
      <c r="H54" s="2" t="n">
        <v>45999</v>
      </c>
      <c r="I54"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55">
      <c r="A55" t="inlineStr">
        <is>
          <t>in-c7d21bd4b94141b9</t>
        </is>
      </c>
      <c r="B55" t="inlineStr">
        <is>
          <t>Sr. Machine Learning Engineer, AGIF | Finetuning</t>
        </is>
      </c>
      <c r="C55" t="inlineStr">
        <is>
          <t>Amazon.com</t>
        </is>
      </c>
      <c r="D55" t="inlineStr">
        <is>
          <t>indeed</t>
        </is>
      </c>
      <c r="E55" t="inlineStr"/>
      <c r="F55" t="inlineStr"/>
      <c r="G55" t="inlineStr">
        <is>
          <t>New York, NY, US</t>
        </is>
      </c>
      <c r="H55" s="2" t="n">
        <v>45984</v>
      </c>
      <c r="I55"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in-de9f53b7928aefb2</t>
        </is>
      </c>
      <c r="B56" t="inlineStr">
        <is>
          <t>Sr. Machine Learning Engineer, AGIF | Finetuning</t>
        </is>
      </c>
      <c r="C56" t="inlineStr">
        <is>
          <t>Amazon.com</t>
        </is>
      </c>
      <c r="D56" t="inlineStr">
        <is>
          <t>indeed</t>
        </is>
      </c>
      <c r="E56" t="inlineStr"/>
      <c r="F56" t="inlineStr"/>
      <c r="G56" t="inlineStr">
        <is>
          <t>Sunnyvale, CA, US</t>
        </is>
      </c>
      <c r="H56" s="2" t="n">
        <v>45984</v>
      </c>
      <c r="I56"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in-82b7d2f42e2468a1</t>
        </is>
      </c>
      <c r="B57" t="inlineStr">
        <is>
          <t>Sr. Machine Learning Engineer, AGIF | Finetuning</t>
        </is>
      </c>
      <c r="C57" t="inlineStr">
        <is>
          <t>Amazon.com</t>
        </is>
      </c>
      <c r="D57" t="inlineStr">
        <is>
          <t>indeed</t>
        </is>
      </c>
      <c r="E57" t="inlineStr"/>
      <c r="F57" t="inlineStr"/>
      <c r="G57" t="inlineStr">
        <is>
          <t>Bellevue, WA, US</t>
        </is>
      </c>
      <c r="H57" s="2" t="n">
        <v>45984</v>
      </c>
      <c r="I57"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in-60662ff16c89a711</t>
        </is>
      </c>
      <c r="B58" t="inlineStr">
        <is>
          <t>Principal Applied Scientist, Sponsored Products and Brands</t>
        </is>
      </c>
      <c r="C58" t="inlineStr">
        <is>
          <t>Amazon.com</t>
        </is>
      </c>
      <c r="D58" t="inlineStr">
        <is>
          <t>indeed</t>
        </is>
      </c>
      <c r="E58" t="inlineStr"/>
      <c r="F58" t="inlineStr"/>
      <c r="G58" t="inlineStr">
        <is>
          <t>Seattle, WA, US</t>
        </is>
      </c>
      <c r="H58" s="2" t="n">
        <v>45979</v>
      </c>
      <c r="I58"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in-09494da86d447cfe</t>
        </is>
      </c>
      <c r="B59" t="inlineStr">
        <is>
          <t>Principal Applied Scientist, Sponsored Products and Brands</t>
        </is>
      </c>
      <c r="C59" t="inlineStr">
        <is>
          <t>Amazon.com</t>
        </is>
      </c>
      <c r="D59" t="inlineStr">
        <is>
          <t>indeed</t>
        </is>
      </c>
      <c r="E59" t="inlineStr"/>
      <c r="F59" t="inlineStr"/>
      <c r="G59" t="inlineStr">
        <is>
          <t>New York, NY, US</t>
        </is>
      </c>
      <c r="H59" s="2" t="n">
        <v>45979</v>
      </c>
      <c r="I59"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in-b895cbcc2e9c7ebc</t>
        </is>
      </c>
      <c r="B60" t="inlineStr">
        <is>
          <t>Applied Scientist, Personalization, DTx Science</t>
        </is>
      </c>
      <c r="C60" t="inlineStr">
        <is>
          <t>Amazon.com</t>
        </is>
      </c>
      <c r="D60" t="inlineStr">
        <is>
          <t>indeed</t>
        </is>
      </c>
      <c r="E60" t="inlineStr"/>
      <c r="F60" t="inlineStr"/>
      <c r="G60" t="inlineStr">
        <is>
          <t>New York, NY, US</t>
        </is>
      </c>
      <c r="H60" s="2" t="n">
        <v>45979</v>
      </c>
      <c r="I60"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61">
      <c r="A61" t="inlineStr">
        <is>
          <t>in-d9b2ec659ecd9b81</t>
        </is>
      </c>
      <c r="B61" t="inlineStr">
        <is>
          <t>Applied Scientist, Personalization, DTx Science</t>
        </is>
      </c>
      <c r="C61" t="inlineStr">
        <is>
          <t>Amazon.com</t>
        </is>
      </c>
      <c r="D61" t="inlineStr">
        <is>
          <t>indeed</t>
        </is>
      </c>
      <c r="E61" t="inlineStr"/>
      <c r="F61" t="inlineStr"/>
      <c r="G61" t="inlineStr">
        <is>
          <t>Seattle, WA, US</t>
        </is>
      </c>
      <c r="H61" s="2" t="n">
        <v>45979</v>
      </c>
      <c r="I61"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62">
      <c r="A62" t="inlineStr">
        <is>
          <t>in-c95bcef751435f34</t>
        </is>
      </c>
      <c r="B62" t="inlineStr">
        <is>
          <t>Senior Applied Scientist, Sponsored Products and Brands</t>
        </is>
      </c>
      <c r="C62" t="inlineStr">
        <is>
          <t>Amazon.com</t>
        </is>
      </c>
      <c r="D62" t="inlineStr">
        <is>
          <t>indeed</t>
        </is>
      </c>
      <c r="E62" t="inlineStr"/>
      <c r="F62" t="inlineStr"/>
      <c r="G62" t="inlineStr">
        <is>
          <t>New York, NY, US</t>
        </is>
      </c>
      <c r="H62" s="2" t="n">
        <v>45979</v>
      </c>
      <c r="I62"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63">
      <c r="A63" t="inlineStr">
        <is>
          <t>in-04dc6bdeae12c692</t>
        </is>
      </c>
      <c r="B63" t="inlineStr">
        <is>
          <t>Senior Applied Scientist, Sponsored Products and Brands</t>
        </is>
      </c>
      <c r="C63" t="inlineStr">
        <is>
          <t>Amazon.com</t>
        </is>
      </c>
      <c r="D63" t="inlineStr">
        <is>
          <t>indeed</t>
        </is>
      </c>
      <c r="E63" t="inlineStr"/>
      <c r="F63" t="inlineStr"/>
      <c r="G63" t="inlineStr">
        <is>
          <t>Seattle, WA, US</t>
        </is>
      </c>
      <c r="H63" s="2" t="n">
        <v>45979</v>
      </c>
      <c r="I63"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64">
      <c r="A64" t="inlineStr">
        <is>
          <t>in-76f1e0b5a750a3e1</t>
        </is>
      </c>
      <c r="B64" t="inlineStr">
        <is>
          <t>Applied Scientist II, Prime Video Personalization and Discovery Science</t>
        </is>
      </c>
      <c r="C64" t="inlineStr">
        <is>
          <t>Amazon.com</t>
        </is>
      </c>
      <c r="D64" t="inlineStr">
        <is>
          <t>indeed</t>
        </is>
      </c>
      <c r="E64" t="inlineStr"/>
      <c r="F64" t="inlineStr"/>
      <c r="G64" t="inlineStr">
        <is>
          <t>Sunnyvale, CA, US</t>
        </is>
      </c>
      <c r="H64" s="2" t="n">
        <v>45978</v>
      </c>
      <c r="I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65">
      <c r="A65" t="inlineStr">
        <is>
          <t>in-061349606980c011</t>
        </is>
      </c>
      <c r="B65" t="inlineStr">
        <is>
          <t>Applied Scientist II, Prime Video Personalization and Discovery Science</t>
        </is>
      </c>
      <c r="C65" t="inlineStr">
        <is>
          <t>Amazon.com</t>
        </is>
      </c>
      <c r="D65" t="inlineStr">
        <is>
          <t>indeed</t>
        </is>
      </c>
      <c r="E65" t="inlineStr"/>
      <c r="F65" t="inlineStr"/>
      <c r="G65" t="inlineStr">
        <is>
          <t>Seattle, WA, US</t>
        </is>
      </c>
      <c r="H65" s="2" t="n">
        <v>45978</v>
      </c>
      <c r="I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66">
      <c r="A66" t="inlineStr">
        <is>
          <t>in-58de0f1ada046384</t>
        </is>
      </c>
      <c r="B66" t="inlineStr">
        <is>
          <t>Principal Applied Scientist, Amazon AGI</t>
        </is>
      </c>
      <c r="C66" t="inlineStr">
        <is>
          <t>Amazon.com</t>
        </is>
      </c>
      <c r="D66" t="inlineStr">
        <is>
          <t>indeed</t>
        </is>
      </c>
      <c r="E66" t="inlineStr"/>
      <c r="F66" t="inlineStr"/>
      <c r="G66" t="inlineStr">
        <is>
          <t>San Francisco, CA, US</t>
        </is>
      </c>
      <c r="H66" s="2" t="n">
        <v>45964</v>
      </c>
      <c r="I66"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in-f30bd55b4e536f1a</t>
        </is>
      </c>
      <c r="B67" t="inlineStr">
        <is>
          <t>Principal Applied Scientist, Amazon AGI</t>
        </is>
      </c>
      <c r="C67" t="inlineStr">
        <is>
          <t>Amazon.com</t>
        </is>
      </c>
      <c r="D67" t="inlineStr">
        <is>
          <t>indeed</t>
        </is>
      </c>
      <c r="E67" t="inlineStr"/>
      <c r="F67" t="inlineStr"/>
      <c r="G67" t="inlineStr">
        <is>
          <t>Boston, MA, US</t>
        </is>
      </c>
      <c r="H67" s="2" t="n">
        <v>45964</v>
      </c>
      <c r="I67"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in-f2b6f2e07d9b6c05</t>
        </is>
      </c>
      <c r="B68" t="inlineStr">
        <is>
          <t>Applied Scientist, AWS Agentic AI</t>
        </is>
      </c>
      <c r="C68" t="inlineStr">
        <is>
          <t>Amazon Web Services</t>
        </is>
      </c>
      <c r="D68" t="inlineStr">
        <is>
          <t>indeed</t>
        </is>
      </c>
      <c r="E68" t="inlineStr"/>
      <c r="F68" t="inlineStr"/>
      <c r="G68" t="inlineStr">
        <is>
          <t>Santa Clara, CA, US</t>
        </is>
      </c>
      <c r="H68" s="2" t="n">
        <v>45962</v>
      </c>
      <c r="I68"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in-10932c7b6dfbd834</t>
        </is>
      </c>
      <c r="B69" t="inlineStr">
        <is>
          <t>Applied Scientist, AWS Agentic AI</t>
        </is>
      </c>
      <c r="C69" t="inlineStr">
        <is>
          <t>Amazon Web Services</t>
        </is>
      </c>
      <c r="D69" t="inlineStr">
        <is>
          <t>indeed</t>
        </is>
      </c>
      <c r="E69" t="inlineStr"/>
      <c r="F69" t="inlineStr"/>
      <c r="G69" t="inlineStr">
        <is>
          <t>New York, NY, US</t>
        </is>
      </c>
      <c r="H69" s="2" t="n">
        <v>45962</v>
      </c>
      <c r="I6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in-a95c00c10d6ba866</t>
        </is>
      </c>
      <c r="B70" t="inlineStr">
        <is>
          <t>Applied Scientist, AWS Agentic AI</t>
        </is>
      </c>
      <c r="C70" t="inlineStr">
        <is>
          <t>Amazon Web Services</t>
        </is>
      </c>
      <c r="D70" t="inlineStr">
        <is>
          <t>indeed</t>
        </is>
      </c>
      <c r="E70" t="inlineStr"/>
      <c r="F70" t="inlineStr"/>
      <c r="G70" t="inlineStr">
        <is>
          <t>Seattle, WA, US</t>
        </is>
      </c>
      <c r="H70" s="2" t="n">
        <v>45962</v>
      </c>
      <c r="I7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in-34cdae9c4448d48c</t>
        </is>
      </c>
      <c r="B71" t="inlineStr">
        <is>
          <t>Sr. Applied Scientist, Prime Video - Personalization and Discovery Science</t>
        </is>
      </c>
      <c r="C71" t="inlineStr">
        <is>
          <t>Amazon.com</t>
        </is>
      </c>
      <c r="D71" t="inlineStr">
        <is>
          <t>indeed</t>
        </is>
      </c>
      <c r="E71" t="inlineStr"/>
      <c r="F71" t="inlineStr"/>
      <c r="G71" t="inlineStr">
        <is>
          <t>New York, NY, US</t>
        </is>
      </c>
      <c r="H71" s="2" t="n">
        <v>45959</v>
      </c>
      <c r="I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72">
      <c r="A72" t="inlineStr">
        <is>
          <t>in-cf7559e188a2e3fb</t>
        </is>
      </c>
      <c r="B72" t="inlineStr">
        <is>
          <t>Applied Scientist, Prime Video - Content Understanding, Localization &amp; Enrichment Team</t>
        </is>
      </c>
      <c r="C72" t="inlineStr">
        <is>
          <t>Amazon.com</t>
        </is>
      </c>
      <c r="D72" t="inlineStr">
        <is>
          <t>indeed</t>
        </is>
      </c>
      <c r="E72" t="inlineStr"/>
      <c r="F72" t="inlineStr"/>
      <c r="G72" t="inlineStr">
        <is>
          <t>San Francisco, CA, US</t>
        </is>
      </c>
      <c r="H72" s="2" t="n">
        <v>45943</v>
      </c>
      <c r="I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73">
      <c r="A73" t="inlineStr">
        <is>
          <t>in-92e76cdb399a27c2</t>
        </is>
      </c>
      <c r="B73" t="inlineStr">
        <is>
          <t>Applied Scientist, Prime Video - Content Understanding, Localization &amp; Enrichment Team</t>
        </is>
      </c>
      <c r="C73" t="inlineStr">
        <is>
          <t>Amazon.com</t>
        </is>
      </c>
      <c r="D73" t="inlineStr">
        <is>
          <t>indeed</t>
        </is>
      </c>
      <c r="E73" t="inlineStr"/>
      <c r="F73" t="inlineStr"/>
      <c r="G73" t="inlineStr">
        <is>
          <t>Seattle, WA, US</t>
        </is>
      </c>
      <c r="H73" s="2" t="n">
        <v>45943</v>
      </c>
      <c r="I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74">
      <c r="A74" t="inlineStr">
        <is>
          <t>in-1049f102482a1638</t>
        </is>
      </c>
      <c r="B74" t="inlineStr">
        <is>
          <t>Principal Applied Scientist, Advertiser Growth, Amazon Sponsored Products &amp; Brands</t>
        </is>
      </c>
      <c r="C74" t="inlineStr">
        <is>
          <t>Amazon.com</t>
        </is>
      </c>
      <c r="D74" t="inlineStr">
        <is>
          <t>indeed</t>
        </is>
      </c>
      <c r="E74" t="inlineStr"/>
      <c r="F74" t="inlineStr"/>
      <c r="G74" t="inlineStr">
        <is>
          <t>Seattle, WA, US</t>
        </is>
      </c>
      <c r="H74" s="2" t="n">
        <v>45942</v>
      </c>
      <c r="I7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in-c7ef4997f6fa7cc7</t>
        </is>
      </c>
      <c r="B75" t="inlineStr">
        <is>
          <t>Principal Applied Scientist, Advertiser Growth, Amazon Sponsored Products &amp; Brands</t>
        </is>
      </c>
      <c r="C75" t="inlineStr">
        <is>
          <t>Amazon.com</t>
        </is>
      </c>
      <c r="D75" t="inlineStr">
        <is>
          <t>indeed</t>
        </is>
      </c>
      <c r="E75" t="inlineStr"/>
      <c r="F75" t="inlineStr"/>
      <c r="G75" t="inlineStr">
        <is>
          <t>Palo Alto, CA, US</t>
        </is>
      </c>
      <c r="H75" s="2" t="n">
        <v>45942</v>
      </c>
      <c r="I7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in-6303feb2d0349035</t>
        </is>
      </c>
      <c r="B76" t="inlineStr">
        <is>
          <t>Principal Applied Scientist, Advertiser Growth, Amazon Sponsored Products &amp; Brands</t>
        </is>
      </c>
      <c r="C76" t="inlineStr">
        <is>
          <t>Amazon.com</t>
        </is>
      </c>
      <c r="D76" t="inlineStr">
        <is>
          <t>indeed</t>
        </is>
      </c>
      <c r="E76" t="inlineStr"/>
      <c r="F76" t="inlineStr"/>
      <c r="G76" t="inlineStr">
        <is>
          <t>New York, NY, US</t>
        </is>
      </c>
      <c r="H76" s="2" t="n">
        <v>45942</v>
      </c>
      <c r="I7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in-c985d757f2765e00</t>
        </is>
      </c>
      <c r="B77" t="inlineStr">
        <is>
          <t>Applied Scientist, Workplace Health &amp; Safety</t>
        </is>
      </c>
      <c r="C77" t="inlineStr">
        <is>
          <t>Amazon.com</t>
        </is>
      </c>
      <c r="D77" t="inlineStr">
        <is>
          <t>indeed</t>
        </is>
      </c>
      <c r="E77" t="inlineStr"/>
      <c r="F77" t="inlineStr"/>
      <c r="G77" t="inlineStr">
        <is>
          <t>Bellevue, WA, US</t>
        </is>
      </c>
      <c r="H77" s="2" t="n">
        <v>45917</v>
      </c>
      <c r="I77"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in-b718f0f278955d64</t>
        </is>
      </c>
      <c r="B78" t="inlineStr">
        <is>
          <t>Applied Scientist, Workplace Health &amp; Safety</t>
        </is>
      </c>
      <c r="C78" t="inlineStr">
        <is>
          <t>Amazon.com</t>
        </is>
      </c>
      <c r="D78" t="inlineStr">
        <is>
          <t>indeed</t>
        </is>
      </c>
      <c r="E78" t="inlineStr"/>
      <c r="F78" t="inlineStr"/>
      <c r="G78" t="inlineStr">
        <is>
          <t>Nashville, TN, US</t>
        </is>
      </c>
      <c r="H78" s="2" t="n">
        <v>45917</v>
      </c>
      <c r="I78"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in-4b6b076e1b33d592</t>
        </is>
      </c>
      <c r="B79" t="inlineStr">
        <is>
          <t>Applied Scientist II, Creative X - RAPID</t>
        </is>
      </c>
      <c r="C79" t="inlineStr">
        <is>
          <t>Amazon.com</t>
        </is>
      </c>
      <c r="D79" t="inlineStr">
        <is>
          <t>indeed</t>
        </is>
      </c>
      <c r="E79" t="inlineStr"/>
      <c r="F79" t="inlineStr"/>
      <c r="G79" t="inlineStr">
        <is>
          <t>Seattle, WA, US</t>
        </is>
      </c>
      <c r="H79" s="2" t="n">
        <v>45908</v>
      </c>
      <c r="I79"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80">
      <c r="A80" t="inlineStr">
        <is>
          <t>in-cc7f5a1a20b1367f</t>
        </is>
      </c>
      <c r="B80" t="inlineStr">
        <is>
          <t>Applied Scientist II, Creative X - RAPID</t>
        </is>
      </c>
      <c r="C80" t="inlineStr">
        <is>
          <t>Amazon.com</t>
        </is>
      </c>
      <c r="D80" t="inlineStr">
        <is>
          <t>indeed</t>
        </is>
      </c>
      <c r="E80" t="inlineStr"/>
      <c r="F80" t="inlineStr"/>
      <c r="G80" t="inlineStr">
        <is>
          <t>New York, NY, US</t>
        </is>
      </c>
      <c r="H80" s="2" t="n">
        <v>45908</v>
      </c>
      <c r="I80"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81">
      <c r="A81" t="inlineStr">
        <is>
          <t>in-35897b088c0969f0</t>
        </is>
      </c>
      <c r="B81" t="inlineStr">
        <is>
          <t>Sr. Applied Scientist, Prime Video - Personalization and Discovery Science</t>
        </is>
      </c>
      <c r="C81" t="inlineStr">
        <is>
          <t>Amazon.com</t>
        </is>
      </c>
      <c r="D81" t="inlineStr">
        <is>
          <t>indeed</t>
        </is>
      </c>
      <c r="E81" t="inlineStr"/>
      <c r="F81" t="inlineStr"/>
      <c r="G81" t="inlineStr">
        <is>
          <t>New York, NY, US</t>
        </is>
      </c>
      <c r="H81" s="2" t="n">
        <v>45896</v>
      </c>
      <c r="I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82">
      <c r="A82" t="inlineStr">
        <is>
          <t>in-9855169679b9112b</t>
        </is>
      </c>
      <c r="B82" t="inlineStr">
        <is>
          <t>Applied Scientist II, Prime Video , Personalization and Discovery Science</t>
        </is>
      </c>
      <c r="C82" t="inlineStr">
        <is>
          <t>Amazon.com</t>
        </is>
      </c>
      <c r="D82" t="inlineStr">
        <is>
          <t>indeed</t>
        </is>
      </c>
      <c r="E82" t="inlineStr"/>
      <c r="F82" t="inlineStr"/>
      <c r="G82" t="inlineStr">
        <is>
          <t>New York, NY, US</t>
        </is>
      </c>
      <c r="H82" s="2" t="n">
        <v>45886</v>
      </c>
      <c r="I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83">
      <c r="A83" t="inlineStr">
        <is>
          <t>in-16b37ebc757498a0</t>
        </is>
      </c>
      <c r="B83" t="inlineStr">
        <is>
          <t>Applied Scientist II, Prime Video , Personalization and Discovery Science</t>
        </is>
      </c>
      <c r="C83" t="inlineStr">
        <is>
          <t>Amazon.com</t>
        </is>
      </c>
      <c r="D83" t="inlineStr">
        <is>
          <t>indeed</t>
        </is>
      </c>
      <c r="E83" t="inlineStr"/>
      <c r="F83" t="inlineStr"/>
      <c r="G83" t="inlineStr">
        <is>
          <t>Seattle, WA, US</t>
        </is>
      </c>
      <c r="H83" s="2" t="n">
        <v>45886</v>
      </c>
      <c r="I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84">
      <c r="A84" t="inlineStr">
        <is>
          <t>in-de23cd14248a85e8</t>
        </is>
      </c>
      <c r="B84" t="inlineStr">
        <is>
          <t>Applied Scientist II, Prime Video , Personalization and Discovery Science</t>
        </is>
      </c>
      <c r="C84" t="inlineStr">
        <is>
          <t>Amazon.com</t>
        </is>
      </c>
      <c r="D84" t="inlineStr">
        <is>
          <t>indeed</t>
        </is>
      </c>
      <c r="E84" t="inlineStr"/>
      <c r="F84" t="inlineStr"/>
      <c r="G84" t="inlineStr">
        <is>
          <t>Sunnyvale, CA, US</t>
        </is>
      </c>
      <c r="H84" s="2" t="n">
        <v>45886</v>
      </c>
      <c r="I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85">
      <c r="A85" t="inlineStr">
        <is>
          <t>in-2507b01418716401</t>
        </is>
      </c>
      <c r="B85" t="inlineStr">
        <is>
          <t>Applied Scientist III, StoreGen</t>
        </is>
      </c>
      <c r="C85" t="inlineStr">
        <is>
          <t>Amazon.com</t>
        </is>
      </c>
      <c r="D85" t="inlineStr">
        <is>
          <t>indeed</t>
        </is>
      </c>
      <c r="E85" t="inlineStr"/>
      <c r="F85" t="inlineStr"/>
      <c r="G85" t="inlineStr">
        <is>
          <t>Seattle, WA, US</t>
        </is>
      </c>
      <c r="H85" s="2" t="n">
        <v>45868</v>
      </c>
      <c r="I85"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in-46df7932dc275a0d</t>
        </is>
      </c>
      <c r="B86" t="inlineStr">
        <is>
          <t>Applied Scientist III, StoreGen</t>
        </is>
      </c>
      <c r="C86" t="inlineStr">
        <is>
          <t>Amazon.com</t>
        </is>
      </c>
      <c r="D86" t="inlineStr">
        <is>
          <t>indeed</t>
        </is>
      </c>
      <c r="E86" t="inlineStr"/>
      <c r="F86" t="inlineStr"/>
      <c r="G86" t="inlineStr">
        <is>
          <t>Sunnyvale, CA, US</t>
        </is>
      </c>
      <c r="H86" s="2" t="n">
        <v>45868</v>
      </c>
      <c r="I86"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in-4835ca7527760cf8</t>
        </is>
      </c>
      <c r="B87" t="inlineStr">
        <is>
          <t>Sr. Applied Scientist, Amazon Advertising</t>
        </is>
      </c>
      <c r="C87" t="inlineStr">
        <is>
          <t>Amazon.com</t>
        </is>
      </c>
      <c r="D87" t="inlineStr">
        <is>
          <t>indeed</t>
        </is>
      </c>
      <c r="E87" t="inlineStr"/>
      <c r="F87" t="inlineStr"/>
      <c r="G87" t="inlineStr">
        <is>
          <t>West Hollywood, CA, US</t>
        </is>
      </c>
      <c r="H87" s="2" t="n">
        <v>45851</v>
      </c>
      <c r="I8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in-619b2e9b25c733e4</t>
        </is>
      </c>
      <c r="B88" t="inlineStr">
        <is>
          <t>Sr. Applied Scientist, Amazon Advertising</t>
        </is>
      </c>
      <c r="C88" t="inlineStr">
        <is>
          <t>Amazon.com</t>
        </is>
      </c>
      <c r="D88" t="inlineStr">
        <is>
          <t>indeed</t>
        </is>
      </c>
      <c r="E88" t="inlineStr"/>
      <c r="F88" t="inlineStr"/>
      <c r="G88" t="inlineStr">
        <is>
          <t>Arlington, VA, US</t>
        </is>
      </c>
      <c r="H88" s="2" t="n">
        <v>45851</v>
      </c>
      <c r="I8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in-b23592958288e775</t>
        </is>
      </c>
      <c r="B89" t="inlineStr">
        <is>
          <t>Sr. Applied Scientist, Amazon Advertising</t>
        </is>
      </c>
      <c r="C89" t="inlineStr">
        <is>
          <t>Amazon.com</t>
        </is>
      </c>
      <c r="D89" t="inlineStr">
        <is>
          <t>indeed</t>
        </is>
      </c>
      <c r="E89" t="inlineStr"/>
      <c r="F89" t="inlineStr"/>
      <c r="G89" t="inlineStr">
        <is>
          <t>Simi Valley, CA, US</t>
        </is>
      </c>
      <c r="H89" s="2" t="n">
        <v>45851</v>
      </c>
      <c r="I8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in-346b051a509e2a0e</t>
        </is>
      </c>
      <c r="B90" t="inlineStr">
        <is>
          <t>Sr. Applied Scientist, Amazon Advertising</t>
        </is>
      </c>
      <c r="C90" t="inlineStr">
        <is>
          <t>Amazon.com</t>
        </is>
      </c>
      <c r="D90" t="inlineStr">
        <is>
          <t>indeed</t>
        </is>
      </c>
      <c r="E90" t="inlineStr"/>
      <c r="F90" t="inlineStr"/>
      <c r="G90" t="inlineStr">
        <is>
          <t>Los Angeles, CA, US</t>
        </is>
      </c>
      <c r="H90" s="2" t="n">
        <v>45851</v>
      </c>
      <c r="I9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in-9efcd1d12625eb9a</t>
        </is>
      </c>
      <c r="B91" t="inlineStr">
        <is>
          <t>Sr. Applied Scientist, Amazon Advertising</t>
        </is>
      </c>
      <c r="C91" t="inlineStr">
        <is>
          <t>Amazon.com</t>
        </is>
      </c>
      <c r="D91" t="inlineStr">
        <is>
          <t>indeed</t>
        </is>
      </c>
      <c r="E91" t="inlineStr"/>
      <c r="F91" t="inlineStr"/>
      <c r="G91" t="inlineStr">
        <is>
          <t>New York, NY, US</t>
        </is>
      </c>
      <c r="H91" s="2" t="n">
        <v>45851</v>
      </c>
      <c r="I9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in-2ae301a68fd05aa8</t>
        </is>
      </c>
      <c r="B92" t="inlineStr">
        <is>
          <t>Sr. Applied Scientist, Amazon Advertising</t>
        </is>
      </c>
      <c r="C92" t="inlineStr">
        <is>
          <t>Amazon.com</t>
        </is>
      </c>
      <c r="D92" t="inlineStr">
        <is>
          <t>indeed</t>
        </is>
      </c>
      <c r="E92" t="inlineStr"/>
      <c r="F92" t="inlineStr"/>
      <c r="G92" t="inlineStr">
        <is>
          <t>Seattle, WA, US</t>
        </is>
      </c>
      <c r="H92" s="2" t="n">
        <v>45851</v>
      </c>
      <c r="I9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in-f9bcb636b0ff9958</t>
        </is>
      </c>
      <c r="B93" t="inlineStr">
        <is>
          <t>Sr. Applied Scientist, Amazon Advertising</t>
        </is>
      </c>
      <c r="C93" t="inlineStr">
        <is>
          <t>Amazon.com</t>
        </is>
      </c>
      <c r="D93" t="inlineStr">
        <is>
          <t>indeed</t>
        </is>
      </c>
      <c r="E93" t="inlineStr"/>
      <c r="F93" t="inlineStr"/>
      <c r="G93" t="inlineStr">
        <is>
          <t>Palo Alto, CA, US</t>
        </is>
      </c>
      <c r="H93" s="2" t="n">
        <v>45851</v>
      </c>
      <c r="I9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in-7632c40a43f5fdd4</t>
        </is>
      </c>
      <c r="B94" t="inlineStr">
        <is>
          <t>Sr. Applied Scientist, Amazon Advertising</t>
        </is>
      </c>
      <c r="C94" t="inlineStr">
        <is>
          <t>Amazon.com</t>
        </is>
      </c>
      <c r="D94" t="inlineStr">
        <is>
          <t>indeed</t>
        </is>
      </c>
      <c r="E94" t="inlineStr"/>
      <c r="F94" t="inlineStr"/>
      <c r="G94" t="inlineStr">
        <is>
          <t>Austin, TX, US</t>
        </is>
      </c>
      <c r="H94" s="2" t="n">
        <v>45851</v>
      </c>
      <c r="I9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in-1881980509b14a5c</t>
        </is>
      </c>
      <c r="B95" t="inlineStr">
        <is>
          <t>Sr. Applied Scientist, Sales AI</t>
        </is>
      </c>
      <c r="C95" t="inlineStr">
        <is>
          <t>Amazon.com</t>
        </is>
      </c>
      <c r="D95" t="inlineStr">
        <is>
          <t>indeed</t>
        </is>
      </c>
      <c r="E95" t="inlineStr"/>
      <c r="F95" t="inlineStr"/>
      <c r="G95" t="inlineStr">
        <is>
          <t>Sunnyvale, CA, US</t>
        </is>
      </c>
      <c r="H95" s="2" t="n">
        <v>45830</v>
      </c>
      <c r="I95"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in-e2495c431a3b7e4c</t>
        </is>
      </c>
      <c r="B96" t="inlineStr">
        <is>
          <t>Sr. Applied Scientist, Sales AI</t>
        </is>
      </c>
      <c r="C96" t="inlineStr">
        <is>
          <t>Amazon.com</t>
        </is>
      </c>
      <c r="D96" t="inlineStr">
        <is>
          <t>indeed</t>
        </is>
      </c>
      <c r="E96" t="inlineStr"/>
      <c r="F96" t="inlineStr"/>
      <c r="G96" t="inlineStr">
        <is>
          <t>Seattle, WA, US</t>
        </is>
      </c>
      <c r="H96" s="2" t="n">
        <v>45830</v>
      </c>
      <c r="I96"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in-89511aa2ea994829</t>
        </is>
      </c>
      <c r="B97" t="inlineStr">
        <is>
          <t>Sr. Applied Scientist, Sales AI</t>
        </is>
      </c>
      <c r="C97" t="inlineStr">
        <is>
          <t>Amazon.com</t>
        </is>
      </c>
      <c r="D97" t="inlineStr">
        <is>
          <t>indeed</t>
        </is>
      </c>
      <c r="E97" t="inlineStr"/>
      <c r="F97" t="inlineStr"/>
      <c r="G97" t="inlineStr">
        <is>
          <t>New York, NY, US</t>
        </is>
      </c>
      <c r="H97" s="2" t="n">
        <v>45830</v>
      </c>
      <c r="I97"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in-54659786a18dc80d</t>
        </is>
      </c>
      <c r="B98" t="inlineStr">
        <is>
          <t>Principal Applied Scientist, Delivery Foundation Model</t>
        </is>
      </c>
      <c r="C98" t="inlineStr">
        <is>
          <t>Amazon.com</t>
        </is>
      </c>
      <c r="D98" t="inlineStr">
        <is>
          <t>indeed</t>
        </is>
      </c>
      <c r="E98" t="inlineStr"/>
      <c r="F98" t="inlineStr"/>
      <c r="G98" t="inlineStr">
        <is>
          <t>New York, NY, US</t>
        </is>
      </c>
      <c r="H98" s="2" t="n">
        <v>45810</v>
      </c>
      <c r="I9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in-91c2de225c5f2bf7</t>
        </is>
      </c>
      <c r="B99" t="inlineStr">
        <is>
          <t>Principal Applied Scientist, Delivery Foundation Model</t>
        </is>
      </c>
      <c r="C99" t="inlineStr">
        <is>
          <t>Amazon.com</t>
        </is>
      </c>
      <c r="D99" t="inlineStr">
        <is>
          <t>indeed</t>
        </is>
      </c>
      <c r="E99" t="inlineStr"/>
      <c r="F99" t="inlineStr"/>
      <c r="G99" t="inlineStr">
        <is>
          <t>Santa Clara, CA, US</t>
        </is>
      </c>
      <c r="H99" s="2" t="n">
        <v>45810</v>
      </c>
      <c r="I9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in-f39bfbc40ed5d779</t>
        </is>
      </c>
      <c r="B100" t="inlineStr">
        <is>
          <t>Principal Applied Scientist, Delivery Foundation Model</t>
        </is>
      </c>
      <c r="C100" t="inlineStr">
        <is>
          <t>Amazon.com</t>
        </is>
      </c>
      <c r="D100" t="inlineStr">
        <is>
          <t>indeed</t>
        </is>
      </c>
      <c r="E100" t="inlineStr"/>
      <c r="F100" t="inlineStr"/>
      <c r="G100" t="inlineStr">
        <is>
          <t>Austin, TX, US</t>
        </is>
      </c>
      <c r="H100" s="2" t="n">
        <v>45810</v>
      </c>
      <c r="I10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in-5232a6e0703069de</t>
        </is>
      </c>
      <c r="B101" t="inlineStr">
        <is>
          <t>Principal Applied Scientist, Delivery Foundation Model</t>
        </is>
      </c>
      <c r="C101" t="inlineStr">
        <is>
          <t>Amazon.com</t>
        </is>
      </c>
      <c r="D101" t="inlineStr">
        <is>
          <t>indeed</t>
        </is>
      </c>
      <c r="E101" t="inlineStr"/>
      <c r="F101" t="inlineStr"/>
      <c r="G101" t="inlineStr">
        <is>
          <t>Bellevue, WA, US</t>
        </is>
      </c>
      <c r="H101" s="2" t="n">
        <v>45810</v>
      </c>
      <c r="I10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in-0f7c19d7fa6d2716</t>
        </is>
      </c>
      <c r="B102" t="inlineStr">
        <is>
          <t>Senior Applied Scientist, Delivery Foundation Model</t>
        </is>
      </c>
      <c r="C102" t="inlineStr">
        <is>
          <t>Amazon.com</t>
        </is>
      </c>
      <c r="D102" t="inlineStr">
        <is>
          <t>indeed</t>
        </is>
      </c>
      <c r="E102" t="inlineStr"/>
      <c r="F102" t="inlineStr"/>
      <c r="G102" t="inlineStr">
        <is>
          <t>Santa Clara, CA, US</t>
        </is>
      </c>
      <c r="H102" s="2" t="n">
        <v>45806</v>
      </c>
      <c r="I10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in-feb556a2dc3b56e1</t>
        </is>
      </c>
      <c r="B103" t="inlineStr">
        <is>
          <t>Senior Applied Scientist, Delivery Foundation Model</t>
        </is>
      </c>
      <c r="C103" t="inlineStr">
        <is>
          <t>Amazon.com</t>
        </is>
      </c>
      <c r="D103" t="inlineStr">
        <is>
          <t>indeed</t>
        </is>
      </c>
      <c r="E103" t="inlineStr"/>
      <c r="F103" t="inlineStr"/>
      <c r="G103" t="inlineStr">
        <is>
          <t>Bellevue, WA, US</t>
        </is>
      </c>
      <c r="H103" s="2" t="n">
        <v>45806</v>
      </c>
      <c r="I10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in-a4ebba9fa94985e0</t>
        </is>
      </c>
      <c r="B104" t="inlineStr">
        <is>
          <t>Senior Applied Scientist, Delivery Foundation Model</t>
        </is>
      </c>
      <c r="C104" t="inlineStr">
        <is>
          <t>Amazon.com</t>
        </is>
      </c>
      <c r="D104" t="inlineStr">
        <is>
          <t>indeed</t>
        </is>
      </c>
      <c r="E104" t="inlineStr"/>
      <c r="F104" t="inlineStr"/>
      <c r="G104" t="inlineStr">
        <is>
          <t>New York, NY, US</t>
        </is>
      </c>
      <c r="H104" s="2" t="n">
        <v>45806</v>
      </c>
      <c r="I10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in-b36061804fd0f566</t>
        </is>
      </c>
      <c r="B105" t="inlineStr">
        <is>
          <t>Principal Applied Scientist, Delivery Foundation Model</t>
        </is>
      </c>
      <c r="C105" t="inlineStr">
        <is>
          <t>Amazon.com</t>
        </is>
      </c>
      <c r="D105" t="inlineStr">
        <is>
          <t>indeed</t>
        </is>
      </c>
      <c r="E105" t="inlineStr"/>
      <c r="F105" t="inlineStr"/>
      <c r="G105" t="inlineStr">
        <is>
          <t>New York, NY, US</t>
        </is>
      </c>
      <c r="H105" s="2" t="n">
        <v>45757</v>
      </c>
      <c r="I10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in-17258e76e97da888</t>
        </is>
      </c>
      <c r="B106" t="inlineStr">
        <is>
          <t>Principal Applied Scientist, Delivery Foundation Model</t>
        </is>
      </c>
      <c r="C106" t="inlineStr">
        <is>
          <t>Amazon.com</t>
        </is>
      </c>
      <c r="D106" t="inlineStr">
        <is>
          <t>indeed</t>
        </is>
      </c>
      <c r="E106" t="inlineStr"/>
      <c r="F106" t="inlineStr"/>
      <c r="G106" t="inlineStr">
        <is>
          <t>Santa Clara, CA, US</t>
        </is>
      </c>
      <c r="H106" s="2" t="n">
        <v>45757</v>
      </c>
      <c r="I10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in-082acf4aee16b624</t>
        </is>
      </c>
      <c r="B107" t="inlineStr">
        <is>
          <t>Principal Applied Scientist, Delivery Foundation Model</t>
        </is>
      </c>
      <c r="C107" t="inlineStr">
        <is>
          <t>Amazon.com</t>
        </is>
      </c>
      <c r="D107" t="inlineStr">
        <is>
          <t>indeed</t>
        </is>
      </c>
      <c r="E107" t="inlineStr"/>
      <c r="F107" t="inlineStr"/>
      <c r="G107" t="inlineStr">
        <is>
          <t>Bellevue, WA, US</t>
        </is>
      </c>
      <c r="H107" s="2" t="n">
        <v>45757</v>
      </c>
      <c r="I10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in-60ba064af95c57fc</t>
        </is>
      </c>
      <c r="B108" t="inlineStr">
        <is>
          <t>Principal Applied Scientist, FAR (Frontier AI &amp; Robotics)</t>
        </is>
      </c>
      <c r="C108" t="inlineStr">
        <is>
          <t>Amazon.com</t>
        </is>
      </c>
      <c r="D108" t="inlineStr">
        <is>
          <t>indeed</t>
        </is>
      </c>
      <c r="E108" t="inlineStr"/>
      <c r="F108" t="inlineStr"/>
      <c r="G108" t="inlineStr">
        <is>
          <t>San Francisco, CA, US</t>
        </is>
      </c>
      <c r="H108" s="2" t="n">
        <v>45740</v>
      </c>
      <c r="I108"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in-c3278ef15a100363</t>
        </is>
      </c>
      <c r="B109" t="inlineStr">
        <is>
          <t>Principal Applied Scientist, FAR (Frontier AI &amp; Robotics)</t>
        </is>
      </c>
      <c r="C109" t="inlineStr">
        <is>
          <t>Amazon.com</t>
        </is>
      </c>
      <c r="D109" t="inlineStr">
        <is>
          <t>indeed</t>
        </is>
      </c>
      <c r="E109" t="inlineStr"/>
      <c r="F109" t="inlineStr"/>
      <c r="G109" t="inlineStr">
        <is>
          <t>Seattle, WA, US</t>
        </is>
      </c>
      <c r="H109" s="2" t="n">
        <v>45740</v>
      </c>
      <c r="I109"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in-511e3c1728ff09d3</t>
        </is>
      </c>
      <c r="B110" t="inlineStr">
        <is>
          <t>Senior Machine Learning Engineer Agentic Development</t>
        </is>
      </c>
      <c r="C110" t="inlineStr">
        <is>
          <t>Axiado</t>
        </is>
      </c>
      <c r="D110" t="inlineStr">
        <is>
          <t>indeed</t>
        </is>
      </c>
      <c r="E110" t="inlineStr"/>
      <c r="F110" t="inlineStr"/>
      <c r="G110" t="inlineStr">
        <is>
          <t>San Jose, CA, US</t>
        </is>
      </c>
      <c r="H110" s="2" t="n">
        <v>46061</v>
      </c>
      <c r="I110" t="inlineStr">
        <is>
          <t>**Company Description**
Axiado is an AI\-enhanced security processor company redefining the control and management of every digital system. The company was founded in 2017, and currently has 150\+ employees. At Axiado, developing great technology takes more than talent: it takes amazing people who understand collaboration, respect each other, and go the extra mile to achieve exceptional results. It takes people who have the passion and desire to disrupt the status quo, deliver innovation, and change the world. If you have this type of passion, we invite you to apply for this job.
**Job Description**
We are seeking a hands\-on Senior Machine Learning Engineer to design, build, and deploy intelligent agents on our edge devices. These agents will operate autonomously in resource\-constrained environments, performing complex tasks like real\-time log analysis, on\-device computer vision, and secure system\-level interactions.
This role requires a unique blend of modern AI development (agentic workflows, LLMs) and classic systems\-level domain knowledge. You will be responsible for creating agents that can perceive their environment (through logs, video, and system data), reason, and act securely and efficiently on our custom hardware.
Key Responsibilities
* Design, build, and deploy autonomous agentic systems for resource\-constrained edge devices.
* Implement agent capabilities that leverage deep domain knowledge, specifically in:
* Real\-time log analysis and anomaly detection.
* Efficient, on\-device computer vision (CV) model execution and interpretation.
* Interaction with system\-level open\-sourced tools for data gathering and system monitoring.
* Develop and integrate secure, high\-performance communication channels for agent\-to\-agent (A2A) and management\-to\-controller (MCP) interactions.
* Implement robust MCP authentication and secure communication protocols for all agent operations.
* Optimize the full agent stack—from the ML model to the application logic—for high performance and low footprint (latency, memory, power) on our target hardware.
* Collaborate with MLOps and firmware teams to create robust deployment and update pipelines for agents in the field.
**Qualifications**
* 5\+ years of hands\-on experience in software engineering or machine learning.
* B.S. or M.S. in Computer Science, Electrical Engineering, or a related field (or equivalent practical experience).
* Proven experience building systems with LLMs and/or agentic frameworks (e.g., LangChain, LlamaIndex, or custom\-built agents).
* Strong, demonstrable domain knowledge in log analysis and/or computer vision.
* Experience with network protocol development or integration, with specific knowledge of MCP/A2A\-like systems and authentication mechanisms.
* Strong programming skills in Python and familiarity with data\-intensive applications.
* Experience using and integrating open\-source tools for system monitoring, log processing (e.g., ELK stack, Prometheus), or CV (e.g., OpenCV).
Preferred Qualifications (The "Plus" Factors)
* Direct, hands\-on experience with embedded system development (e.g., C, C\+\+, Rust, Yocto, RTOS).
* Experience optimizing ML models (quantization, pruning) for edge devices (e.g., NPUs, FPGAs, or other accelerators).
* Deep understanding of network security and secure coding practices.
* Knowledge of ML compilers like Apache TVM or MLIR
Pay: $102,895\.93 \- $200,000\.00 per year
Benefits:
* 401(k)
* Dental insurance
* Flexible spending account
* Health insurance
* Health savings account
* Life insurance
* Paid time off
* Vision insurance
Work Location: In person</t>
        </is>
      </c>
    </row>
    <row r="111">
      <c r="A111" t="inlineStr">
        <is>
          <t>in-24ba4283deb0477e</t>
        </is>
      </c>
      <c r="B111" t="inlineStr">
        <is>
          <t>Machine Learning Engineer</t>
        </is>
      </c>
      <c r="C111" t="inlineStr">
        <is>
          <t>BV Teck</t>
        </is>
      </c>
      <c r="D111" t="inlineStr">
        <is>
          <t>indeed</t>
        </is>
      </c>
      <c r="E111" t="inlineStr"/>
      <c r="F111" t="inlineStr"/>
      <c r="G111" t="inlineStr">
        <is>
          <t>Remote, US</t>
        </is>
      </c>
      <c r="H111" s="2" t="n">
        <v>46060</v>
      </c>
      <c r="I111" t="inlineStr">
        <is>
          <t>**Machine Learning Engineer**  
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Machine Learning Engineer  
**Onsite/Hybrid:** Remote  
**FULL\-TIME ROLE WITH BRIGHT VISION**  
**Job Description:**  
**Environment:**  
Machine Learning, Python, TensorFlow, PyTorch, Scikit\-learn, Feature Engineering, Model Training \&amp; Evaluation, Model Deployment, RESTful APIs, Data Pipelines, SQL, NoSQL Databases,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cYuMnyGdE3</t>
        </is>
      </c>
    </row>
    <row r="112">
      <c r="A112" t="inlineStr">
        <is>
          <t>in-99de02ed08d1505a</t>
        </is>
      </c>
      <c r="B112" t="inlineStr">
        <is>
          <t>Machine Learning Engineer</t>
        </is>
      </c>
      <c r="C112" t="inlineStr">
        <is>
          <t>BV Teck</t>
        </is>
      </c>
      <c r="D112" t="inlineStr">
        <is>
          <t>indeed</t>
        </is>
      </c>
      <c r="E112" t="inlineStr"/>
      <c r="F112" t="inlineStr"/>
      <c r="G112" t="inlineStr">
        <is>
          <t>Remote, US</t>
        </is>
      </c>
      <c r="H112" s="2" t="n">
        <v>46060</v>
      </c>
      <c r="I112" t="inlineStr">
        <is>
          <t>**Machine Learning Engineer**  
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Machine Learning Engineer  
**Onsite/Hybrid:** Remote  
**FULL\-TIME ROLE WITH BRIGHT VISION**  
**Job Description:**  
**Environment:**  
Machine Learning, Python, TensorFlow, PyTorch, Scikit\-learn, Feature Engineering, Model Training \&amp; Evaluation, Model Deployment, RESTful APIs, Data Pipelines, SQL, NoSQL Databases,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o8Cr4XmU2C</t>
        </is>
      </c>
    </row>
    <row r="113">
      <c r="A113" t="inlineStr">
        <is>
          <t>in-61664d2d3c22e6cf</t>
        </is>
      </c>
      <c r="B113" t="inlineStr">
        <is>
          <t>Machine Learning Engineer</t>
        </is>
      </c>
      <c r="C113" t="inlineStr">
        <is>
          <t>BV Teck</t>
        </is>
      </c>
      <c r="D113" t="inlineStr">
        <is>
          <t>indeed</t>
        </is>
      </c>
      <c r="E113" t="inlineStr"/>
      <c r="F113" t="inlineStr"/>
      <c r="G113" t="inlineStr">
        <is>
          <t>Remote, US</t>
        </is>
      </c>
      <c r="H113" s="2" t="n">
        <v>46060</v>
      </c>
      <c r="I113" t="inlineStr">
        <is>
          <t>**Machine Learning Engineer**  
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Machine Learning Engineer  
**Onsite/Hybrid:** Remote  
**FULL\-TIME ROLE WITH BRIGHT VISION**  
**Job Description:**  
**Environment:**  
Machine Learning, Python, TensorFlow, PyTorch, Scikit\-learn, Feature Engineering, Model Training \&amp; Evaluation, Model Deployment, RESTful APIs, Data Pipelines, SQL, NoSQL Databases,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Z5t2Jyupxf</t>
        </is>
      </c>
    </row>
    <row r="114">
      <c r="A114" t="inlineStr">
        <is>
          <t>in-d75231647e107e63</t>
        </is>
      </c>
      <c r="B114" t="inlineStr">
        <is>
          <t>Machine Learning Engineer</t>
        </is>
      </c>
      <c r="C114" t="inlineStr">
        <is>
          <t>BV Teck</t>
        </is>
      </c>
      <c r="D114" t="inlineStr">
        <is>
          <t>indeed</t>
        </is>
      </c>
      <c r="E114" t="inlineStr"/>
      <c r="F114" t="inlineStr"/>
      <c r="G114" t="inlineStr">
        <is>
          <t>Remote, US</t>
        </is>
      </c>
      <c r="H114" s="2" t="n">
        <v>46060</v>
      </c>
      <c r="I114" t="inlineStr">
        <is>
          <t>**Machine Learning Engineer**  
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Machine Learning Engineer  
**Onsite/Hybrid:** Remote  
**FULL\-TIME ROLE WITH BRIGHT VISION**  
**Job Description:**  
**Environment:**  
Machine Learning, Python, TensorFlow, PyTorch, Scikit\-learn, Feature Engineering, Model Training \&amp; Evaluation, Model Deployment, RESTful APIs, Data Pipelines, SQL, NoSQL Databases,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oLehcY1i78</t>
        </is>
      </c>
    </row>
    <row r="115">
      <c r="A115" t="inlineStr">
        <is>
          <t>in-0f9181046b86df81</t>
        </is>
      </c>
      <c r="B115" t="inlineStr">
        <is>
          <t>Machine Learning Engineer</t>
        </is>
      </c>
      <c r="C115" t="inlineStr">
        <is>
          <t>BV Teck</t>
        </is>
      </c>
      <c r="D115" t="inlineStr">
        <is>
          <t>indeed</t>
        </is>
      </c>
      <c r="E115" t="inlineStr"/>
      <c r="F115" t="inlineStr"/>
      <c r="G115" t="inlineStr">
        <is>
          <t>Remote, US</t>
        </is>
      </c>
      <c r="H115" s="2" t="n">
        <v>46060</v>
      </c>
      <c r="I115" t="inlineStr">
        <is>
          <t>**Machine Learning Engineer**  
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Machine Learning Engineer  
**Onsite/Hybrid:** Remote  
**FULL\-TIME ROLE WITH BRIGHT VISION**  
**Job Description:**  
**Environment:**  
Machine Learning, Python, TensorFlow, PyTorch, Scikit\-learn, Feature Engineering, Model Training \&amp; Evaluation, Model Deployment, RESTful APIs, Data Pipelines, SQL, NoSQL Databases,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X2nEfPBVWG</t>
        </is>
      </c>
    </row>
    <row r="116">
      <c r="A116" t="inlineStr">
        <is>
          <t>in-89dbb5904acb8758</t>
        </is>
      </c>
      <c r="B116" t="inlineStr">
        <is>
          <t>Machine Learning Engineer</t>
        </is>
      </c>
      <c r="C116" t="inlineStr">
        <is>
          <t>BV Teck</t>
        </is>
      </c>
      <c r="D116" t="inlineStr">
        <is>
          <t>indeed</t>
        </is>
      </c>
      <c r="E116" t="inlineStr"/>
      <c r="F116" t="inlineStr"/>
      <c r="G116" t="inlineStr">
        <is>
          <t>Remote, US</t>
        </is>
      </c>
      <c r="H116" s="2" t="n">
        <v>46060</v>
      </c>
      <c r="I116" t="inlineStr">
        <is>
          <t>**Machine Learning Engineer**  
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Machine Learning Engineer  
**Onsite/Hybrid:** Remote  
**FULL\-TIME ROLE WITH BRIGHT VISION**  
**Job Description:**  
**Environment:**  
Machine Learning, Python, TensorFlow, PyTorch, Scikit\-learn, Feature Engineering, Model Training \&amp; Evaluation, Model Deployment, RESTful APIs, Data Pipelines, SQL, NoSQL Databases,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XGWAzCXSKp</t>
        </is>
      </c>
    </row>
    <row r="117">
      <c r="A117" t="inlineStr">
        <is>
          <t>in-cf3390e07a3bf00f</t>
        </is>
      </c>
      <c r="B117" t="inlineStr">
        <is>
          <t>Machine Learning Engineer</t>
        </is>
      </c>
      <c r="C117" t="inlineStr">
        <is>
          <t>BV Teck</t>
        </is>
      </c>
      <c r="D117" t="inlineStr">
        <is>
          <t>indeed</t>
        </is>
      </c>
      <c r="E117" t="inlineStr"/>
      <c r="F117" t="inlineStr"/>
      <c r="G117" t="inlineStr">
        <is>
          <t>Remote, US</t>
        </is>
      </c>
      <c r="H117" s="2" t="n">
        <v>46060</v>
      </c>
      <c r="I117" t="inlineStr">
        <is>
          <t>**Machine Learning Engineer**  
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Machine Learning Engineer  
**Onsite/Hybrid:** Remote  
**FULL\-TIME ROLE WITH BRIGHT VISION**  
**Job Description:**  
**Environment:**  
Machine Learning, Python, TensorFlow, PyTorch, Scikit\-learn, Feature Engineering, Model Training \&amp; Evaluation, Model Deployment, RESTful APIs, Data Pipelines, SQL, NoSQL Databases,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rqx9oFV0T9</t>
        </is>
      </c>
    </row>
    <row r="118">
      <c r="A118" t="inlineStr">
        <is>
          <t>in-7eed46b0425152f0</t>
        </is>
      </c>
      <c r="B118" t="inlineStr">
        <is>
          <t>Machine Learning Engineer</t>
        </is>
      </c>
      <c r="C118" t="inlineStr">
        <is>
          <t>BV Teck</t>
        </is>
      </c>
      <c r="D118" t="inlineStr">
        <is>
          <t>indeed</t>
        </is>
      </c>
      <c r="E118" t="inlineStr"/>
      <c r="F118" t="inlineStr"/>
      <c r="G118" t="inlineStr">
        <is>
          <t>Remote, US</t>
        </is>
      </c>
      <c r="H118" s="2" t="n">
        <v>46060</v>
      </c>
      <c r="I118" t="inlineStr">
        <is>
          <t>**Machine Learning Engineer**  
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Machine Learning Engineer  
**Onsite/Hybrid:** Remote  
**FULL\-TIME ROLE WITH BRIGHT VISION**  
**Job Description:**  
**Environment:**  
Machine Learning, Python, TensorFlow, PyTorch, Scikit\-learn, Feature Engineering, Model Training \&amp; Evaluation, Model Deployment, RESTful APIs, Data Pipelines, SQL, NoSQL Databases,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Kxi4QneGTC</t>
        </is>
      </c>
    </row>
    <row r="119">
      <c r="A119" t="inlineStr">
        <is>
          <t>in-0441b72e702f7a63</t>
        </is>
      </c>
      <c r="B119" t="inlineStr">
        <is>
          <t>Machine Learning Engineer</t>
        </is>
      </c>
      <c r="C119" t="inlineStr">
        <is>
          <t>BV Teck</t>
        </is>
      </c>
      <c r="D119" t="inlineStr">
        <is>
          <t>indeed</t>
        </is>
      </c>
      <c r="E119" t="inlineStr"/>
      <c r="F119" t="inlineStr"/>
      <c r="G119" t="inlineStr">
        <is>
          <t>Remote, US</t>
        </is>
      </c>
      <c r="H119" s="2" t="n">
        <v>46060</v>
      </c>
      <c r="I119" t="inlineStr">
        <is>
          <t>**Machine Learning Engineer**  
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Machine Learning Engineer  
**Onsite/Hybrid:** Remote  
**FULL\-TIME ROLE WITH BRIGHT VISION**  
**Job Description:**  
**Environment:**  
Machine Learning, Python, TensorFlow, PyTorch, Scikit\-learn, Feature Engineering, Model Training \&amp; Evaluation, Model Deployment, RESTful APIs, Data Pipelines, SQL, NoSQL Databases,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zeYUivJX4c</t>
        </is>
      </c>
    </row>
    <row r="120">
      <c r="A120" t="inlineStr">
        <is>
          <t>in-e071a4e2181dea12</t>
        </is>
      </c>
      <c r="B120" t="inlineStr">
        <is>
          <t>Machine Learning Engineer</t>
        </is>
      </c>
      <c r="C120" t="inlineStr">
        <is>
          <t>BV Teck</t>
        </is>
      </c>
      <c r="D120" t="inlineStr">
        <is>
          <t>indeed</t>
        </is>
      </c>
      <c r="E120" t="inlineStr"/>
      <c r="F120" t="inlineStr"/>
      <c r="G120" t="inlineStr">
        <is>
          <t>Remote, US</t>
        </is>
      </c>
      <c r="H120" s="2" t="n">
        <v>46060</v>
      </c>
      <c r="I120" t="inlineStr">
        <is>
          <t>**Machine Learning Engineer**  
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Machine Learning Engineer  
**Onsite/Hybrid:** Remote  
**FULL\-TIME ROLE WITH BRIGHT VISION**  
**Job Description:**  
**Environment:**  
Machine Learning, Python, TensorFlow, PyTorch, Scikit\-learn, Feature Engineering, Model Training \&amp; Evaluation, Model Deployment, RESTful APIs, Data Pipelines, SQL, NoSQL Databases,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7iZoYMZCX0</t>
        </is>
      </c>
    </row>
    <row r="121">
      <c r="A121" t="inlineStr">
        <is>
          <t>in-bf185dd298a23e35</t>
        </is>
      </c>
      <c r="B121" t="inlineStr">
        <is>
          <t>Machine Learning Engineer</t>
        </is>
      </c>
      <c r="C121" t="inlineStr">
        <is>
          <t>BV Teck</t>
        </is>
      </c>
      <c r="D121" t="inlineStr">
        <is>
          <t>indeed</t>
        </is>
      </c>
      <c r="E121" t="inlineStr"/>
      <c r="F121" t="inlineStr"/>
      <c r="G121" t="inlineStr">
        <is>
          <t>Remote, US</t>
        </is>
      </c>
      <c r="H121" s="2" t="n">
        <v>46060</v>
      </c>
      <c r="I121" t="inlineStr">
        <is>
          <t>**Machine Learning Engineer**  
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Machine Learning Engineer  
**Onsite/Hybrid:** Remote  
**FULL\-TIME ROLE WITH BRIGHT VISION**  
**Job Description:**  
**Environment:**  
Machine Learning, Python, TensorFlow, PyTorch, Scikit\-learn, Feature Engineering, Model Training \&amp; Evaluation, Model Deployment, RESTful APIs, Data Pipelines, SQL, NoSQL Databases,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LLTYJLce3g</t>
        </is>
      </c>
    </row>
    <row r="122">
      <c r="A122" t="inlineStr">
        <is>
          <t>in-9dd4d9aff284843c</t>
        </is>
      </c>
      <c r="B122" t="inlineStr">
        <is>
          <t>Machine Learning Engineer</t>
        </is>
      </c>
      <c r="C122" t="inlineStr">
        <is>
          <t>BV Teck</t>
        </is>
      </c>
      <c r="D122" t="inlineStr">
        <is>
          <t>indeed</t>
        </is>
      </c>
      <c r="E122" t="inlineStr"/>
      <c r="F122" t="inlineStr"/>
      <c r="G122" t="inlineStr">
        <is>
          <t>Remote, US</t>
        </is>
      </c>
      <c r="H122" s="2" t="n">
        <v>46060</v>
      </c>
      <c r="I122" t="inlineStr">
        <is>
          <t>**Machine Learning Engineer**  
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Machine Learning Engineer  
**Onsite/Hybrid:** Remote  
**FULL\-TIME ROLE WITH BRIGHT VISION**  
**Job Description:**  
**Environment:**  
Machine Learning, Python, TensorFlow, PyTorch, Scikit\-learn, Feature Engineering, Model Training \&amp; Evaluation, Model Deployment, RESTful APIs, Data Pipelines, SQL, NoSQL Databases,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iot0sRG4gy</t>
        </is>
      </c>
    </row>
    <row r="123">
      <c r="A123" t="inlineStr">
        <is>
          <t>in-ca596b3f4a640ed9</t>
        </is>
      </c>
      <c r="B123" t="inlineStr">
        <is>
          <t>Machine Learning Engineer</t>
        </is>
      </c>
      <c r="C123" t="inlineStr">
        <is>
          <t>BV Teck</t>
        </is>
      </c>
      <c r="D123" t="inlineStr">
        <is>
          <t>indeed</t>
        </is>
      </c>
      <c r="E123" t="inlineStr"/>
      <c r="F123" t="inlineStr"/>
      <c r="G123" t="inlineStr">
        <is>
          <t>Remote, US</t>
        </is>
      </c>
      <c r="H123" s="2" t="n">
        <v>46060</v>
      </c>
      <c r="I123" t="inlineStr">
        <is>
          <t>**Machine Learning Engineer**  
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Machine Learning Engineer  
**Onsite/Hybrid:** Remote  
**FULL\-TIME ROLE WITH BRIGHT VISION**  
**Job Description:**  
**Environment:**  
Machine Learning, Python, TensorFlow, PyTorch, Scikit\-learn, Feature Engineering, Model Training \&amp; Evaluation, Model Deployment, RESTful APIs, Data Pipelines, SQL, NoSQL Databases,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8wIXKIfKlP</t>
        </is>
      </c>
    </row>
    <row r="124">
      <c r="A124" t="inlineStr">
        <is>
          <t>in-920eeeef398e7207</t>
        </is>
      </c>
      <c r="B124" t="inlineStr">
        <is>
          <t>Machine Learning Engineer</t>
        </is>
      </c>
      <c r="C124" t="inlineStr">
        <is>
          <t>BV Teck</t>
        </is>
      </c>
      <c r="D124" t="inlineStr">
        <is>
          <t>indeed</t>
        </is>
      </c>
      <c r="E124" t="inlineStr"/>
      <c r="F124" t="inlineStr"/>
      <c r="G124" t="inlineStr">
        <is>
          <t>Remote, US</t>
        </is>
      </c>
      <c r="H124" s="2" t="n">
        <v>46060</v>
      </c>
      <c r="I124" t="inlineStr">
        <is>
          <t>**Machine Learning Engineer**  
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Machine Learning Engineer  
**Onsite/Hybrid:** Remote  
**FULL\-TIME ROLE WITH BRIGHT VISION**  
**Job Description:**  
**Environment:**  
Machine Learning, Python, TensorFlow, PyTorch, Scikit\-learn, Feature Engineering, Model Training \&amp; Evaluation, Model Deployment, RESTful APIs, Data Pipelines, SQL, NoSQL Databases,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6C6euTQKTR</t>
        </is>
      </c>
    </row>
    <row r="125">
      <c r="A125" t="inlineStr">
        <is>
          <t>in-90d7d3f4f1e7428b</t>
        </is>
      </c>
      <c r="B125" t="inlineStr">
        <is>
          <t>Machine Learning Engineer</t>
        </is>
      </c>
      <c r="C125" t="inlineStr">
        <is>
          <t>BV Teck</t>
        </is>
      </c>
      <c r="D125" t="inlineStr">
        <is>
          <t>indeed</t>
        </is>
      </c>
      <c r="E125" t="inlineStr"/>
      <c r="F125" t="inlineStr"/>
      <c r="G125" t="inlineStr">
        <is>
          <t>Remote, US</t>
        </is>
      </c>
      <c r="H125" s="2" t="n">
        <v>46060</v>
      </c>
      <c r="I125" t="inlineStr">
        <is>
          <t>**Machine Learning Engineer**  
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Machine Learning Engineer  
**Onsite/Hybrid:** Remote  
**FULL\-TIME ROLE WITH BRIGHT VISION**  
**Job Description:**  
**Environment:**  
Machine Learning, Python, TensorFlow, PyTorch, Scikit\-learn, Feature Engineering, Model Training \&amp; Evaluation, Model Deployment, RESTful APIs, Data Pipelines, SQL, NoSQL Databases,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2TQwl0XFFy</t>
        </is>
      </c>
    </row>
    <row r="126">
      <c r="A126" t="inlineStr">
        <is>
          <t>in-f59dbb61cdbed5d9</t>
        </is>
      </c>
      <c r="B126" t="inlineStr">
        <is>
          <t>Machine Learning Engineer</t>
        </is>
      </c>
      <c r="C126" t="inlineStr">
        <is>
          <t>BV Teck</t>
        </is>
      </c>
      <c r="D126" t="inlineStr">
        <is>
          <t>indeed</t>
        </is>
      </c>
      <c r="E126" t="inlineStr"/>
      <c r="F126" t="inlineStr"/>
      <c r="G126" t="inlineStr">
        <is>
          <t>Remote, US</t>
        </is>
      </c>
      <c r="H126" s="2" t="n">
        <v>46060</v>
      </c>
      <c r="I126" t="inlineStr">
        <is>
          <t>**Machine Learning Engineer**  
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Machine Learning Engineer  
**Onsite/Hybrid:** Remote  
**FULL\-TIME ROLE WITH BRIGHT VISION**  
**Job Description:**  
**Environment:**  
Machine Learning, Python, TensorFlow, PyTorch, Scikit\-learn, Feature Engineering, Model Training \&amp; Evaluation, Model Deployment, RESTful APIs, Data Pipelines, SQL, NoSQL Databases,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ZYvttgI8Lj</t>
        </is>
      </c>
    </row>
    <row r="127">
      <c r="A127" t="inlineStr">
        <is>
          <t>in-f08c8d014ae0e9f7</t>
        </is>
      </c>
      <c r="B127" t="inlineStr">
        <is>
          <t>Machine Learning Engineer</t>
        </is>
      </c>
      <c r="C127" t="inlineStr">
        <is>
          <t>BV Teck</t>
        </is>
      </c>
      <c r="D127" t="inlineStr">
        <is>
          <t>indeed</t>
        </is>
      </c>
      <c r="E127" t="inlineStr"/>
      <c r="F127" t="inlineStr"/>
      <c r="G127" t="inlineStr">
        <is>
          <t>Remote, US</t>
        </is>
      </c>
      <c r="H127" s="2" t="n">
        <v>46060</v>
      </c>
      <c r="I127" t="inlineStr">
        <is>
          <t>**Machine Learning Engineer**  
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Machine Learning Engineer  
**Onsite/Hybrid:** Remote  
**FULL\-TIME ROLE WITH BRIGHT VISION**  
**Job Description:**  
**Environment:**  
Machine Learning, Python, TensorFlow, PyTorch, Scikit\-learn, Feature Engineering, Model Training \&amp; Evaluation, Model Deployment, RESTful APIs, Data Pipelines, SQL, NoSQL Databases,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5G5Zb2vR3V</t>
        </is>
      </c>
    </row>
    <row r="128">
      <c r="A128" t="inlineStr">
        <is>
          <t>in-f3b5a97ff7d40a56</t>
        </is>
      </c>
      <c r="B128" t="inlineStr">
        <is>
          <t>Machine Learning Engineer</t>
        </is>
      </c>
      <c r="C128" t="inlineStr">
        <is>
          <t>BV Teck</t>
        </is>
      </c>
      <c r="D128" t="inlineStr">
        <is>
          <t>indeed</t>
        </is>
      </c>
      <c r="E128" t="inlineStr"/>
      <c r="F128" t="inlineStr"/>
      <c r="G128" t="inlineStr">
        <is>
          <t>Remote, US</t>
        </is>
      </c>
      <c r="H128" s="2" t="n">
        <v>46060</v>
      </c>
      <c r="I128" t="inlineStr">
        <is>
          <t>**Machine Learning Engineer**  
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Machine Learning Engineer  
**Onsite/Hybrid:** Remote  
**FULL\-TIME ROLE WITH BRIGHT VISION**  
**Job Description:**  
**Environment:**  
Machine Learning, Python, TensorFlow, PyTorch, Scikit\-learn, Feature Engineering, Model Training \&amp; Evaluation, Model Deployment, RESTful APIs, Data Pipelines, SQL, NoSQL Databases,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pu0iokuC9I</t>
        </is>
      </c>
    </row>
    <row r="129">
      <c r="A129" t="inlineStr">
        <is>
          <t>in-c91e3256f2679a62</t>
        </is>
      </c>
      <c r="B129" t="inlineStr">
        <is>
          <t>Machine Learning Engineer</t>
        </is>
      </c>
      <c r="C129" t="inlineStr">
        <is>
          <t>BV Teck</t>
        </is>
      </c>
      <c r="D129" t="inlineStr">
        <is>
          <t>indeed</t>
        </is>
      </c>
      <c r="E129" t="inlineStr"/>
      <c r="F129" t="inlineStr"/>
      <c r="G129" t="inlineStr">
        <is>
          <t>Remote, US</t>
        </is>
      </c>
      <c r="H129" s="2" t="n">
        <v>46060</v>
      </c>
      <c r="I129" t="inlineStr">
        <is>
          <t>**Machine Learning Engineer**  
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Machine Learning Engineer  
**Onsite/Hybrid:** Remote  
**FULL\-TIME ROLE WITH BRIGHT VISION**  
**Job Description:**  
**Environment:**  
Machine Learning, Python, TensorFlow, PyTorch, Scikit\-learn, Feature Engineering, Model Training \&amp; Evaluation, Model Deployment, RESTful APIs, Data Pipelines, SQL, NoSQL Databases,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Suresh Babu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QEsjk0cgOS</t>
        </is>
      </c>
    </row>
    <row r="130">
      <c r="A130" t="inlineStr">
        <is>
          <t>in-c8b5347c2416fd91</t>
        </is>
      </c>
      <c r="B130" t="inlineStr">
        <is>
          <t>AI Engineer</t>
        </is>
      </c>
      <c r="C130" t="inlineStr">
        <is>
          <t>BV Teck</t>
        </is>
      </c>
      <c r="D130" t="inlineStr">
        <is>
          <t>indeed</t>
        </is>
      </c>
      <c r="E130" t="inlineStr"/>
      <c r="F130" t="inlineStr"/>
      <c r="G130" t="inlineStr">
        <is>
          <t>Remote, US</t>
        </is>
      </c>
      <c r="H130" s="2" t="n">
        <v>46060</v>
      </c>
      <c r="I130" t="inlineStr">
        <is>
          <t>**AI Engineer**  
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AI Engineer  
**Onsite/Hybrid:** Remote  
**FULL\-TIME ROLE WITH BRIGHT VISION**  
**Job Description:**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uWD4N3t9fR</t>
        </is>
      </c>
    </row>
    <row r="131">
      <c r="A131" t="inlineStr">
        <is>
          <t>in-9ef14d2ae44437ab</t>
        </is>
      </c>
      <c r="B131" t="inlineStr">
        <is>
          <t>AI Engineer</t>
        </is>
      </c>
      <c r="C131" t="inlineStr">
        <is>
          <t>BV Teck</t>
        </is>
      </c>
      <c r="D131" t="inlineStr">
        <is>
          <t>indeed</t>
        </is>
      </c>
      <c r="E131" t="inlineStr"/>
      <c r="F131" t="inlineStr"/>
      <c r="G131" t="inlineStr">
        <is>
          <t>Remote, US</t>
        </is>
      </c>
      <c r="H131" s="2" t="n">
        <v>46060</v>
      </c>
      <c r="I131" t="inlineStr">
        <is>
          <t>**AI Engineer**  
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AI Engineer  
**Onsite/Hybrid:** Remote  
**FULL\-TIME ROLE WITH BRIGHT VISION**  
**Job Description:**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m7o6NR3IKk</t>
        </is>
      </c>
    </row>
    <row r="132">
      <c r="A132" t="inlineStr">
        <is>
          <t>in-9f7c8cc4429b58ea</t>
        </is>
      </c>
      <c r="B132" t="inlineStr">
        <is>
          <t>AI Engineer</t>
        </is>
      </c>
      <c r="C132" t="inlineStr">
        <is>
          <t>BV Teck</t>
        </is>
      </c>
      <c r="D132" t="inlineStr">
        <is>
          <t>indeed</t>
        </is>
      </c>
      <c r="E132" t="inlineStr"/>
      <c r="F132" t="inlineStr"/>
      <c r="G132" t="inlineStr">
        <is>
          <t>Remote, US</t>
        </is>
      </c>
      <c r="H132" s="2" t="n">
        <v>46060</v>
      </c>
      <c r="I132" t="inlineStr">
        <is>
          <t>**AI Engineer**  
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AI Engineer  
**Onsite/Hybrid:** Remote  
**FULL\-TIME ROLE WITH BRIGHT VISION**  
**Job Description:**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JFY3onkq3I</t>
        </is>
      </c>
    </row>
    <row r="133">
      <c r="A133" t="inlineStr">
        <is>
          <t>in-00602143d0f712f6</t>
        </is>
      </c>
      <c r="B133" t="inlineStr">
        <is>
          <t>AI Engineer</t>
        </is>
      </c>
      <c r="C133" t="inlineStr">
        <is>
          <t>BV Teck</t>
        </is>
      </c>
      <c r="D133" t="inlineStr">
        <is>
          <t>indeed</t>
        </is>
      </c>
      <c r="E133" t="inlineStr"/>
      <c r="F133" t="inlineStr"/>
      <c r="G133" t="inlineStr">
        <is>
          <t>Remote, US</t>
        </is>
      </c>
      <c r="H133" s="2" t="n">
        <v>46060</v>
      </c>
      <c r="I133" t="inlineStr">
        <is>
          <t>**AI Engineer**  
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AI Engineer  
**Onsite/Hybrid:** Remote  
**FULL\-TIME ROLE WITH BRIGHT VISION**  
**Job Description:**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Gw5vzGSCyt</t>
        </is>
      </c>
    </row>
    <row r="134">
      <c r="A134" t="inlineStr">
        <is>
          <t>in-0a164d3525dd8fa5</t>
        </is>
      </c>
      <c r="B134" t="inlineStr">
        <is>
          <t>AI Engineer</t>
        </is>
      </c>
      <c r="C134" t="inlineStr">
        <is>
          <t>BV Teck</t>
        </is>
      </c>
      <c r="D134" t="inlineStr">
        <is>
          <t>indeed</t>
        </is>
      </c>
      <c r="E134" t="inlineStr"/>
      <c r="F134" t="inlineStr"/>
      <c r="G134" t="inlineStr">
        <is>
          <t>Remote, US</t>
        </is>
      </c>
      <c r="H134" s="2" t="n">
        <v>46060</v>
      </c>
      <c r="I134" t="inlineStr">
        <is>
          <t>**AI Engineer**  
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AI Engineer  
**Onsite/Hybrid:** Remote  
**FULL\-TIME ROLE WITH BRIGHT VISION**  
**Job Description:**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jWyoKzFtfB</t>
        </is>
      </c>
    </row>
    <row r="135">
      <c r="A135" t="inlineStr">
        <is>
          <t>in-e8b0c677fd2b3327</t>
        </is>
      </c>
      <c r="B135" t="inlineStr">
        <is>
          <t>AI Engineer</t>
        </is>
      </c>
      <c r="C135" t="inlineStr">
        <is>
          <t>BV Teck</t>
        </is>
      </c>
      <c r="D135" t="inlineStr">
        <is>
          <t>indeed</t>
        </is>
      </c>
      <c r="E135" t="inlineStr"/>
      <c r="F135" t="inlineStr"/>
      <c r="G135" t="inlineStr">
        <is>
          <t>Remote, US</t>
        </is>
      </c>
      <c r="H135" s="2" t="n">
        <v>46060</v>
      </c>
      <c r="I135" t="inlineStr">
        <is>
          <t>**AI Engineer**  
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AI Engineer  
**Onsite/Hybrid:** Remote  
**FULL\-TIME ROLE WITH BRIGHT VISION**  
**Job Description:**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OeaOpDr6pL</t>
        </is>
      </c>
    </row>
    <row r="136">
      <c r="A136" t="inlineStr">
        <is>
          <t>in-9f6726fa3d78e67d</t>
        </is>
      </c>
      <c r="B136" t="inlineStr">
        <is>
          <t>AI Engineer</t>
        </is>
      </c>
      <c r="C136" t="inlineStr">
        <is>
          <t>BV Teck</t>
        </is>
      </c>
      <c r="D136" t="inlineStr">
        <is>
          <t>indeed</t>
        </is>
      </c>
      <c r="E136" t="inlineStr"/>
      <c r="F136" t="inlineStr"/>
      <c r="G136" t="inlineStr">
        <is>
          <t>Remote, US</t>
        </is>
      </c>
      <c r="H136" s="2" t="n">
        <v>46060</v>
      </c>
      <c r="I136" t="inlineStr">
        <is>
          <t>**AI Engineer**  
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AI Engineer  
**Onsite/Hybrid:** Remote  
**FULL\-TIME ROLE WITH BRIGHT VISION**  
**Job Description:**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11nDF0eYRz</t>
        </is>
      </c>
    </row>
    <row r="137">
      <c r="A137" t="inlineStr">
        <is>
          <t>in-4df13653e249c52d</t>
        </is>
      </c>
      <c r="B137" t="inlineStr">
        <is>
          <t>AI Engineer</t>
        </is>
      </c>
      <c r="C137" t="inlineStr">
        <is>
          <t>BV Teck</t>
        </is>
      </c>
      <c r="D137" t="inlineStr">
        <is>
          <t>indeed</t>
        </is>
      </c>
      <c r="E137" t="inlineStr"/>
      <c r="F137" t="inlineStr"/>
      <c r="G137" t="inlineStr">
        <is>
          <t>Remote, US</t>
        </is>
      </c>
      <c r="H137" s="2" t="n">
        <v>46060</v>
      </c>
      <c r="I137" t="inlineStr">
        <is>
          <t>**AI Engineer**  
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AI Engineer  
**Onsite/Hybrid:** Remote  
**FULL\-TIME ROLE WITH BRIGHT VISION**  
**Job Description:**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XdT60A7gpP</t>
        </is>
      </c>
    </row>
    <row r="138">
      <c r="A138" t="inlineStr">
        <is>
          <t>in-ac46745ab41910b6</t>
        </is>
      </c>
      <c r="B138" t="inlineStr">
        <is>
          <t>AI Engineer</t>
        </is>
      </c>
      <c r="C138" t="inlineStr">
        <is>
          <t>BV Teck</t>
        </is>
      </c>
      <c r="D138" t="inlineStr">
        <is>
          <t>indeed</t>
        </is>
      </c>
      <c r="E138" t="inlineStr"/>
      <c r="F138" t="inlineStr"/>
      <c r="G138" t="inlineStr">
        <is>
          <t>Remote, US</t>
        </is>
      </c>
      <c r="H138" s="2" t="n">
        <v>46060</v>
      </c>
      <c r="I138" t="inlineStr">
        <is>
          <t>**AI Engineer**  
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AI Engineer  
**Onsite/Hybrid:** Remote  
**FULL\-TIME ROLE WITH BRIGHT VISION**  
**Job Description:**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EdOJWt94up</t>
        </is>
      </c>
    </row>
    <row r="139">
      <c r="A139" t="inlineStr">
        <is>
          <t>in-89fa4b37e2ae28dd</t>
        </is>
      </c>
      <c r="B139" t="inlineStr">
        <is>
          <t>AI Engineer</t>
        </is>
      </c>
      <c r="C139" t="inlineStr">
        <is>
          <t>BV Teck</t>
        </is>
      </c>
      <c r="D139" t="inlineStr">
        <is>
          <t>indeed</t>
        </is>
      </c>
      <c r="E139" t="inlineStr"/>
      <c r="F139" t="inlineStr"/>
      <c r="G139" t="inlineStr">
        <is>
          <t>Remote, US</t>
        </is>
      </c>
      <c r="H139" s="2" t="n">
        <v>46060</v>
      </c>
      <c r="I139" t="inlineStr">
        <is>
          <t>**AI Engineer**  
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AI Engineer  
**Onsite/Hybrid:** Remote  
**FULL\-TIME ROLE WITH BRIGHT VISION**  
**Job Description:**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4ACABQVc7o</t>
        </is>
      </c>
    </row>
    <row r="140">
      <c r="A140" t="inlineStr">
        <is>
          <t>in-f38a45704609d814</t>
        </is>
      </c>
      <c r="B140" t="inlineStr">
        <is>
          <t>AI Engineer</t>
        </is>
      </c>
      <c r="C140" t="inlineStr">
        <is>
          <t>BV Teck</t>
        </is>
      </c>
      <c r="D140" t="inlineStr">
        <is>
          <t>indeed</t>
        </is>
      </c>
      <c r="E140" t="inlineStr"/>
      <c r="F140" t="inlineStr"/>
      <c r="G140" t="inlineStr">
        <is>
          <t>Remote, US</t>
        </is>
      </c>
      <c r="H140" s="2" t="n">
        <v>46060</v>
      </c>
      <c r="I140" t="inlineStr">
        <is>
          <t>**AI Engineer**  
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AI Engineer  
**Onsite/Hybrid:** Remote  
**FULL\-TIME ROLE WITH BRIGHT VISION**  
**Job Description:**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zjSs3zZmXh</t>
        </is>
      </c>
    </row>
    <row r="141">
      <c r="A141" t="inlineStr">
        <is>
          <t>in-97d6f7a4f3f8dee8</t>
        </is>
      </c>
      <c r="B141" t="inlineStr">
        <is>
          <t>AI Engineer</t>
        </is>
      </c>
      <c r="C141" t="inlineStr">
        <is>
          <t>BV Teck</t>
        </is>
      </c>
      <c r="D141" t="inlineStr">
        <is>
          <t>indeed</t>
        </is>
      </c>
      <c r="E141" t="inlineStr"/>
      <c r="F141" t="inlineStr"/>
      <c r="G141" t="inlineStr">
        <is>
          <t>Remote, US</t>
        </is>
      </c>
      <c r="H141" s="2" t="n">
        <v>46060</v>
      </c>
      <c r="I141" t="inlineStr">
        <is>
          <t>**AI Engineer**  
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AI Engineer  
**Onsite/Hybrid:** Remote  
**FULL\-TIME ROLE WITH BRIGHT VISION**  
**Job Description:**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Hg2vhxDERH</t>
        </is>
      </c>
    </row>
    <row r="142">
      <c r="A142" t="inlineStr">
        <is>
          <t>in-03e622db972219e4</t>
        </is>
      </c>
      <c r="B142" t="inlineStr">
        <is>
          <t>AI Engineer</t>
        </is>
      </c>
      <c r="C142" t="inlineStr">
        <is>
          <t>BV Teck</t>
        </is>
      </c>
      <c r="D142" t="inlineStr">
        <is>
          <t>indeed</t>
        </is>
      </c>
      <c r="E142" t="inlineStr"/>
      <c r="F142" t="inlineStr"/>
      <c r="G142" t="inlineStr">
        <is>
          <t>Remote, US</t>
        </is>
      </c>
      <c r="H142" s="2" t="n">
        <v>46060</v>
      </c>
      <c r="I142" t="inlineStr">
        <is>
          <t>**AI Engineer**  
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AI Engineer  
**Onsite/Hybrid:** Remote  
**FULL\-TIME ROLE WITH BRIGHT VISION**  
**Job Description:**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AnT4z1pdB6</t>
        </is>
      </c>
    </row>
    <row r="143">
      <c r="A143" t="inlineStr">
        <is>
          <t>in-94ca447a16f28d54</t>
        </is>
      </c>
      <c r="B143" t="inlineStr">
        <is>
          <t>AI Engineer</t>
        </is>
      </c>
      <c r="C143" t="inlineStr">
        <is>
          <t>BV Teck</t>
        </is>
      </c>
      <c r="D143" t="inlineStr">
        <is>
          <t>indeed</t>
        </is>
      </c>
      <c r="E143" t="inlineStr"/>
      <c r="F143" t="inlineStr"/>
      <c r="G143" t="inlineStr">
        <is>
          <t>Remote, US</t>
        </is>
      </c>
      <c r="H143" s="2" t="n">
        <v>46060</v>
      </c>
      <c r="I143" t="inlineStr">
        <is>
          <t>**AI Engineer**  
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AI Engineer  
**Onsite/Hybrid:** Remote  
**FULL\-TIME ROLE WITH BRIGHT VISION**  
**Job Description:**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OYl5rtZnWp</t>
        </is>
      </c>
    </row>
    <row r="144">
      <c r="A144" t="inlineStr">
        <is>
          <t>in-0e8720cbd788d114</t>
        </is>
      </c>
      <c r="B144" t="inlineStr">
        <is>
          <t>AI Engineer</t>
        </is>
      </c>
      <c r="C144" t="inlineStr">
        <is>
          <t>BV Teck</t>
        </is>
      </c>
      <c r="D144" t="inlineStr">
        <is>
          <t>indeed</t>
        </is>
      </c>
      <c r="E144" t="inlineStr"/>
      <c r="F144" t="inlineStr"/>
      <c r="G144" t="inlineStr">
        <is>
          <t>Remote, US</t>
        </is>
      </c>
      <c r="H144" s="2" t="n">
        <v>46060</v>
      </c>
      <c r="I144" t="inlineStr">
        <is>
          <t>**AI Engineer**  
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AI Engineer  
**Onsite/Hybrid:** Remote  
**FULL\-TIME ROLE WITH BRIGHT VISION**  
**Job Description:**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zeRis01cLY</t>
        </is>
      </c>
    </row>
    <row r="145">
      <c r="A145" t="inlineStr">
        <is>
          <t>in-582f66905f6c2e09</t>
        </is>
      </c>
      <c r="B145" t="inlineStr">
        <is>
          <t>AI Engineer</t>
        </is>
      </c>
      <c r="C145" t="inlineStr">
        <is>
          <t>BV Teck</t>
        </is>
      </c>
      <c r="D145" t="inlineStr">
        <is>
          <t>indeed</t>
        </is>
      </c>
      <c r="E145" t="inlineStr"/>
      <c r="F145" t="inlineStr"/>
      <c r="G145" t="inlineStr">
        <is>
          <t>Remote, US</t>
        </is>
      </c>
      <c r="H145" s="2" t="n">
        <v>46060</v>
      </c>
      <c r="I145" t="inlineStr">
        <is>
          <t>**AI Engineer**  
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AI Engineer  
**Onsite/Hybrid:** Remote  
**FULL\-TIME ROLE WITH BRIGHT VISION**  
**Job Description:**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vxT4WY8Gv0</t>
        </is>
      </c>
    </row>
    <row r="146">
      <c r="A146" t="inlineStr">
        <is>
          <t>in-0bb33f20f551e678</t>
        </is>
      </c>
      <c r="B146" t="inlineStr">
        <is>
          <t>AI Engineer</t>
        </is>
      </c>
      <c r="C146" t="inlineStr">
        <is>
          <t>BV Teck</t>
        </is>
      </c>
      <c r="D146" t="inlineStr">
        <is>
          <t>indeed</t>
        </is>
      </c>
      <c r="E146" t="inlineStr"/>
      <c r="F146" t="inlineStr"/>
      <c r="G146" t="inlineStr">
        <is>
          <t>Remote, US</t>
        </is>
      </c>
      <c r="H146" s="2" t="n">
        <v>46060</v>
      </c>
      <c r="I146" t="inlineStr">
        <is>
          <t>**AI Engineer**  
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AI Engineer  
**Onsite/Hybrid:** Remote  
**FULL\-TIME ROLE WITH BRIGHT VISION**  
**Job Description:**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XUlKVNo2od</t>
        </is>
      </c>
    </row>
    <row r="147">
      <c r="A147" t="inlineStr">
        <is>
          <t>in-155cd85e3f477984</t>
        </is>
      </c>
      <c r="B147" t="inlineStr">
        <is>
          <t>AI Engineer</t>
        </is>
      </c>
      <c r="C147" t="inlineStr">
        <is>
          <t>BV Teck</t>
        </is>
      </c>
      <c r="D147" t="inlineStr">
        <is>
          <t>indeed</t>
        </is>
      </c>
      <c r="E147" t="inlineStr"/>
      <c r="F147" t="inlineStr"/>
      <c r="G147" t="inlineStr">
        <is>
          <t>Remote, US</t>
        </is>
      </c>
      <c r="H147" s="2" t="n">
        <v>46060</v>
      </c>
      <c r="I147" t="inlineStr">
        <is>
          <t>**AI Engineer**  
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AI Engineer  
**Onsite/Hybrid:** Remote  
**FULL\-TIME ROLE WITH BRIGHT VISION**  
**Job Description:**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wqZbTkVm39</t>
        </is>
      </c>
    </row>
    <row r="148">
      <c r="A148" t="inlineStr">
        <is>
          <t>in-c94347180b47a048</t>
        </is>
      </c>
      <c r="B148" t="inlineStr">
        <is>
          <t>AI Engineer</t>
        </is>
      </c>
      <c r="C148" t="inlineStr">
        <is>
          <t>BV Teck</t>
        </is>
      </c>
      <c r="D148" t="inlineStr">
        <is>
          <t>indeed</t>
        </is>
      </c>
      <c r="E148" t="inlineStr"/>
      <c r="F148" t="inlineStr"/>
      <c r="G148" t="inlineStr">
        <is>
          <t>Remote, US</t>
        </is>
      </c>
      <c r="H148" s="2" t="n">
        <v>46060</v>
      </c>
      <c r="I148" t="inlineStr">
        <is>
          <t>**AI Engineer**  
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AI Engineer  
**Onsite/Hybrid:** Remote  
**FULL\-TIME ROLE WITH BRIGHT VISION**  
**Job Description:**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Suresh Babu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sGt7m1Wls1</t>
        </is>
      </c>
    </row>
    <row r="149">
      <c r="A149" t="inlineStr">
        <is>
          <t>in-1679cbb23eb4143e</t>
        </is>
      </c>
      <c r="B149" t="inlineStr">
        <is>
          <t>Data and Machine Learning Engineer - Vision Language Models, Data &amp; Machine Learning (DML)</t>
        </is>
      </c>
      <c r="C149" t="inlineStr">
        <is>
          <t>Amazon Web Services</t>
        </is>
      </c>
      <c r="D149" t="inlineStr">
        <is>
          <t>indeed</t>
        </is>
      </c>
      <c r="E149" t="inlineStr"/>
      <c r="F149" t="inlineStr"/>
      <c r="G149" t="inlineStr">
        <is>
          <t>Arlington, VA, US</t>
        </is>
      </c>
      <c r="H149" s="2" t="n">
        <v>46051</v>
      </c>
      <c r="I149"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Top Secret or above
**PREFERRED QUALIFICATIONS**
----------------------------
* Experience in a ML or data scientist role with a large technology company
* Experience working on multi\-team, cross\-disciplinary projects
* Master's degree or above in computer science, machine learning, engineering, or related fields
* Knowledge of Linux, PyTorch, and Git workflows for computer vision requirements
* Experience developing visual language models leveraging satellite imagery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50">
      <c r="A150" t="inlineStr">
        <is>
          <t>in-78b5a0f1b91b7870</t>
        </is>
      </c>
      <c r="B150" t="inlineStr">
        <is>
          <t>Data and Machine Learning Engineer - Vision Language Models, Data &amp; Machine Learning (DML)</t>
        </is>
      </c>
      <c r="C150" t="inlineStr">
        <is>
          <t>Amazon Web Services</t>
        </is>
      </c>
      <c r="D150" t="inlineStr">
        <is>
          <t>indeed</t>
        </is>
      </c>
      <c r="E150" t="inlineStr"/>
      <c r="F150" t="inlineStr"/>
      <c r="G150" t="inlineStr">
        <is>
          <t>Herndon, VA, US</t>
        </is>
      </c>
      <c r="H150" s="2" t="n">
        <v>46051</v>
      </c>
      <c r="I150"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Top Secret or above
**PREFERRED QUALIFICATIONS**
----------------------------
* Experience in a ML or data scientist role with a large technology company
* Experience working on multi\-team, cross\-disciplinary projects
* Master's degree or above in computer science, machine learning, engineering, or related fields
* Knowledge of Linux, PyTorch, and Git workflows for computer vision requirements
* Experience developing visual language models leveraging satellite imagery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51">
      <c r="A151" t="inlineStr">
        <is>
          <t>in-ebae0c69427165b8</t>
        </is>
      </c>
      <c r="B151" t="inlineStr">
        <is>
          <t>Machine Learning Engineer, WWPS ProServe Data and Machine Learning</t>
        </is>
      </c>
      <c r="C151" t="inlineStr">
        <is>
          <t>Amazon Web Services</t>
        </is>
      </c>
      <c r="D151" t="inlineStr">
        <is>
          <t>indeed</t>
        </is>
      </c>
      <c r="E151" t="inlineStr"/>
      <c r="F151" t="inlineStr"/>
      <c r="G151" t="inlineStr">
        <is>
          <t>Herndon, VA, US</t>
        </is>
      </c>
      <c r="H151" s="2" t="n">
        <v>46044</v>
      </c>
      <c r="I151"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52">
      <c r="A152" t="inlineStr">
        <is>
          <t>in-94a52cdb97280018</t>
        </is>
      </c>
      <c r="B152" t="inlineStr">
        <is>
          <t>Machine Learning Engineer, WWPS ProServe Data and Machine Learning</t>
        </is>
      </c>
      <c r="C152" t="inlineStr">
        <is>
          <t>Amazon Web Services</t>
        </is>
      </c>
      <c r="D152" t="inlineStr">
        <is>
          <t>indeed</t>
        </is>
      </c>
      <c r="E152" t="inlineStr"/>
      <c r="F152" t="inlineStr"/>
      <c r="G152" t="inlineStr">
        <is>
          <t>Arlington, VA, US</t>
        </is>
      </c>
      <c r="H152" s="2" t="n">
        <v>46044</v>
      </c>
      <c r="I152"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53">
      <c r="A153" t="inlineStr">
        <is>
          <t>in-2b3ef798e76b89dd</t>
        </is>
      </c>
      <c r="B153" t="inlineStr">
        <is>
          <t>Machine Learning Engineer, WWPS ProServe Data and Machine Learning</t>
        </is>
      </c>
      <c r="C153" t="inlineStr">
        <is>
          <t>Amazon Web Services</t>
        </is>
      </c>
      <c r="D153" t="inlineStr">
        <is>
          <t>indeed</t>
        </is>
      </c>
      <c r="E153" t="inlineStr"/>
      <c r="F153" t="inlineStr"/>
      <c r="G153" t="inlineStr">
        <is>
          <t>Herndon, VA, US</t>
        </is>
      </c>
      <c r="H153" s="2" t="n">
        <v>46043</v>
      </c>
      <c r="I153"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54">
      <c r="A154" t="inlineStr">
        <is>
          <t>in-de065b2abb6580df</t>
        </is>
      </c>
      <c r="B154" t="inlineStr">
        <is>
          <t>Machine Learning Engineer, WWPS ProServe Data and Machine Learning</t>
        </is>
      </c>
      <c r="C154" t="inlineStr">
        <is>
          <t>Amazon Web Services</t>
        </is>
      </c>
      <c r="D154" t="inlineStr">
        <is>
          <t>indeed</t>
        </is>
      </c>
      <c r="E154" t="inlineStr"/>
      <c r="F154" t="inlineStr"/>
      <c r="G154" t="inlineStr">
        <is>
          <t>Arlington, VA, US</t>
        </is>
      </c>
      <c r="H154" s="2" t="n">
        <v>46043</v>
      </c>
      <c r="I154"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55">
      <c r="A155" t="inlineStr">
        <is>
          <t>in-7dfb650b7de7cc7b</t>
        </is>
      </c>
      <c r="B155" t="inlineStr">
        <is>
          <t>Applied Scientist, Alexa Smart Home</t>
        </is>
      </c>
      <c r="C155" t="inlineStr">
        <is>
          <t>Amazon.com</t>
        </is>
      </c>
      <c r="D155" t="inlineStr">
        <is>
          <t>indeed</t>
        </is>
      </c>
      <c r="E155" t="inlineStr"/>
      <c r="F155" t="inlineStr"/>
      <c r="G155" t="inlineStr">
        <is>
          <t>Seattle, WA, US</t>
        </is>
      </c>
      <c r="H155" s="2" t="n">
        <v>46033</v>
      </c>
      <c r="I155"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56">
      <c r="A156" t="inlineStr">
        <is>
          <t>in-f216a1727f447ec1</t>
        </is>
      </c>
      <c r="B156" t="inlineStr">
        <is>
          <t>Applied Scientist, Alexa Smart Home</t>
        </is>
      </c>
      <c r="C156" t="inlineStr">
        <is>
          <t>Amazon.com</t>
        </is>
      </c>
      <c r="D156" t="inlineStr">
        <is>
          <t>indeed</t>
        </is>
      </c>
      <c r="E156" t="inlineStr"/>
      <c r="F156" t="inlineStr"/>
      <c r="G156" t="inlineStr">
        <is>
          <t>Sunnyvale, CA, US</t>
        </is>
      </c>
      <c r="H156" s="2" t="n">
        <v>46033</v>
      </c>
      <c r="I156"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57">
      <c r="A157" t="inlineStr">
        <is>
          <t>in-f61fd78294975d63</t>
        </is>
      </c>
      <c r="B157" t="inlineStr">
        <is>
          <t>ML Engineer, GO-AI Technology &amp; Development Team</t>
        </is>
      </c>
      <c r="C157" t="inlineStr">
        <is>
          <t>Amazon.com</t>
        </is>
      </c>
      <c r="D157" t="inlineStr">
        <is>
          <t>indeed</t>
        </is>
      </c>
      <c r="E157" t="inlineStr"/>
      <c r="F157" t="inlineStr"/>
      <c r="G157" t="inlineStr">
        <is>
          <t>Seattle, WA, US</t>
        </is>
      </c>
      <c r="H157" s="2" t="n">
        <v>45998</v>
      </c>
      <c r="I157"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58">
      <c r="A158" t="inlineStr">
        <is>
          <t>in-f2607d32cf09f77b</t>
        </is>
      </c>
      <c r="B158" t="inlineStr">
        <is>
          <t>ML Engineer, GO-AI Technology &amp; Development Team</t>
        </is>
      </c>
      <c r="C158" t="inlineStr">
        <is>
          <t>Amazon.com</t>
        </is>
      </c>
      <c r="D158" t="inlineStr">
        <is>
          <t>indeed</t>
        </is>
      </c>
      <c r="E158" t="inlineStr"/>
      <c r="F158" t="inlineStr"/>
      <c r="G158" t="inlineStr">
        <is>
          <t>Boston, MA, US</t>
        </is>
      </c>
      <c r="H158" s="2" t="n">
        <v>45998</v>
      </c>
      <c r="I158"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59">
      <c r="A159" t="inlineStr">
        <is>
          <t>in-5b98311ca06bf13a</t>
        </is>
      </c>
      <c r="B159" t="inlineStr">
        <is>
          <t>ML Engineer, GO-AI Technology &amp; Development Team</t>
        </is>
      </c>
      <c r="C159" t="inlineStr">
        <is>
          <t>Amazon.com</t>
        </is>
      </c>
      <c r="D159" t="inlineStr">
        <is>
          <t>indeed</t>
        </is>
      </c>
      <c r="E159" t="inlineStr"/>
      <c r="F159" t="inlineStr"/>
      <c r="G159" t="inlineStr">
        <is>
          <t>Reading, MA, US</t>
        </is>
      </c>
      <c r="H159" s="2" t="n">
        <v>45998</v>
      </c>
      <c r="I159"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60">
      <c r="A160" t="inlineStr">
        <is>
          <t>in-e4df07a2dbae5c20</t>
        </is>
      </c>
      <c r="B160" t="inlineStr">
        <is>
          <t>ML Engineer, GO-AI Technology &amp; Development Team</t>
        </is>
      </c>
      <c r="C160" t="inlineStr">
        <is>
          <t>Amazon.com</t>
        </is>
      </c>
      <c r="D160" t="inlineStr">
        <is>
          <t>indeed</t>
        </is>
      </c>
      <c r="E160" t="inlineStr"/>
      <c r="F160" t="inlineStr"/>
      <c r="G160" t="inlineStr">
        <is>
          <t>Westborough, MA, US</t>
        </is>
      </c>
      <c r="H160" s="2" t="n">
        <v>45998</v>
      </c>
      <c r="I160"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61">
      <c r="A161" t="inlineStr">
        <is>
          <t>in-a682a158658bef3b</t>
        </is>
      </c>
      <c r="B161" t="inlineStr">
        <is>
          <t>AI Machine Learning Engineer, Senior / Orlando, FL</t>
        </is>
      </c>
      <c r="C161" t="inlineStr">
        <is>
          <t>Lockheed Martin</t>
        </is>
      </c>
      <c r="D161" t="inlineStr">
        <is>
          <t>indeed</t>
        </is>
      </c>
      <c r="E161" t="inlineStr"/>
      <c r="F161" t="inlineStr"/>
      <c r="G161" t="inlineStr">
        <is>
          <t>Orlando, FL, US</t>
        </is>
      </c>
      <c r="H161" s="2" t="n">
        <v>45971</v>
      </c>
      <c r="I161" t="inlineStr">
        <is>
          <t>**Job ID:** 710297BR
**Date posted:** Nov. 11, 2025  
**Description:**  
You will be a Analytics / Machine Learning Engineer in our Software Engineering organization.  
Lockheed Martin is a global security and aerospace company that employs approximately 114,000 people worldwide and is principally engaged in the research, design, development, manufacture, integration and sustainment of advanced technology systems, products and services. Lockheed Martin Missiles and Fire Control (MFC) is one of four Lockheed Martin business areas. MFC is a recognized designer, developer and manufacturer of precision engagement aerospace and defense systems for the U.S. and allied militaries. MFC develops, manufactures and supports advanced products for military customers that include the U.S. Army, Navy, Air Force, Marine Corps, NASA and dozens of foreign allies. MFC also offers a wide range of products and services for the global civil nuclear power industry and the military's green power initiatives.
**What You Will Be Doing**  
As a Analytics / Machine Learning Engineer, your responsibilities will include:
* Leverage advanced analytics, web development, data engineering, and machine learning to drive data\-driven decision\-making across MFC engineering and production
* Apply advanced statistical techniques, machine learning algorithms, and data visualization methods to identify trends, patterns, and correlations in data from engineering development and production sources
* Develop, implement, and advocate for AI\-powered solutions
Key responsibilities will include:  
* Collaborate with researchers and engineers to identify opportunities for AI/ML applications and develop proof\-of\-concepts
* Establish rigorous standards for ML Ops strategies for various programs and applications
* Maintain AI/ML systems, including data pipelines, model training, optimization, and deployment
* Stay current with the latest advancements in AI/ML, including new algorithms, techniques, and tools
* Collaborate with external partners, including academia and industry, to advance ML Ops research and applications
**Why Join Us**  
Do you want to be part of a company culture that encourages employees to build their career, leverage their knowledge while using cutting edge technology, and achieve challenging goals? We provide the foundation and resources to help you stay motivated, inspired, and productive. If you are driven, dedicated, and enjoy doing what you love, then we want you to join our journey and build a better tomorrow with you.  
This position is onsite in Orlando, Florida. We offer flexible work schedules to comprehensive benefits investing in your future and security, Learn more about Lockheed Martin's comprehensive benefits package here.  
**Further Information About This Opportunity:**  
This position is in Orlando. Discover more about our Orlando, Florida location.  
MUST BE A U.S. CITIZEN \- This position is located at a facility that requires special access. The selected candidate must be able to obtain a secret clearance.  
**Basic Qualifications:**  
* Master's or Ph.D. degree in Computer Science, Electrical Engineering, or a related field
* 3\+ years of experience in AI/ML research and deployment, with a strong background in ML Ops
* Proficiency in programming languages such as Python and C\+\+
* Experience with AI/ML frameworks and libraries, including TensorFlow, PyTorch, and scikit\-learn
* Software development skills, with experience in version control systems
* Ability to obtain an interim secret security clearance prior to start and therefore must be US Citizen.
**Desired Skills:**  
* Experience with ML pipeline packages such as Flyte, Kubeflow pipelines, and MLFlow
* Strong communication and collaboration skills, with the ability to work effectively in a team environment
* Experience with data storage libraries such as Feathr and LakeFS
* Familiarity with containerization using Docker and Kubernetes
* Strong understanding of statistical modeling and machine learning techniques.
* Experience with agile development methodologies and version control systems
* Experience in deployment of AI and statistical algorithm systems on high performance compute infrastructure
* Experience with AI/ML ethics, fairness, and transparency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  
**Business Unit:** MISSILES AND FIRE CONTROL  
**Relocation Available:** Possible  
**Career Area:** Software Engineering  
**Type:** Full\-Time  
**Shift:** First</t>
        </is>
      </c>
    </row>
    <row r="162">
      <c r="A162" t="inlineStr">
        <is>
          <t>in-ed0f4179da65a27a</t>
        </is>
      </c>
      <c r="B162" t="inlineStr">
        <is>
          <t>Sr. Applied Scientist, Amazon Ads</t>
        </is>
      </c>
      <c r="C162" t="inlineStr">
        <is>
          <t>Amazon.com</t>
        </is>
      </c>
      <c r="D162" t="inlineStr">
        <is>
          <t>indeed</t>
        </is>
      </c>
      <c r="E162">
        <f>HYPERLINK("https://www.indeed.com/viewjob?jk=ed0f4179da65a27a", "https://www.indeed.com/viewjob?jk=ed0f4179da65a27a")</f>
        <v/>
      </c>
      <c r="F162">
        <f>HYPERLINK("https://www.amazon.jobs/jobs/3139328/sr-applied-scientist-amazon-ads?cmpid=DA_INAD200785B", "https://www.amazon.jobs/jobs/3139328/sr-applied-scientist-amazon-ads?cmpid=DA_INAD200785B")</f>
        <v/>
      </c>
      <c r="G162" t="inlineStr">
        <is>
          <t>Tukwila, WA, US</t>
        </is>
      </c>
      <c r="H162" s="3" t="n">
        <v>45998</v>
      </c>
      <c r="I16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3">
      <c r="A163" t="inlineStr">
        <is>
          <t>in-ee26e85a7ed8eba1</t>
        </is>
      </c>
      <c r="B163" t="inlineStr">
        <is>
          <t>Sr. Applied Scientist, Amazon Ads</t>
        </is>
      </c>
      <c r="C163" t="inlineStr">
        <is>
          <t>Amazon.com</t>
        </is>
      </c>
      <c r="D163" t="inlineStr">
        <is>
          <t>indeed</t>
        </is>
      </c>
      <c r="E163">
        <f>HYPERLINK("https://www.indeed.com/viewjob?jk=ee26e85a7ed8eba1", "https://www.indeed.com/viewjob?jk=ee26e85a7ed8eba1")</f>
        <v/>
      </c>
      <c r="F163">
        <f>HYPERLINK("https://www.amazon.jobs/jobs/3139328/sr-applied-scientist-amazon-ads?cmpid=DA_INAD200785B", "https://www.amazon.jobs/jobs/3139328/sr-applied-scientist-amazon-ads?cmpid=DA_INAD200785B")</f>
        <v/>
      </c>
      <c r="G163" t="inlineStr">
        <is>
          <t>Boulder, CO, US</t>
        </is>
      </c>
      <c r="H163" s="3" t="n">
        <v>45998</v>
      </c>
      <c r="I16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4">
      <c r="A164" t="inlineStr">
        <is>
          <t>in-bb37ebe1c9f91f79</t>
        </is>
      </c>
      <c r="B164" t="inlineStr">
        <is>
          <t>Sr. Applied Scientist, Amazon Ads</t>
        </is>
      </c>
      <c r="C164" t="inlineStr">
        <is>
          <t>Amazon.com</t>
        </is>
      </c>
      <c r="D164" t="inlineStr">
        <is>
          <t>indeed</t>
        </is>
      </c>
      <c r="E164">
        <f>HYPERLINK("https://www.indeed.com/viewjob?jk=bb37ebe1c9f91f79", "https://www.indeed.com/viewjob?jk=bb37ebe1c9f91f79")</f>
        <v/>
      </c>
      <c r="F164">
        <f>HYPERLINK("https://www.amazon.jobs/jobs/3139328/sr-applied-scientist-amazon-ads?cmpid=DA_INAD200785B", "https://www.amazon.jobs/jobs/3139328/sr-applied-scientist-amazon-ads?cmpid=DA_INAD200785B")</f>
        <v/>
      </c>
      <c r="G164" t="inlineStr">
        <is>
          <t>Seattle, WA, US</t>
        </is>
      </c>
      <c r="H164" s="3" t="n">
        <v>45998</v>
      </c>
      <c r="I16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5">
      <c r="A165" t="inlineStr">
        <is>
          <t>in-967b59fd8aa63173</t>
        </is>
      </c>
      <c r="B165" t="inlineStr">
        <is>
          <t>Sr. Applied Scientist, Amazon Ads</t>
        </is>
      </c>
      <c r="C165" t="inlineStr">
        <is>
          <t>Amazon.com</t>
        </is>
      </c>
      <c r="D165" t="inlineStr">
        <is>
          <t>indeed</t>
        </is>
      </c>
      <c r="E165">
        <f>HYPERLINK("https://www.indeed.com/viewjob?jk=967b59fd8aa63173", "https://www.indeed.com/viewjob?jk=967b59fd8aa63173")</f>
        <v/>
      </c>
      <c r="F165">
        <f>HYPERLINK("https://www.amazon.jobs/jobs/3139328/sr-applied-scientist-amazon-ads?cmpid=DA_INAD200785B", "https://www.amazon.jobs/jobs/3139328/sr-applied-scientist-amazon-ads?cmpid=DA_INAD200785B")</f>
        <v/>
      </c>
      <c r="G165" t="inlineStr">
        <is>
          <t>Palo Alto, CA, US</t>
        </is>
      </c>
      <c r="H165" s="3" t="n">
        <v>45998</v>
      </c>
      <c r="I16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6">
      <c r="A166" t="inlineStr">
        <is>
          <t>in-ce63870ee31bfaa4</t>
        </is>
      </c>
      <c r="B166" t="inlineStr">
        <is>
          <t>Sr. Applied Scientist, Amazon Ads</t>
        </is>
      </c>
      <c r="C166" t="inlineStr">
        <is>
          <t>Amazon.com</t>
        </is>
      </c>
      <c r="D166" t="inlineStr">
        <is>
          <t>indeed</t>
        </is>
      </c>
      <c r="E166">
        <f>HYPERLINK("https://www.indeed.com/viewjob?jk=ce63870ee31bfaa4", "https://www.indeed.com/viewjob?jk=ce63870ee31bfaa4")</f>
        <v/>
      </c>
      <c r="F166">
        <f>HYPERLINK("https://www.amazon.jobs/jobs/3139328/sr-applied-scientist-amazon-ads?cmpid=DA_INAD200785B", "https://www.amazon.jobs/jobs/3139328/sr-applied-scientist-amazon-ads?cmpid=DA_INAD200785B")</f>
        <v/>
      </c>
      <c r="G166" t="inlineStr">
        <is>
          <t>Sunnyvale, CA, US</t>
        </is>
      </c>
      <c r="H166" s="3" t="n">
        <v>45998</v>
      </c>
      <c r="I16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7">
      <c r="A167" t="inlineStr">
        <is>
          <t>in-b603e4ad201efd97</t>
        </is>
      </c>
      <c r="B167" t="inlineStr">
        <is>
          <t>Sr. Applied Scientist, Amazon Ads</t>
        </is>
      </c>
      <c r="C167" t="inlineStr">
        <is>
          <t>Amazon.com</t>
        </is>
      </c>
      <c r="D167" t="inlineStr">
        <is>
          <t>indeed</t>
        </is>
      </c>
      <c r="E167">
        <f>HYPERLINK("https://www.indeed.com/viewjob?jk=b603e4ad201efd97", "https://www.indeed.com/viewjob?jk=b603e4ad201efd97")</f>
        <v/>
      </c>
      <c r="F167">
        <f>HYPERLINK("https://www.amazon.jobs/jobs/3139328/sr-applied-scientist-amazon-ads?cmpid=DA_INAD200785B", "https://www.amazon.jobs/jobs/3139328/sr-applied-scientist-amazon-ads?cmpid=DA_INAD200785B")</f>
        <v/>
      </c>
      <c r="G167" t="inlineStr">
        <is>
          <t>Santa Monica, CA, US</t>
        </is>
      </c>
      <c r="H167" s="3" t="n">
        <v>45998</v>
      </c>
      <c r="I16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8">
      <c r="A168" t="inlineStr">
        <is>
          <t>in-0feefb7327b78de3</t>
        </is>
      </c>
      <c r="B168" t="inlineStr">
        <is>
          <t>Sr. Applied Scientist, Amazon Ads</t>
        </is>
      </c>
      <c r="C168" t="inlineStr">
        <is>
          <t>Amazon.com</t>
        </is>
      </c>
      <c r="D168" t="inlineStr">
        <is>
          <t>indeed</t>
        </is>
      </c>
      <c r="E168">
        <f>HYPERLINK("https://www.indeed.com/viewjob?jk=0feefb7327b78de3", "https://www.indeed.com/viewjob?jk=0feefb7327b78de3")</f>
        <v/>
      </c>
      <c r="F168">
        <f>HYPERLINK("https://www.amazon.jobs/jobs/3139328/sr-applied-scientist-amazon-ads?cmpid=DA_INAD200785B", "https://www.amazon.jobs/jobs/3139328/sr-applied-scientist-amazon-ads?cmpid=DA_INAD200785B")</f>
        <v/>
      </c>
      <c r="G168" t="inlineStr">
        <is>
          <t>New York, NY, US</t>
        </is>
      </c>
      <c r="H168" s="3" t="n">
        <v>45998</v>
      </c>
      <c r="I16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9">
      <c r="A169" t="inlineStr">
        <is>
          <t>in-8a85b783c505692f</t>
        </is>
      </c>
      <c r="B169" t="inlineStr">
        <is>
          <t>Sr. Applied Scientist, Amazon Ads</t>
        </is>
      </c>
      <c r="C169" t="inlineStr">
        <is>
          <t>Amazon.com</t>
        </is>
      </c>
      <c r="D169" t="inlineStr">
        <is>
          <t>indeed</t>
        </is>
      </c>
      <c r="E169">
        <f>HYPERLINK("https://www.indeed.com/viewjob?jk=8a85b783c505692f", "https://www.indeed.com/viewjob?jk=8a85b783c505692f")</f>
        <v/>
      </c>
      <c r="F169">
        <f>HYPERLINK("https://www.amazon.jobs/jobs/3139328/sr-applied-scientist-amazon-ads?cmpid=DA_INAD200785B", "https://www.amazon.jobs/jobs/3139328/sr-applied-scientist-amazon-ads?cmpid=DA_INAD200785B")</f>
        <v/>
      </c>
      <c r="G169" t="inlineStr">
        <is>
          <t>Brooklyn, NY, US</t>
        </is>
      </c>
      <c r="H169" s="3" t="n">
        <v>45998</v>
      </c>
      <c r="I16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0">
      <c r="A170" t="inlineStr">
        <is>
          <t>in-76937ef23cafb7c6</t>
        </is>
      </c>
      <c r="B170" t="inlineStr">
        <is>
          <t>Sr. Applied Scientist, Amazon Ads</t>
        </is>
      </c>
      <c r="C170" t="inlineStr">
        <is>
          <t>Amazon.com</t>
        </is>
      </c>
      <c r="D170" t="inlineStr">
        <is>
          <t>indeed</t>
        </is>
      </c>
      <c r="E170">
        <f>HYPERLINK("https://www.indeed.com/viewjob?jk=76937ef23cafb7c6", "https://www.indeed.com/viewjob?jk=76937ef23cafb7c6")</f>
        <v/>
      </c>
      <c r="F170">
        <f>HYPERLINK("https://www.amazon.jobs/jobs/3139328/sr-applied-scientist-amazon-ads?cmpid=DA_INAD200785B", "https://www.amazon.jobs/jobs/3139328/sr-applied-scientist-amazon-ads?cmpid=DA_INAD200785B")</f>
        <v/>
      </c>
      <c r="G170" t="inlineStr">
        <is>
          <t>Boston, MA, US</t>
        </is>
      </c>
      <c r="H170" s="3" t="n">
        <v>45998</v>
      </c>
      <c r="I17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1">
      <c r="A171" t="inlineStr">
        <is>
          <t>in-9e99f68329b18aab</t>
        </is>
      </c>
      <c r="B171" t="inlineStr">
        <is>
          <t>Sr. Applied Scientist, Amazon Ads</t>
        </is>
      </c>
      <c r="C171" t="inlineStr">
        <is>
          <t>Amazon.com</t>
        </is>
      </c>
      <c r="D171" t="inlineStr">
        <is>
          <t>indeed</t>
        </is>
      </c>
      <c r="E171">
        <f>HYPERLINK("https://www.indeed.com/viewjob?jk=9e99f68329b18aab", "https://www.indeed.com/viewjob?jk=9e99f68329b18aab")</f>
        <v/>
      </c>
      <c r="F171">
        <f>HYPERLINK("https://www.amazon.jobs/jobs/3139328/sr-applied-scientist-amazon-ads?cmpid=DA_INAD200785B", "https://www.amazon.jobs/jobs/3139328/sr-applied-scientist-amazon-ads?cmpid=DA_INAD200785B")</f>
        <v/>
      </c>
      <c r="G171" t="inlineStr">
        <is>
          <t>Corvallis, OR, US</t>
        </is>
      </c>
      <c r="H171" s="3" t="n">
        <v>45998</v>
      </c>
      <c r="I17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2">
      <c r="A172" t="inlineStr">
        <is>
          <t>in-7b924a88947182b9</t>
        </is>
      </c>
      <c r="B172" t="inlineStr">
        <is>
          <t>Sr. Applied Scientist, SPB Advertiser Guidance</t>
        </is>
      </c>
      <c r="C172" t="inlineStr">
        <is>
          <t>Amazon.com</t>
        </is>
      </c>
      <c r="D172" t="inlineStr">
        <is>
          <t>indeed</t>
        </is>
      </c>
      <c r="E172">
        <f>HYPERLINK("https://www.indeed.com/viewjob?jk=7b924a88947182b9", "https://www.indeed.com/viewjob?jk=7b924a88947182b9")</f>
        <v/>
      </c>
      <c r="F172">
        <f>HYPERLINK("https://www.amazon.jobs/jobs/3106497/sr-applied-scientist-spb-advertiser-guidance?cmpid=DA_INAD200785B", "https://www.amazon.jobs/jobs/3106497/sr-applied-scientist-spb-advertiser-guidance?cmpid=DA_INAD200785B")</f>
        <v/>
      </c>
      <c r="G172" t="inlineStr">
        <is>
          <t>Seattle, WA, US</t>
        </is>
      </c>
      <c r="H172" s="3" t="n">
        <v>45939</v>
      </c>
      <c r="I17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in-88af63c17d753625</t>
        </is>
      </c>
      <c r="B173" t="inlineStr">
        <is>
          <t>Applied Scientist</t>
        </is>
      </c>
      <c r="C173" t="inlineStr">
        <is>
          <t>Amazon.com</t>
        </is>
      </c>
      <c r="D173" t="inlineStr">
        <is>
          <t>indeed</t>
        </is>
      </c>
      <c r="E173">
        <f>HYPERLINK("https://www.indeed.com/viewjob?jk=88af63c17d753625", "https://www.indeed.com/viewjob?jk=88af63c17d753625")</f>
        <v/>
      </c>
      <c r="F173">
        <f>HYPERLINK("https://www.amazon.jobs/jobs/3106501/applied-scientist?cmpid=DA_INAD200785B", "https://www.amazon.jobs/jobs/3106501/applied-scientist?cmpid=DA_INAD200785B")</f>
        <v/>
      </c>
      <c r="G173" t="inlineStr">
        <is>
          <t>Palo Alto, CA, US</t>
        </is>
      </c>
      <c r="H173" s="3" t="n">
        <v>45939</v>
      </c>
      <c r="I17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in-5531aa62975a3bde</t>
        </is>
      </c>
      <c r="B174" t="inlineStr">
        <is>
          <t>Applied Scientist</t>
        </is>
      </c>
      <c r="C174" t="inlineStr">
        <is>
          <t>Amazon.com</t>
        </is>
      </c>
      <c r="D174" t="inlineStr">
        <is>
          <t>indeed</t>
        </is>
      </c>
      <c r="E174">
        <f>HYPERLINK("https://www.indeed.com/viewjob?jk=5531aa62975a3bde", "https://www.indeed.com/viewjob?jk=5531aa62975a3bde")</f>
        <v/>
      </c>
      <c r="F174">
        <f>HYPERLINK("https://www.amazon.jobs/jobs/3106501/applied-scientist?cmpid=DA_INAD200785B", "https://www.amazon.jobs/jobs/3106501/applied-scientist?cmpid=DA_INAD200785B")</f>
        <v/>
      </c>
      <c r="G174" t="inlineStr">
        <is>
          <t>Seattle, WA, US</t>
        </is>
      </c>
      <c r="H174" s="3" t="n">
        <v>45939</v>
      </c>
      <c r="I17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in-769f17d365da9a87</t>
        </is>
      </c>
      <c r="B175" t="inlineStr">
        <is>
          <t>Sr. Applied Scientist, SPB Advertiser Guidance</t>
        </is>
      </c>
      <c r="C175" t="inlineStr">
        <is>
          <t>Amazon.com</t>
        </is>
      </c>
      <c r="D175" t="inlineStr">
        <is>
          <t>indeed</t>
        </is>
      </c>
      <c r="E175">
        <f>HYPERLINK("https://www.indeed.com/viewjob?jk=769f17d365da9a87", "https://www.indeed.com/viewjob?jk=769f17d365da9a87")</f>
        <v/>
      </c>
      <c r="F175">
        <f>HYPERLINK("https://www.amazon.jobs/jobs/3106497/sr-applied-scientist-spb-advertiser-guidance?cmpid=DA_INAD200785B", "https://www.amazon.jobs/jobs/3106497/sr-applied-scientist-spb-advertiser-guidance?cmpid=DA_INAD200785B")</f>
        <v/>
      </c>
      <c r="G175" t="inlineStr">
        <is>
          <t>New York, NY, US</t>
        </is>
      </c>
      <c r="H175" s="3" t="n">
        <v>45939</v>
      </c>
      <c r="I17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in-d2e62538dfb2c7b7</t>
        </is>
      </c>
      <c r="B176" t="inlineStr">
        <is>
          <t>Applied Scientist</t>
        </is>
      </c>
      <c r="C176" t="inlineStr">
        <is>
          <t>Amazon.com</t>
        </is>
      </c>
      <c r="D176" t="inlineStr">
        <is>
          <t>indeed</t>
        </is>
      </c>
      <c r="E176">
        <f>HYPERLINK("https://www.indeed.com/viewjob?jk=d2e62538dfb2c7b7", "https://www.indeed.com/viewjob?jk=d2e62538dfb2c7b7")</f>
        <v/>
      </c>
      <c r="F176">
        <f>HYPERLINK("https://www.amazon.jobs/jobs/3106501/applied-scientist?cmpid=DA_INAD200785B", "https://www.amazon.jobs/jobs/3106501/applied-scientist?cmpid=DA_INAD200785B")</f>
        <v/>
      </c>
      <c r="G176" t="inlineStr">
        <is>
          <t>New York, NY, US</t>
        </is>
      </c>
      <c r="H176" s="3" t="n">
        <v>45939</v>
      </c>
      <c r="I17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in-a2abee62c2e2a903</t>
        </is>
      </c>
      <c r="B177" t="inlineStr">
        <is>
          <t>Sr. Applied Scientist, SPB Advertiser Guidance</t>
        </is>
      </c>
      <c r="C177" t="inlineStr">
        <is>
          <t>Amazon.com</t>
        </is>
      </c>
      <c r="D177" t="inlineStr">
        <is>
          <t>indeed</t>
        </is>
      </c>
      <c r="E177">
        <f>HYPERLINK("https://www.indeed.com/viewjob?jk=a2abee62c2e2a903", "https://www.indeed.com/viewjob?jk=a2abee62c2e2a903")</f>
        <v/>
      </c>
      <c r="F177">
        <f>HYPERLINK("https://www.amazon.jobs/jobs/3106497/sr-applied-scientist-spb-advertiser-guidance?cmpid=DA_INAD200785B", "https://www.amazon.jobs/jobs/3106497/sr-applied-scientist-spb-advertiser-guidance?cmpid=DA_INAD200785B")</f>
        <v/>
      </c>
      <c r="G177" t="inlineStr">
        <is>
          <t>Palo Alto, CA, US</t>
        </is>
      </c>
      <c r="H177" s="3" t="n">
        <v>45939</v>
      </c>
      <c r="I17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in-39fa67a712a2700e</t>
        </is>
      </c>
      <c r="B178" t="inlineStr">
        <is>
          <t>Applied Scientist II, Prime Video - Personalization and Discovery Science, Personalization and Discovery Science</t>
        </is>
      </c>
      <c r="C178" t="inlineStr">
        <is>
          <t>Amazon.com</t>
        </is>
      </c>
      <c r="D178" t="inlineStr">
        <is>
          <t>indeed</t>
        </is>
      </c>
      <c r="E178">
        <f>HYPERLINK("https://www.indeed.com/viewjob?jk=39fa67a712a2700e", "https://www.indeed.com/viewjob?jk=39fa67a712a2700e")</f>
        <v/>
      </c>
      <c r="F178">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78" t="inlineStr">
        <is>
          <t>New York, NY, US</t>
        </is>
      </c>
      <c r="H178" s="3" t="n">
        <v>45930</v>
      </c>
      <c r="I1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in-607257dc8c570710</t>
        </is>
      </c>
      <c r="B179" t="inlineStr">
        <is>
          <t>Applied Scientist II, Prime Video - Personalization and Discovery Science, Personalization and Discovery Science</t>
        </is>
      </c>
      <c r="C179" t="inlineStr">
        <is>
          <t>Amazon.com</t>
        </is>
      </c>
      <c r="D179" t="inlineStr">
        <is>
          <t>indeed</t>
        </is>
      </c>
      <c r="E179">
        <f>HYPERLINK("https://www.indeed.com/viewjob?jk=607257dc8c570710", "https://www.indeed.com/viewjob?jk=607257dc8c570710")</f>
        <v/>
      </c>
      <c r="F179">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79" t="inlineStr">
        <is>
          <t>Seattle, WA, US</t>
        </is>
      </c>
      <c r="H179" s="3" t="n">
        <v>45930</v>
      </c>
      <c r="I1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in-a894cd562406ea1e</t>
        </is>
      </c>
      <c r="B180" t="inlineStr">
        <is>
          <t>Applied Scientist II, Prime Video - Personalization and Discovery Science, Personalization and Discovery Science</t>
        </is>
      </c>
      <c r="C180" t="inlineStr">
        <is>
          <t>Amazon.com</t>
        </is>
      </c>
      <c r="D180" t="inlineStr">
        <is>
          <t>indeed</t>
        </is>
      </c>
      <c r="E180">
        <f>HYPERLINK("https://www.indeed.com/viewjob?jk=a894cd562406ea1e", "https://www.indeed.com/viewjob?jk=a894cd562406ea1e")</f>
        <v/>
      </c>
      <c r="F180">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80" t="inlineStr">
        <is>
          <t>Sunnyvale, CA, US</t>
        </is>
      </c>
      <c r="H180" s="3" t="n">
        <v>45930</v>
      </c>
      <c r="I1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in-39d2060d982f85f0</t>
        </is>
      </c>
      <c r="B181" t="inlineStr">
        <is>
          <t>Applied Scientist II, Prime Video - Personalization and Discovery Science</t>
        </is>
      </c>
      <c r="C181" t="inlineStr">
        <is>
          <t>Amazon.com</t>
        </is>
      </c>
      <c r="D181" t="inlineStr">
        <is>
          <t>indeed</t>
        </is>
      </c>
      <c r="E181">
        <f>HYPERLINK("https://www.indeed.com/viewjob?jk=39d2060d982f85f0", "https://www.indeed.com/viewjob?jk=39d2060d982f85f0")</f>
        <v/>
      </c>
      <c r="F181">
        <f>HYPERLINK("https://www.amazon.jobs/jobs/3059253/applied-scientist-ii-prime-video--personalization-and-discovery-science?cmpid=DA_INAD200785B", "https://www.amazon.jobs/jobs/3059253/applied-scientist-ii-prime-video--personalization-and-discovery-science?cmpid=DA_INAD200785B")</f>
        <v/>
      </c>
      <c r="G181" t="inlineStr">
        <is>
          <t>New York, NY, US</t>
        </is>
      </c>
      <c r="H181" s="3" t="n">
        <v>45881</v>
      </c>
      <c r="I1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in-6e3706a874290413</t>
        </is>
      </c>
      <c r="B182" t="inlineStr">
        <is>
          <t>Applied Scientist II, Prime Video - Personalization and Discovery Science</t>
        </is>
      </c>
      <c r="C182" t="inlineStr">
        <is>
          <t>Amazon.com</t>
        </is>
      </c>
      <c r="D182" t="inlineStr">
        <is>
          <t>indeed</t>
        </is>
      </c>
      <c r="E182">
        <f>HYPERLINK("https://www.indeed.com/viewjob?jk=6e3706a874290413", "https://www.indeed.com/viewjob?jk=6e3706a874290413")</f>
        <v/>
      </c>
      <c r="F182">
        <f>HYPERLINK("https://www.amazon.jobs/jobs/3059253/applied-scientist-ii-prime-video--personalization-and-discovery-science?cmpid=DA_INAD200785B", "https://www.amazon.jobs/jobs/3059253/applied-scientist-ii-prime-video--personalization-and-discovery-science?cmpid=DA_INAD200785B")</f>
        <v/>
      </c>
      <c r="G182" t="inlineStr">
        <is>
          <t>Sunnyvale, CA, US</t>
        </is>
      </c>
      <c r="H182" s="3" t="n">
        <v>45881</v>
      </c>
      <c r="I1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in-71128c5d3660a57c</t>
        </is>
      </c>
      <c r="B183" t="inlineStr">
        <is>
          <t>Sr. Applied Scientist, Prime Video - Personalization and Discovery Science</t>
        </is>
      </c>
      <c r="C183" t="inlineStr">
        <is>
          <t>Amazon.com</t>
        </is>
      </c>
      <c r="D183" t="inlineStr">
        <is>
          <t>indeed</t>
        </is>
      </c>
      <c r="E183">
        <f>HYPERLINK("https://www.indeed.com/viewjob?jk=71128c5d3660a57c", "https://www.indeed.com/viewjob?jk=71128c5d3660a57c")</f>
        <v/>
      </c>
      <c r="F183">
        <f>HYPERLINK("https://www.amazon.jobs/jobs/3059256/sr-applied-scientist-prime-video--personalization-and-discovery-science?cmpid=DA_INAD200785B", "https://www.amazon.jobs/jobs/3059256/sr-applied-scientist-prime-video--personalization-and-discovery-science?cmpid=DA_INAD200785B")</f>
        <v/>
      </c>
      <c r="G183" t="inlineStr">
        <is>
          <t>Seattle, WA, US</t>
        </is>
      </c>
      <c r="H183" s="3" t="n">
        <v>45881</v>
      </c>
      <c r="I1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in-cc01c8c6bc1ec4d6</t>
        </is>
      </c>
      <c r="B184" t="inlineStr">
        <is>
          <t>Sr. Applied Scientist, Prime Video - Personalization and Discovery Science</t>
        </is>
      </c>
      <c r="C184" t="inlineStr">
        <is>
          <t>Amazon.com</t>
        </is>
      </c>
      <c r="D184" t="inlineStr">
        <is>
          <t>indeed</t>
        </is>
      </c>
      <c r="E184">
        <f>HYPERLINK("https://www.indeed.com/viewjob?jk=cc01c8c6bc1ec4d6", "https://www.indeed.com/viewjob?jk=cc01c8c6bc1ec4d6")</f>
        <v/>
      </c>
      <c r="F184">
        <f>HYPERLINK("https://www.amazon.jobs/jobs/3059256/sr-applied-scientist-prime-video--personalization-and-discovery-science?cmpid=DA_INAD200785B", "https://www.amazon.jobs/jobs/3059256/sr-applied-scientist-prime-video--personalization-and-discovery-science?cmpid=DA_INAD200785B")</f>
        <v/>
      </c>
      <c r="G184" t="inlineStr">
        <is>
          <t>New York, NY, US</t>
        </is>
      </c>
      <c r="H184" s="3" t="n">
        <v>45881</v>
      </c>
      <c r="I1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in-382a7ae521f0969f</t>
        </is>
      </c>
      <c r="B185" t="inlineStr">
        <is>
          <t>Sr. Applied Scientist, Prime Video - Personalization and Discovery Science</t>
        </is>
      </c>
      <c r="C185" t="inlineStr">
        <is>
          <t>Amazon.com</t>
        </is>
      </c>
      <c r="D185" t="inlineStr">
        <is>
          <t>indeed</t>
        </is>
      </c>
      <c r="E185">
        <f>HYPERLINK("https://www.indeed.com/viewjob?jk=382a7ae521f0969f", "https://www.indeed.com/viewjob?jk=382a7ae521f0969f")</f>
        <v/>
      </c>
      <c r="F185">
        <f>HYPERLINK("https://www.amazon.jobs/jobs/3059256/sr-applied-scientist-prime-video--personalization-and-discovery-science?cmpid=DA_INAD200785B", "https://www.amazon.jobs/jobs/3059256/sr-applied-scientist-prime-video--personalization-and-discovery-science?cmpid=DA_INAD200785B")</f>
        <v/>
      </c>
      <c r="G185" t="inlineStr">
        <is>
          <t>Sunnyvale, CA, US</t>
        </is>
      </c>
      <c r="H185" s="3" t="n">
        <v>45881</v>
      </c>
      <c r="I1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in-79b2f2ce238cffa9</t>
        </is>
      </c>
      <c r="B186" t="inlineStr">
        <is>
          <t>Applied Scientist II, Prime Video - Personalization and Discovery Science</t>
        </is>
      </c>
      <c r="C186" t="inlineStr">
        <is>
          <t>Amazon.com</t>
        </is>
      </c>
      <c r="D186" t="inlineStr">
        <is>
          <t>indeed</t>
        </is>
      </c>
      <c r="E186">
        <f>HYPERLINK("https://www.indeed.com/viewjob?jk=79b2f2ce238cffa9", "https://www.indeed.com/viewjob?jk=79b2f2ce238cffa9")</f>
        <v/>
      </c>
      <c r="F186">
        <f>HYPERLINK("https://www.amazon.jobs/jobs/3059253/applied-scientist-ii-prime-video--personalization-and-discovery-science?cmpid=DA_INAD200785B", "https://www.amazon.jobs/jobs/3059253/applied-scientist-ii-prime-video--personalization-and-discovery-science?cmpid=DA_INAD200785B")</f>
        <v/>
      </c>
      <c r="G186" t="inlineStr">
        <is>
          <t>Seattle, WA, US</t>
        </is>
      </c>
      <c r="H186" s="3" t="n">
        <v>45881</v>
      </c>
      <c r="I1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in-5260898085da0554</t>
        </is>
      </c>
      <c r="B187" t="inlineStr">
        <is>
          <t>Applied Scientist, Prime Video - Personalization and Discovery Science</t>
        </is>
      </c>
      <c r="C187" t="inlineStr">
        <is>
          <t>Amazon.com</t>
        </is>
      </c>
      <c r="D187" t="inlineStr">
        <is>
          <t>indeed</t>
        </is>
      </c>
      <c r="E187">
        <f>HYPERLINK("https://www.indeed.com/viewjob?jk=5260898085da0554", "https://www.indeed.com/viewjob?jk=5260898085da0554")</f>
        <v/>
      </c>
      <c r="F187">
        <f>HYPERLINK("https://www.amazon.jobs/jobs/3033050/applied-scientist-prime-video--personalization-and-discovery-science?cmpid=DA_INAD200785B", "https://www.amazon.jobs/jobs/3033050/applied-scientist-prime-video--personalization-and-discovery-science?cmpid=DA_INAD200785B")</f>
        <v/>
      </c>
      <c r="G187" t="inlineStr">
        <is>
          <t>Seattle, WA, US</t>
        </is>
      </c>
      <c r="H187" s="3" t="n">
        <v>45845</v>
      </c>
      <c r="I1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in-9356a1f9f2034b4c</t>
        </is>
      </c>
      <c r="B188" t="inlineStr">
        <is>
          <t>Applied Scientist, Prime Video - Personalization and Discovery Science</t>
        </is>
      </c>
      <c r="C188" t="inlineStr">
        <is>
          <t>Amazon.com</t>
        </is>
      </c>
      <c r="D188" t="inlineStr">
        <is>
          <t>indeed</t>
        </is>
      </c>
      <c r="E188">
        <f>HYPERLINK("https://www.indeed.com/viewjob?jk=9356a1f9f2034b4c", "https://www.indeed.com/viewjob?jk=9356a1f9f2034b4c")</f>
        <v/>
      </c>
      <c r="F188">
        <f>HYPERLINK("https://www.amazon.jobs/jobs/3033050/applied-scientist-prime-video--personalization-and-discovery-science?cmpid=DA_INAD200785B", "https://www.amazon.jobs/jobs/3033050/applied-scientist-prime-video--personalization-and-discovery-science?cmpid=DA_INAD200785B")</f>
        <v/>
      </c>
      <c r="G188" t="inlineStr">
        <is>
          <t>New York, NY, US</t>
        </is>
      </c>
      <c r="H188" s="3" t="n">
        <v>45845</v>
      </c>
      <c r="I1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in-ca8a8bc7b81f701b</t>
        </is>
      </c>
      <c r="B189" t="inlineStr">
        <is>
          <t>Applied Scientist, Prime Video - Personalization and Discovery Science</t>
        </is>
      </c>
      <c r="C189" t="inlineStr">
        <is>
          <t>Amazon.com</t>
        </is>
      </c>
      <c r="D189" t="inlineStr">
        <is>
          <t>indeed</t>
        </is>
      </c>
      <c r="E189">
        <f>HYPERLINK("https://www.indeed.com/viewjob?jk=ca8a8bc7b81f701b", "https://www.indeed.com/viewjob?jk=ca8a8bc7b81f701b")</f>
        <v/>
      </c>
      <c r="F189">
        <f>HYPERLINK("https://www.amazon.jobs/jobs/3033050/applied-scientist-prime-video--personalization-and-discovery-science?cmpid=DA_INAD200785B", "https://www.amazon.jobs/jobs/3033050/applied-scientist-prime-video--personalization-and-discovery-science?cmpid=DA_INAD200785B")</f>
        <v/>
      </c>
      <c r="G189" t="inlineStr">
        <is>
          <t>Sunnyvale, CA, US</t>
        </is>
      </c>
      <c r="H189" s="3" t="n">
        <v>45845</v>
      </c>
      <c r="I1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in-2d5ce3824e5f4bd9</t>
        </is>
      </c>
      <c r="B190" t="inlineStr">
        <is>
          <t>Senior Machine Learning Engineer (NYC)</t>
        </is>
      </c>
      <c r="C190" t="inlineStr">
        <is>
          <t>TWG Global AI</t>
        </is>
      </c>
      <c r="D190" t="inlineStr">
        <is>
          <t>indeed</t>
        </is>
      </c>
      <c r="E190">
        <f>HYPERLINK("https://www.indeed.com/viewjob?jk=2d5ce3824e5f4bd9", "https://www.indeed.com/viewjob?jk=2d5ce3824e5f4bd9")</f>
        <v/>
      </c>
      <c r="F190">
        <f>HYPERLINK("https://apply.workable.com/j/D755726D73", "https://apply.workable.com/j/D755726D73")</f>
        <v/>
      </c>
      <c r="G190" t="inlineStr">
        <is>
          <t>New York, NY, US</t>
        </is>
      </c>
      <c r="H190" s="3" t="n">
        <v>46060</v>
      </c>
      <c r="I190" t="inlineStr">
        <is>
          <t>At TWG Group Holdings, LLC ("TWG Global"), we drive innovation and business transformation across a range of industries, including financial services, insurance, technology, media, and sports, by leveraging data and AI as core assets. Our AI\-first, cloud\-native approach delivers real\-time intelligence and interactive business applications, empowering informed decision\-making for both customers and employees. We prioritize responsible data and AI practices, ensuring ethical standards and regulatory compliance.
Our decentralized structure enables each business unit to operate autonomously, supported by a central AI Solutions Group, while strategic partnerships with leading data and AI vendors fuel game\-changing efforts in marketing, operations, and product development. You will collaborate with management to advance our data and analytics transformation, enhance productivity, and enable agile, data\-driven decisions. By leveraging relationships with top tech startups and universities, you will help create competitive advantages and drive enterprise innovation.
At TWG Global, your contributions will support our goal of sustained growth and superior returns, as we deliver rare value and impact across our businesses.
**The Role**
As a Senior Associate, Machine Learning Engineer, you'll work alongside experienced ML engineers and data scientists to design, build, and scale machine learning systems that deliver real business value. Reporting to the Executive Director of ML Engineering, you'll gain hands\-on experience developing production\-grade pipelines, monitoring frameworks, and scalable ML applications that support mission\-critical business functions. This is a high\-growth opportunity for someone with early industry experience (or strong academic grounding) in machine learning engineering, eager to deepen their expertise in production systems and MLOps while growing within a dynamic AI team operating at the frontier of applied ML.
**Key Responsibilities:**
* Contribute to the design, development, and deployment of ML models and pipelines across business\-critical domains such as financial services and insurance.
* Support production efforts, including model packaging, integration, CI/CD deployment, and monitoring for performance, drift, and reliability.
* Collaborate with senior engineers to build internal ML engineering tools and infrastructure that improve training, testing, and observability workflows.
* Partner with Data Scientists to operationalize prototype models, ensuring they are scalable, robust, and cost\-efficient in production.
* Work with large\-scale datasets to enable feature engineering, transformation, and quality assurance within ML pipelines.
* Implement monitoring dashboards, alerts, and diagnostics for model health and system performance.
* Contribute to documentation, governance, and reproducibility practices, supporting compliance in regulated environments.
**Requirements**
**Qualifications:**
* 5\+ years of experience building and deploying machine learning models in production environments, with exposure to monitoring and diagnostics.
* Solid understanding of machine learning engineering fundamentals (pipelines, deployment, monitoring) and familiarity with data science workflows.
* Experience with MLOps tools such as MLflow, Weights \&amp; Biases, or equivalent. Exposure to observability/monitoring systems (Prometheus, Grafana, ELK, Datadog) is a plus.
* Proficiency in Python and familiarity with ML libraries (scikit\-learn, XGBoost, TensorFlow, PyTorch).
* Strong experience with data manipulation and pipelines using Pandas, NumPy, and SQL.
* Knowledge of containerized deployments (Docker, Kubernetes) and cloud ML services (AWS SageMaker, GCP Vertex AI, or Azure ML) preferred.
* Excellent problem\-solving skills, eagerness to learn, and ability to thrive in a fast\-paced, evolving environment.
* Bachelor's or Master's degree in Computer Science, Machine Learning, or a related technical field.
* Strong written and verbal communication skills, with the ability to explain technical details to both technical and business stakeholders.
**Preferred experience:**
* Hands\-on experience with Palantir platforms (Foundry, AIP, Ontology), including deploying and integrating ML solutions in enterprise ecosystems.
* Familiarity with vector databases (FAISS, Pinecone, Milvus, Weaviate) and LLM engineering workflows.
* Exposure to graph databases (Neo4j, TigerGraph) and their application in AI/ML systems.
**Benefits**
* Work at the forefront of AI/ML innovation in life insurance, annuities, and financial services.
* Drive AI transformation for some of the most sophisticated financial entities.
Competitive compensation, benefits, future equity options, and leadership opportunities.  
* 
**Position Location**
This is an on\-site position based in Manhattan in New York City.
**Compensation**
The base salary for this position is $190,000\-$200,000\. A discretionary bonus will be provided as part of the compensation package, in addition to a full range of medical, financial, and/or other benefits.
*TWG is an equal opportunity employer, and all qualified applicants will receive consideration for employment without regard to race, color, religion, gender, sexual orientation, gender identity, national origin, disability, or status as a protected veteran.*</t>
        </is>
      </c>
    </row>
    <row r="191">
      <c r="A191" t="inlineStr">
        <is>
          <t>in-397b3f7c2c4087d5</t>
        </is>
      </c>
      <c r="B191" t="inlineStr">
        <is>
          <t>Staff / VP, Machine Learning Engineer (NYC)</t>
        </is>
      </c>
      <c r="C191" t="inlineStr">
        <is>
          <t>TWG Global AI</t>
        </is>
      </c>
      <c r="D191" t="inlineStr">
        <is>
          <t>indeed</t>
        </is>
      </c>
      <c r="E191">
        <f>HYPERLINK("https://www.indeed.com/viewjob?jk=397b3f7c2c4087d5", "https://www.indeed.com/viewjob?jk=397b3f7c2c4087d5")</f>
        <v/>
      </c>
      <c r="F191">
        <f>HYPERLINK("https://apply.workable.com/j/B21D400E80", "https://apply.workable.com/j/B21D400E80")</f>
        <v/>
      </c>
      <c r="G191" t="inlineStr">
        <is>
          <t>New York, NY, US</t>
        </is>
      </c>
      <c r="H191" s="3" t="n">
        <v>46060</v>
      </c>
      <c r="I191" t="inlineStr">
        <is>
          <t>At TWG Group Holdings, LLC ("TWG Global"), we drive innovation and business transformation across a range of industries, including financial services, insurance, technology, media, and sports, by leveraging data and AI as core assets. Our AI\-first, cloud\-native approach delivers real\-time intelligence and interactive business applications, empowering informed decision\-making for both customers and employees.
We prioritize responsible data and AI practices, ensuring ethical standards and regulatory compliance. Our decentralized structure enables each business unit to operate autonomously, supported by a central AI Solutions Group, while strategic partnerships with leading data and AI vendors fuel game\-changing efforts in marketing, operations, and product development.
You will collaborate with management to advance our data and analytics transformation, enhance productivity, and enable agile, data\-driven decisions. By leveraging relationships with top tech startups and universities, you will help create competitive advantages and drive enterprise innovation.
At TWG Global, your contributions will support our goal of sustained growth and superior returns, as we deliver rare value and impact across our businesses.
**The Role**
As the Staff Machine Learning Engineer (VP) on the ML Engineering team, you will be responsible for designing, deploying, and scaling advanced ML systems that power core business functions across the enterprise. Reporting to the Executive Director of ML Engineering, you will play a critical role in building production\-grade ML infrastructure, reusable frameworks, and scalable model pipelines that deliver measurable business outcomes—ranging from cost optimization to top\-line growth. You will act as a technical thought leader and strategic partner, shaping the organization's machine learning engineering practices and fostering a culture of operational excellence, reliability, and responsible AI adoption.
**Key Responsibilities:**
* Architect and deploy ML systems and platforms that solve high\-impact business problems across regulated enterprise environments.
* Lead the development of production\-ready pipelines, including feature stores, model registries, and scalable inference services.
* Champion MLOps best practices (CI/CD for ML, model versioning, monitoring, observability) to ensure models are reliable, reproducible, and cost\-efficient.
* Partner with Data Scientists to operationalize experimental models, enabling scalability and generalizability across diverse business domains.
* Integrate emerging ML engineering techniques (e.g., LLM deployment, fine\-tuning pipelines, vector databases, RAG systems) into enterprise\-ready solutions.
* Own the design of foundational ML platforms and frameworks that serve as building blocks for downstream AI applications.
* Embed controls, governance, and auditability into ML workflows, ensuring compliance with regulatory standards and responsible AI principles.
* Collaborate with Engineering, Product, and Security teams to embed ML\-driven decision\-making into enterprise platforms and workflows.
* Define and track engineering and model performance metrics (latency, scalability, cost, accuracy) to optimize systems in production.
* Mentor and coach ML engineers, fostering technical excellence, collaboration, and innovation within the AI Science team.
**Requirements**
**Qualifications:**
* 8\+ years of experience building and deploying machine learning systems in production environments at enterprise or platform scale.
* Proven track record of leading ML engineering projects from architecture to deployment, including ownership of production\-grade systems.
* Deep expertise in ML frameworks and engineering stacks (TensorFlow, PyTorch, JAX, Ray, MLflow, Kubeflow).
* Proficiency in Python and at least one backend language (e.g., Java, Scala, Go, C\+\+).
* Strong understanding of cloud ML infrastructure (AWS SageMaker, GCP Vertex AI, Azure ML) and containerized deployments (Kubernetes, Docker).
* Hands\-on experience with data and model pipelines (feature stores, registries, distributed training, inference scaling).
* Knowledge of observability and monitoring stacks (Prometheus, Grafana, ELK, Datadog) for ML system performance.
* Experience collaborating with cross\-functional teams in regulated industries (finance, insurance, health) with compliance and governance needs.
* Exceptional communication and leadership skills, with the ability to translate complex engineering challenges into clear business outcomes.
* Master's or PhD in Computer Science, Machine Learning, or related technical discipline.
**Preferred Qualifications:**
* Hands\-on experience with Palantir platforms (Foundry, AIP, Ontology), including developing, deploying, and integrating ML solutions in enterprise ecosystems.
* Exposure to LLM and GenAI engineering (fine\-tuning, vector search, distributed inference).
* Experience optimizing GPU clusters, distributed training, or HPC environments.
* Familiarity with graph databases (e.g., Neo4j, TigerGraph) and their application in AI/ML systems.
**Benefits**
* Work at the forefront of AI/ML innovation in life insurance, annuities, and financial services.
* Drive AI transformation for some of the most sophisticated financial entities.
Competitive compensation, benefits, future equity options, and leadership opportunities.  
* 
**Position Location**
This is an onsite position based in Manhattan in New York City.
**Compensation**
The salary for this position is $290,000\-$300,0000\. A discretionary bonus will be provided as part of the compensation package, in addition to a full range of medical, financial, and/or other benefits.
*TWG is an equal opportunity employer, and all qualified applicants will receive consideration for employment without regard to race, color, religion, gender, sexual orientation, gender identity, national origin, disability, or status as a protected veteran.*</t>
        </is>
      </c>
    </row>
    <row r="192">
      <c r="A192" t="inlineStr">
        <is>
          <t>in-d4ba992bbf067573</t>
        </is>
      </c>
      <c r="B192" t="inlineStr">
        <is>
          <t>Applied Scientist, Safety ML</t>
        </is>
      </c>
      <c r="C192" t="inlineStr">
        <is>
          <t>Amazon.com</t>
        </is>
      </c>
      <c r="D192" t="inlineStr">
        <is>
          <t>indeed</t>
        </is>
      </c>
      <c r="E192">
        <f>HYPERLINK("https://www.indeed.com/viewjob?jk=d4ba992bbf067573", "https://www.indeed.com/viewjob?jk=d4ba992bbf067573")</f>
        <v/>
      </c>
      <c r="F192">
        <f>HYPERLINK("https://www.amazon.jobs/jobs/3161224/applied-scientist-safety-ml?cmpid=DA_INAD200785B", "https://www.amazon.jobs/jobs/3161224/applied-scientist-safety-ml?cmpid=DA_INAD200785B")</f>
        <v/>
      </c>
      <c r="G192" t="inlineStr">
        <is>
          <t>Seattle, WA, US</t>
        </is>
      </c>
      <c r="H192" s="3" t="n">
        <v>46037</v>
      </c>
      <c r="I19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93">
      <c r="A193" t="inlineStr">
        <is>
          <t>in-e384d5a6ef117164</t>
        </is>
      </c>
      <c r="B193" t="inlineStr">
        <is>
          <t>Applied Scientist, Safety ML</t>
        </is>
      </c>
      <c r="C193" t="inlineStr">
        <is>
          <t>Amazon.com</t>
        </is>
      </c>
      <c r="D193" t="inlineStr">
        <is>
          <t>indeed</t>
        </is>
      </c>
      <c r="E193">
        <f>HYPERLINK("https://www.indeed.com/viewjob?jk=e384d5a6ef117164", "https://www.indeed.com/viewjob?jk=e384d5a6ef117164")</f>
        <v/>
      </c>
      <c r="F193">
        <f>HYPERLINK("https://www.amazon.jobs/jobs/3161224/applied-scientist-safety-ml?cmpid=DA_INAD200785B", "https://www.amazon.jobs/jobs/3161224/applied-scientist-safety-ml?cmpid=DA_INAD200785B")</f>
        <v/>
      </c>
      <c r="G193" t="inlineStr">
        <is>
          <t>San Francisco, CA, US</t>
        </is>
      </c>
      <c r="H193" s="3" t="n">
        <v>46037</v>
      </c>
      <c r="I19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94">
      <c r="A194" t="inlineStr">
        <is>
          <t>in-53b9186191aaf4b3</t>
        </is>
      </c>
      <c r="B194" t="inlineStr">
        <is>
          <t>Applied Scientist, LLM Code Agents, Kiro Science</t>
        </is>
      </c>
      <c r="C194" t="inlineStr">
        <is>
          <t>Amazon.com</t>
        </is>
      </c>
      <c r="D194" t="inlineStr">
        <is>
          <t>indeed</t>
        </is>
      </c>
      <c r="E194">
        <f>HYPERLINK("https://www.indeed.com/viewjob?jk=53b9186191aaf4b3", "https://www.indeed.com/viewjob?jk=53b9186191aaf4b3")</f>
        <v/>
      </c>
      <c r="F194">
        <f>HYPERLINK("https://www.amazon.jobs/jobs/3161363/applied-scientist-llm-code-agents-kiro-science?cmpid=DA_INAD200785B", "https://www.amazon.jobs/jobs/3161363/applied-scientist-llm-code-agents-kiro-science?cmpid=DA_INAD200785B")</f>
        <v/>
      </c>
      <c r="G194" t="inlineStr">
        <is>
          <t>Santa Clara, CA, US</t>
        </is>
      </c>
      <c r="H194" s="3" t="n">
        <v>46035</v>
      </c>
      <c r="I194"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95">
      <c r="A195" t="inlineStr">
        <is>
          <t>in-a1966547f6336a5d</t>
        </is>
      </c>
      <c r="B195" t="inlineStr">
        <is>
          <t>Applied Scientist, LLM Code Agents, Kiro Science</t>
        </is>
      </c>
      <c r="C195" t="inlineStr">
        <is>
          <t>Amazon.com</t>
        </is>
      </c>
      <c r="D195" t="inlineStr">
        <is>
          <t>indeed</t>
        </is>
      </c>
      <c r="E195">
        <f>HYPERLINK("https://www.indeed.com/viewjob?jk=a1966547f6336a5d", "https://www.indeed.com/viewjob?jk=a1966547f6336a5d")</f>
        <v/>
      </c>
      <c r="F195">
        <f>HYPERLINK("https://www.amazon.jobs/jobs/3161363/applied-scientist-llm-code-agents-kiro-science?cmpid=DA_INAD200785B", "https://www.amazon.jobs/jobs/3161363/applied-scientist-llm-code-agents-kiro-science?cmpid=DA_INAD200785B")</f>
        <v/>
      </c>
      <c r="G195" t="inlineStr">
        <is>
          <t>Seattle, WA, US</t>
        </is>
      </c>
      <c r="H195" s="3" t="n">
        <v>46035</v>
      </c>
      <c r="I195"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96">
      <c r="A196" t="inlineStr">
        <is>
          <t>in-f898fce87ed203ab</t>
        </is>
      </c>
      <c r="B196" t="inlineStr">
        <is>
          <t>Sr Applied Scientist, AWS Proactive Security</t>
        </is>
      </c>
      <c r="C196" t="inlineStr">
        <is>
          <t>Amazon.com</t>
        </is>
      </c>
      <c r="D196" t="inlineStr">
        <is>
          <t>indeed</t>
        </is>
      </c>
      <c r="E196">
        <f>HYPERLINK("https://www.indeed.com/viewjob?jk=f898fce87ed203ab", "https://www.indeed.com/viewjob?jk=f898fce87ed203ab")</f>
        <v/>
      </c>
      <c r="F196">
        <f>HYPERLINK("https://www.amazon.jobs/jobs/3164664/sr-applied-scientist-aws-proactive-security?cmpid=DA_INAD200785B", "https://www.amazon.jobs/jobs/3164664/sr-applied-scientist-aws-proactive-security?cmpid=DA_INAD200785B")</f>
        <v/>
      </c>
      <c r="G196" t="inlineStr">
        <is>
          <t>Herndon, VA, US</t>
        </is>
      </c>
      <c r="H196" s="3" t="n">
        <v>46030</v>
      </c>
      <c r="I196"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197">
      <c r="A197" t="inlineStr">
        <is>
          <t>in-31480ffe54d5bcae</t>
        </is>
      </c>
      <c r="B197" t="inlineStr">
        <is>
          <t>Sr Applied Scientist, AWS Proactive Security</t>
        </is>
      </c>
      <c r="C197" t="inlineStr">
        <is>
          <t>Amazon.com</t>
        </is>
      </c>
      <c r="D197" t="inlineStr">
        <is>
          <t>indeed</t>
        </is>
      </c>
      <c r="E197">
        <f>HYPERLINK("https://www.indeed.com/viewjob?jk=31480ffe54d5bcae", "https://www.indeed.com/viewjob?jk=31480ffe54d5bcae")</f>
        <v/>
      </c>
      <c r="F197">
        <f>HYPERLINK("https://www.amazon.jobs/jobs/3164664/sr-applied-scientist-aws-proactive-security?cmpid=DA_INAD200785B", "https://www.amazon.jobs/jobs/3164664/sr-applied-scientist-aws-proactive-security?cmpid=DA_INAD200785B")</f>
        <v/>
      </c>
      <c r="G197" t="inlineStr">
        <is>
          <t>Sunnyvale, CA, US</t>
        </is>
      </c>
      <c r="H197" s="3" t="n">
        <v>46030</v>
      </c>
      <c r="I197"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198">
      <c r="A198" t="inlineStr">
        <is>
          <t>in-70ab4f0a3df7ee63</t>
        </is>
      </c>
      <c r="B198" t="inlineStr">
        <is>
          <t>Sr Applied Scientist, AWS Proactive Security</t>
        </is>
      </c>
      <c r="C198" t="inlineStr">
        <is>
          <t>Amazon.com</t>
        </is>
      </c>
      <c r="D198" t="inlineStr">
        <is>
          <t>indeed</t>
        </is>
      </c>
      <c r="E198">
        <f>HYPERLINK("https://www.indeed.com/viewjob?jk=70ab4f0a3df7ee63", "https://www.indeed.com/viewjob?jk=70ab4f0a3df7ee63")</f>
        <v/>
      </c>
      <c r="F198">
        <f>HYPERLINK("https://www.amazon.jobs/jobs/3164664/sr-applied-scientist-aws-proactive-security?cmpid=DA_INAD200785B", "https://www.amazon.jobs/jobs/3164664/sr-applied-scientist-aws-proactive-security?cmpid=DA_INAD200785B")</f>
        <v/>
      </c>
      <c r="G198" t="inlineStr">
        <is>
          <t>Arlington, VA, US</t>
        </is>
      </c>
      <c r="H198" s="3" t="n">
        <v>46030</v>
      </c>
      <c r="I198"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199">
      <c r="A199" t="inlineStr">
        <is>
          <t>in-101d3ab66f882e09</t>
        </is>
      </c>
      <c r="B199" t="inlineStr">
        <is>
          <t>Applied Scientist, Last Mile Delivery Automation</t>
        </is>
      </c>
      <c r="C199" t="inlineStr">
        <is>
          <t>Amazon.com</t>
        </is>
      </c>
      <c r="D199" t="inlineStr">
        <is>
          <t>indeed</t>
        </is>
      </c>
      <c r="E199">
        <f>HYPERLINK("https://www.indeed.com/viewjob?jk=101d3ab66f882e09", "https://www.indeed.com/viewjob?jk=101d3ab66f882e09")</f>
        <v/>
      </c>
      <c r="F199">
        <f>HYPERLINK("https://www.amazon.jobs/jobs/3155354/applied-scientist-last-mile-delivery-automation?cmpid=DA_INAD200785B", "https://www.amazon.jobs/jobs/3155354/applied-scientist-last-mile-delivery-automation?cmpid=DA_INAD200785B")</f>
        <v/>
      </c>
      <c r="G199" t="inlineStr">
        <is>
          <t>Bellevue, WA, US</t>
        </is>
      </c>
      <c r="H199" s="3" t="n">
        <v>46026</v>
      </c>
      <c r="I199"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in-3ba91806a799f5c2</t>
        </is>
      </c>
      <c r="B200" t="inlineStr">
        <is>
          <t>Applied Scientist, Last Mile Delivery Automation</t>
        </is>
      </c>
      <c r="C200" t="inlineStr">
        <is>
          <t>Amazon.com</t>
        </is>
      </c>
      <c r="D200" t="inlineStr">
        <is>
          <t>indeed</t>
        </is>
      </c>
      <c r="E200">
        <f>HYPERLINK("https://www.indeed.com/viewjob?jk=3ba91806a799f5c2", "https://www.indeed.com/viewjob?jk=3ba91806a799f5c2")</f>
        <v/>
      </c>
      <c r="F200">
        <f>HYPERLINK("https://www.amazon.jobs/jobs/3155354/applied-scientist-last-mile-delivery-automation?cmpid=DA_INAD200785B", "https://www.amazon.jobs/jobs/3155354/applied-scientist-last-mile-delivery-automation?cmpid=DA_INAD200785B")</f>
        <v/>
      </c>
      <c r="G200" t="inlineStr">
        <is>
          <t>Santa Clara, CA, US</t>
        </is>
      </c>
      <c r="H200" s="3" t="n">
        <v>46026</v>
      </c>
      <c r="I200"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in-576f9650addcfa10</t>
        </is>
      </c>
      <c r="B201" t="inlineStr">
        <is>
          <t>Senior Applied Scientist, Distributed SQL</t>
        </is>
      </c>
      <c r="C201" t="inlineStr">
        <is>
          <t>Amazon Web Services</t>
        </is>
      </c>
      <c r="D201" t="inlineStr">
        <is>
          <t>indeed</t>
        </is>
      </c>
      <c r="E201">
        <f>HYPERLINK("https://www.indeed.com/viewjob?jk=576f9650addcfa10", "https://www.indeed.com/viewjob?jk=576f9650addcfa10")</f>
        <v/>
      </c>
      <c r="F201">
        <f>HYPERLINK("https://www.amazon.jobs/jobs/3148444/senior-applied-scientist-distributed-sql?cmpid=DA_INAD200785B", "https://www.amazon.jobs/jobs/3148444/senior-applied-scientist-distributed-sql?cmpid=DA_INAD200785B")</f>
        <v/>
      </c>
      <c r="G201" t="inlineStr">
        <is>
          <t>East Palo Alto, CA, US</t>
        </is>
      </c>
      <c r="H201" s="3" t="n">
        <v>46012</v>
      </c>
      <c r="I201"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202">
      <c r="A202" t="inlineStr">
        <is>
          <t>in-0b4284ca1ca20e7e</t>
        </is>
      </c>
      <c r="B202" t="inlineStr">
        <is>
          <t>Senior Applied Scientist, Distributed SQL</t>
        </is>
      </c>
      <c r="C202" t="inlineStr">
        <is>
          <t>Amazon Web Services</t>
        </is>
      </c>
      <c r="D202" t="inlineStr">
        <is>
          <t>indeed</t>
        </is>
      </c>
      <c r="E202">
        <f>HYPERLINK("https://www.indeed.com/viewjob?jk=0b4284ca1ca20e7e", "https://www.indeed.com/viewjob?jk=0b4284ca1ca20e7e")</f>
        <v/>
      </c>
      <c r="F202">
        <f>HYPERLINK("https://www.amazon.jobs/jobs/3148444/senior-applied-scientist-distributed-sql?cmpid=DA_INAD200785B", "https://www.amazon.jobs/jobs/3148444/senior-applied-scientist-distributed-sql?cmpid=DA_INAD200785B")</f>
        <v/>
      </c>
      <c r="G202" t="inlineStr">
        <is>
          <t>Seattle, WA, US</t>
        </is>
      </c>
      <c r="H202" s="3" t="n">
        <v>46012</v>
      </c>
      <c r="I202"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203">
      <c r="A203" t="inlineStr">
        <is>
          <t>in-d7e9b1ae5fee13c3</t>
        </is>
      </c>
      <c r="B203" t="inlineStr">
        <is>
          <t>Applied Scientist, GenAI Evaluation Media</t>
        </is>
      </c>
      <c r="C203" t="inlineStr">
        <is>
          <t>Amazon.com</t>
        </is>
      </c>
      <c r="D203" t="inlineStr">
        <is>
          <t>indeed</t>
        </is>
      </c>
      <c r="E203">
        <f>HYPERLINK("https://www.indeed.com/viewjob?jk=d7e9b1ae5fee13c3", "https://www.indeed.com/viewjob?jk=d7e9b1ae5fee13c3")</f>
        <v/>
      </c>
      <c r="F203">
        <f>HYPERLINK("https://www.amazon.jobs/jobs/3159215/applied-scientist-genai-evaluation-media?cmpid=DA_INAD200785B", "https://www.amazon.jobs/jobs/3159215/applied-scientist-genai-evaluation-media?cmpid=DA_INAD200785B")</f>
        <v/>
      </c>
      <c r="G203" t="inlineStr">
        <is>
          <t>Sunnyvale, CA, US</t>
        </is>
      </c>
      <c r="H203" s="3" t="n">
        <v>46006</v>
      </c>
      <c r="I203" t="inlineStr">
        <is>
          <t>**DESCRIPTION**
---------------
We are seeking an Applied Scientist to join our Generate AI Visual Media \- Core Experiences Science team. This organization drives significant business value by revolutionizing how customers interact with product imagery and videos across Amazon. Working at the intersection of Computer Vision and Generative AI, you will help customers make confident purchase decisions through optimized visual content. Our goal is to transform shopping into a personalized journey of inspiration, discovery, and evaluation by helping customers evaluate how products will fit and flatter their unique self before they ship. In this role, you will be responsible for building scalable computer vision and machine learning (CVML) models, and automating their application and expansion to power customer\-facing features.  
We are seeking domain expertise specifically in 3D Generative AI and Inverse Rendering. Relevant topics include Neural Fields, Implicit 3D Representations, NeRFs, Differentiable Rendering/Simulation, and Physically Based Rendering (PBR) Materials. We expect strong expertise at the intersection of Computer Graphics, Computer Vision, and Deep Learning. An inclination towards Generative AI, such as GANs, VQ\-VAE/GAN, and Diffusion Models, is essential. Additionally, experience in application\-specific domains such as Neural Avatars, Parametric Body Models, and Differentiable Rendering/Simulation will be highly advantageous.  
Key job responsibilities  
* Explore, collect, and process data
* Frame and transform ambiguous business challenges into science hypotheses. Design and implement offline and online experiments to evaluate them
* Develop prototypes to test new concepts/proposals for models and algorithms
* Design and build automated, scalable pipelines to train and deploy ML models
**BASIC QUALIFICATIONS**
------------------------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developing and implementing deep learning algorithms, particularly with respect to computer vision algorithms
* Experience in patents or publications at top\-tier peer\-reviewed conferences or journals
* Experience with popular deep learning frameworks such as Tensor Flow and PyTorch.
* Usage of generative AI tools to enhance workflow efficiency, with a willingness to learn effective prompting and evaluation practices.
* Ability to recognize opportunities where generative AI could enhance products, workflows, or customer experiences.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04">
      <c r="A204" t="inlineStr">
        <is>
          <t>in-3e5316620e671a61</t>
        </is>
      </c>
      <c r="B204" t="inlineStr">
        <is>
          <t>Applied Scientist, GenAI Evaluation Media</t>
        </is>
      </c>
      <c r="C204" t="inlineStr">
        <is>
          <t>Amazon.com</t>
        </is>
      </c>
      <c r="D204" t="inlineStr">
        <is>
          <t>indeed</t>
        </is>
      </c>
      <c r="E204">
        <f>HYPERLINK("https://www.indeed.com/viewjob?jk=3e5316620e671a61", "https://www.indeed.com/viewjob?jk=3e5316620e671a61")</f>
        <v/>
      </c>
      <c r="F204">
        <f>HYPERLINK("https://www.amazon.jobs/jobs/3159215/applied-scientist-genai-evaluation-media?cmpid=DA_INAD200785B", "https://www.amazon.jobs/jobs/3159215/applied-scientist-genai-evaluation-media?cmpid=DA_INAD200785B")</f>
        <v/>
      </c>
      <c r="G204" t="inlineStr">
        <is>
          <t>New York, NY, US</t>
        </is>
      </c>
      <c r="H204" s="3" t="n">
        <v>46006</v>
      </c>
      <c r="I204" t="inlineStr">
        <is>
          <t>**DESCRIPTION**
---------------
We are seeking an Applied Scientist to join our Generate AI Visual Media \- Core Experiences Science team. This organization drives significant business value by revolutionizing how customers interact with product imagery and videos across Amazon. Working at the intersection of Computer Vision and Generative AI, you will help customers make confident purchase decisions through optimized visual content. Our goal is to transform shopping into a personalized journey of inspiration, discovery, and evaluation by helping customers evaluate how products will fit and flatter their unique self before they ship. In this role, you will be responsible for building scalable computer vision and machine learning (CVML) models, and automating their application and expansion to power customer\-facing features.  
We are seeking domain expertise specifically in 3D Generative AI and Inverse Rendering. Relevant topics include Neural Fields, Implicit 3D Representations, NeRFs, Differentiable Rendering/Simulation, and Physically Based Rendering (PBR) Materials. We expect strong expertise at the intersection of Computer Graphics, Computer Vision, and Deep Learning. An inclination towards Generative AI, such as GANs, VQ\-VAE/GAN, and Diffusion Models, is essential. Additionally, experience in application\-specific domains such as Neural Avatars, Parametric Body Models, and Differentiable Rendering/Simulation will be highly advantageous.  
Key job responsibilities  
* Explore, collect, and process data
* Frame and transform ambiguous business challenges into science hypotheses. Design and implement offline and online experiments to evaluate them
* Develop prototypes to test new concepts/proposals for models and algorithms
* Design and build automated, scalable pipelines to train and deploy ML models
**BASIC QUALIFICATIONS**
------------------------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developing and implementing deep learning algorithms, particularly with respect to computer vision algorithms
* Experience in patents or publications at top\-tier peer\-reviewed conferences or journals
* Experience with popular deep learning frameworks such as Tensor Flow and PyTorch.
* Usage of generative AI tools to enhance workflow efficiency, with a willingness to learn effective prompting and evaluation practices.
* Ability to recognize opportunities where generative AI could enhance products, workflows, or customer experiences.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05">
      <c r="A205" t="inlineStr">
        <is>
          <t>in-98b3eb6eef0a8352</t>
        </is>
      </c>
      <c r="B205" t="inlineStr">
        <is>
          <t>Applied Scientist, GenAI Evaluation Media</t>
        </is>
      </c>
      <c r="C205" t="inlineStr">
        <is>
          <t>Amazon.com</t>
        </is>
      </c>
      <c r="D205" t="inlineStr">
        <is>
          <t>indeed</t>
        </is>
      </c>
      <c r="E205">
        <f>HYPERLINK("https://www.indeed.com/viewjob?jk=98b3eb6eef0a8352", "https://www.indeed.com/viewjob?jk=98b3eb6eef0a8352")</f>
        <v/>
      </c>
      <c r="F205">
        <f>HYPERLINK("https://www.amazon.jobs/jobs/3159215/applied-scientist-genai-evaluation-media?cmpid=DA_INAD200785B", "https://www.amazon.jobs/jobs/3159215/applied-scientist-genai-evaluation-media?cmpid=DA_INAD200785B")</f>
        <v/>
      </c>
      <c r="G205" t="inlineStr">
        <is>
          <t>Seattle, WA, US</t>
        </is>
      </c>
      <c r="H205" s="3" t="n">
        <v>46006</v>
      </c>
      <c r="I205" t="inlineStr">
        <is>
          <t>**DESCRIPTION**
---------------
We are seeking an Applied Scientist to join our Generate AI Visual Media \- Core Experiences Science team. This organization drives significant business value by revolutionizing how customers interact with product imagery and videos across Amazon. Working at the intersection of Computer Vision and Generative AI, you will help customers make confident purchase decisions through optimized visual content. Our goal is to transform shopping into a personalized journey of inspiration, discovery, and evaluation by helping customers evaluate how products will fit and flatter their unique self before they ship. In this role, you will be responsible for building scalable computer vision and machine learning (CVML) models, and automating their application and expansion to power customer\-facing features.  
We are seeking domain expertise specifically in 3D Generative AI and Inverse Rendering. Relevant topics include Neural Fields, Implicit 3D Representations, NeRFs, Differentiable Rendering/Simulation, and Physically Based Rendering (PBR) Materials. We expect strong expertise at the intersection of Computer Graphics, Computer Vision, and Deep Learning. An inclination towards Generative AI, such as GANs, VQ\-VAE/GAN, and Diffusion Models, is essential. Additionally, experience in application\-specific domains such as Neural Avatars, Parametric Body Models, and Differentiable Rendering/Simulation will be highly advantageous.  
Key job responsibilities  
* Explore, collect, and process data
* Frame and transform ambiguous business challenges into science hypotheses. Design and implement offline and online experiments to evaluate them
* Develop prototypes to test new concepts/proposals for models and algorithms
* Design and build automated, scalable pipelines to train and deploy ML models
**BASIC QUALIFICATIONS**
------------------------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developing and implementing deep learning algorithms, particularly with respect to computer vision algorithms
* Experience in patents or publications at top\-tier peer\-reviewed conferences or journals
* Experience with popular deep learning frameworks such as Tensor Flow and PyTorch.
* Usage of generative AI tools to enhance workflow efficiency, with a willingness to learn effective prompting and evaluation practices.
* Ability to recognize opportunities where generative AI could enhance products, workflows, or customer experiences.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06">
      <c r="A206" t="inlineStr">
        <is>
          <t>in-c7a2bf33f54526a8</t>
        </is>
      </c>
      <c r="B206" t="inlineStr">
        <is>
          <t>Principal Applied Scientist, Kiro Science</t>
        </is>
      </c>
      <c r="C206" t="inlineStr">
        <is>
          <t>Amazon Web Services</t>
        </is>
      </c>
      <c r="D206" t="inlineStr">
        <is>
          <t>indeed</t>
        </is>
      </c>
      <c r="E206">
        <f>HYPERLINK("https://www.indeed.com/viewjob?jk=c7a2bf33f54526a8", "https://www.indeed.com/viewjob?jk=c7a2bf33f54526a8")</f>
        <v/>
      </c>
      <c r="F206">
        <f>HYPERLINK("https://www.amazon.jobs/jobs/3161064/principal-applied-scientist-kiro-science?cmpid=DA_INAD200785B", "https://www.amazon.jobs/jobs/3161064/principal-applied-scientist-kiro-science?cmpid=DA_INAD200785B")</f>
        <v/>
      </c>
      <c r="G206" t="inlineStr">
        <is>
          <t>New York, NY, US</t>
        </is>
      </c>
      <c r="H206" s="3" t="n">
        <v>45999</v>
      </c>
      <c r="I206"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207">
      <c r="A207" t="inlineStr">
        <is>
          <t>in-cae7b62edde3ed2c</t>
        </is>
      </c>
      <c r="B207" t="inlineStr">
        <is>
          <t>Principal Applied Scientist, Kiro Science</t>
        </is>
      </c>
      <c r="C207" t="inlineStr">
        <is>
          <t>Amazon Web Services</t>
        </is>
      </c>
      <c r="D207" t="inlineStr">
        <is>
          <t>indeed</t>
        </is>
      </c>
      <c r="E207">
        <f>HYPERLINK("https://www.indeed.com/viewjob?jk=cae7b62edde3ed2c", "https://www.indeed.com/viewjob?jk=cae7b62edde3ed2c")</f>
        <v/>
      </c>
      <c r="F207">
        <f>HYPERLINK("https://www.amazon.jobs/jobs/3161064/principal-applied-scientist-kiro-science?cmpid=DA_INAD200785B", "https://www.amazon.jobs/jobs/3161064/principal-applied-scientist-kiro-science?cmpid=DA_INAD200785B")</f>
        <v/>
      </c>
      <c r="G207" t="inlineStr">
        <is>
          <t>Santa Clara, CA, US</t>
        </is>
      </c>
      <c r="H207" s="3" t="n">
        <v>45999</v>
      </c>
      <c r="I207"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208">
      <c r="A208" t="inlineStr">
        <is>
          <t>in-c7d21bd4b94141b9</t>
        </is>
      </c>
      <c r="B208" t="inlineStr">
        <is>
          <t>Sr. Machine Learning Engineer, AGIF | Finetuning</t>
        </is>
      </c>
      <c r="C208" t="inlineStr">
        <is>
          <t>Amazon.com</t>
        </is>
      </c>
      <c r="D208" t="inlineStr">
        <is>
          <t>indeed</t>
        </is>
      </c>
      <c r="E208">
        <f>HYPERLINK("https://www.indeed.com/viewjob?jk=c7d21bd4b94141b9", "https://www.indeed.com/viewjob?jk=c7d21bd4b94141b9")</f>
        <v/>
      </c>
      <c r="F208">
        <f>HYPERLINK("https://www.amazon.jobs/jobs/3145989/sr-machine-learning-engineer-agif--finetuning?cmpid=DA_INAD200785B", "https://www.amazon.jobs/jobs/3145989/sr-machine-learning-engineer-agif--finetuning?cmpid=DA_INAD200785B")</f>
        <v/>
      </c>
      <c r="G208" t="inlineStr">
        <is>
          <t>New York, NY, US</t>
        </is>
      </c>
      <c r="H208" s="3" t="n">
        <v>45984</v>
      </c>
      <c r="I208"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in-de9f53b7928aefb2</t>
        </is>
      </c>
      <c r="B209" t="inlineStr">
        <is>
          <t>Sr. Machine Learning Engineer, AGIF | Finetuning</t>
        </is>
      </c>
      <c r="C209" t="inlineStr">
        <is>
          <t>Amazon.com</t>
        </is>
      </c>
      <c r="D209" t="inlineStr">
        <is>
          <t>indeed</t>
        </is>
      </c>
      <c r="E209">
        <f>HYPERLINK("https://www.indeed.com/viewjob?jk=de9f53b7928aefb2", "https://www.indeed.com/viewjob?jk=de9f53b7928aefb2")</f>
        <v/>
      </c>
      <c r="F209">
        <f>HYPERLINK("https://www.amazon.jobs/jobs/3145989/sr-machine-learning-engineer-agif--finetuning?cmpid=DA_INAD200785B", "https://www.amazon.jobs/jobs/3145989/sr-machine-learning-engineer-agif--finetuning?cmpid=DA_INAD200785B")</f>
        <v/>
      </c>
      <c r="G209" t="inlineStr">
        <is>
          <t>Sunnyvale, CA, US</t>
        </is>
      </c>
      <c r="H209" s="3" t="n">
        <v>45984</v>
      </c>
      <c r="I209"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in-82b7d2f42e2468a1</t>
        </is>
      </c>
      <c r="B210" t="inlineStr">
        <is>
          <t>Sr. Machine Learning Engineer, AGIF | Finetuning</t>
        </is>
      </c>
      <c r="C210" t="inlineStr">
        <is>
          <t>Amazon.com</t>
        </is>
      </c>
      <c r="D210" t="inlineStr">
        <is>
          <t>indeed</t>
        </is>
      </c>
      <c r="E210">
        <f>HYPERLINK("https://www.indeed.com/viewjob?jk=82b7d2f42e2468a1", "https://www.indeed.com/viewjob?jk=82b7d2f42e2468a1")</f>
        <v/>
      </c>
      <c r="F210">
        <f>HYPERLINK("https://www.amazon.jobs/jobs/3145989/sr-machine-learning-engineer-agif--finetuning?cmpid=DA_INAD200785B", "https://www.amazon.jobs/jobs/3145989/sr-machine-learning-engineer-agif--finetuning?cmpid=DA_INAD200785B")</f>
        <v/>
      </c>
      <c r="G210" t="inlineStr">
        <is>
          <t>Bellevue, WA, US</t>
        </is>
      </c>
      <c r="H210" s="3" t="n">
        <v>45984</v>
      </c>
      <c r="I210"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in-60662ff16c89a711</t>
        </is>
      </c>
      <c r="B211" t="inlineStr">
        <is>
          <t>Principal Applied Scientist, Sponsored Products and Brands</t>
        </is>
      </c>
      <c r="C211" t="inlineStr">
        <is>
          <t>Amazon.com</t>
        </is>
      </c>
      <c r="D211" t="inlineStr">
        <is>
          <t>indeed</t>
        </is>
      </c>
      <c r="E211">
        <f>HYPERLINK("https://www.indeed.com/viewjob?jk=60662ff16c89a711", "https://www.indeed.com/viewjob?jk=60662ff16c89a711")</f>
        <v/>
      </c>
      <c r="F211">
        <f>HYPERLINK("https://www.amazon.jobs/jobs/3130855/principal-applied-scientist-sponsored-products-and-brands?cmpid=DA_INAD200785B", "https://www.amazon.jobs/jobs/3130855/principal-applied-scientist-sponsored-products-and-brands?cmpid=DA_INAD200785B")</f>
        <v/>
      </c>
      <c r="G211" t="inlineStr">
        <is>
          <t>Seattle, WA, US</t>
        </is>
      </c>
      <c r="H211" s="3" t="n">
        <v>45979</v>
      </c>
      <c r="I211"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in-09494da86d447cfe</t>
        </is>
      </c>
      <c r="B212" t="inlineStr">
        <is>
          <t>Principal Applied Scientist, Sponsored Products and Brands</t>
        </is>
      </c>
      <c r="C212" t="inlineStr">
        <is>
          <t>Amazon.com</t>
        </is>
      </c>
      <c r="D212" t="inlineStr">
        <is>
          <t>indeed</t>
        </is>
      </c>
      <c r="E212">
        <f>HYPERLINK("https://www.indeed.com/viewjob?jk=09494da86d447cfe", "https://www.indeed.com/viewjob?jk=09494da86d447cfe")</f>
        <v/>
      </c>
      <c r="F212">
        <f>HYPERLINK("https://www.amazon.jobs/jobs/3130855/principal-applied-scientist-sponsored-products-and-brands?cmpid=DA_INAD200785B", "https://www.amazon.jobs/jobs/3130855/principal-applied-scientist-sponsored-products-and-brands?cmpid=DA_INAD200785B")</f>
        <v/>
      </c>
      <c r="G212" t="inlineStr">
        <is>
          <t>New York, NY, US</t>
        </is>
      </c>
      <c r="H212" s="3" t="n">
        <v>45979</v>
      </c>
      <c r="I21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in-b895cbcc2e9c7ebc</t>
        </is>
      </c>
      <c r="B213" t="inlineStr">
        <is>
          <t>Applied Scientist, Personalization, DTx Science</t>
        </is>
      </c>
      <c r="C213" t="inlineStr">
        <is>
          <t>Amazon.com</t>
        </is>
      </c>
      <c r="D213" t="inlineStr">
        <is>
          <t>indeed</t>
        </is>
      </c>
      <c r="E213">
        <f>HYPERLINK("https://www.indeed.com/viewjob?jk=b895cbcc2e9c7ebc", "https://www.indeed.com/viewjob?jk=b895cbcc2e9c7ebc")</f>
        <v/>
      </c>
      <c r="F213">
        <f>HYPERLINK("https://www.amazon.jobs/jobs/3136853/applied-scientist-personalization-dtx-science?cmpid=DA_INAD200785B", "https://www.amazon.jobs/jobs/3136853/applied-scientist-personalization-dtx-science?cmpid=DA_INAD200785B")</f>
        <v/>
      </c>
      <c r="G213" t="inlineStr">
        <is>
          <t>New York, NY, US</t>
        </is>
      </c>
      <c r="H213" s="3" t="n">
        <v>45979</v>
      </c>
      <c r="I213"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14">
      <c r="A214" t="inlineStr">
        <is>
          <t>in-d9b2ec659ecd9b81</t>
        </is>
      </c>
      <c r="B214" t="inlineStr">
        <is>
          <t>Applied Scientist, Personalization, DTx Science</t>
        </is>
      </c>
      <c r="C214" t="inlineStr">
        <is>
          <t>Amazon.com</t>
        </is>
      </c>
      <c r="D214" t="inlineStr">
        <is>
          <t>indeed</t>
        </is>
      </c>
      <c r="E214">
        <f>HYPERLINK("https://www.indeed.com/viewjob?jk=d9b2ec659ecd9b81", "https://www.indeed.com/viewjob?jk=d9b2ec659ecd9b81")</f>
        <v/>
      </c>
      <c r="F214">
        <f>HYPERLINK("https://www.amazon.jobs/jobs/3136853/applied-scientist-personalization-dtx-science?cmpid=DA_INAD200785B", "https://www.amazon.jobs/jobs/3136853/applied-scientist-personalization-dtx-science?cmpid=DA_INAD200785B")</f>
        <v/>
      </c>
      <c r="G214" t="inlineStr">
        <is>
          <t>Seattle, WA, US</t>
        </is>
      </c>
      <c r="H214" s="3" t="n">
        <v>45979</v>
      </c>
      <c r="I214"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15">
      <c r="A215" t="inlineStr">
        <is>
          <t>in-c95bcef751435f34</t>
        </is>
      </c>
      <c r="B215" t="inlineStr">
        <is>
          <t>Senior Applied Scientist, Sponsored Products and Brands</t>
        </is>
      </c>
      <c r="C215" t="inlineStr">
        <is>
          <t>Amazon.com</t>
        </is>
      </c>
      <c r="D215" t="inlineStr">
        <is>
          <t>indeed</t>
        </is>
      </c>
      <c r="E215">
        <f>HYPERLINK("https://www.indeed.com/viewjob?jk=c95bcef751435f34", "https://www.indeed.com/viewjob?jk=c95bcef751435f34")</f>
        <v/>
      </c>
      <c r="F215">
        <f>HYPERLINK("https://www.amazon.jobs/jobs/3130062/senior-applied-scientist-sponsored-products-and-brands?cmpid=DA_INAD200785B", "https://www.amazon.jobs/jobs/3130062/senior-applied-scientist-sponsored-products-and-brands?cmpid=DA_INAD200785B")</f>
        <v/>
      </c>
      <c r="G215" t="inlineStr">
        <is>
          <t>New York, NY, US</t>
        </is>
      </c>
      <c r="H215" s="3" t="n">
        <v>45979</v>
      </c>
      <c r="I215"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216">
      <c r="A216" t="inlineStr">
        <is>
          <t>in-04dc6bdeae12c692</t>
        </is>
      </c>
      <c r="B216" t="inlineStr">
        <is>
          <t>Senior Applied Scientist, Sponsored Products and Brands</t>
        </is>
      </c>
      <c r="C216" t="inlineStr">
        <is>
          <t>Amazon.com</t>
        </is>
      </c>
      <c r="D216" t="inlineStr">
        <is>
          <t>indeed</t>
        </is>
      </c>
      <c r="E216">
        <f>HYPERLINK("https://www.indeed.com/viewjob?jk=04dc6bdeae12c692", "https://www.indeed.com/viewjob?jk=04dc6bdeae12c692")</f>
        <v/>
      </c>
      <c r="F216">
        <f>HYPERLINK("https://www.amazon.jobs/jobs/3130062/senior-applied-scientist-sponsored-products-and-brands?cmpid=DA_INAD200785B", "https://www.amazon.jobs/jobs/3130062/senior-applied-scientist-sponsored-products-and-brands?cmpid=DA_INAD200785B")</f>
        <v/>
      </c>
      <c r="G216" t="inlineStr">
        <is>
          <t>Seattle, WA, US</t>
        </is>
      </c>
      <c r="H216" s="3" t="n">
        <v>45979</v>
      </c>
      <c r="I216"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217">
      <c r="A217" t="inlineStr">
        <is>
          <t>in-76f1e0b5a750a3e1</t>
        </is>
      </c>
      <c r="B217" t="inlineStr">
        <is>
          <t>Applied Scientist II, Prime Video Personalization and Discovery Science</t>
        </is>
      </c>
      <c r="C217" t="inlineStr">
        <is>
          <t>Amazon.com</t>
        </is>
      </c>
      <c r="D217" t="inlineStr">
        <is>
          <t>indeed</t>
        </is>
      </c>
      <c r="E217">
        <f>HYPERLINK("https://www.indeed.com/viewjob?jk=76f1e0b5a750a3e1", "https://www.indeed.com/viewjob?jk=76f1e0b5a750a3e1")</f>
        <v/>
      </c>
      <c r="F217">
        <f>HYPERLINK("https://www.amazon.jobs/jobs/3129475/applied-scientist-ii-prime-video-personalization-and-discovery-science?cmpid=DA_INAD200785B", "https://www.amazon.jobs/jobs/3129475/applied-scientist-ii-prime-video-personalization-and-discovery-science?cmpid=DA_INAD200785B")</f>
        <v/>
      </c>
      <c r="G217" t="inlineStr">
        <is>
          <t>Sunnyvale, CA, US</t>
        </is>
      </c>
      <c r="H217" s="3" t="n">
        <v>45978</v>
      </c>
      <c r="I2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18">
      <c r="A218" t="inlineStr">
        <is>
          <t>in-061349606980c011</t>
        </is>
      </c>
      <c r="B218" t="inlineStr">
        <is>
          <t>Applied Scientist II, Prime Video Personalization and Discovery Science</t>
        </is>
      </c>
      <c r="C218" t="inlineStr">
        <is>
          <t>Amazon.com</t>
        </is>
      </c>
      <c r="D218" t="inlineStr">
        <is>
          <t>indeed</t>
        </is>
      </c>
      <c r="E218">
        <f>HYPERLINK("https://www.indeed.com/viewjob?jk=061349606980c011", "https://www.indeed.com/viewjob?jk=061349606980c011")</f>
        <v/>
      </c>
      <c r="F218">
        <f>HYPERLINK("https://www.amazon.jobs/jobs/3129475/applied-scientist-ii-prime-video-personalization-and-discovery-science?cmpid=DA_INAD200785B", "https://www.amazon.jobs/jobs/3129475/applied-scientist-ii-prime-video-personalization-and-discovery-science?cmpid=DA_INAD200785B")</f>
        <v/>
      </c>
      <c r="G218" t="inlineStr">
        <is>
          <t>Seattle, WA, US</t>
        </is>
      </c>
      <c r="H218" s="3" t="n">
        <v>45978</v>
      </c>
      <c r="I2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19">
      <c r="A219" t="inlineStr">
        <is>
          <t>in-58de0f1ada046384</t>
        </is>
      </c>
      <c r="B219" t="inlineStr">
        <is>
          <t>Principal Applied Scientist, Amazon AGI</t>
        </is>
      </c>
      <c r="C219" t="inlineStr">
        <is>
          <t>Amazon.com</t>
        </is>
      </c>
      <c r="D219" t="inlineStr">
        <is>
          <t>indeed</t>
        </is>
      </c>
      <c r="E219">
        <f>HYPERLINK("https://www.indeed.com/viewjob?jk=58de0f1ada046384", "https://www.indeed.com/viewjob?jk=58de0f1ada046384")</f>
        <v/>
      </c>
      <c r="F219">
        <f>HYPERLINK("https://www.amazon.jobs/jobs/3128808/principal-applied-scientist-amazon-agi?cmpid=DA_INAD200785B", "https://www.amazon.jobs/jobs/3128808/principal-applied-scientist-amazon-agi?cmpid=DA_INAD200785B")</f>
        <v/>
      </c>
      <c r="G219" t="inlineStr">
        <is>
          <t>San Francisco, CA, US</t>
        </is>
      </c>
      <c r="H219" s="3" t="n">
        <v>45964</v>
      </c>
      <c r="I219"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in-f30bd55b4e536f1a</t>
        </is>
      </c>
      <c r="B220" t="inlineStr">
        <is>
          <t>Principal Applied Scientist, Amazon AGI</t>
        </is>
      </c>
      <c r="C220" t="inlineStr">
        <is>
          <t>Amazon.com</t>
        </is>
      </c>
      <c r="D220" t="inlineStr">
        <is>
          <t>indeed</t>
        </is>
      </c>
      <c r="E220">
        <f>HYPERLINK("https://www.indeed.com/viewjob?jk=f30bd55b4e536f1a", "https://www.indeed.com/viewjob?jk=f30bd55b4e536f1a")</f>
        <v/>
      </c>
      <c r="F220">
        <f>HYPERLINK("https://www.amazon.jobs/jobs/3128808/principal-applied-scientist-amazon-agi?cmpid=DA_INAD200785B", "https://www.amazon.jobs/jobs/3128808/principal-applied-scientist-amazon-agi?cmpid=DA_INAD200785B")</f>
        <v/>
      </c>
      <c r="G220" t="inlineStr">
        <is>
          <t>Boston, MA, US</t>
        </is>
      </c>
      <c r="H220" s="3" t="n">
        <v>45964</v>
      </c>
      <c r="I220"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in-f2b6f2e07d9b6c05</t>
        </is>
      </c>
      <c r="B221" t="inlineStr">
        <is>
          <t>Applied Scientist, AWS Agentic AI</t>
        </is>
      </c>
      <c r="C221" t="inlineStr">
        <is>
          <t>Amazon Web Services</t>
        </is>
      </c>
      <c r="D221" t="inlineStr">
        <is>
          <t>indeed</t>
        </is>
      </c>
      <c r="E221">
        <f>HYPERLINK("https://www.indeed.com/viewjob?jk=f2b6f2e07d9b6c05", "https://www.indeed.com/viewjob?jk=f2b6f2e07d9b6c05")</f>
        <v/>
      </c>
      <c r="F221">
        <f>HYPERLINK("https://www.amazon.jobs/jobs/3141517/applied-scientist-aws-agentic-ai-?cmpid=DA_INAD200785B", "https://www.amazon.jobs/jobs/3141517/applied-scientist-aws-agentic-ai-?cmpid=DA_INAD200785B")</f>
        <v/>
      </c>
      <c r="G221" t="inlineStr">
        <is>
          <t>Santa Clara, CA, US</t>
        </is>
      </c>
      <c r="H221" s="3" t="n">
        <v>45962</v>
      </c>
      <c r="I22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in-10932c7b6dfbd834</t>
        </is>
      </c>
      <c r="B222" t="inlineStr">
        <is>
          <t>Applied Scientist, AWS Agentic AI</t>
        </is>
      </c>
      <c r="C222" t="inlineStr">
        <is>
          <t>Amazon Web Services</t>
        </is>
      </c>
      <c r="D222" t="inlineStr">
        <is>
          <t>indeed</t>
        </is>
      </c>
      <c r="E222">
        <f>HYPERLINK("https://www.indeed.com/viewjob?jk=10932c7b6dfbd834", "https://www.indeed.com/viewjob?jk=10932c7b6dfbd834")</f>
        <v/>
      </c>
      <c r="F222">
        <f>HYPERLINK("https://www.amazon.jobs/jobs/3141517/applied-scientist-aws-agentic-ai-?cmpid=DA_INAD200785B", "https://www.amazon.jobs/jobs/3141517/applied-scientist-aws-agentic-ai-?cmpid=DA_INAD200785B")</f>
        <v/>
      </c>
      <c r="G222" t="inlineStr">
        <is>
          <t>New York, NY, US</t>
        </is>
      </c>
      <c r="H222" s="3" t="n">
        <v>45962</v>
      </c>
      <c r="I22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in-a95c00c10d6ba866</t>
        </is>
      </c>
      <c r="B223" t="inlineStr">
        <is>
          <t>Applied Scientist, AWS Agentic AI</t>
        </is>
      </c>
      <c r="C223" t="inlineStr">
        <is>
          <t>Amazon Web Services</t>
        </is>
      </c>
      <c r="D223" t="inlineStr">
        <is>
          <t>indeed</t>
        </is>
      </c>
      <c r="E223">
        <f>HYPERLINK("https://www.indeed.com/viewjob?jk=a95c00c10d6ba866", "https://www.indeed.com/viewjob?jk=a95c00c10d6ba866")</f>
        <v/>
      </c>
      <c r="F223">
        <f>HYPERLINK("https://www.amazon.jobs/jobs/3141517/applied-scientist-aws-agentic-ai-?cmpid=DA_INAD200785B", "https://www.amazon.jobs/jobs/3141517/applied-scientist-aws-agentic-ai-?cmpid=DA_INAD200785B")</f>
        <v/>
      </c>
      <c r="G223" t="inlineStr">
        <is>
          <t>Seattle, WA, US</t>
        </is>
      </c>
      <c r="H223" s="3" t="n">
        <v>45962</v>
      </c>
      <c r="I22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in-34cdae9c4448d48c</t>
        </is>
      </c>
      <c r="B224" t="inlineStr">
        <is>
          <t>Sr. Applied Scientist, Prime Video - Personalization and Discovery Science</t>
        </is>
      </c>
      <c r="C224" t="inlineStr">
        <is>
          <t>Amazon.com</t>
        </is>
      </c>
      <c r="D224" t="inlineStr">
        <is>
          <t>indeed</t>
        </is>
      </c>
      <c r="E224">
        <f>HYPERLINK("https://www.indeed.com/viewjob?jk=34cdae9c4448d48c", "https://www.indeed.com/viewjob?jk=34cdae9c4448d48c")</f>
        <v/>
      </c>
      <c r="F224">
        <f>HYPERLINK("https://www.amazon.jobs/jobs/3118785/sr-applied-scientist-prime-video--personalization-and-discovery-science?cmpid=DA_INAD200785B", "https://www.amazon.jobs/jobs/3118785/sr-applied-scientist-prime-video--personalization-and-discovery-science?cmpid=DA_INAD200785B")</f>
        <v/>
      </c>
      <c r="G224" t="inlineStr">
        <is>
          <t>New York, NY, US</t>
        </is>
      </c>
      <c r="H224" s="3" t="n">
        <v>45959</v>
      </c>
      <c r="I2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25">
      <c r="A225" t="inlineStr">
        <is>
          <t>in-cf7559e188a2e3fb</t>
        </is>
      </c>
      <c r="B225" t="inlineStr">
        <is>
          <t>Applied Scientist, Prime Video - Content Understanding, Localization &amp; Enrichment Team</t>
        </is>
      </c>
      <c r="C225" t="inlineStr">
        <is>
          <t>Amazon.com</t>
        </is>
      </c>
      <c r="D225" t="inlineStr">
        <is>
          <t>indeed</t>
        </is>
      </c>
      <c r="E225">
        <f>HYPERLINK("https://www.indeed.com/viewjob?jk=cf7559e188a2e3fb", "https://www.indeed.com/viewjob?jk=cf7559e188a2e3fb")</f>
        <v/>
      </c>
      <c r="F225">
        <f>HYPERLINK("https://www.amazon.jobs/jobs/3111928/applied-scientist-prime-video--content-understanding-localization--enrichment-team?cmpid=DA_INAD200785B", "https://www.amazon.jobs/jobs/3111928/applied-scientist-prime-video--content-understanding-localization--enrichment-team?cmpid=DA_INAD200785B")</f>
        <v/>
      </c>
      <c r="G225" t="inlineStr">
        <is>
          <t>San Francisco, CA, US</t>
        </is>
      </c>
      <c r="H225" s="3" t="n">
        <v>45943</v>
      </c>
      <c r="I2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226">
      <c r="A226" t="inlineStr">
        <is>
          <t>in-92e76cdb399a27c2</t>
        </is>
      </c>
      <c r="B226" t="inlineStr">
        <is>
          <t>Applied Scientist, Prime Video - Content Understanding, Localization &amp; Enrichment Team</t>
        </is>
      </c>
      <c r="C226" t="inlineStr">
        <is>
          <t>Amazon.com</t>
        </is>
      </c>
      <c r="D226" t="inlineStr">
        <is>
          <t>indeed</t>
        </is>
      </c>
      <c r="E226">
        <f>HYPERLINK("https://www.indeed.com/viewjob?jk=92e76cdb399a27c2", "https://www.indeed.com/viewjob?jk=92e76cdb399a27c2")</f>
        <v/>
      </c>
      <c r="F226">
        <f>HYPERLINK("https://www.amazon.jobs/jobs/3111928/applied-scientist-prime-video--content-understanding-localization--enrichment-team?cmpid=DA_INAD200785B", "https://www.amazon.jobs/jobs/3111928/applied-scientist-prime-video--content-understanding-localization--enrichment-team?cmpid=DA_INAD200785B")</f>
        <v/>
      </c>
      <c r="G226" t="inlineStr">
        <is>
          <t>Seattle, WA, US</t>
        </is>
      </c>
      <c r="H226" s="3" t="n">
        <v>45943</v>
      </c>
      <c r="I2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227">
      <c r="A227" t="inlineStr">
        <is>
          <t>in-1049f102482a1638</t>
        </is>
      </c>
      <c r="B227" t="inlineStr">
        <is>
          <t>Principal Applied Scientist, Advertiser Growth, Amazon Sponsored Products &amp; Brands</t>
        </is>
      </c>
      <c r="C227" t="inlineStr">
        <is>
          <t>Amazon.com</t>
        </is>
      </c>
      <c r="D227" t="inlineStr">
        <is>
          <t>indeed</t>
        </is>
      </c>
      <c r="E227">
        <f>HYPERLINK("https://www.indeed.com/viewjob?jk=1049f102482a1638", "https://www.indeed.com/viewjob?jk=1049f102482a1638")</f>
        <v/>
      </c>
      <c r="F227">
        <f>HYPERLINK("https://www.amazon.jobs/jobs/3115279/principal-applied-scientist-advertiser-growth-amazon-sponsored-products--brands?cmpid=DA_INAD200785B", "https://www.amazon.jobs/jobs/3115279/principal-applied-scientist-advertiser-growth-amazon-sponsored-products--brands?cmpid=DA_INAD200785B")</f>
        <v/>
      </c>
      <c r="G227" t="inlineStr">
        <is>
          <t>Seattle, WA, US</t>
        </is>
      </c>
      <c r="H227" s="3" t="n">
        <v>45942</v>
      </c>
      <c r="I22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in-c7ef4997f6fa7cc7</t>
        </is>
      </c>
      <c r="B228" t="inlineStr">
        <is>
          <t>Principal Applied Scientist, Advertiser Growth, Amazon Sponsored Products &amp; Brands</t>
        </is>
      </c>
      <c r="C228" t="inlineStr">
        <is>
          <t>Amazon.com</t>
        </is>
      </c>
      <c r="D228" t="inlineStr">
        <is>
          <t>indeed</t>
        </is>
      </c>
      <c r="E228">
        <f>HYPERLINK("https://www.indeed.com/viewjob?jk=c7ef4997f6fa7cc7", "https://www.indeed.com/viewjob?jk=c7ef4997f6fa7cc7")</f>
        <v/>
      </c>
      <c r="F228">
        <f>HYPERLINK("https://www.amazon.jobs/jobs/3115279/principal-applied-scientist-advertiser-growth-amazon-sponsored-products--brands?cmpid=DA_INAD200785B", "https://www.amazon.jobs/jobs/3115279/principal-applied-scientist-advertiser-growth-amazon-sponsored-products--brands?cmpid=DA_INAD200785B")</f>
        <v/>
      </c>
      <c r="G228" t="inlineStr">
        <is>
          <t>Palo Alto, CA, US</t>
        </is>
      </c>
      <c r="H228" s="3" t="n">
        <v>45942</v>
      </c>
      <c r="I22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in-6303feb2d0349035</t>
        </is>
      </c>
      <c r="B229" t="inlineStr">
        <is>
          <t>Principal Applied Scientist, Advertiser Growth, Amazon Sponsored Products &amp; Brands</t>
        </is>
      </c>
      <c r="C229" t="inlineStr">
        <is>
          <t>Amazon.com</t>
        </is>
      </c>
      <c r="D229" t="inlineStr">
        <is>
          <t>indeed</t>
        </is>
      </c>
      <c r="E229">
        <f>HYPERLINK("https://www.indeed.com/viewjob?jk=6303feb2d0349035", "https://www.indeed.com/viewjob?jk=6303feb2d0349035")</f>
        <v/>
      </c>
      <c r="F229">
        <f>HYPERLINK("https://www.amazon.jobs/jobs/3115279/principal-applied-scientist-advertiser-growth-amazon-sponsored-products--brands?cmpid=DA_INAD200785B", "https://www.amazon.jobs/jobs/3115279/principal-applied-scientist-advertiser-growth-amazon-sponsored-products--brands?cmpid=DA_INAD200785B")</f>
        <v/>
      </c>
      <c r="G229" t="inlineStr">
        <is>
          <t>New York, NY, US</t>
        </is>
      </c>
      <c r="H229" s="3" t="n">
        <v>45942</v>
      </c>
      <c r="I22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in-c985d757f2765e00</t>
        </is>
      </c>
      <c r="B230" t="inlineStr">
        <is>
          <t>Applied Scientist, Workplace Health &amp; Safety</t>
        </is>
      </c>
      <c r="C230" t="inlineStr">
        <is>
          <t>Amazon.com</t>
        </is>
      </c>
      <c r="D230" t="inlineStr">
        <is>
          <t>indeed</t>
        </is>
      </c>
      <c r="E230">
        <f>HYPERLINK("https://www.indeed.com/viewjob?jk=c985d757f2765e00", "https://www.indeed.com/viewjob?jk=c985d757f2765e00")</f>
        <v/>
      </c>
      <c r="F230">
        <f>HYPERLINK("https://www.amazon.jobs/jobs/3144886/applied-scientist-workplace-health--safety-?cmpid=DA_INAD200785B", "https://www.amazon.jobs/jobs/3144886/applied-scientist-workplace-health--safety-?cmpid=DA_INAD200785B")</f>
        <v/>
      </c>
      <c r="G230" t="inlineStr">
        <is>
          <t>Bellevue, WA, US</t>
        </is>
      </c>
      <c r="H230" s="3" t="n">
        <v>45917</v>
      </c>
      <c r="I230"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in-b718f0f278955d64</t>
        </is>
      </c>
      <c r="B231" t="inlineStr">
        <is>
          <t>Applied Scientist, Workplace Health &amp; Safety</t>
        </is>
      </c>
      <c r="C231" t="inlineStr">
        <is>
          <t>Amazon.com</t>
        </is>
      </c>
      <c r="D231" t="inlineStr">
        <is>
          <t>indeed</t>
        </is>
      </c>
      <c r="E231">
        <f>HYPERLINK("https://www.indeed.com/viewjob?jk=b718f0f278955d64", "https://www.indeed.com/viewjob?jk=b718f0f278955d64")</f>
        <v/>
      </c>
      <c r="F231">
        <f>HYPERLINK("https://www.amazon.jobs/jobs/3144886/applied-scientist-workplace-health--safety-?cmpid=DA_INAD200785B", "https://www.amazon.jobs/jobs/3144886/applied-scientist-workplace-health--safety-?cmpid=DA_INAD200785B")</f>
        <v/>
      </c>
      <c r="G231" t="inlineStr">
        <is>
          <t>Nashville, TN, US</t>
        </is>
      </c>
      <c r="H231" s="3" t="n">
        <v>45917</v>
      </c>
      <c r="I231"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in-4b6b076e1b33d592</t>
        </is>
      </c>
      <c r="B232" t="inlineStr">
        <is>
          <t>Applied Scientist II, Creative X - RAPID</t>
        </is>
      </c>
      <c r="C232" t="inlineStr">
        <is>
          <t>Amazon.com</t>
        </is>
      </c>
      <c r="D232" t="inlineStr">
        <is>
          <t>indeed</t>
        </is>
      </c>
      <c r="E232">
        <f>HYPERLINK("https://www.indeed.com/viewjob?jk=4b6b076e1b33d592", "https://www.indeed.com/viewjob?jk=4b6b076e1b33d592")</f>
        <v/>
      </c>
      <c r="F232">
        <f>HYPERLINK("https://www.amazon.jobs/jobs/3083576/applied-scientist-ii-creative-x--rapid?cmpid=DA_INAD200785B", "https://www.amazon.jobs/jobs/3083576/applied-scientist-ii-creative-x--rapid?cmpid=DA_INAD200785B")</f>
        <v/>
      </c>
      <c r="G232" t="inlineStr">
        <is>
          <t>Seattle, WA, US</t>
        </is>
      </c>
      <c r="H232" s="3" t="n">
        <v>45908</v>
      </c>
      <c r="I232"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33">
      <c r="A233" t="inlineStr">
        <is>
          <t>in-cc7f5a1a20b1367f</t>
        </is>
      </c>
      <c r="B233" t="inlineStr">
        <is>
          <t>Applied Scientist II, Creative X - RAPID</t>
        </is>
      </c>
      <c r="C233" t="inlineStr">
        <is>
          <t>Amazon.com</t>
        </is>
      </c>
      <c r="D233" t="inlineStr">
        <is>
          <t>indeed</t>
        </is>
      </c>
      <c r="E233">
        <f>HYPERLINK("https://www.indeed.com/viewjob?jk=cc7f5a1a20b1367f", "https://www.indeed.com/viewjob?jk=cc7f5a1a20b1367f")</f>
        <v/>
      </c>
      <c r="F233">
        <f>HYPERLINK("https://www.amazon.jobs/jobs/3083576/applied-scientist-ii-creative-x--rapid?cmpid=DA_INAD200785B", "https://www.amazon.jobs/jobs/3083576/applied-scientist-ii-creative-x--rapid?cmpid=DA_INAD200785B")</f>
        <v/>
      </c>
      <c r="G233" t="inlineStr">
        <is>
          <t>New York, NY, US</t>
        </is>
      </c>
      <c r="H233" s="3" t="n">
        <v>45908</v>
      </c>
      <c r="I233"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34">
      <c r="A234" t="inlineStr">
        <is>
          <t>in-35897b088c0969f0</t>
        </is>
      </c>
      <c r="B234" t="inlineStr">
        <is>
          <t>Sr. Applied Scientist, Prime Video - Personalization and Discovery Science</t>
        </is>
      </c>
      <c r="C234" t="inlineStr">
        <is>
          <t>Amazon.com</t>
        </is>
      </c>
      <c r="D234" t="inlineStr">
        <is>
          <t>indeed</t>
        </is>
      </c>
      <c r="E234">
        <f>HYPERLINK("https://www.indeed.com/viewjob?jk=35897b088c0969f0", "https://www.indeed.com/viewjob?jk=35897b088c0969f0")</f>
        <v/>
      </c>
      <c r="F234">
        <f>HYPERLINK("https://www.amazon.jobs/jobs/3084479/sr-applied-scientist-prime-video--personalization-and-discovery-science?cmpid=DA_INAD200785B", "https://www.amazon.jobs/jobs/3084479/sr-applied-scientist-prime-video--personalization-and-discovery-science?cmpid=DA_INAD200785B")</f>
        <v/>
      </c>
      <c r="G234" t="inlineStr">
        <is>
          <t>New York, NY, US</t>
        </is>
      </c>
      <c r="H234" s="3" t="n">
        <v>45896</v>
      </c>
      <c r="I2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35">
      <c r="A235" t="inlineStr">
        <is>
          <t>in-9855169679b9112b</t>
        </is>
      </c>
      <c r="B235" t="inlineStr">
        <is>
          <t>Applied Scientist II, Prime Video , Personalization and Discovery Science</t>
        </is>
      </c>
      <c r="C235" t="inlineStr">
        <is>
          <t>Amazon.com</t>
        </is>
      </c>
      <c r="D235" t="inlineStr">
        <is>
          <t>indeed</t>
        </is>
      </c>
      <c r="E235">
        <f>HYPERLINK("https://www.indeed.com/viewjob?jk=9855169679b9112b", "https://www.indeed.com/viewjob?jk=9855169679b9112b")</f>
        <v/>
      </c>
      <c r="F235">
        <f>HYPERLINK("https://www.amazon.jobs/jobs/3061303/applied-scientist-ii-prime-video--personalization-and-discovery-science?cmpid=DA_INAD200785B", "https://www.amazon.jobs/jobs/3061303/applied-scientist-ii-prime-video--personalization-and-discovery-science?cmpid=DA_INAD200785B")</f>
        <v/>
      </c>
      <c r="G235" t="inlineStr">
        <is>
          <t>New York, NY, US</t>
        </is>
      </c>
      <c r="H235" s="3" t="n">
        <v>45886</v>
      </c>
      <c r="I2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236">
      <c r="A236" t="inlineStr">
        <is>
          <t>in-16b37ebc757498a0</t>
        </is>
      </c>
      <c r="B236" t="inlineStr">
        <is>
          <t>Applied Scientist II, Prime Video , Personalization and Discovery Science</t>
        </is>
      </c>
      <c r="C236" t="inlineStr">
        <is>
          <t>Amazon.com</t>
        </is>
      </c>
      <c r="D236" t="inlineStr">
        <is>
          <t>indeed</t>
        </is>
      </c>
      <c r="E236">
        <f>HYPERLINK("https://www.indeed.com/viewjob?jk=16b37ebc757498a0", "https://www.indeed.com/viewjob?jk=16b37ebc757498a0")</f>
        <v/>
      </c>
      <c r="F236">
        <f>HYPERLINK("https://www.amazon.jobs/jobs/3061303/applied-scientist-ii-prime-video--personalization-and-discovery-science?cmpid=DA_INAD200785B", "https://www.amazon.jobs/jobs/3061303/applied-scientist-ii-prime-video--personalization-and-discovery-science?cmpid=DA_INAD200785B")</f>
        <v/>
      </c>
      <c r="G236" t="inlineStr">
        <is>
          <t>Seattle, WA, US</t>
        </is>
      </c>
      <c r="H236" s="3" t="n">
        <v>45886</v>
      </c>
      <c r="I2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237">
      <c r="A237" t="inlineStr">
        <is>
          <t>in-de23cd14248a85e8</t>
        </is>
      </c>
      <c r="B237" t="inlineStr">
        <is>
          <t>Applied Scientist II, Prime Video , Personalization and Discovery Science</t>
        </is>
      </c>
      <c r="C237" t="inlineStr">
        <is>
          <t>Amazon.com</t>
        </is>
      </c>
      <c r="D237" t="inlineStr">
        <is>
          <t>indeed</t>
        </is>
      </c>
      <c r="E237">
        <f>HYPERLINK("https://www.indeed.com/viewjob?jk=de23cd14248a85e8", "https://www.indeed.com/viewjob?jk=de23cd14248a85e8")</f>
        <v/>
      </c>
      <c r="F237">
        <f>HYPERLINK("https://www.amazon.jobs/jobs/3061303/applied-scientist-ii-prime-video--personalization-and-discovery-science?cmpid=DA_INAD200785B", "https://www.amazon.jobs/jobs/3061303/applied-scientist-ii-prime-video--personalization-and-discovery-science?cmpid=DA_INAD200785B")</f>
        <v/>
      </c>
      <c r="G237" t="inlineStr">
        <is>
          <t>Sunnyvale, CA, US</t>
        </is>
      </c>
      <c r="H237" s="3" t="n">
        <v>45886</v>
      </c>
      <c r="I2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238">
      <c r="A238" t="inlineStr">
        <is>
          <t>in-2507b01418716401</t>
        </is>
      </c>
      <c r="B238" t="inlineStr">
        <is>
          <t>Applied Scientist III, StoreGen</t>
        </is>
      </c>
      <c r="C238" t="inlineStr">
        <is>
          <t>Amazon.com</t>
        </is>
      </c>
      <c r="D238" t="inlineStr">
        <is>
          <t>indeed</t>
        </is>
      </c>
      <c r="E238">
        <f>HYPERLINK("https://www.indeed.com/viewjob?jk=2507b01418716401", "https://www.indeed.com/viewjob?jk=2507b01418716401")</f>
        <v/>
      </c>
      <c r="F238">
        <f>HYPERLINK("https://www.amazon.jobs/jobs/3065534/applied-scientist-iii-storegen?cmpid=DA_INAD200785B", "https://www.amazon.jobs/jobs/3065534/applied-scientist-iii-storegen?cmpid=DA_INAD200785B")</f>
        <v/>
      </c>
      <c r="G238" t="inlineStr">
        <is>
          <t>Seattle, WA, US</t>
        </is>
      </c>
      <c r="H238" s="3" t="n">
        <v>45868</v>
      </c>
      <c r="I238"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9">
      <c r="A239" t="inlineStr">
        <is>
          <t>in-46df7932dc275a0d</t>
        </is>
      </c>
      <c r="B239" t="inlineStr">
        <is>
          <t>Applied Scientist III, StoreGen</t>
        </is>
      </c>
      <c r="C239" t="inlineStr">
        <is>
          <t>Amazon.com</t>
        </is>
      </c>
      <c r="D239" t="inlineStr">
        <is>
          <t>indeed</t>
        </is>
      </c>
      <c r="E239">
        <f>HYPERLINK("https://www.indeed.com/viewjob?jk=46df7932dc275a0d", "https://www.indeed.com/viewjob?jk=46df7932dc275a0d")</f>
        <v/>
      </c>
      <c r="F239">
        <f>HYPERLINK("https://www.amazon.jobs/jobs/3065534/applied-scientist-iii-storegen?cmpid=DA_INAD200785B", "https://www.amazon.jobs/jobs/3065534/applied-scientist-iii-storegen?cmpid=DA_INAD200785B")</f>
        <v/>
      </c>
      <c r="G239" t="inlineStr">
        <is>
          <t>Sunnyvale, CA, US</t>
        </is>
      </c>
      <c r="H239" s="3" t="n">
        <v>45868</v>
      </c>
      <c r="I239"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0">
      <c r="A240" t="inlineStr">
        <is>
          <t>in-4835ca7527760cf8</t>
        </is>
      </c>
      <c r="B240" t="inlineStr">
        <is>
          <t>Sr. Applied Scientist, Amazon Advertising</t>
        </is>
      </c>
      <c r="C240" t="inlineStr">
        <is>
          <t>Amazon.com</t>
        </is>
      </c>
      <c r="D240" t="inlineStr">
        <is>
          <t>indeed</t>
        </is>
      </c>
      <c r="E240">
        <f>HYPERLINK("https://www.indeed.com/viewjob?jk=4835ca7527760cf8", "https://www.indeed.com/viewjob?jk=4835ca7527760cf8")</f>
        <v/>
      </c>
      <c r="F240">
        <f>HYPERLINK("https://www.amazon.jobs/jobs/3035686/sr-applied-scientist-amazon-advertising?cmpid=DA_INAD200785B", "https://www.amazon.jobs/jobs/3035686/sr-applied-scientist-amazon-advertising?cmpid=DA_INAD200785B")</f>
        <v/>
      </c>
      <c r="G240" t="inlineStr">
        <is>
          <t>West Hollywood, CA, US</t>
        </is>
      </c>
      <c r="H240" s="3" t="n">
        <v>45851</v>
      </c>
      <c r="I24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1">
      <c r="A241" t="inlineStr">
        <is>
          <t>in-619b2e9b25c733e4</t>
        </is>
      </c>
      <c r="B241" t="inlineStr">
        <is>
          <t>Sr. Applied Scientist, Amazon Advertising</t>
        </is>
      </c>
      <c r="C241" t="inlineStr">
        <is>
          <t>Amazon.com</t>
        </is>
      </c>
      <c r="D241" t="inlineStr">
        <is>
          <t>indeed</t>
        </is>
      </c>
      <c r="E241">
        <f>HYPERLINK("https://www.indeed.com/viewjob?jk=619b2e9b25c733e4", "https://www.indeed.com/viewjob?jk=619b2e9b25c733e4")</f>
        <v/>
      </c>
      <c r="F241">
        <f>HYPERLINK("https://www.amazon.jobs/jobs/3035686/sr-applied-scientist-amazon-advertising?cmpid=DA_INAD200785B", "https://www.amazon.jobs/jobs/3035686/sr-applied-scientist-amazon-advertising?cmpid=DA_INAD200785B")</f>
        <v/>
      </c>
      <c r="G241" t="inlineStr">
        <is>
          <t>Arlington, VA, US</t>
        </is>
      </c>
      <c r="H241" s="3" t="n">
        <v>45851</v>
      </c>
      <c r="I24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2">
      <c r="A242" t="inlineStr">
        <is>
          <t>in-b23592958288e775</t>
        </is>
      </c>
      <c r="B242" t="inlineStr">
        <is>
          <t>Sr. Applied Scientist, Amazon Advertising</t>
        </is>
      </c>
      <c r="C242" t="inlineStr">
        <is>
          <t>Amazon.com</t>
        </is>
      </c>
      <c r="D242" t="inlineStr">
        <is>
          <t>indeed</t>
        </is>
      </c>
      <c r="E242">
        <f>HYPERLINK("https://www.indeed.com/viewjob?jk=b23592958288e775", "https://www.indeed.com/viewjob?jk=b23592958288e775")</f>
        <v/>
      </c>
      <c r="F242">
        <f>HYPERLINK("https://www.amazon.jobs/jobs/3035686/sr-applied-scientist-amazon-advertising?cmpid=DA_INAD200785B", "https://www.amazon.jobs/jobs/3035686/sr-applied-scientist-amazon-advertising?cmpid=DA_INAD200785B")</f>
        <v/>
      </c>
      <c r="G242" t="inlineStr">
        <is>
          <t>Simi Valley, CA, US</t>
        </is>
      </c>
      <c r="H242" s="3" t="n">
        <v>45851</v>
      </c>
      <c r="I24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3">
      <c r="A243" t="inlineStr">
        <is>
          <t>in-346b051a509e2a0e</t>
        </is>
      </c>
      <c r="B243" t="inlineStr">
        <is>
          <t>Sr. Applied Scientist, Amazon Advertising</t>
        </is>
      </c>
      <c r="C243" t="inlineStr">
        <is>
          <t>Amazon.com</t>
        </is>
      </c>
      <c r="D243" t="inlineStr">
        <is>
          <t>indeed</t>
        </is>
      </c>
      <c r="E243">
        <f>HYPERLINK("https://www.indeed.com/viewjob?jk=346b051a509e2a0e", "https://www.indeed.com/viewjob?jk=346b051a509e2a0e")</f>
        <v/>
      </c>
      <c r="F243">
        <f>HYPERLINK("https://www.amazon.jobs/jobs/3035686/sr-applied-scientist-amazon-advertising?cmpid=DA_INAD200785B", "https://www.amazon.jobs/jobs/3035686/sr-applied-scientist-amazon-advertising?cmpid=DA_INAD200785B")</f>
        <v/>
      </c>
      <c r="G243" t="inlineStr">
        <is>
          <t>Los Angeles, CA, US</t>
        </is>
      </c>
      <c r="H243" s="3" t="n">
        <v>45851</v>
      </c>
      <c r="I24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4">
      <c r="A244" t="inlineStr">
        <is>
          <t>in-9efcd1d12625eb9a</t>
        </is>
      </c>
      <c r="B244" t="inlineStr">
        <is>
          <t>Sr. Applied Scientist, Amazon Advertising</t>
        </is>
      </c>
      <c r="C244" t="inlineStr">
        <is>
          <t>Amazon.com</t>
        </is>
      </c>
      <c r="D244" t="inlineStr">
        <is>
          <t>indeed</t>
        </is>
      </c>
      <c r="E244">
        <f>HYPERLINK("https://www.indeed.com/viewjob?jk=9efcd1d12625eb9a", "https://www.indeed.com/viewjob?jk=9efcd1d12625eb9a")</f>
        <v/>
      </c>
      <c r="F244">
        <f>HYPERLINK("https://www.amazon.jobs/jobs/3035686/sr-applied-scientist-amazon-advertising?cmpid=DA_INAD200785B", "https://www.amazon.jobs/jobs/3035686/sr-applied-scientist-amazon-advertising?cmpid=DA_INAD200785B")</f>
        <v/>
      </c>
      <c r="G244" t="inlineStr">
        <is>
          <t>New York, NY, US</t>
        </is>
      </c>
      <c r="H244" s="3" t="n">
        <v>45851</v>
      </c>
      <c r="I24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5">
      <c r="A245" t="inlineStr">
        <is>
          <t>in-2ae301a68fd05aa8</t>
        </is>
      </c>
      <c r="B245" t="inlineStr">
        <is>
          <t>Sr. Applied Scientist, Amazon Advertising</t>
        </is>
      </c>
      <c r="C245" t="inlineStr">
        <is>
          <t>Amazon.com</t>
        </is>
      </c>
      <c r="D245" t="inlineStr">
        <is>
          <t>indeed</t>
        </is>
      </c>
      <c r="E245">
        <f>HYPERLINK("https://www.indeed.com/viewjob?jk=2ae301a68fd05aa8", "https://www.indeed.com/viewjob?jk=2ae301a68fd05aa8")</f>
        <v/>
      </c>
      <c r="F245">
        <f>HYPERLINK("https://www.amazon.jobs/jobs/3035686/sr-applied-scientist-amazon-advertising?cmpid=DA_INAD200785B", "https://www.amazon.jobs/jobs/3035686/sr-applied-scientist-amazon-advertising?cmpid=DA_INAD200785B")</f>
        <v/>
      </c>
      <c r="G245" t="inlineStr">
        <is>
          <t>Seattle, WA, US</t>
        </is>
      </c>
      <c r="H245" s="3" t="n">
        <v>45851</v>
      </c>
      <c r="I24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6">
      <c r="A246" t="inlineStr">
        <is>
          <t>in-f9bcb636b0ff9958</t>
        </is>
      </c>
      <c r="B246" t="inlineStr">
        <is>
          <t>Sr. Applied Scientist, Amazon Advertising</t>
        </is>
      </c>
      <c r="C246" t="inlineStr">
        <is>
          <t>Amazon.com</t>
        </is>
      </c>
      <c r="D246" t="inlineStr">
        <is>
          <t>indeed</t>
        </is>
      </c>
      <c r="E246">
        <f>HYPERLINK("https://www.indeed.com/viewjob?jk=f9bcb636b0ff9958", "https://www.indeed.com/viewjob?jk=f9bcb636b0ff9958")</f>
        <v/>
      </c>
      <c r="F246">
        <f>HYPERLINK("https://www.amazon.jobs/jobs/3035686/sr-applied-scientist-amazon-advertising?cmpid=DA_INAD200785B", "https://www.amazon.jobs/jobs/3035686/sr-applied-scientist-amazon-advertising?cmpid=DA_INAD200785B")</f>
        <v/>
      </c>
      <c r="G246" t="inlineStr">
        <is>
          <t>Palo Alto, CA, US</t>
        </is>
      </c>
      <c r="H246" s="3" t="n">
        <v>45851</v>
      </c>
      <c r="I24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7">
      <c r="A247" t="inlineStr">
        <is>
          <t>in-7632c40a43f5fdd4</t>
        </is>
      </c>
      <c r="B247" t="inlineStr">
        <is>
          <t>Sr. Applied Scientist, Amazon Advertising</t>
        </is>
      </c>
      <c r="C247" t="inlineStr">
        <is>
          <t>Amazon.com</t>
        </is>
      </c>
      <c r="D247" t="inlineStr">
        <is>
          <t>indeed</t>
        </is>
      </c>
      <c r="E247">
        <f>HYPERLINK("https://www.indeed.com/viewjob?jk=7632c40a43f5fdd4", "https://www.indeed.com/viewjob?jk=7632c40a43f5fdd4")</f>
        <v/>
      </c>
      <c r="F247">
        <f>HYPERLINK("https://www.amazon.jobs/jobs/3035686/sr-applied-scientist-amazon-advertising?cmpid=DA_INAD200785B", "https://www.amazon.jobs/jobs/3035686/sr-applied-scientist-amazon-advertising?cmpid=DA_INAD200785B")</f>
        <v/>
      </c>
      <c r="G247" t="inlineStr">
        <is>
          <t>Austin, TX, US</t>
        </is>
      </c>
      <c r="H247" s="3" t="n">
        <v>45851</v>
      </c>
      <c r="I24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8">
      <c r="A248" t="inlineStr">
        <is>
          <t>in-1881980509b14a5c</t>
        </is>
      </c>
      <c r="B248" t="inlineStr">
        <is>
          <t>Sr. Applied Scientist, Sales AI</t>
        </is>
      </c>
      <c r="C248" t="inlineStr">
        <is>
          <t>Amazon.com</t>
        </is>
      </c>
      <c r="D248" t="inlineStr">
        <is>
          <t>indeed</t>
        </is>
      </c>
      <c r="E248">
        <f>HYPERLINK("https://www.indeed.com/viewjob?jk=1881980509b14a5c", "https://www.indeed.com/viewjob?jk=1881980509b14a5c")</f>
        <v/>
      </c>
      <c r="F248">
        <f>HYPERLINK("https://www.amazon.jobs/jobs/3020528/sr-applied-scientist-sales-ai?cmpid=DA_INAD200785B", "https://www.amazon.jobs/jobs/3020528/sr-applied-scientist-sales-ai?cmpid=DA_INAD200785B")</f>
        <v/>
      </c>
      <c r="G248" t="inlineStr">
        <is>
          <t>Sunnyvale, CA, US</t>
        </is>
      </c>
      <c r="H248" s="3" t="n">
        <v>45830</v>
      </c>
      <c r="I248"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9">
      <c r="A249" t="inlineStr">
        <is>
          <t>in-e2495c431a3b7e4c</t>
        </is>
      </c>
      <c r="B249" t="inlineStr">
        <is>
          <t>Sr. Applied Scientist, Sales AI</t>
        </is>
      </c>
      <c r="C249" t="inlineStr">
        <is>
          <t>Amazon.com</t>
        </is>
      </c>
      <c r="D249" t="inlineStr">
        <is>
          <t>indeed</t>
        </is>
      </c>
      <c r="E249">
        <f>HYPERLINK("https://www.indeed.com/viewjob?jk=e2495c431a3b7e4c", "https://www.indeed.com/viewjob?jk=e2495c431a3b7e4c")</f>
        <v/>
      </c>
      <c r="F249">
        <f>HYPERLINK("https://www.amazon.jobs/jobs/3020528/sr-applied-scientist-sales-ai?cmpid=DA_INAD200785B", "https://www.amazon.jobs/jobs/3020528/sr-applied-scientist-sales-ai?cmpid=DA_INAD200785B")</f>
        <v/>
      </c>
      <c r="G249" t="inlineStr">
        <is>
          <t>Seattle, WA, US</t>
        </is>
      </c>
      <c r="H249" s="3" t="n">
        <v>45830</v>
      </c>
      <c r="I249"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0">
      <c r="A250" t="inlineStr">
        <is>
          <t>in-89511aa2ea994829</t>
        </is>
      </c>
      <c r="B250" t="inlineStr">
        <is>
          <t>Sr. Applied Scientist, Sales AI</t>
        </is>
      </c>
      <c r="C250" t="inlineStr">
        <is>
          <t>Amazon.com</t>
        </is>
      </c>
      <c r="D250" t="inlineStr">
        <is>
          <t>indeed</t>
        </is>
      </c>
      <c r="E250">
        <f>HYPERLINK("https://www.indeed.com/viewjob?jk=89511aa2ea994829", "https://www.indeed.com/viewjob?jk=89511aa2ea994829")</f>
        <v/>
      </c>
      <c r="F250">
        <f>HYPERLINK("https://www.amazon.jobs/jobs/3020528/sr-applied-scientist-sales-ai?cmpid=DA_INAD200785B", "https://www.amazon.jobs/jobs/3020528/sr-applied-scientist-sales-ai?cmpid=DA_INAD200785B")</f>
        <v/>
      </c>
      <c r="G250" t="inlineStr">
        <is>
          <t>New York, NY, US</t>
        </is>
      </c>
      <c r="H250" s="3" t="n">
        <v>45830</v>
      </c>
      <c r="I250"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1">
      <c r="A251" t="inlineStr">
        <is>
          <t>in-54659786a18dc80d</t>
        </is>
      </c>
      <c r="B251" t="inlineStr">
        <is>
          <t>Principal Applied Scientist, Delivery Foundation Model</t>
        </is>
      </c>
      <c r="C251" t="inlineStr">
        <is>
          <t>Amazon.com</t>
        </is>
      </c>
      <c r="D251" t="inlineStr">
        <is>
          <t>indeed</t>
        </is>
      </c>
      <c r="E251">
        <f>HYPERLINK("https://www.indeed.com/viewjob?jk=54659786a18dc80d", "https://www.indeed.com/viewjob?jk=54659786a18dc80d")</f>
        <v/>
      </c>
      <c r="F251">
        <f>HYPERLINK("https://www.amazon.jobs/jobs/3006938/principal-applied-scientist-delivery-foundation-model-?cmpid=DA_INAD200785B", "https://www.amazon.jobs/jobs/3006938/principal-applied-scientist-delivery-foundation-model-?cmpid=DA_INAD200785B")</f>
        <v/>
      </c>
      <c r="G251" t="inlineStr">
        <is>
          <t>New York, NY, US</t>
        </is>
      </c>
      <c r="H251" s="3" t="n">
        <v>45810</v>
      </c>
      <c r="I25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2">
      <c r="A252" t="inlineStr">
        <is>
          <t>in-91c2de225c5f2bf7</t>
        </is>
      </c>
      <c r="B252" t="inlineStr">
        <is>
          <t>Principal Applied Scientist, Delivery Foundation Model</t>
        </is>
      </c>
      <c r="C252" t="inlineStr">
        <is>
          <t>Amazon.com</t>
        </is>
      </c>
      <c r="D252" t="inlineStr">
        <is>
          <t>indeed</t>
        </is>
      </c>
      <c r="E252">
        <f>HYPERLINK("https://www.indeed.com/viewjob?jk=91c2de225c5f2bf7", "https://www.indeed.com/viewjob?jk=91c2de225c5f2bf7")</f>
        <v/>
      </c>
      <c r="F252">
        <f>HYPERLINK("https://www.amazon.jobs/jobs/3006938/principal-applied-scientist-delivery-foundation-model-?cmpid=DA_INAD200785B", "https://www.amazon.jobs/jobs/3006938/principal-applied-scientist-delivery-foundation-model-?cmpid=DA_INAD200785B")</f>
        <v/>
      </c>
      <c r="G252" t="inlineStr">
        <is>
          <t>Santa Clara, CA, US</t>
        </is>
      </c>
      <c r="H252" s="3" t="n">
        <v>45810</v>
      </c>
      <c r="I25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3">
      <c r="A253" t="inlineStr">
        <is>
          <t>in-f39bfbc40ed5d779</t>
        </is>
      </c>
      <c r="B253" t="inlineStr">
        <is>
          <t>Principal Applied Scientist, Delivery Foundation Model</t>
        </is>
      </c>
      <c r="C253" t="inlineStr">
        <is>
          <t>Amazon.com</t>
        </is>
      </c>
      <c r="D253" t="inlineStr">
        <is>
          <t>indeed</t>
        </is>
      </c>
      <c r="E253">
        <f>HYPERLINK("https://www.indeed.com/viewjob?jk=f39bfbc40ed5d779", "https://www.indeed.com/viewjob?jk=f39bfbc40ed5d779")</f>
        <v/>
      </c>
      <c r="F253">
        <f>HYPERLINK("https://www.amazon.jobs/jobs/3006938/principal-applied-scientist-delivery-foundation-model-?cmpid=DA_INAD200785B", "https://www.amazon.jobs/jobs/3006938/principal-applied-scientist-delivery-foundation-model-?cmpid=DA_INAD200785B")</f>
        <v/>
      </c>
      <c r="G253" t="inlineStr">
        <is>
          <t>Austin, TX, US</t>
        </is>
      </c>
      <c r="H253" s="3" t="n">
        <v>45810</v>
      </c>
      <c r="I25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4">
      <c r="A254" t="inlineStr">
        <is>
          <t>in-5232a6e0703069de</t>
        </is>
      </c>
      <c r="B254" t="inlineStr">
        <is>
          <t>Principal Applied Scientist, Delivery Foundation Model</t>
        </is>
      </c>
      <c r="C254" t="inlineStr">
        <is>
          <t>Amazon.com</t>
        </is>
      </c>
      <c r="D254" t="inlineStr">
        <is>
          <t>indeed</t>
        </is>
      </c>
      <c r="E254">
        <f>HYPERLINK("https://www.indeed.com/viewjob?jk=5232a6e0703069de", "https://www.indeed.com/viewjob?jk=5232a6e0703069de")</f>
        <v/>
      </c>
      <c r="F254">
        <f>HYPERLINK("https://www.amazon.jobs/jobs/3006938/principal-applied-scientist-delivery-foundation-model-?cmpid=DA_INAD200785B", "https://www.amazon.jobs/jobs/3006938/principal-applied-scientist-delivery-foundation-model-?cmpid=DA_INAD200785B")</f>
        <v/>
      </c>
      <c r="G254" t="inlineStr">
        <is>
          <t>Bellevue, WA, US</t>
        </is>
      </c>
      <c r="H254" s="3" t="n">
        <v>45810</v>
      </c>
      <c r="I25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5">
      <c r="A255" t="inlineStr">
        <is>
          <t>in-0f7c19d7fa6d2716</t>
        </is>
      </c>
      <c r="B255" t="inlineStr">
        <is>
          <t>Senior Applied Scientist, Delivery Foundation Model</t>
        </is>
      </c>
      <c r="C255" t="inlineStr">
        <is>
          <t>Amazon.com</t>
        </is>
      </c>
      <c r="D255" t="inlineStr">
        <is>
          <t>indeed</t>
        </is>
      </c>
      <c r="E255">
        <f>HYPERLINK("https://www.indeed.com/viewjob?jk=0f7c19d7fa6d2716", "https://www.indeed.com/viewjob?jk=0f7c19d7fa6d2716")</f>
        <v/>
      </c>
      <c r="F255">
        <f>HYPERLINK("https://www.amazon.jobs/jobs/2998435/senior-applied-scientist-delivery-foundation-model-?cmpid=DA_INAD200785B", "https://www.amazon.jobs/jobs/2998435/senior-applied-scientist-delivery-foundation-model-?cmpid=DA_INAD200785B")</f>
        <v/>
      </c>
      <c r="G255" t="inlineStr">
        <is>
          <t>Santa Clara, CA, US</t>
        </is>
      </c>
      <c r="H255" s="3" t="n">
        <v>45806</v>
      </c>
      <c r="I25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6">
      <c r="A256" t="inlineStr">
        <is>
          <t>in-feb556a2dc3b56e1</t>
        </is>
      </c>
      <c r="B256" t="inlineStr">
        <is>
          <t>Senior Applied Scientist, Delivery Foundation Model</t>
        </is>
      </c>
      <c r="C256" t="inlineStr">
        <is>
          <t>Amazon.com</t>
        </is>
      </c>
      <c r="D256" t="inlineStr">
        <is>
          <t>indeed</t>
        </is>
      </c>
      <c r="E256">
        <f>HYPERLINK("https://www.indeed.com/viewjob?jk=feb556a2dc3b56e1", "https://www.indeed.com/viewjob?jk=feb556a2dc3b56e1")</f>
        <v/>
      </c>
      <c r="F256">
        <f>HYPERLINK("https://www.amazon.jobs/jobs/2998435/senior-applied-scientist-delivery-foundation-model-?cmpid=DA_INAD200785B", "https://www.amazon.jobs/jobs/2998435/senior-applied-scientist-delivery-foundation-model-?cmpid=DA_INAD200785B")</f>
        <v/>
      </c>
      <c r="G256" t="inlineStr">
        <is>
          <t>Bellevue, WA, US</t>
        </is>
      </c>
      <c r="H256" s="3" t="n">
        <v>45806</v>
      </c>
      <c r="I25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7">
      <c r="A257" t="inlineStr">
        <is>
          <t>in-a4ebba9fa94985e0</t>
        </is>
      </c>
      <c r="B257" t="inlineStr">
        <is>
          <t>Senior Applied Scientist, Delivery Foundation Model</t>
        </is>
      </c>
      <c r="C257" t="inlineStr">
        <is>
          <t>Amazon.com</t>
        </is>
      </c>
      <c r="D257" t="inlineStr">
        <is>
          <t>indeed</t>
        </is>
      </c>
      <c r="E257">
        <f>HYPERLINK("https://www.indeed.com/viewjob?jk=a4ebba9fa94985e0", "https://www.indeed.com/viewjob?jk=a4ebba9fa94985e0")</f>
        <v/>
      </c>
      <c r="F257">
        <f>HYPERLINK("https://www.amazon.jobs/jobs/2998435/senior-applied-scientist-delivery-foundation-model-?cmpid=DA_INAD200785B", "https://www.amazon.jobs/jobs/2998435/senior-applied-scientist-delivery-foundation-model-?cmpid=DA_INAD200785B")</f>
        <v/>
      </c>
      <c r="G257" t="inlineStr">
        <is>
          <t>New York, NY, US</t>
        </is>
      </c>
      <c r="H257" s="3" t="n">
        <v>45806</v>
      </c>
      <c r="I25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8">
      <c r="A258" t="inlineStr">
        <is>
          <t>in-b36061804fd0f566</t>
        </is>
      </c>
      <c r="B258" t="inlineStr">
        <is>
          <t>Principal Applied Scientist, Delivery Foundation Model</t>
        </is>
      </c>
      <c r="C258" t="inlineStr">
        <is>
          <t>Amazon.com</t>
        </is>
      </c>
      <c r="D258" t="inlineStr">
        <is>
          <t>indeed</t>
        </is>
      </c>
      <c r="E258">
        <f>HYPERLINK("https://www.indeed.com/viewjob?jk=b36061804fd0f566", "https://www.indeed.com/viewjob?jk=b36061804fd0f566")</f>
        <v/>
      </c>
      <c r="F258">
        <f>HYPERLINK("https://www.amazon.jobs/jobs/2998635/principal-applied-scientist-delivery-foundation-model-?cmpid=DA_INAD200785B", "https://www.amazon.jobs/jobs/2998635/principal-applied-scientist-delivery-foundation-model-?cmpid=DA_INAD200785B")</f>
        <v/>
      </c>
      <c r="G258" t="inlineStr">
        <is>
          <t>New York, NY, US</t>
        </is>
      </c>
      <c r="H258" s="3" t="n">
        <v>45757</v>
      </c>
      <c r="I25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9">
      <c r="A259" t="inlineStr">
        <is>
          <t>in-17258e76e97da888</t>
        </is>
      </c>
      <c r="B259" t="inlineStr">
        <is>
          <t>Principal Applied Scientist, Delivery Foundation Model</t>
        </is>
      </c>
      <c r="C259" t="inlineStr">
        <is>
          <t>Amazon.com</t>
        </is>
      </c>
      <c r="D259" t="inlineStr">
        <is>
          <t>indeed</t>
        </is>
      </c>
      <c r="E259">
        <f>HYPERLINK("https://www.indeed.com/viewjob?jk=17258e76e97da888", "https://www.indeed.com/viewjob?jk=17258e76e97da888")</f>
        <v/>
      </c>
      <c r="F259">
        <f>HYPERLINK("https://www.amazon.jobs/jobs/2998635/principal-applied-scientist-delivery-foundation-model-?cmpid=DA_INAD200785B", "https://www.amazon.jobs/jobs/2998635/principal-applied-scientist-delivery-foundation-model-?cmpid=DA_INAD200785B")</f>
        <v/>
      </c>
      <c r="G259" t="inlineStr">
        <is>
          <t>Santa Clara, CA, US</t>
        </is>
      </c>
      <c r="H259" s="3" t="n">
        <v>45757</v>
      </c>
      <c r="I25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0">
      <c r="A260" t="inlineStr">
        <is>
          <t>in-082acf4aee16b624</t>
        </is>
      </c>
      <c r="B260" t="inlineStr">
        <is>
          <t>Principal Applied Scientist, Delivery Foundation Model</t>
        </is>
      </c>
      <c r="C260" t="inlineStr">
        <is>
          <t>Amazon.com</t>
        </is>
      </c>
      <c r="D260" t="inlineStr">
        <is>
          <t>indeed</t>
        </is>
      </c>
      <c r="E260">
        <f>HYPERLINK("https://www.indeed.com/viewjob?jk=082acf4aee16b624", "https://www.indeed.com/viewjob?jk=082acf4aee16b624")</f>
        <v/>
      </c>
      <c r="F260">
        <f>HYPERLINK("https://www.amazon.jobs/jobs/2998635/principal-applied-scientist-delivery-foundation-model-?cmpid=DA_INAD200785B", "https://www.amazon.jobs/jobs/2998635/principal-applied-scientist-delivery-foundation-model-?cmpid=DA_INAD200785B")</f>
        <v/>
      </c>
      <c r="G260" t="inlineStr">
        <is>
          <t>Bellevue, WA, US</t>
        </is>
      </c>
      <c r="H260" s="3" t="n">
        <v>45757</v>
      </c>
      <c r="I26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1">
      <c r="A261" t="inlineStr">
        <is>
          <t>in-60ba064af95c57fc</t>
        </is>
      </c>
      <c r="B261" t="inlineStr">
        <is>
          <t>Principal Applied Scientist, FAR (Frontier AI &amp; Robotics)</t>
        </is>
      </c>
      <c r="C261" t="inlineStr">
        <is>
          <t>Amazon.com</t>
        </is>
      </c>
      <c r="D261" t="inlineStr">
        <is>
          <t>indeed</t>
        </is>
      </c>
      <c r="E261">
        <f>HYPERLINK("https://www.indeed.com/viewjob?jk=60ba064af95c57fc", "https://www.indeed.com/viewjob?jk=60ba064af95c57fc")</f>
        <v/>
      </c>
      <c r="F261">
        <f>HYPERLINK("https://www.amazon.jobs/jobs/2938625/principal-applied-scientist-far-frontier-ai--robotics?cmpid=DA_INAD200785B", "https://www.amazon.jobs/jobs/2938625/principal-applied-scientist-far-frontier-ai--robotics?cmpid=DA_INAD200785B")</f>
        <v/>
      </c>
      <c r="G261" t="inlineStr">
        <is>
          <t>San Francisco, CA, US</t>
        </is>
      </c>
      <c r="H261" s="3" t="n">
        <v>45740</v>
      </c>
      <c r="I261"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2">
      <c r="A262" t="inlineStr">
        <is>
          <t>in-c3278ef15a100363</t>
        </is>
      </c>
      <c r="B262" t="inlineStr">
        <is>
          <t>Principal Applied Scientist, FAR (Frontier AI &amp; Robotics)</t>
        </is>
      </c>
      <c r="C262" t="inlineStr">
        <is>
          <t>Amazon.com</t>
        </is>
      </c>
      <c r="D262" t="inlineStr">
        <is>
          <t>indeed</t>
        </is>
      </c>
      <c r="E262">
        <f>HYPERLINK("https://www.indeed.com/viewjob?jk=c3278ef15a100363", "https://www.indeed.com/viewjob?jk=c3278ef15a100363")</f>
        <v/>
      </c>
      <c r="F262">
        <f>HYPERLINK("https://www.amazon.jobs/jobs/2938625/principal-applied-scientist-far-frontier-ai--robotics?cmpid=DA_INAD200785B", "https://www.amazon.jobs/jobs/2938625/principal-applied-scientist-far-frontier-ai--robotics?cmpid=DA_INAD200785B")</f>
        <v/>
      </c>
      <c r="G262" t="inlineStr">
        <is>
          <t>Seattle, WA, US</t>
        </is>
      </c>
      <c r="H262" s="3" t="n">
        <v>45740</v>
      </c>
      <c r="I262"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3">
      <c r="A263" t="inlineStr">
        <is>
          <t>in-511e3c1728ff09d3</t>
        </is>
      </c>
      <c r="B263" t="inlineStr">
        <is>
          <t>Senior Machine Learning Engineer Agentic Development</t>
        </is>
      </c>
      <c r="C263" t="inlineStr">
        <is>
          <t>Axiado</t>
        </is>
      </c>
      <c r="D263" t="inlineStr">
        <is>
          <t>indeed</t>
        </is>
      </c>
      <c r="E263">
        <f>HYPERLINK("https://www.indeed.com/viewjob?jk=511e3c1728ff09d3", "https://www.indeed.com/viewjob?jk=511e3c1728ff09d3")</f>
        <v/>
      </c>
      <c r="F263">
        <f>HYPERLINK("http://www.indeed.com/job/senior-machine-learning-engineer-agentic-development-511e3c1728ff09d3", "http://www.indeed.com/job/senior-machine-learning-engineer-agentic-development-511e3c1728ff09d3")</f>
        <v/>
      </c>
      <c r="G263" t="inlineStr">
        <is>
          <t>San Jose, CA, US</t>
        </is>
      </c>
      <c r="H263" s="3" t="n">
        <v>46061</v>
      </c>
      <c r="I263" t="inlineStr">
        <is>
          <t>**Company Description**
Axiado is an AI\-enhanced security processor company redefining the control and management of every digital system. The company was founded in 2017, and currently has 150\+ employees. At Axiado, developing great technology takes more than talent: it takes amazing people who understand collaboration, respect each other, and go the extra mile to achieve exceptional results. It takes people who have the passion and desire to disrupt the status quo, deliver innovation, and change the world. If you have this type of passion, we invite you to apply for this job.
**Job Description**
We are seeking a hands\-on Senior Machine Learning Engineer to design, build, and deploy intelligent agents on our edge devices. These agents will operate autonomously in resource\-constrained environments, performing complex tasks like real\-time log analysis, on\-device computer vision, and secure system\-level interactions.
This role requires a unique blend of modern AI development (agentic workflows, LLMs) and classic systems\-level domain knowledge. You will be responsible for creating agents that can perceive their environment (through logs, video, and system data), reason, and act securely and efficiently on our custom hardware.
Key Responsibilities
* Design, build, and deploy autonomous agentic systems for resource\-constrained edge devices.
* Implement agent capabilities that leverage deep domain knowledge, specifically in:
* Real\-time log analysis and anomaly detection.
* Efficient, on\-device computer vision (CV) model execution and interpretation.
* Interaction with system\-level open\-sourced tools for data gathering and system monitoring.
* Develop and integrate secure, high\-performance communication channels for agent\-to\-agent (A2A) and management\-to\-controller (MCP) interactions.
* Implement robust MCP authentication and secure communication protocols for all agent operations.
* Optimize the full agent stack—from the ML model to the application logic—for high performance and low footprint (latency, memory, power) on our target hardware.
* Collaborate with MLOps and firmware teams to create robust deployment and update pipelines for agents in the field.
**Qualifications**
* 5\+ years of hands\-on experience in software engineering or machine learning.
* B.S. or M.S. in Computer Science, Electrical Engineering, or a related field (or equivalent practical experience).
* Proven experience building systems with LLMs and/or agentic frameworks (e.g., LangChain, LlamaIndex, or custom\-built agents).
* Strong, demonstrable domain knowledge in log analysis and/or computer vision.
* Experience with network protocol development or integration, with specific knowledge of MCP/A2A\-like systems and authentication mechanisms.
* Strong programming skills in Python and familiarity with data\-intensive applications.
* Experience using and integrating open\-source tools for system monitoring, log processing (e.g., ELK stack, Prometheus), or CV (e.g., OpenCV).
Preferred Qualifications (The "Plus" Factors)
* Direct, hands\-on experience with embedded system development (e.g., C, C\+\+, Rust, Yocto, RTOS).
* Experience optimizing ML models (quantization, pruning) for edge devices (e.g., NPUs, FPGAs, or other accelerators).
* Deep understanding of network security and secure coding practices.
* Knowledge of ML compilers like Apache TVM or MLIR
Pay: $102,895\.93 \- $200,000\.00 per year
Benefits:
* 401(k)
* Dental insurance
* Flexible spending account
* Health insurance
* Health savings account
* Life insurance
* Paid time off
* Vision insurance
Work Location: In person</t>
        </is>
      </c>
    </row>
    <row r="264">
      <c r="A264" t="inlineStr">
        <is>
          <t>in-24ba4283deb0477e</t>
        </is>
      </c>
      <c r="B264" t="inlineStr">
        <is>
          <t>Machine Learning Engineer</t>
        </is>
      </c>
      <c r="C264" t="inlineStr">
        <is>
          <t>BV Teck</t>
        </is>
      </c>
      <c r="D264" t="inlineStr">
        <is>
          <t>indeed</t>
        </is>
      </c>
      <c r="E264">
        <f>HYPERLINK("https://www.indeed.com/viewjob?jk=24ba4283deb0477e", "https://www.indeed.com/viewjob?jk=24ba4283deb0477e")</f>
        <v/>
      </c>
      <c r="F264">
        <f>HYPERLINK("https://brightvisiontechnologies.applytojob.com/apply/cYuMnyGdE3/Machine-Learning-Engineer?source=INDE&amp;~", "https://brightvisiontechnologies.applytojob.com/apply/cYuMnyGdE3/Machine-Learning-Engineer?source=INDE&amp;~")</f>
        <v/>
      </c>
      <c r="G264" t="inlineStr">
        <is>
          <t>Remote, US</t>
        </is>
      </c>
      <c r="H264" s="3" t="n">
        <v>46060</v>
      </c>
      <c r="I264" t="inlineStr">
        <is>
          <t>**Machine Learning Engineer**  
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Machine Learning Engineer  
**Onsite/Hybrid:** Remote  
**FULL\-TIME ROLE WITH BRIGHT VISION**  
**Job Description:**  
**Environment:**  
Machine Learning, Python, TensorFlow, PyTorch, Scikit\-learn, Feature Engineering, Model Training \&amp; Evaluation, Model Deployment, RESTful APIs, Data Pipelines, SQL, NoSQL Databases,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cYuMnyGdE3</t>
        </is>
      </c>
    </row>
    <row r="265">
      <c r="A265" t="inlineStr">
        <is>
          <t>in-99de02ed08d1505a</t>
        </is>
      </c>
      <c r="B265" t="inlineStr">
        <is>
          <t>Machine Learning Engineer</t>
        </is>
      </c>
      <c r="C265" t="inlineStr">
        <is>
          <t>BV Teck</t>
        </is>
      </c>
      <c r="D265" t="inlineStr">
        <is>
          <t>indeed</t>
        </is>
      </c>
      <c r="E265">
        <f>HYPERLINK("https://www.indeed.com/viewjob?jk=99de02ed08d1505a", "https://www.indeed.com/viewjob?jk=99de02ed08d1505a")</f>
        <v/>
      </c>
      <c r="F265">
        <f>HYPERLINK("https://brightvisiontechnologies.applytojob.com/apply/o8Cr4XmU2C/Machine-Learning-Engineer?source=INDE&amp;~", "https://brightvisiontechnologies.applytojob.com/apply/o8Cr4XmU2C/Machine-Learning-Engineer?source=INDE&amp;~")</f>
        <v/>
      </c>
      <c r="G265" t="inlineStr">
        <is>
          <t>Remote, US</t>
        </is>
      </c>
      <c r="H265" s="3" t="n">
        <v>46060</v>
      </c>
      <c r="I265" t="inlineStr">
        <is>
          <t>**Machine Learning Engineer**  
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Machine Learning Engineer  
**Onsite/Hybrid:** Remote  
**FULL\-TIME ROLE WITH BRIGHT VISION**  
**Job Description:**  
**Environment:**  
Machine Learning, Python, TensorFlow, PyTorch, Scikit\-learn, Feature Engineering, Model Training \&amp; Evaluation, Model Deployment, RESTful APIs, Data Pipelines, SQL, NoSQL Databases,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o8Cr4XmU2C</t>
        </is>
      </c>
    </row>
    <row r="266">
      <c r="A266" t="inlineStr">
        <is>
          <t>in-61664d2d3c22e6cf</t>
        </is>
      </c>
      <c r="B266" t="inlineStr">
        <is>
          <t>Machine Learning Engineer</t>
        </is>
      </c>
      <c r="C266" t="inlineStr">
        <is>
          <t>BV Teck</t>
        </is>
      </c>
      <c r="D266" t="inlineStr">
        <is>
          <t>indeed</t>
        </is>
      </c>
      <c r="E266">
        <f>HYPERLINK("https://www.indeed.com/viewjob?jk=61664d2d3c22e6cf", "https://www.indeed.com/viewjob?jk=61664d2d3c22e6cf")</f>
        <v/>
      </c>
      <c r="F266">
        <f>HYPERLINK("https://brightvisiontechnologies.applytojob.com/apply/Z5t2Jyupxf/Machine-Learning-Engineer?source=INDE&amp;~", "https://brightvisiontechnologies.applytojob.com/apply/Z5t2Jyupxf/Machine-Learning-Engineer?source=INDE&amp;~")</f>
        <v/>
      </c>
      <c r="G266" t="inlineStr">
        <is>
          <t>Remote, US</t>
        </is>
      </c>
      <c r="H266" s="3" t="n">
        <v>46060</v>
      </c>
      <c r="I266" t="inlineStr">
        <is>
          <t>**Machine Learning Engineer**  
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Machine Learning Engineer  
**Onsite/Hybrid:** Remote  
**FULL\-TIME ROLE WITH BRIGHT VISION**  
**Job Description:**  
**Environment:**  
Machine Learning, Python, TensorFlow, PyTorch, Scikit\-learn, Feature Engineering, Model Training \&amp; Evaluation, Model Deployment, RESTful APIs, Data Pipelines, SQL, NoSQL Databases,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Z5t2Jyupxf</t>
        </is>
      </c>
    </row>
    <row r="267">
      <c r="A267" t="inlineStr">
        <is>
          <t>in-d75231647e107e63</t>
        </is>
      </c>
      <c r="B267" t="inlineStr">
        <is>
          <t>Machine Learning Engineer</t>
        </is>
      </c>
      <c r="C267" t="inlineStr">
        <is>
          <t>BV Teck</t>
        </is>
      </c>
      <c r="D267" t="inlineStr">
        <is>
          <t>indeed</t>
        </is>
      </c>
      <c r="E267">
        <f>HYPERLINK("https://www.indeed.com/viewjob?jk=d75231647e107e63", "https://www.indeed.com/viewjob?jk=d75231647e107e63")</f>
        <v/>
      </c>
      <c r="F267">
        <f>HYPERLINK("https://brightvisiontechnologies.applytojob.com/apply/oLehcY1i78/Machine-Learning-Engineer?source=INDE&amp;~", "https://brightvisiontechnologies.applytojob.com/apply/oLehcY1i78/Machine-Learning-Engineer?source=INDE&amp;~")</f>
        <v/>
      </c>
      <c r="G267" t="inlineStr">
        <is>
          <t>Remote, US</t>
        </is>
      </c>
      <c r="H267" s="3" t="n">
        <v>46060</v>
      </c>
      <c r="I267" t="inlineStr">
        <is>
          <t>**Machine Learning Engineer**  
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Machine Learning Engineer  
**Onsite/Hybrid:** Remote  
**FULL\-TIME ROLE WITH BRIGHT VISION**  
**Job Description:**  
**Environment:**  
Machine Learning, Python, TensorFlow, PyTorch, Scikit\-learn, Feature Engineering, Model Training \&amp; Evaluation, Model Deployment, RESTful APIs, Data Pipelines, SQL, NoSQL Databases,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oLehcY1i78</t>
        </is>
      </c>
    </row>
    <row r="268">
      <c r="A268" t="inlineStr">
        <is>
          <t>in-0f9181046b86df81</t>
        </is>
      </c>
      <c r="B268" t="inlineStr">
        <is>
          <t>Machine Learning Engineer</t>
        </is>
      </c>
      <c r="C268" t="inlineStr">
        <is>
          <t>BV Teck</t>
        </is>
      </c>
      <c r="D268" t="inlineStr">
        <is>
          <t>indeed</t>
        </is>
      </c>
      <c r="E268">
        <f>HYPERLINK("https://www.indeed.com/viewjob?jk=0f9181046b86df81", "https://www.indeed.com/viewjob?jk=0f9181046b86df81")</f>
        <v/>
      </c>
      <c r="F268">
        <f>HYPERLINK("https://brightvisiontechnologies.applytojob.com/apply/X2nEfPBVWG/Machine-Learning-Engineer?source=INDE&amp;~", "https://brightvisiontechnologies.applytojob.com/apply/X2nEfPBVWG/Machine-Learning-Engineer?source=INDE&amp;~")</f>
        <v/>
      </c>
      <c r="G268" t="inlineStr">
        <is>
          <t>Remote, US</t>
        </is>
      </c>
      <c r="H268" s="3" t="n">
        <v>46060</v>
      </c>
      <c r="I268" t="inlineStr">
        <is>
          <t>**Machine Learning Engineer**  
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Machine Learning Engineer  
**Onsite/Hybrid:** Remote  
**FULL\-TIME ROLE WITH BRIGHT VISION**  
**Job Description:**  
**Environment:**  
Machine Learning, Python, TensorFlow, PyTorch, Scikit\-learn, Feature Engineering, Model Training \&amp; Evaluation, Model Deployment, RESTful APIs, Data Pipelines, SQL, NoSQL Databases,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X2nEfPBVWG</t>
        </is>
      </c>
    </row>
    <row r="269">
      <c r="A269" t="inlineStr">
        <is>
          <t>in-89dbb5904acb8758</t>
        </is>
      </c>
      <c r="B269" t="inlineStr">
        <is>
          <t>Machine Learning Engineer</t>
        </is>
      </c>
      <c r="C269" t="inlineStr">
        <is>
          <t>BV Teck</t>
        </is>
      </c>
      <c r="D269" t="inlineStr">
        <is>
          <t>indeed</t>
        </is>
      </c>
      <c r="E269">
        <f>HYPERLINK("https://www.indeed.com/viewjob?jk=89dbb5904acb8758", "https://www.indeed.com/viewjob?jk=89dbb5904acb8758")</f>
        <v/>
      </c>
      <c r="F269">
        <f>HYPERLINK("https://brightvisiontechnologies.applytojob.com/apply/XGWAzCXSKp/Machine-Learning-Engineer?source=INDE&amp;~", "https://brightvisiontechnologies.applytojob.com/apply/XGWAzCXSKp/Machine-Learning-Engineer?source=INDE&amp;~")</f>
        <v/>
      </c>
      <c r="G269" t="inlineStr">
        <is>
          <t>Remote, US</t>
        </is>
      </c>
      <c r="H269" s="3" t="n">
        <v>46060</v>
      </c>
      <c r="I269" t="inlineStr">
        <is>
          <t>**Machine Learning Engineer**  
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Machine Learning Engineer  
**Onsite/Hybrid:** Remote  
**FULL\-TIME ROLE WITH BRIGHT VISION**  
**Job Description:**  
**Environment:**  
Machine Learning, Python, TensorFlow, PyTorch, Scikit\-learn, Feature Engineering, Model Training \&amp; Evaluation, Model Deployment, RESTful APIs, Data Pipelines, SQL, NoSQL Databases,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XGWAzCXSKp</t>
        </is>
      </c>
    </row>
    <row r="270">
      <c r="A270" t="inlineStr">
        <is>
          <t>in-cf3390e07a3bf00f</t>
        </is>
      </c>
      <c r="B270" t="inlineStr">
        <is>
          <t>Machine Learning Engineer</t>
        </is>
      </c>
      <c r="C270" t="inlineStr">
        <is>
          <t>BV Teck</t>
        </is>
      </c>
      <c r="D270" t="inlineStr">
        <is>
          <t>indeed</t>
        </is>
      </c>
      <c r="E270">
        <f>HYPERLINK("https://www.indeed.com/viewjob?jk=cf3390e07a3bf00f", "https://www.indeed.com/viewjob?jk=cf3390e07a3bf00f")</f>
        <v/>
      </c>
      <c r="F270">
        <f>HYPERLINK("https://brightvisiontechnologies.applytojob.com/apply/rqx9oFV0T9/Machine-Learning-Engineer?source=INDE&amp;~", "https://brightvisiontechnologies.applytojob.com/apply/rqx9oFV0T9/Machine-Learning-Engineer?source=INDE&amp;~")</f>
        <v/>
      </c>
      <c r="G270" t="inlineStr">
        <is>
          <t>Remote, US</t>
        </is>
      </c>
      <c r="H270" s="3" t="n">
        <v>46060</v>
      </c>
      <c r="I270" t="inlineStr">
        <is>
          <t>**Machine Learning Engineer**  
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Machine Learning Engineer  
**Onsite/Hybrid:** Remote  
**FULL\-TIME ROLE WITH BRIGHT VISION**  
**Job Description:**  
**Environment:**  
Machine Learning, Python, TensorFlow, PyTorch, Scikit\-learn, Feature Engineering, Model Training \&amp; Evaluation, Model Deployment, RESTful APIs, Data Pipelines, SQL, NoSQL Databases,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rqx9oFV0T9</t>
        </is>
      </c>
    </row>
    <row r="271">
      <c r="A271" t="inlineStr">
        <is>
          <t>in-7eed46b0425152f0</t>
        </is>
      </c>
      <c r="B271" t="inlineStr">
        <is>
          <t>Machine Learning Engineer</t>
        </is>
      </c>
      <c r="C271" t="inlineStr">
        <is>
          <t>BV Teck</t>
        </is>
      </c>
      <c r="D271" t="inlineStr">
        <is>
          <t>indeed</t>
        </is>
      </c>
      <c r="E271">
        <f>HYPERLINK("https://www.indeed.com/viewjob?jk=7eed46b0425152f0", "https://www.indeed.com/viewjob?jk=7eed46b0425152f0")</f>
        <v/>
      </c>
      <c r="F271">
        <f>HYPERLINK("https://brightvisiontechnologies.applytojob.com/apply/Kxi4QneGTC/Machine-Learning-Engineer?source=INDE&amp;~", "https://brightvisiontechnologies.applytojob.com/apply/Kxi4QneGTC/Machine-Learning-Engineer?source=INDE&amp;~")</f>
        <v/>
      </c>
      <c r="G271" t="inlineStr">
        <is>
          <t>Remote, US</t>
        </is>
      </c>
      <c r="H271" s="3" t="n">
        <v>46060</v>
      </c>
      <c r="I271" t="inlineStr">
        <is>
          <t>**Machine Learning Engineer**  
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Machine Learning Engineer  
**Onsite/Hybrid:** Remote  
**FULL\-TIME ROLE WITH BRIGHT VISION**  
**Job Description:**  
**Environment:**  
Machine Learning, Python, TensorFlow, PyTorch, Scikit\-learn, Feature Engineering, Model Training \&amp; Evaluation, Model Deployment, RESTful APIs, Data Pipelines, SQL, NoSQL Databases,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Kxi4QneGTC</t>
        </is>
      </c>
    </row>
    <row r="272">
      <c r="A272" t="inlineStr">
        <is>
          <t>in-0441b72e702f7a63</t>
        </is>
      </c>
      <c r="B272" t="inlineStr">
        <is>
          <t>Machine Learning Engineer</t>
        </is>
      </c>
      <c r="C272" t="inlineStr">
        <is>
          <t>BV Teck</t>
        </is>
      </c>
      <c r="D272" t="inlineStr">
        <is>
          <t>indeed</t>
        </is>
      </c>
      <c r="E272">
        <f>HYPERLINK("https://www.indeed.com/viewjob?jk=0441b72e702f7a63", "https://www.indeed.com/viewjob?jk=0441b72e702f7a63")</f>
        <v/>
      </c>
      <c r="F272">
        <f>HYPERLINK("https://brightvisiontechnologies.applytojob.com/apply/zeYUivJX4c/Machine-Learning-Engineer?source=INDE&amp;~", "https://brightvisiontechnologies.applytojob.com/apply/zeYUivJX4c/Machine-Learning-Engineer?source=INDE&amp;~")</f>
        <v/>
      </c>
      <c r="G272" t="inlineStr">
        <is>
          <t>Remote, US</t>
        </is>
      </c>
      <c r="H272" s="3" t="n">
        <v>46060</v>
      </c>
      <c r="I272" t="inlineStr">
        <is>
          <t>**Machine Learning Engineer**  
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Machine Learning Engineer  
**Onsite/Hybrid:** Remote  
**FULL\-TIME ROLE WITH BRIGHT VISION**  
**Job Description:**  
**Environment:**  
Machine Learning, Python, TensorFlow, PyTorch, Scikit\-learn, Feature Engineering, Model Training \&amp; Evaluation, Model Deployment, RESTful APIs, Data Pipelines, SQL, NoSQL Databases,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zeYUivJX4c</t>
        </is>
      </c>
    </row>
    <row r="273">
      <c r="A273" t="inlineStr">
        <is>
          <t>in-e071a4e2181dea12</t>
        </is>
      </c>
      <c r="B273" t="inlineStr">
        <is>
          <t>Machine Learning Engineer</t>
        </is>
      </c>
      <c r="C273" t="inlineStr">
        <is>
          <t>BV Teck</t>
        </is>
      </c>
      <c r="D273" t="inlineStr">
        <is>
          <t>indeed</t>
        </is>
      </c>
      <c r="E273">
        <f>HYPERLINK("https://www.indeed.com/viewjob?jk=e071a4e2181dea12", "https://www.indeed.com/viewjob?jk=e071a4e2181dea12")</f>
        <v/>
      </c>
      <c r="F273">
        <f>HYPERLINK("https://brightvisiontechnologies.applytojob.com/apply/7iZoYMZCX0/Machine-Learning-Engineer?source=INDE&amp;~", "https://brightvisiontechnologies.applytojob.com/apply/7iZoYMZCX0/Machine-Learning-Engineer?source=INDE&amp;~")</f>
        <v/>
      </c>
      <c r="G273" t="inlineStr">
        <is>
          <t>Remote, US</t>
        </is>
      </c>
      <c r="H273" s="3" t="n">
        <v>46060</v>
      </c>
      <c r="I273" t="inlineStr">
        <is>
          <t>**Machine Learning Engineer**  
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Machine Learning Engineer  
**Onsite/Hybrid:** Remote  
**FULL\-TIME ROLE WITH BRIGHT VISION**  
**Job Description:**  
**Environment:**  
Machine Learning, Python, TensorFlow, PyTorch, Scikit\-learn, Feature Engineering, Model Training \&amp; Evaluation, Model Deployment, RESTful APIs, Data Pipelines, SQL, NoSQL Databases,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7iZoYMZCX0</t>
        </is>
      </c>
    </row>
    <row r="274">
      <c r="A274" t="inlineStr">
        <is>
          <t>in-bf185dd298a23e35</t>
        </is>
      </c>
      <c r="B274" t="inlineStr">
        <is>
          <t>Machine Learning Engineer</t>
        </is>
      </c>
      <c r="C274" t="inlineStr">
        <is>
          <t>BV Teck</t>
        </is>
      </c>
      <c r="D274" t="inlineStr">
        <is>
          <t>indeed</t>
        </is>
      </c>
      <c r="E274">
        <f>HYPERLINK("https://www.indeed.com/viewjob?jk=bf185dd298a23e35", "https://www.indeed.com/viewjob?jk=bf185dd298a23e35")</f>
        <v/>
      </c>
      <c r="F274">
        <f>HYPERLINK("https://brightvisiontechnologies.applytojob.com/apply/LLTYJLce3g/Machine-Learning-Engineer?source=INDE&amp;~", "https://brightvisiontechnologies.applytojob.com/apply/LLTYJLce3g/Machine-Learning-Engineer?source=INDE&amp;~")</f>
        <v/>
      </c>
      <c r="G274" t="inlineStr">
        <is>
          <t>Remote, US</t>
        </is>
      </c>
      <c r="H274" s="3" t="n">
        <v>46060</v>
      </c>
      <c r="I274" t="inlineStr">
        <is>
          <t>**Machine Learning Engineer**  
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Machine Learning Engineer  
**Onsite/Hybrid:** Remote  
**FULL\-TIME ROLE WITH BRIGHT VISION**  
**Job Description:**  
**Environment:**  
Machine Learning, Python, TensorFlow, PyTorch, Scikit\-learn, Feature Engineering, Model Training \&amp; Evaluation, Model Deployment, RESTful APIs, Data Pipelines, SQL, NoSQL Databases,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LLTYJLce3g</t>
        </is>
      </c>
    </row>
    <row r="275">
      <c r="A275" t="inlineStr">
        <is>
          <t>in-9dd4d9aff284843c</t>
        </is>
      </c>
      <c r="B275" t="inlineStr">
        <is>
          <t>Machine Learning Engineer</t>
        </is>
      </c>
      <c r="C275" t="inlineStr">
        <is>
          <t>BV Teck</t>
        </is>
      </c>
      <c r="D275" t="inlineStr">
        <is>
          <t>indeed</t>
        </is>
      </c>
      <c r="E275">
        <f>HYPERLINK("https://www.indeed.com/viewjob?jk=9dd4d9aff284843c", "https://www.indeed.com/viewjob?jk=9dd4d9aff284843c")</f>
        <v/>
      </c>
      <c r="F275">
        <f>HYPERLINK("https://brightvisiontechnologies.applytojob.com/apply/iot0sRG4gy/Machine-Learning-Engineer?source=INDE&amp;~", "https://brightvisiontechnologies.applytojob.com/apply/iot0sRG4gy/Machine-Learning-Engineer?source=INDE&amp;~")</f>
        <v/>
      </c>
      <c r="G275" t="inlineStr">
        <is>
          <t>Remote, US</t>
        </is>
      </c>
      <c r="H275" s="3" t="n">
        <v>46060</v>
      </c>
      <c r="I275" t="inlineStr">
        <is>
          <t>**Machine Learning Engineer**  
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Machine Learning Engineer  
**Onsite/Hybrid:** Remote  
**FULL\-TIME ROLE WITH BRIGHT VISION**  
**Job Description:**  
**Environment:**  
Machine Learning, Python, TensorFlow, PyTorch, Scikit\-learn, Feature Engineering, Model Training \&amp; Evaluation, Model Deployment, RESTful APIs, Data Pipelines, SQL, NoSQL Databases,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iot0sRG4gy</t>
        </is>
      </c>
    </row>
    <row r="276">
      <c r="A276" t="inlineStr">
        <is>
          <t>in-ca596b3f4a640ed9</t>
        </is>
      </c>
      <c r="B276" t="inlineStr">
        <is>
          <t>Machine Learning Engineer</t>
        </is>
      </c>
      <c r="C276" t="inlineStr">
        <is>
          <t>BV Teck</t>
        </is>
      </c>
      <c r="D276" t="inlineStr">
        <is>
          <t>indeed</t>
        </is>
      </c>
      <c r="E276">
        <f>HYPERLINK("https://www.indeed.com/viewjob?jk=ca596b3f4a640ed9", "https://www.indeed.com/viewjob?jk=ca596b3f4a640ed9")</f>
        <v/>
      </c>
      <c r="F276">
        <f>HYPERLINK("https://brightvisiontechnologies.applytojob.com/apply/8wIXKIfKlP/Machine-Learning-Engineer?source=INDE&amp;~", "https://brightvisiontechnologies.applytojob.com/apply/8wIXKIfKlP/Machine-Learning-Engineer?source=INDE&amp;~")</f>
        <v/>
      </c>
      <c r="G276" t="inlineStr">
        <is>
          <t>Remote, US</t>
        </is>
      </c>
      <c r="H276" s="3" t="n">
        <v>46060</v>
      </c>
      <c r="I276" t="inlineStr">
        <is>
          <t>**Machine Learning Engineer**  
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Machine Learning Engineer  
**Onsite/Hybrid:** Remote  
**FULL\-TIME ROLE WITH BRIGHT VISION**  
**Job Description:**  
**Environment:**  
Machine Learning, Python, TensorFlow, PyTorch, Scikit\-learn, Feature Engineering, Model Training \&amp; Evaluation, Model Deployment, RESTful APIs, Data Pipelines, SQL, NoSQL Databases,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8wIXKIfKlP</t>
        </is>
      </c>
    </row>
    <row r="277">
      <c r="A277" t="inlineStr">
        <is>
          <t>in-920eeeef398e7207</t>
        </is>
      </c>
      <c r="B277" t="inlineStr">
        <is>
          <t>Machine Learning Engineer</t>
        </is>
      </c>
      <c r="C277" t="inlineStr">
        <is>
          <t>BV Teck</t>
        </is>
      </c>
      <c r="D277" t="inlineStr">
        <is>
          <t>indeed</t>
        </is>
      </c>
      <c r="E277">
        <f>HYPERLINK("https://www.indeed.com/viewjob?jk=920eeeef398e7207", "https://www.indeed.com/viewjob?jk=920eeeef398e7207")</f>
        <v/>
      </c>
      <c r="F277">
        <f>HYPERLINK("https://brightvisiontechnologies.applytojob.com/apply/6C6euTQKTR/Machine-Learning-Engineer?source=INDE&amp;~", "https://brightvisiontechnologies.applytojob.com/apply/6C6euTQKTR/Machine-Learning-Engineer?source=INDE&amp;~")</f>
        <v/>
      </c>
      <c r="G277" t="inlineStr">
        <is>
          <t>Remote, US</t>
        </is>
      </c>
      <c r="H277" s="3" t="n">
        <v>46060</v>
      </c>
      <c r="I277" t="inlineStr">
        <is>
          <t>**Machine Learning Engineer**  
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Machine Learning Engineer  
**Onsite/Hybrid:** Remote  
**FULL\-TIME ROLE WITH BRIGHT VISION**  
**Job Description:**  
**Environment:**  
Machine Learning, Python, TensorFlow, PyTorch, Scikit\-learn, Feature Engineering, Model Training \&amp; Evaluation, Model Deployment, RESTful APIs, Data Pipelines, SQL, NoSQL Databases,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6C6euTQKTR</t>
        </is>
      </c>
    </row>
    <row r="278">
      <c r="A278" t="inlineStr">
        <is>
          <t>in-90d7d3f4f1e7428b</t>
        </is>
      </c>
      <c r="B278" t="inlineStr">
        <is>
          <t>Machine Learning Engineer</t>
        </is>
      </c>
      <c r="C278" t="inlineStr">
        <is>
          <t>BV Teck</t>
        </is>
      </c>
      <c r="D278" t="inlineStr">
        <is>
          <t>indeed</t>
        </is>
      </c>
      <c r="E278">
        <f>HYPERLINK("https://www.indeed.com/viewjob?jk=90d7d3f4f1e7428b", "https://www.indeed.com/viewjob?jk=90d7d3f4f1e7428b")</f>
        <v/>
      </c>
      <c r="F278">
        <f>HYPERLINK("https://brightvisiontechnologies.applytojob.com/apply/2TQwl0XFFy/Machine-Learning-Engineer?source=INDE&amp;~", "https://brightvisiontechnologies.applytojob.com/apply/2TQwl0XFFy/Machine-Learning-Engineer?source=INDE&amp;~")</f>
        <v/>
      </c>
      <c r="G278" t="inlineStr">
        <is>
          <t>Remote, US</t>
        </is>
      </c>
      <c r="H278" s="3" t="n">
        <v>46060</v>
      </c>
      <c r="I278" t="inlineStr">
        <is>
          <t>**Machine Learning Engineer**  
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Machine Learning Engineer  
**Onsite/Hybrid:** Remote  
**FULL\-TIME ROLE WITH BRIGHT VISION**  
**Job Description:**  
**Environment:**  
Machine Learning, Python, TensorFlow, PyTorch, Scikit\-learn, Feature Engineering, Model Training \&amp; Evaluation, Model Deployment, RESTful APIs, Data Pipelines, SQL, NoSQL Databases,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2TQwl0XFFy</t>
        </is>
      </c>
    </row>
    <row r="279">
      <c r="A279" t="inlineStr">
        <is>
          <t>in-f59dbb61cdbed5d9</t>
        </is>
      </c>
      <c r="B279" t="inlineStr">
        <is>
          <t>Machine Learning Engineer</t>
        </is>
      </c>
      <c r="C279" t="inlineStr">
        <is>
          <t>BV Teck</t>
        </is>
      </c>
      <c r="D279" t="inlineStr">
        <is>
          <t>indeed</t>
        </is>
      </c>
      <c r="E279">
        <f>HYPERLINK("https://www.indeed.com/viewjob?jk=f59dbb61cdbed5d9", "https://www.indeed.com/viewjob?jk=f59dbb61cdbed5d9")</f>
        <v/>
      </c>
      <c r="F279">
        <f>HYPERLINK("https://brightvisiontechnologies.applytojob.com/apply/ZYvttgI8Lj/Machine-Learning-Engineer?source=INDE&amp;~", "https://brightvisiontechnologies.applytojob.com/apply/ZYvttgI8Lj/Machine-Learning-Engineer?source=INDE&amp;~")</f>
        <v/>
      </c>
      <c r="G279" t="inlineStr">
        <is>
          <t>Remote, US</t>
        </is>
      </c>
      <c r="H279" s="3" t="n">
        <v>46060</v>
      </c>
      <c r="I279" t="inlineStr">
        <is>
          <t>**Machine Learning Engineer**  
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Machine Learning Engineer  
**Onsite/Hybrid:** Remote  
**FULL\-TIME ROLE WITH BRIGHT VISION**  
**Job Description:**  
**Environment:**  
Machine Learning, Python, TensorFlow, PyTorch, Scikit\-learn, Feature Engineering, Model Training \&amp; Evaluation, Model Deployment, RESTful APIs, Data Pipelines, SQL, NoSQL Databases,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ZYvttgI8Lj</t>
        </is>
      </c>
    </row>
    <row r="280">
      <c r="A280" t="inlineStr">
        <is>
          <t>in-f08c8d014ae0e9f7</t>
        </is>
      </c>
      <c r="B280" t="inlineStr">
        <is>
          <t>Machine Learning Engineer</t>
        </is>
      </c>
      <c r="C280" t="inlineStr">
        <is>
          <t>BV Teck</t>
        </is>
      </c>
      <c r="D280" t="inlineStr">
        <is>
          <t>indeed</t>
        </is>
      </c>
      <c r="E280">
        <f>HYPERLINK("https://www.indeed.com/viewjob?jk=f08c8d014ae0e9f7", "https://www.indeed.com/viewjob?jk=f08c8d014ae0e9f7")</f>
        <v/>
      </c>
      <c r="F280">
        <f>HYPERLINK("https://brightvisiontechnologies.applytojob.com/apply/5G5Zb2vR3V/Machine-Learning-Engineer?source=INDE&amp;~", "https://brightvisiontechnologies.applytojob.com/apply/5G5Zb2vR3V/Machine-Learning-Engineer?source=INDE&amp;~")</f>
        <v/>
      </c>
      <c r="G280" t="inlineStr">
        <is>
          <t>Remote, US</t>
        </is>
      </c>
      <c r="H280" s="3" t="n">
        <v>46060</v>
      </c>
      <c r="I280" t="inlineStr">
        <is>
          <t>**Machine Learning Engineer**  
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Machine Learning Engineer  
**Onsite/Hybrid:** Remote  
**FULL\-TIME ROLE WITH BRIGHT VISION**  
**Job Description:**  
**Environment:**  
Machine Learning, Python, TensorFlow, PyTorch, Scikit\-learn, Feature Engineering, Model Training \&amp; Evaluation, Model Deployment, RESTful APIs, Data Pipelines, SQL, NoSQL Databases,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5G5Zb2vR3V</t>
        </is>
      </c>
    </row>
    <row r="281">
      <c r="A281" t="inlineStr">
        <is>
          <t>in-f3b5a97ff7d40a56</t>
        </is>
      </c>
      <c r="B281" t="inlineStr">
        <is>
          <t>Machine Learning Engineer</t>
        </is>
      </c>
      <c r="C281" t="inlineStr">
        <is>
          <t>BV Teck</t>
        </is>
      </c>
      <c r="D281" t="inlineStr">
        <is>
          <t>indeed</t>
        </is>
      </c>
      <c r="E281">
        <f>HYPERLINK("https://www.indeed.com/viewjob?jk=f3b5a97ff7d40a56", "https://www.indeed.com/viewjob?jk=f3b5a97ff7d40a56")</f>
        <v/>
      </c>
      <c r="F281">
        <f>HYPERLINK("https://brightvisiontechnologies.applytojob.com/apply/pu0iokuC9I/Machine-Learning-Engineer?source=INDE&amp;~", "https://brightvisiontechnologies.applytojob.com/apply/pu0iokuC9I/Machine-Learning-Engineer?source=INDE&amp;~")</f>
        <v/>
      </c>
      <c r="G281" t="inlineStr">
        <is>
          <t>Remote, US</t>
        </is>
      </c>
      <c r="H281" s="3" t="n">
        <v>46060</v>
      </c>
      <c r="I281" t="inlineStr">
        <is>
          <t>**Machine Learning Engineer**  
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Machine Learning Engineer  
**Onsite/Hybrid:** Remote  
**FULL\-TIME ROLE WITH BRIGHT VISION**  
**Job Description:**  
**Environment:**  
Machine Learning, Python, TensorFlow, PyTorch, Scikit\-learn, Feature Engineering, Model Training \&amp; Evaluation, Model Deployment, RESTful APIs, Data Pipelines, SQL, NoSQL Databases,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pu0iokuC9I</t>
        </is>
      </c>
    </row>
    <row r="282">
      <c r="A282" t="inlineStr">
        <is>
          <t>in-c91e3256f2679a62</t>
        </is>
      </c>
      <c r="B282" t="inlineStr">
        <is>
          <t>Machine Learning Engineer</t>
        </is>
      </c>
      <c r="C282" t="inlineStr">
        <is>
          <t>BV Teck</t>
        </is>
      </c>
      <c r="D282" t="inlineStr">
        <is>
          <t>indeed</t>
        </is>
      </c>
      <c r="E282">
        <f>HYPERLINK("https://www.indeed.com/viewjob?jk=c91e3256f2679a62", "https://www.indeed.com/viewjob?jk=c91e3256f2679a62")</f>
        <v/>
      </c>
      <c r="F282">
        <f>HYPERLINK("https://brightvisiontechnologies.applytojob.com/apply/QEsjk0cgOS/Machine-Learning-Engineer?source=INDE&amp;~", "https://brightvisiontechnologies.applytojob.com/apply/QEsjk0cgOS/Machine-Learning-Engineer?source=INDE&amp;~")</f>
        <v/>
      </c>
      <c r="G282" t="inlineStr">
        <is>
          <t>Remote, US</t>
        </is>
      </c>
      <c r="H282" s="3" t="n">
        <v>46060</v>
      </c>
      <c r="I282" t="inlineStr">
        <is>
          <t>**Machine Learning Engineer**  
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Machine Learning Engineer  
**Onsite/Hybrid:** Remote  
**FULL\-TIME ROLE WITH BRIGHT VISION**  
**Job Description:**  
**Environment:**  
Machine Learning, Python, TensorFlow, PyTorch, Scikit\-learn, Feature Engineering, Model Training \&amp; Evaluation, Model Deployment, RESTful APIs, Data Pipelines, SQL, NoSQL Databases,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Suresh Babu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QEsjk0cgOS</t>
        </is>
      </c>
    </row>
    <row r="283">
      <c r="A283" t="inlineStr">
        <is>
          <t>in-c8b5347c2416fd91</t>
        </is>
      </c>
      <c r="B283" t="inlineStr">
        <is>
          <t>AI Engineer</t>
        </is>
      </c>
      <c r="C283" t="inlineStr">
        <is>
          <t>BV Teck</t>
        </is>
      </c>
      <c r="D283" t="inlineStr">
        <is>
          <t>indeed</t>
        </is>
      </c>
      <c r="E283">
        <f>HYPERLINK("https://www.indeed.com/viewjob?jk=c8b5347c2416fd91", "https://www.indeed.com/viewjob?jk=c8b5347c2416fd91")</f>
        <v/>
      </c>
      <c r="F283">
        <f>HYPERLINK("https://brightvisiontechnologies.applytojob.com/apply/uWD4N3t9fR/AI-Engineer?source=INDE&amp;~", "https://brightvisiontechnologies.applytojob.com/apply/uWD4N3t9fR/AI-Engineer?source=INDE&amp;~")</f>
        <v/>
      </c>
      <c r="G283" t="inlineStr">
        <is>
          <t>Remote, US</t>
        </is>
      </c>
      <c r="H283" s="3" t="n">
        <v>46060</v>
      </c>
      <c r="I283" t="inlineStr">
        <is>
          <t>**AI Engineer**  
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AI Engineer  
**Onsite/Hybrid:** Remote  
**FULL\-TIME ROLE WITH BRIGHT VISION**  
**Job Description:**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uWD4N3t9fR</t>
        </is>
      </c>
    </row>
    <row r="284">
      <c r="A284" t="inlineStr">
        <is>
          <t>in-9ef14d2ae44437ab</t>
        </is>
      </c>
      <c r="B284" t="inlineStr">
        <is>
          <t>AI Engineer</t>
        </is>
      </c>
      <c r="C284" t="inlineStr">
        <is>
          <t>BV Teck</t>
        </is>
      </c>
      <c r="D284" t="inlineStr">
        <is>
          <t>indeed</t>
        </is>
      </c>
      <c r="E284">
        <f>HYPERLINK("https://www.indeed.com/viewjob?jk=9ef14d2ae44437ab", "https://www.indeed.com/viewjob?jk=9ef14d2ae44437ab")</f>
        <v/>
      </c>
      <c r="F284">
        <f>HYPERLINK("https://brightvisiontechnologies.applytojob.com/apply/m7o6NR3IKk/AI-Engineer?source=INDE&amp;~", "https://brightvisiontechnologies.applytojob.com/apply/m7o6NR3IKk/AI-Engineer?source=INDE&amp;~")</f>
        <v/>
      </c>
      <c r="G284" t="inlineStr">
        <is>
          <t>Remote, US</t>
        </is>
      </c>
      <c r="H284" s="3" t="n">
        <v>46060</v>
      </c>
      <c r="I284" t="inlineStr">
        <is>
          <t>**AI Engineer**  
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AI Engineer  
**Onsite/Hybrid:** Remote  
**FULL\-TIME ROLE WITH BRIGHT VISION**  
**Job Description:**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m7o6NR3IKk</t>
        </is>
      </c>
    </row>
    <row r="285">
      <c r="A285" t="inlineStr">
        <is>
          <t>in-9f7c8cc4429b58ea</t>
        </is>
      </c>
      <c r="B285" t="inlineStr">
        <is>
          <t>AI Engineer</t>
        </is>
      </c>
      <c r="C285" t="inlineStr">
        <is>
          <t>BV Teck</t>
        </is>
      </c>
      <c r="D285" t="inlineStr">
        <is>
          <t>indeed</t>
        </is>
      </c>
      <c r="E285">
        <f>HYPERLINK("https://www.indeed.com/viewjob?jk=9f7c8cc4429b58ea", "https://www.indeed.com/viewjob?jk=9f7c8cc4429b58ea")</f>
        <v/>
      </c>
      <c r="F285">
        <f>HYPERLINK("https://brightvisiontechnologies.applytojob.com/apply/JFY3onkq3I/AI-Engineer?source=INDE&amp;~", "https://brightvisiontechnologies.applytojob.com/apply/JFY3onkq3I/AI-Engineer?source=INDE&amp;~")</f>
        <v/>
      </c>
      <c r="G285" t="inlineStr">
        <is>
          <t>Remote, US</t>
        </is>
      </c>
      <c r="H285" s="3" t="n">
        <v>46060</v>
      </c>
      <c r="I285" t="inlineStr">
        <is>
          <t>**AI Engineer**  
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AI Engineer  
**Onsite/Hybrid:** Remote  
**FULL\-TIME ROLE WITH BRIGHT VISION**  
**Job Description:**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JFY3onkq3I</t>
        </is>
      </c>
    </row>
    <row r="286">
      <c r="A286" t="inlineStr">
        <is>
          <t>in-00602143d0f712f6</t>
        </is>
      </c>
      <c r="B286" t="inlineStr">
        <is>
          <t>AI Engineer</t>
        </is>
      </c>
      <c r="C286" t="inlineStr">
        <is>
          <t>BV Teck</t>
        </is>
      </c>
      <c r="D286" t="inlineStr">
        <is>
          <t>indeed</t>
        </is>
      </c>
      <c r="E286">
        <f>HYPERLINK("https://www.indeed.com/viewjob?jk=00602143d0f712f6", "https://www.indeed.com/viewjob?jk=00602143d0f712f6")</f>
        <v/>
      </c>
      <c r="F286">
        <f>HYPERLINK("https://brightvisiontechnologies.applytojob.com/apply/Gw5vzGSCyt/AI-Engineer?source=INDE&amp;~", "https://brightvisiontechnologies.applytojob.com/apply/Gw5vzGSCyt/AI-Engineer?source=INDE&amp;~")</f>
        <v/>
      </c>
      <c r="G286" t="inlineStr">
        <is>
          <t>Remote, US</t>
        </is>
      </c>
      <c r="H286" s="3" t="n">
        <v>46060</v>
      </c>
      <c r="I286" t="inlineStr">
        <is>
          <t>**AI Engineer**  
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AI Engineer  
**Onsite/Hybrid:** Remote  
**FULL\-TIME ROLE WITH BRIGHT VISION**  
**Job Description:**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Gw5vzGSCyt</t>
        </is>
      </c>
    </row>
    <row r="287">
      <c r="A287" t="inlineStr">
        <is>
          <t>in-0a164d3525dd8fa5</t>
        </is>
      </c>
      <c r="B287" t="inlineStr">
        <is>
          <t>AI Engineer</t>
        </is>
      </c>
      <c r="C287" t="inlineStr">
        <is>
          <t>BV Teck</t>
        </is>
      </c>
      <c r="D287" t="inlineStr">
        <is>
          <t>indeed</t>
        </is>
      </c>
      <c r="E287">
        <f>HYPERLINK("https://www.indeed.com/viewjob?jk=0a164d3525dd8fa5", "https://www.indeed.com/viewjob?jk=0a164d3525dd8fa5")</f>
        <v/>
      </c>
      <c r="F287">
        <f>HYPERLINK("https://brightvisiontechnologies.applytojob.com/apply/jWyoKzFtfB/AI-Engineer?source=INDE&amp;~", "https://brightvisiontechnologies.applytojob.com/apply/jWyoKzFtfB/AI-Engineer?source=INDE&amp;~")</f>
        <v/>
      </c>
      <c r="G287" t="inlineStr">
        <is>
          <t>Remote, US</t>
        </is>
      </c>
      <c r="H287" s="3" t="n">
        <v>46060</v>
      </c>
      <c r="I287" t="inlineStr">
        <is>
          <t>**AI Engineer**  
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AI Engineer  
**Onsite/Hybrid:** Remote  
**FULL\-TIME ROLE WITH BRIGHT VISION**  
**Job Description:**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jWyoKzFtfB</t>
        </is>
      </c>
    </row>
    <row r="288">
      <c r="A288" t="inlineStr">
        <is>
          <t>in-e8b0c677fd2b3327</t>
        </is>
      </c>
      <c r="B288" t="inlineStr">
        <is>
          <t>AI Engineer</t>
        </is>
      </c>
      <c r="C288" t="inlineStr">
        <is>
          <t>BV Teck</t>
        </is>
      </c>
      <c r="D288" t="inlineStr">
        <is>
          <t>indeed</t>
        </is>
      </c>
      <c r="E288">
        <f>HYPERLINK("https://www.indeed.com/viewjob?jk=e8b0c677fd2b3327", "https://www.indeed.com/viewjob?jk=e8b0c677fd2b3327")</f>
        <v/>
      </c>
      <c r="F288">
        <f>HYPERLINK("https://brightvisiontechnologies.applytojob.com/apply/OeaOpDr6pL/AI-Engineer?source=INDE&amp;~", "https://brightvisiontechnologies.applytojob.com/apply/OeaOpDr6pL/AI-Engineer?source=INDE&amp;~")</f>
        <v/>
      </c>
      <c r="G288" t="inlineStr">
        <is>
          <t>Remote, US</t>
        </is>
      </c>
      <c r="H288" s="3" t="n">
        <v>46060</v>
      </c>
      <c r="I288" t="inlineStr">
        <is>
          <t>**AI Engineer**  
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AI Engineer  
**Onsite/Hybrid:** Remote  
**FULL\-TIME ROLE WITH BRIGHT VISION**  
**Job Description:**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OeaOpDr6pL</t>
        </is>
      </c>
    </row>
    <row r="289">
      <c r="A289" t="inlineStr">
        <is>
          <t>in-9f6726fa3d78e67d</t>
        </is>
      </c>
      <c r="B289" t="inlineStr">
        <is>
          <t>AI Engineer</t>
        </is>
      </c>
      <c r="C289" t="inlineStr">
        <is>
          <t>BV Teck</t>
        </is>
      </c>
      <c r="D289" t="inlineStr">
        <is>
          <t>indeed</t>
        </is>
      </c>
      <c r="E289">
        <f>HYPERLINK("https://www.indeed.com/viewjob?jk=9f6726fa3d78e67d", "https://www.indeed.com/viewjob?jk=9f6726fa3d78e67d")</f>
        <v/>
      </c>
      <c r="F289">
        <f>HYPERLINK("https://brightvisiontechnologies.applytojob.com/apply/11nDF0eYRz/AI-Engineer?source=INDE&amp;~", "https://brightvisiontechnologies.applytojob.com/apply/11nDF0eYRz/AI-Engineer?source=INDE&amp;~")</f>
        <v/>
      </c>
      <c r="G289" t="inlineStr">
        <is>
          <t>Remote, US</t>
        </is>
      </c>
      <c r="H289" s="3" t="n">
        <v>46060</v>
      </c>
      <c r="I289" t="inlineStr">
        <is>
          <t>**AI Engineer**  
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AI Engineer  
**Onsite/Hybrid:** Remote  
**FULL\-TIME ROLE WITH BRIGHT VISION**  
**Job Description:**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11nDF0eYRz</t>
        </is>
      </c>
    </row>
    <row r="290">
      <c r="A290" t="inlineStr">
        <is>
          <t>in-4df13653e249c52d</t>
        </is>
      </c>
      <c r="B290" t="inlineStr">
        <is>
          <t>AI Engineer</t>
        </is>
      </c>
      <c r="C290" t="inlineStr">
        <is>
          <t>BV Teck</t>
        </is>
      </c>
      <c r="D290" t="inlineStr">
        <is>
          <t>indeed</t>
        </is>
      </c>
      <c r="E290">
        <f>HYPERLINK("https://www.indeed.com/viewjob?jk=4df13653e249c52d", "https://www.indeed.com/viewjob?jk=4df13653e249c52d")</f>
        <v/>
      </c>
      <c r="F290">
        <f>HYPERLINK("https://brightvisiontechnologies.applytojob.com/apply/XdT60A7gpP/AI-Engineer?source=INDE&amp;~", "https://brightvisiontechnologies.applytojob.com/apply/XdT60A7gpP/AI-Engineer?source=INDE&amp;~")</f>
        <v/>
      </c>
      <c r="G290" t="inlineStr">
        <is>
          <t>Remote, US</t>
        </is>
      </c>
      <c r="H290" s="3" t="n">
        <v>46060</v>
      </c>
      <c r="I290" t="inlineStr">
        <is>
          <t>**AI Engineer**  
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AI Engineer  
**Onsite/Hybrid:** Remote  
**FULL\-TIME ROLE WITH BRIGHT VISION**  
**Job Description:**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XdT60A7gpP</t>
        </is>
      </c>
    </row>
    <row r="291">
      <c r="A291" t="inlineStr">
        <is>
          <t>in-ac46745ab41910b6</t>
        </is>
      </c>
      <c r="B291" t="inlineStr">
        <is>
          <t>AI Engineer</t>
        </is>
      </c>
      <c r="C291" t="inlineStr">
        <is>
          <t>BV Teck</t>
        </is>
      </c>
      <c r="D291" t="inlineStr">
        <is>
          <t>indeed</t>
        </is>
      </c>
      <c r="E291">
        <f>HYPERLINK("https://www.indeed.com/viewjob?jk=ac46745ab41910b6", "https://www.indeed.com/viewjob?jk=ac46745ab41910b6")</f>
        <v/>
      </c>
      <c r="F291">
        <f>HYPERLINK("https://brightvisiontechnologies.applytojob.com/apply/EdOJWt94up/AI-Engineer?source=INDE&amp;~", "https://brightvisiontechnologies.applytojob.com/apply/EdOJWt94up/AI-Engineer?source=INDE&amp;~")</f>
        <v/>
      </c>
      <c r="G291" t="inlineStr">
        <is>
          <t>Remote, US</t>
        </is>
      </c>
      <c r="H291" s="3" t="n">
        <v>46060</v>
      </c>
      <c r="I291" t="inlineStr">
        <is>
          <t>**AI Engineer**  
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AI Engineer  
**Onsite/Hybrid:** Remote  
**FULL\-TIME ROLE WITH BRIGHT VISION**  
**Job Description:**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EdOJWt94up</t>
        </is>
      </c>
    </row>
    <row r="292">
      <c r="A292" t="inlineStr">
        <is>
          <t>in-89fa4b37e2ae28dd</t>
        </is>
      </c>
      <c r="B292" t="inlineStr">
        <is>
          <t>AI Engineer</t>
        </is>
      </c>
      <c r="C292" t="inlineStr">
        <is>
          <t>BV Teck</t>
        </is>
      </c>
      <c r="D292" t="inlineStr">
        <is>
          <t>indeed</t>
        </is>
      </c>
      <c r="E292">
        <f>HYPERLINK("https://www.indeed.com/viewjob?jk=89fa4b37e2ae28dd", "https://www.indeed.com/viewjob?jk=89fa4b37e2ae28dd")</f>
        <v/>
      </c>
      <c r="F292">
        <f>HYPERLINK("https://brightvisiontechnologies.applytojob.com/apply/4ACABQVc7o/AI-Engineer?source=INDE&amp;~", "https://brightvisiontechnologies.applytojob.com/apply/4ACABQVc7o/AI-Engineer?source=INDE&amp;~")</f>
        <v/>
      </c>
      <c r="G292" t="inlineStr">
        <is>
          <t>Remote, US</t>
        </is>
      </c>
      <c r="H292" s="3" t="n">
        <v>46060</v>
      </c>
      <c r="I292" t="inlineStr">
        <is>
          <t>**AI Engineer**  
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AI Engineer  
**Onsite/Hybrid:** Remote  
**FULL\-TIME ROLE WITH BRIGHT VISION**  
**Job Description:**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4ACABQVc7o</t>
        </is>
      </c>
    </row>
    <row r="293">
      <c r="A293" t="inlineStr">
        <is>
          <t>in-f38a45704609d814</t>
        </is>
      </c>
      <c r="B293" t="inlineStr">
        <is>
          <t>AI Engineer</t>
        </is>
      </c>
      <c r="C293" t="inlineStr">
        <is>
          <t>BV Teck</t>
        </is>
      </c>
      <c r="D293" t="inlineStr">
        <is>
          <t>indeed</t>
        </is>
      </c>
      <c r="E293">
        <f>HYPERLINK("https://www.indeed.com/viewjob?jk=f38a45704609d814", "https://www.indeed.com/viewjob?jk=f38a45704609d814")</f>
        <v/>
      </c>
      <c r="F293">
        <f>HYPERLINK("https://brightvisiontechnologies.applytojob.com/apply/zjSs3zZmXh/AI-Engineer?source=INDE&amp;~", "https://brightvisiontechnologies.applytojob.com/apply/zjSs3zZmXh/AI-Engineer?source=INDE&amp;~")</f>
        <v/>
      </c>
      <c r="G293" t="inlineStr">
        <is>
          <t>Remote, US</t>
        </is>
      </c>
      <c r="H293" s="3" t="n">
        <v>46060</v>
      </c>
      <c r="I293" t="inlineStr">
        <is>
          <t>**AI Engineer**  
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AI Engineer  
**Onsite/Hybrid:** Remote  
**FULL\-TIME ROLE WITH BRIGHT VISION**  
**Job Description:**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zjSs3zZmXh</t>
        </is>
      </c>
    </row>
    <row r="294">
      <c r="A294" t="inlineStr">
        <is>
          <t>in-97d6f7a4f3f8dee8</t>
        </is>
      </c>
      <c r="B294" t="inlineStr">
        <is>
          <t>AI Engineer</t>
        </is>
      </c>
      <c r="C294" t="inlineStr">
        <is>
          <t>BV Teck</t>
        </is>
      </c>
      <c r="D294" t="inlineStr">
        <is>
          <t>indeed</t>
        </is>
      </c>
      <c r="E294">
        <f>HYPERLINK("https://www.indeed.com/viewjob?jk=97d6f7a4f3f8dee8", "https://www.indeed.com/viewjob?jk=97d6f7a4f3f8dee8")</f>
        <v/>
      </c>
      <c r="F294">
        <f>HYPERLINK("https://brightvisiontechnologies.applytojob.com/apply/Hg2vhxDERH/AI-Engineer?source=INDE&amp;~", "https://brightvisiontechnologies.applytojob.com/apply/Hg2vhxDERH/AI-Engineer?source=INDE&amp;~")</f>
        <v/>
      </c>
      <c r="G294" t="inlineStr">
        <is>
          <t>Remote, US</t>
        </is>
      </c>
      <c r="H294" s="3" t="n">
        <v>46060</v>
      </c>
      <c r="I294" t="inlineStr">
        <is>
          <t>**AI Engineer**  
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AI Engineer  
**Onsite/Hybrid:** Remote  
**FULL\-TIME ROLE WITH BRIGHT VISION**  
**Job Description:**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Hg2vhxDERH</t>
        </is>
      </c>
    </row>
    <row r="295">
      <c r="A295" t="inlineStr">
        <is>
          <t>in-03e622db972219e4</t>
        </is>
      </c>
      <c r="B295" t="inlineStr">
        <is>
          <t>AI Engineer</t>
        </is>
      </c>
      <c r="C295" t="inlineStr">
        <is>
          <t>BV Teck</t>
        </is>
      </c>
      <c r="D295" t="inlineStr">
        <is>
          <t>indeed</t>
        </is>
      </c>
      <c r="E295">
        <f>HYPERLINK("https://www.indeed.com/viewjob?jk=03e622db972219e4", "https://www.indeed.com/viewjob?jk=03e622db972219e4")</f>
        <v/>
      </c>
      <c r="F295">
        <f>HYPERLINK("https://brightvisiontechnologies.applytojob.com/apply/AnT4z1pdB6/AI-Engineer?source=INDE&amp;~", "https://brightvisiontechnologies.applytojob.com/apply/AnT4z1pdB6/AI-Engineer?source=INDE&amp;~")</f>
        <v/>
      </c>
      <c r="G295" t="inlineStr">
        <is>
          <t>Remote, US</t>
        </is>
      </c>
      <c r="H295" s="3" t="n">
        <v>46060</v>
      </c>
      <c r="I295" t="inlineStr">
        <is>
          <t>**AI Engineer**  
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AI Engineer  
**Onsite/Hybrid:** Remote  
**FULL\-TIME ROLE WITH BRIGHT VISION**  
**Job Description:**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AnT4z1pdB6</t>
        </is>
      </c>
    </row>
    <row r="296">
      <c r="A296" t="inlineStr">
        <is>
          <t>in-94ca447a16f28d54</t>
        </is>
      </c>
      <c r="B296" t="inlineStr">
        <is>
          <t>AI Engineer</t>
        </is>
      </c>
      <c r="C296" t="inlineStr">
        <is>
          <t>BV Teck</t>
        </is>
      </c>
      <c r="D296" t="inlineStr">
        <is>
          <t>indeed</t>
        </is>
      </c>
      <c r="E296">
        <f>HYPERLINK("https://www.indeed.com/viewjob?jk=94ca447a16f28d54", "https://www.indeed.com/viewjob?jk=94ca447a16f28d54")</f>
        <v/>
      </c>
      <c r="F296">
        <f>HYPERLINK("https://brightvisiontechnologies.applytojob.com/apply/OYl5rtZnWp/AI-Engineer?source=INDE&amp;~", "https://brightvisiontechnologies.applytojob.com/apply/OYl5rtZnWp/AI-Engineer?source=INDE&amp;~")</f>
        <v/>
      </c>
      <c r="G296" t="inlineStr">
        <is>
          <t>Remote, US</t>
        </is>
      </c>
      <c r="H296" s="3" t="n">
        <v>46060</v>
      </c>
      <c r="I296" t="inlineStr">
        <is>
          <t>**AI Engineer**  
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AI Engineer  
**Onsite/Hybrid:** Remote  
**FULL\-TIME ROLE WITH BRIGHT VISION**  
**Job Description:**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OYl5rtZnWp</t>
        </is>
      </c>
    </row>
    <row r="297">
      <c r="A297" t="inlineStr">
        <is>
          <t>in-0e8720cbd788d114</t>
        </is>
      </c>
      <c r="B297" t="inlineStr">
        <is>
          <t>AI Engineer</t>
        </is>
      </c>
      <c r="C297" t="inlineStr">
        <is>
          <t>BV Teck</t>
        </is>
      </c>
      <c r="D297" t="inlineStr">
        <is>
          <t>indeed</t>
        </is>
      </c>
      <c r="E297">
        <f>HYPERLINK("https://www.indeed.com/viewjob?jk=0e8720cbd788d114", "https://www.indeed.com/viewjob?jk=0e8720cbd788d114")</f>
        <v/>
      </c>
      <c r="F297">
        <f>HYPERLINK("https://brightvisiontechnologies.applytojob.com/apply/zeRis01cLY/AI-Engineer?source=INDE&amp;~", "https://brightvisiontechnologies.applytojob.com/apply/zeRis01cLY/AI-Engineer?source=INDE&amp;~")</f>
        <v/>
      </c>
      <c r="G297" t="inlineStr">
        <is>
          <t>Remote, US</t>
        </is>
      </c>
      <c r="H297" s="3" t="n">
        <v>46060</v>
      </c>
      <c r="I297" t="inlineStr">
        <is>
          <t>**AI Engineer**  
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AI Engineer  
**Onsite/Hybrid:** Remote  
**FULL\-TIME ROLE WITH BRIGHT VISION**  
**Job Description:**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zeRis01cLY</t>
        </is>
      </c>
    </row>
    <row r="298">
      <c r="A298" t="inlineStr">
        <is>
          <t>in-582f66905f6c2e09</t>
        </is>
      </c>
      <c r="B298" t="inlineStr">
        <is>
          <t>AI Engineer</t>
        </is>
      </c>
      <c r="C298" t="inlineStr">
        <is>
          <t>BV Teck</t>
        </is>
      </c>
      <c r="D298" t="inlineStr">
        <is>
          <t>indeed</t>
        </is>
      </c>
      <c r="E298">
        <f>HYPERLINK("https://www.indeed.com/viewjob?jk=582f66905f6c2e09", "https://www.indeed.com/viewjob?jk=582f66905f6c2e09")</f>
        <v/>
      </c>
      <c r="F298">
        <f>HYPERLINK("https://brightvisiontechnologies.applytojob.com/apply/vxT4WY8Gv0/AI-Engineer?source=INDE&amp;~", "https://brightvisiontechnologies.applytojob.com/apply/vxT4WY8Gv0/AI-Engineer?source=INDE&amp;~")</f>
        <v/>
      </c>
      <c r="G298" t="inlineStr">
        <is>
          <t>Remote, US</t>
        </is>
      </c>
      <c r="H298" s="3" t="n">
        <v>46060</v>
      </c>
      <c r="I298" t="inlineStr">
        <is>
          <t>**AI Engineer**  
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AI Engineer  
**Onsite/Hybrid:** Remote  
**FULL\-TIME ROLE WITH BRIGHT VISION**  
**Job Description:**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vxT4WY8Gv0</t>
        </is>
      </c>
    </row>
    <row r="299">
      <c r="A299" t="inlineStr">
        <is>
          <t>in-0bb33f20f551e678</t>
        </is>
      </c>
      <c r="B299" t="inlineStr">
        <is>
          <t>AI Engineer</t>
        </is>
      </c>
      <c r="C299" t="inlineStr">
        <is>
          <t>BV Teck</t>
        </is>
      </c>
      <c r="D299" t="inlineStr">
        <is>
          <t>indeed</t>
        </is>
      </c>
      <c r="E299">
        <f>HYPERLINK("https://www.indeed.com/viewjob?jk=0bb33f20f551e678", "https://www.indeed.com/viewjob?jk=0bb33f20f551e678")</f>
        <v/>
      </c>
      <c r="F299">
        <f>HYPERLINK("https://brightvisiontechnologies.applytojob.com/apply/XUlKVNo2od/AI-Engineer?source=INDE&amp;~", "https://brightvisiontechnologies.applytojob.com/apply/XUlKVNo2od/AI-Engineer?source=INDE&amp;~")</f>
        <v/>
      </c>
      <c r="G299" t="inlineStr">
        <is>
          <t>Remote, US</t>
        </is>
      </c>
      <c r="H299" s="3" t="n">
        <v>46060</v>
      </c>
      <c r="I299" t="inlineStr">
        <is>
          <t>**AI Engineer**  
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AI Engineer  
**Onsite/Hybrid:** Remote  
**FULL\-TIME ROLE WITH BRIGHT VISION**  
**Job Description:**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XUlKVNo2od</t>
        </is>
      </c>
    </row>
    <row r="300">
      <c r="A300" t="inlineStr">
        <is>
          <t>in-155cd85e3f477984</t>
        </is>
      </c>
      <c r="B300" t="inlineStr">
        <is>
          <t>AI Engineer</t>
        </is>
      </c>
      <c r="C300" t="inlineStr">
        <is>
          <t>BV Teck</t>
        </is>
      </c>
      <c r="D300" t="inlineStr">
        <is>
          <t>indeed</t>
        </is>
      </c>
      <c r="E300">
        <f>HYPERLINK("https://www.indeed.com/viewjob?jk=155cd85e3f477984", "https://www.indeed.com/viewjob?jk=155cd85e3f477984")</f>
        <v/>
      </c>
      <c r="F300">
        <f>HYPERLINK("https://brightvisiontechnologies.applytojob.com/apply/wqZbTkVm39/AI-Engineer?source=INDE&amp;~", "https://brightvisiontechnologies.applytojob.com/apply/wqZbTkVm39/AI-Engineer?source=INDE&amp;~")</f>
        <v/>
      </c>
      <c r="G300" t="inlineStr">
        <is>
          <t>Remote, US</t>
        </is>
      </c>
      <c r="H300" s="3" t="n">
        <v>46060</v>
      </c>
      <c r="I300" t="inlineStr">
        <is>
          <t>**AI Engineer**  
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AI Engineer  
**Onsite/Hybrid:** Remote  
**FULL\-TIME ROLE WITH BRIGHT VISION**  
**Job Description:**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wqZbTkVm39</t>
        </is>
      </c>
    </row>
    <row r="301">
      <c r="A301" t="inlineStr">
        <is>
          <t>in-c94347180b47a048</t>
        </is>
      </c>
      <c r="B301" t="inlineStr">
        <is>
          <t>AI Engineer</t>
        </is>
      </c>
      <c r="C301" t="inlineStr">
        <is>
          <t>BV Teck</t>
        </is>
      </c>
      <c r="D301" t="inlineStr">
        <is>
          <t>indeed</t>
        </is>
      </c>
      <c r="E301">
        <f>HYPERLINK("https://www.indeed.com/viewjob?jk=c94347180b47a048", "https://www.indeed.com/viewjob?jk=c94347180b47a048")</f>
        <v/>
      </c>
      <c r="F301">
        <f>HYPERLINK("https://brightvisiontechnologies.applytojob.com/apply/sGt7m1Wls1/AI-Engineer?source=INDE&amp;~", "https://brightvisiontechnologies.applytojob.com/apply/sGt7m1Wls1/AI-Engineer?source=INDE&amp;~")</f>
        <v/>
      </c>
      <c r="G301" t="inlineStr">
        <is>
          <t>Remote, US</t>
        </is>
      </c>
      <c r="H301" s="3" t="n">
        <v>46060</v>
      </c>
      <c r="I301" t="inlineStr">
        <is>
          <t>**AI Engineer**  
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AI Engineer  
**Onsite/Hybrid:** Remote  
**FULL\-TIME ROLE WITH BRIGHT VISION**  
**Job Description:**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Again, **we work only with direct clients**. If you are already on **H\-1 B** and are open to an **H\-1 B transfer**, feel free to apply.  
**BUT STRICTLY NO C2C/1099/3RD PARTY COMPANIES. ALL OUR ROLES ARE W2 AND NO 3RD PARTY BROKERING PLEASE.**  
For every role, a **coding test is required**, so apply only if you are **confident and technically strong**.  
We prefer **at least 3 to 5 years of real\-time experience**.  
**Thanks\&amp; Regards**  
Best Regards,  
Suresh Babu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sGt7m1Wls1</t>
        </is>
      </c>
    </row>
    <row r="302">
      <c r="A302" t="inlineStr">
        <is>
          <t>in-1679cbb23eb4143e</t>
        </is>
      </c>
      <c r="B302" t="inlineStr">
        <is>
          <t>Data and Machine Learning Engineer - Vision Language Models, Data &amp; Machine Learning (DML)</t>
        </is>
      </c>
      <c r="C302" t="inlineStr">
        <is>
          <t>Amazon Web Services</t>
        </is>
      </c>
      <c r="D302" t="inlineStr">
        <is>
          <t>indeed</t>
        </is>
      </c>
      <c r="E302">
        <f>HYPERLINK("https://www.indeed.com/viewjob?jk=1679cbb23eb4143e", "https://www.indeed.com/viewjob?jk=1679cbb23eb4143e")</f>
        <v/>
      </c>
      <c r="F302">
        <f>HYPERLINK("https://www.amazon.jobs/jobs/3173014/data-and-machine-learning-engineer--vision-language-models-data--machine-learning-dml?cmpid=DA_INAD200785B", "https://www.amazon.jobs/jobs/3173014/data-and-machine-learning-engineer--vision-language-models-data--machine-learning-dml?cmpid=DA_INAD200785B")</f>
        <v/>
      </c>
      <c r="G302" t="inlineStr">
        <is>
          <t>Arlington, VA, US</t>
        </is>
      </c>
      <c r="H302" s="3" t="n">
        <v>46051</v>
      </c>
      <c r="I302"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Top Secret or above
**PREFERRED QUALIFICATIONS**
----------------------------
* Experience in a ML or data scientist role with a large technology company
* Experience working on multi\-team, cross\-disciplinary projects
* Master's degree or above in computer science, machine learning, engineering, or related fields
* Knowledge of Linux, PyTorch, and Git workflows for computer vision requirements
* Experience developing visual language models leveraging satellite imagery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303">
      <c r="A303" t="inlineStr">
        <is>
          <t>in-78b5a0f1b91b7870</t>
        </is>
      </c>
      <c r="B303" t="inlineStr">
        <is>
          <t>Data and Machine Learning Engineer - Vision Language Models, Data &amp; Machine Learning (DML)</t>
        </is>
      </c>
      <c r="C303" t="inlineStr">
        <is>
          <t>Amazon Web Services</t>
        </is>
      </c>
      <c r="D303" t="inlineStr">
        <is>
          <t>indeed</t>
        </is>
      </c>
      <c r="E303">
        <f>HYPERLINK("https://www.indeed.com/viewjob?jk=78b5a0f1b91b7870", "https://www.indeed.com/viewjob?jk=78b5a0f1b91b7870")</f>
        <v/>
      </c>
      <c r="F303">
        <f>HYPERLINK("https://www.amazon.jobs/jobs/3173014/data-and-machine-learning-engineer--vision-language-models-data--machine-learning-dml?cmpid=DA_INAD200785B", "https://www.amazon.jobs/jobs/3173014/data-and-machine-learning-engineer--vision-language-models-data--machine-learning-dml?cmpid=DA_INAD200785B")</f>
        <v/>
      </c>
      <c r="G303" t="inlineStr">
        <is>
          <t>Herndon, VA, US</t>
        </is>
      </c>
      <c r="H303" s="3" t="n">
        <v>46051</v>
      </c>
      <c r="I303"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Top Secret or above
**PREFERRED QUALIFICATIONS**
----------------------------
* Experience in a ML or data scientist role with a large technology company
* Experience working on multi\-team, cross\-disciplinary projects
* Master's degree or above in computer science, machine learning, engineering, or related fields
* Knowledge of Linux, PyTorch, and Git workflows for computer vision requirements
* Experience developing visual language models leveraging satellite imagery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304">
      <c r="A304" t="inlineStr">
        <is>
          <t>in-ebae0c69427165b8</t>
        </is>
      </c>
      <c r="B304" t="inlineStr">
        <is>
          <t>Machine Learning Engineer, WWPS ProServe Data and Machine Learning</t>
        </is>
      </c>
      <c r="C304" t="inlineStr">
        <is>
          <t>Amazon Web Services</t>
        </is>
      </c>
      <c r="D304" t="inlineStr">
        <is>
          <t>indeed</t>
        </is>
      </c>
      <c r="E304">
        <f>HYPERLINK("https://www.indeed.com/viewjob?jk=ebae0c69427165b8", "https://www.indeed.com/viewjob?jk=ebae0c69427165b8")</f>
        <v/>
      </c>
      <c r="F304">
        <f>HYPERLINK("https://www.amazon.jobs/jobs/3168182/machine-learning-engineer-wwps-proserve-data-and-machine-learning?cmpid=DA_INAD200785B", "https://www.amazon.jobs/jobs/3168182/machine-learning-engineer-wwps-proserve-data-and-machine-learning?cmpid=DA_INAD200785B")</f>
        <v/>
      </c>
      <c r="G304" t="inlineStr">
        <is>
          <t>Herndon, VA, US</t>
        </is>
      </c>
      <c r="H304" s="3" t="n">
        <v>46044</v>
      </c>
      <c r="I304"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305">
      <c r="A305" t="inlineStr">
        <is>
          <t>in-94a52cdb97280018</t>
        </is>
      </c>
      <c r="B305" t="inlineStr">
        <is>
          <t>Machine Learning Engineer, WWPS ProServe Data and Machine Learning</t>
        </is>
      </c>
      <c r="C305" t="inlineStr">
        <is>
          <t>Amazon Web Services</t>
        </is>
      </c>
      <c r="D305" t="inlineStr">
        <is>
          <t>indeed</t>
        </is>
      </c>
      <c r="E305">
        <f>HYPERLINK("https://www.indeed.com/viewjob?jk=94a52cdb97280018", "https://www.indeed.com/viewjob?jk=94a52cdb97280018")</f>
        <v/>
      </c>
      <c r="F305">
        <f>HYPERLINK("https://www.amazon.jobs/jobs/3168182/machine-learning-engineer-wwps-proserve-data-and-machine-learning?cmpid=DA_INAD200785B", "https://www.amazon.jobs/jobs/3168182/machine-learning-engineer-wwps-proserve-data-and-machine-learning?cmpid=DA_INAD200785B")</f>
        <v/>
      </c>
      <c r="G305" t="inlineStr">
        <is>
          <t>Arlington, VA, US</t>
        </is>
      </c>
      <c r="H305" s="3" t="n">
        <v>46044</v>
      </c>
      <c r="I305"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306">
      <c r="A306" t="inlineStr">
        <is>
          <t>in-2b3ef798e76b89dd</t>
        </is>
      </c>
      <c r="B306" t="inlineStr">
        <is>
          <t>Machine Learning Engineer, WWPS ProServe Data and Machine Learning</t>
        </is>
      </c>
      <c r="C306" t="inlineStr">
        <is>
          <t>Amazon Web Services</t>
        </is>
      </c>
      <c r="D306" t="inlineStr">
        <is>
          <t>indeed</t>
        </is>
      </c>
      <c r="E306">
        <f>HYPERLINK("https://www.indeed.com/viewjob?jk=2b3ef798e76b89dd", "https://www.indeed.com/viewjob?jk=2b3ef798e76b89dd")</f>
        <v/>
      </c>
      <c r="F306">
        <f>HYPERLINK("https://www.amazon.jobs/jobs/3168180/machine-learning-engineer-wwps-proserve-data-and-machine-learning?cmpid=DA_INAD200785B", "https://www.amazon.jobs/jobs/3168180/machine-learning-engineer-wwps-proserve-data-and-machine-learning?cmpid=DA_INAD200785B")</f>
        <v/>
      </c>
      <c r="G306" t="inlineStr">
        <is>
          <t>Herndon, VA, US</t>
        </is>
      </c>
      <c r="H306" s="3" t="n">
        <v>46043</v>
      </c>
      <c r="I306"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307">
      <c r="A307" t="inlineStr">
        <is>
          <t>in-de065b2abb6580df</t>
        </is>
      </c>
      <c r="B307" t="inlineStr">
        <is>
          <t>Machine Learning Engineer, WWPS ProServe Data and Machine Learning</t>
        </is>
      </c>
      <c r="C307" t="inlineStr">
        <is>
          <t>Amazon Web Services</t>
        </is>
      </c>
      <c r="D307" t="inlineStr">
        <is>
          <t>indeed</t>
        </is>
      </c>
      <c r="E307">
        <f>HYPERLINK("https://www.indeed.com/viewjob?jk=de065b2abb6580df", "https://www.indeed.com/viewjob?jk=de065b2abb6580df")</f>
        <v/>
      </c>
      <c r="F307">
        <f>HYPERLINK("https://www.amazon.jobs/jobs/3168180/machine-learning-engineer-wwps-proserve-data-and-machine-learning?cmpid=DA_INAD200785B", "https://www.amazon.jobs/jobs/3168180/machine-learning-engineer-wwps-proserve-data-and-machine-learning?cmpid=DA_INAD200785B")</f>
        <v/>
      </c>
      <c r="G307" t="inlineStr">
        <is>
          <t>Arlington, VA, US</t>
        </is>
      </c>
      <c r="H307" s="3" t="n">
        <v>46043</v>
      </c>
      <c r="I307"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308">
      <c r="A308" t="inlineStr">
        <is>
          <t>in-7dfb650b7de7cc7b</t>
        </is>
      </c>
      <c r="B308" t="inlineStr">
        <is>
          <t>Applied Scientist, Alexa Smart Home</t>
        </is>
      </c>
      <c r="C308" t="inlineStr">
        <is>
          <t>Amazon.com</t>
        </is>
      </c>
      <c r="D308" t="inlineStr">
        <is>
          <t>indeed</t>
        </is>
      </c>
      <c r="E308">
        <f>HYPERLINK("https://www.indeed.com/viewjob?jk=7dfb650b7de7cc7b", "https://www.indeed.com/viewjob?jk=7dfb650b7de7cc7b")</f>
        <v/>
      </c>
      <c r="F308">
        <f>HYPERLINK("https://www.amazon.jobs/jobs/3169205/applied-scientist-alexa-smart-home?cmpid=DA_INAD200785B", "https://www.amazon.jobs/jobs/3169205/applied-scientist-alexa-smart-home?cmpid=DA_INAD200785B")</f>
        <v/>
      </c>
      <c r="G308" t="inlineStr">
        <is>
          <t>Seattle, WA, US</t>
        </is>
      </c>
      <c r="H308" s="3" t="n">
        <v>46033</v>
      </c>
      <c r="I308"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309">
      <c r="A309" t="inlineStr">
        <is>
          <t>in-f216a1727f447ec1</t>
        </is>
      </c>
      <c r="B309" t="inlineStr">
        <is>
          <t>Applied Scientist, Alexa Smart Home</t>
        </is>
      </c>
      <c r="C309" t="inlineStr">
        <is>
          <t>Amazon.com</t>
        </is>
      </c>
      <c r="D309" t="inlineStr">
        <is>
          <t>indeed</t>
        </is>
      </c>
      <c r="E309">
        <f>HYPERLINK("https://www.indeed.com/viewjob?jk=f216a1727f447ec1", "https://www.indeed.com/viewjob?jk=f216a1727f447ec1")</f>
        <v/>
      </c>
      <c r="F309">
        <f>HYPERLINK("https://www.amazon.jobs/jobs/3169205/applied-scientist-alexa-smart-home?cmpid=DA_INAD200785B", "https://www.amazon.jobs/jobs/3169205/applied-scientist-alexa-smart-home?cmpid=DA_INAD200785B")</f>
        <v/>
      </c>
      <c r="G309" t="inlineStr">
        <is>
          <t>Sunnyvale, CA, US</t>
        </is>
      </c>
      <c r="H309" s="3" t="n">
        <v>46033</v>
      </c>
      <c r="I309"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310">
      <c r="A310" t="inlineStr">
        <is>
          <t>in-f61fd78294975d63</t>
        </is>
      </c>
      <c r="B310" t="inlineStr">
        <is>
          <t>ML Engineer, GO-AI Technology &amp; Development Team</t>
        </is>
      </c>
      <c r="C310" t="inlineStr">
        <is>
          <t>Amazon.com</t>
        </is>
      </c>
      <c r="D310" t="inlineStr">
        <is>
          <t>indeed</t>
        </is>
      </c>
      <c r="E310">
        <f>HYPERLINK("https://www.indeed.com/viewjob?jk=f61fd78294975d63", "https://www.indeed.com/viewjob?jk=f61fd78294975d63")</f>
        <v/>
      </c>
      <c r="F310">
        <f>HYPERLINK("https://www.amazon.jobs/jobs/3173298/ml-engineer-goai-technology--development-team?cmpid=DA_INAD200785B", "https://www.amazon.jobs/jobs/3173298/ml-engineer-goai-technology--development-team?cmpid=DA_INAD200785B")</f>
        <v/>
      </c>
      <c r="G310" t="inlineStr">
        <is>
          <t>Seattle, WA, US</t>
        </is>
      </c>
      <c r="H310" s="3" t="n">
        <v>45998</v>
      </c>
      <c r="I310"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311">
      <c r="A311" t="inlineStr">
        <is>
          <t>in-f2607d32cf09f77b</t>
        </is>
      </c>
      <c r="B311" t="inlineStr">
        <is>
          <t>ML Engineer, GO-AI Technology &amp; Development Team</t>
        </is>
      </c>
      <c r="C311" t="inlineStr">
        <is>
          <t>Amazon.com</t>
        </is>
      </c>
      <c r="D311" t="inlineStr">
        <is>
          <t>indeed</t>
        </is>
      </c>
      <c r="E311">
        <f>HYPERLINK("https://www.indeed.com/viewjob?jk=f2607d32cf09f77b", "https://www.indeed.com/viewjob?jk=f2607d32cf09f77b")</f>
        <v/>
      </c>
      <c r="F311">
        <f>HYPERLINK("https://www.amazon.jobs/jobs/3173298/ml-engineer-goai-technology--development-team?cmpid=DA_INAD200785B", "https://www.amazon.jobs/jobs/3173298/ml-engineer-goai-technology--development-team?cmpid=DA_INAD200785B")</f>
        <v/>
      </c>
      <c r="G311" t="inlineStr">
        <is>
          <t>Boston, MA, US</t>
        </is>
      </c>
      <c r="H311" s="3" t="n">
        <v>45998</v>
      </c>
      <c r="I311"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312">
      <c r="A312" t="inlineStr">
        <is>
          <t>in-5b98311ca06bf13a</t>
        </is>
      </c>
      <c r="B312" t="inlineStr">
        <is>
          <t>ML Engineer, GO-AI Technology &amp; Development Team</t>
        </is>
      </c>
      <c r="C312" t="inlineStr">
        <is>
          <t>Amazon.com</t>
        </is>
      </c>
      <c r="D312" t="inlineStr">
        <is>
          <t>indeed</t>
        </is>
      </c>
      <c r="E312">
        <f>HYPERLINK("https://www.indeed.com/viewjob?jk=5b98311ca06bf13a", "https://www.indeed.com/viewjob?jk=5b98311ca06bf13a")</f>
        <v/>
      </c>
      <c r="F312">
        <f>HYPERLINK("https://www.amazon.jobs/jobs/3173298/ml-engineer-goai-technology--development-team?cmpid=DA_INAD200785B", "https://www.amazon.jobs/jobs/3173298/ml-engineer-goai-technology--development-team?cmpid=DA_INAD200785B")</f>
        <v/>
      </c>
      <c r="G312" t="inlineStr">
        <is>
          <t>Reading, MA, US</t>
        </is>
      </c>
      <c r="H312" s="3" t="n">
        <v>45998</v>
      </c>
      <c r="I312"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313">
      <c r="A313" t="inlineStr">
        <is>
          <t>in-e4df07a2dbae5c20</t>
        </is>
      </c>
      <c r="B313" t="inlineStr">
        <is>
          <t>ML Engineer, GO-AI Technology &amp; Development Team</t>
        </is>
      </c>
      <c r="C313" t="inlineStr">
        <is>
          <t>Amazon.com</t>
        </is>
      </c>
      <c r="D313" t="inlineStr">
        <is>
          <t>indeed</t>
        </is>
      </c>
      <c r="E313">
        <f>HYPERLINK("https://www.indeed.com/viewjob?jk=e4df07a2dbae5c20", "https://www.indeed.com/viewjob?jk=e4df07a2dbae5c20")</f>
        <v/>
      </c>
      <c r="F313">
        <f>HYPERLINK("https://www.amazon.jobs/jobs/3173298/ml-engineer-goai-technology--development-team?cmpid=DA_INAD200785B", "https://www.amazon.jobs/jobs/3173298/ml-engineer-goai-technology--development-team?cmpid=DA_INAD200785B")</f>
        <v/>
      </c>
      <c r="G313" t="inlineStr">
        <is>
          <t>Westborough, MA, US</t>
        </is>
      </c>
      <c r="H313" s="3" t="n">
        <v>45998</v>
      </c>
      <c r="I313"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314">
      <c r="A314" t="inlineStr">
        <is>
          <t>in-a682a158658bef3b</t>
        </is>
      </c>
      <c r="B314" t="inlineStr">
        <is>
          <t>AI Machine Learning Engineer, Senior / Orlando, FL</t>
        </is>
      </c>
      <c r="C314" t="inlineStr">
        <is>
          <t>Lockheed Martin</t>
        </is>
      </c>
      <c r="D314" t="inlineStr">
        <is>
          <t>indeed</t>
        </is>
      </c>
      <c r="E314">
        <f>HYPERLINK("https://www.indeed.com/viewjob?jk=a682a158658bef3b", "https://www.indeed.com/viewjob?jk=a682a158658bef3b")</f>
        <v/>
      </c>
      <c r="F314">
        <f>HYPERLINK("https://click.appcast.io/t/GzdNw8eVdho9laPpITK-J3dA-T3u0Gzi-JVc-LtifQE=", "https://click.appcast.io/t/GzdNw8eVdho9laPpITK-J3dA-T3u0Gzi-JVc-LtifQE=")</f>
        <v/>
      </c>
      <c r="G314" t="inlineStr">
        <is>
          <t>Orlando, FL, US</t>
        </is>
      </c>
      <c r="H314" s="3" t="n">
        <v>45971</v>
      </c>
      <c r="I314" t="inlineStr">
        <is>
          <t>**Job ID:** 710297BR
**Date posted:** Nov. 11, 2025  
**Description:**  
You will be a Analytics / Machine Learning Engineer in our Software Engineering organization.  
Lockheed Martin is a global security and aerospace company that employs approximately 114,000 people worldwide and is principally engaged in the research, design, development, manufacture, integration and sustainment of advanced technology systems, products and services. Lockheed Martin Missiles and Fire Control (MFC) is one of four Lockheed Martin business areas. MFC is a recognized designer, developer and manufacturer of precision engagement aerospace and defense systems for the U.S. and allied militaries. MFC develops, manufactures and supports advanced products for military customers that include the U.S. Army, Navy, Air Force, Marine Corps, NASA and dozens of foreign allies. MFC also offers a wide range of products and services for the global civil nuclear power industry and the military's green power initiatives.
**What You Will Be Doing**  
As a Analytics / Machine Learning Engineer, your responsibilities will include:
* Leverage advanced analytics, web development, data engineering, and machine learning to drive data\-driven decision\-making across MFC engineering and production
* Apply advanced statistical techniques, machine learning algorithms, and data visualization methods to identify trends, patterns, and correlations in data from engineering development and production sources
* Develop, implement, and advocate for AI\-powered solutions
Key responsibilities will include:  
* Collaborate with researchers and engineers to identify opportunities for AI/ML applications and develop proof\-of\-concepts
* Establish rigorous standards for ML Ops strategies for various programs and applications
* Maintain AI/ML systems, including data pipelines, model training, optimization, and deployment
* Stay current with the latest advancements in AI/ML, including new algorithms, techniques, and tools
* Collaborate with external partners, including academia and industry, to advance ML Ops research and applications
**Why Join Us**  
Do you want to be part of a company culture that encourages employees to build their career, leverage their knowledge while using cutting edge technology, and achieve challenging goals? We provide the foundation and resources to help you stay motivated, inspired, and productive. If you are driven, dedicated, and enjoy doing what you love, then we want you to join our journey and build a better tomorrow with you.  
This position is onsite in Orlando, Florida. We offer flexible work schedules to comprehensive benefits investing in your future and security, Learn more about Lockheed Martin's comprehensive benefits package here.  
**Further Information About This Opportunity:**  
This position is in Orlando. Discover more about our Orlando, Florida location.  
MUST BE A U.S. CITIZEN \- This position is located at a facility that requires special access. The selected candidate must be able to obtain a secret clearance.  
**Basic Qualifications:**  
* Master's or Ph.D. degree in Computer Science, Electrical Engineering, or a related field
* 3\+ years of experience in AI/ML research and deployment, with a strong background in ML Ops
* Proficiency in programming languages such as Python and C\+\+
* Experience with AI/ML frameworks and libraries, including TensorFlow, PyTorch, and scikit\-learn
* Software development skills, with experience in version control systems
* Ability to obtain an interim secret security clearance prior to start and therefore must be US Citizen.
**Desired Skills:**  
* Experience with ML pipeline packages such as Flyte, Kubeflow pipelines, and MLFlow
* Strong communication and collaboration skills, with the ability to work effectively in a team environment
* Experience with data storage libraries such as Feathr and LakeFS
* Familiarity with containerization using Docker and Kubernetes
* Strong understanding of statistical modeling and machine learning techniques.
* Experience with agile development methodologies and version control systems
* Experience in deployment of AI and statistical algorithm systems on high performance compute infrastructure
* Experience with AI/ML ethics, fairness, and transparency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  
**Business Unit:** MISSILES AND FIRE CONTROL  
**Relocation Available:** Possible  
**Career Area:** Software Engineering  
**Type:** Full\-Time  
**Shift:** First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li-4322471016</t>
        </is>
      </c>
      <c r="B2" t="inlineStr">
        <is>
          <t>Senior Platform &amp; AI Engineer</t>
        </is>
      </c>
      <c r="C2" t="inlineStr">
        <is>
          <t>Adobe</t>
        </is>
      </c>
      <c r="D2" t="inlineStr">
        <is>
          <t>linkedin</t>
        </is>
      </c>
      <c r="E2" t="inlineStr"/>
      <c r="F2" t="inlineStr"/>
      <c r="G2" t="inlineStr">
        <is>
          <t>San Jose, CA</t>
        </is>
      </c>
      <c r="H2" t="inlineStr"/>
      <c r="I2"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**Opportunity**
 Adobe Professional Services is looking for a full\-time Platform \&amp; AI Engineer with experience in building solutions/integrations using cloud technology stacks to solve digital experience solutions for Adobe’s Digital Experience enterprise customers.
 Customer\-facing Engineers who excel at solving complex technical challenges, delighting customers, and driving agent\-based automation in a collaborative environment will thrive here. If you have a strong foundation in Data Engineering, building scalable API based integrations and are passionate about architecting autonomous AI systems—including LLM agents and intelligent automation—this is your ideal next step.
**What You’ll Do**
* Collaborate with Data Architects, Solution Consultants, and Product Engineering teams to capture customer requirements and build advanced, agentic AI solutions using autonomous agents, multi\-agent systems, or LLM\-based orchestrations.
* Partner with enterprise customers to develop intelligent data flows and agent\-based integrations that automate, optimize, and enable autonomous decision\-making within Adobe DX solutions.
* Define, implement, and promote Data Engineering guidelines through clear documentation and reusable work. These include data models, ETL/ELT pipeline compositions, data flow diagrams, source\-to\-target mappings, schema definitions, data dictionaries, metadata documentation, governance and quality standards, and security and compliance protocols.
* Develop and improve features that incorporate LLMs, AI agents, and/or multi\-agent orchestration for dynamic data integration, workflow automation, and real\-time business value.
* Encourage the team to overcome technical challenges and integrate next\-generation agentic AI development principles.
* Work with Project Managers to scope, bill, and forecast time for customer solutions, demonstrating agent\-based AI and automation strategies.
**Requirements**
* BS/MS degree in Computer Science or equivalent industry experience
* AWS Certified Data Engineer \- Associate
* 7\+ years of experience architecting, building, and maintaining scalable, fault\-tolerant data processing workflows using AWS core/managed services (API Gateway, S3, EC2, Lambda, Glue, IAM, CloudFormation, CloudWatch, Athena, DynamoDB, EMR, Kinesis, DataSync, Transfer Family) and Python (including PySpark); strong understanding of data architecture, ETL/ELT.
* 2\+ years working with AWS AI/ML and agentic services such as SageMaker, Bedrock, Vector databases (OpenSearch, Pinecone)
* Demonstrated experience (or significant exposure) designing, integrating, and scaling agentic AI systems—such as LLM agents, multi\-agent frameworks (LangChain, LangGraph, LangSmith, MLFlow), autonomous orchestration, or decision\-making pipelines. Capable of evolving data engineering solutions into intelligent, agent\-based offerings.
* Practical knowledge of CI/CD, Jenkins, CloudFormation/Terraform deploying AI agents and ML models into production, tracking autonomous workflow performance, and maintaining agentic ML operations using Docker or Kubernetes, alongside traditional pipelines.
* Skilled in advanced data profiling, feature engineering, and crafting agentic workflows that incorporate reasoning, context, and self\-directed automation.
* Effective at bridging data engineering, AI agent development, and customer\-facing requirements—working closely with Architects and Product Engineers for agentic AI and custom solutions.
* Rapidly evolves with AI, LLM, and agentic technologies—adapting to advances in autonomous systems and demonstrating a strong growth mindset.
* Able to turn customer requirements into sophisticated, autonomous solutions.
**Special Consideration given for**
* AWS Certified Machine Learning – Specialty OR AWS Certified Solutions Architect \- Associate
* Proficiency in Customer Data Platform (CDP), Data Management Platform (DMP), or Content Management System (CMS)
* Experience \&amp; knowledge with Adobe DX Cloud solutions
* Proficiency in AI Tools available on the Adobe DX Platform or with third\-party solutions
 Our compensation reflects the cost of labor across several  U.S. geographic markets, and we pay differently based on those defined markets. The U.S. pay range for this position is $139,000 \-\- $257,550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$177,900 \- $257,550 In New York, the pay range for this position is $177,900 \- $257,550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3">
      <c r="A3" t="inlineStr">
        <is>
          <t>li-4322505511</t>
        </is>
      </c>
      <c r="B3" t="inlineStr">
        <is>
          <t>Forward Deployed AI Engineer-Palantir Foundry-Senior Associate</t>
        </is>
      </c>
      <c r="C3" t="inlineStr">
        <is>
          <t>PwC</t>
        </is>
      </c>
      <c r="D3" t="inlineStr">
        <is>
          <t>linkedin</t>
        </is>
      </c>
      <c r="E3" t="inlineStr"/>
      <c r="F3" t="inlineStr"/>
      <c r="G3" t="inlineStr">
        <is>
          <t>Tulsa, OK</t>
        </is>
      </c>
      <c r="H3" t="inlineStr"/>
      <c r="I3"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
      <c r="A4" t="inlineStr">
        <is>
          <t>li-4322564920</t>
        </is>
      </c>
      <c r="B4" t="inlineStr">
        <is>
          <t>Forward Deployed AI Engineer-Palantir Foundry-Senior Associate</t>
        </is>
      </c>
      <c r="C4" t="inlineStr">
        <is>
          <t>PwC</t>
        </is>
      </c>
      <c r="D4" t="inlineStr">
        <is>
          <t>linkedin</t>
        </is>
      </c>
      <c r="E4" t="inlineStr"/>
      <c r="F4" t="inlineStr"/>
      <c r="G4" t="inlineStr">
        <is>
          <t>Pittsburgh, PA</t>
        </is>
      </c>
      <c r="H4" t="inlineStr"/>
      <c r="I4"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
      <c r="A5" t="inlineStr">
        <is>
          <t>li-4317452336</t>
        </is>
      </c>
      <c r="B5" t="inlineStr">
        <is>
          <t>Forward Deployed AI Engineer-Palantir Foundry-Senior Associate</t>
        </is>
      </c>
      <c r="C5" t="inlineStr">
        <is>
          <t>PwC</t>
        </is>
      </c>
      <c r="D5" t="inlineStr">
        <is>
          <t>linkedin</t>
        </is>
      </c>
      <c r="E5" t="inlineStr"/>
      <c r="F5" t="inlineStr"/>
      <c r="G5" t="inlineStr">
        <is>
          <t>Des Moines, IA</t>
        </is>
      </c>
      <c r="H5" t="inlineStr"/>
      <c r="I5"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
      <c r="A6" t="inlineStr">
        <is>
          <t>li-4308510108</t>
        </is>
      </c>
      <c r="B6" t="inlineStr">
        <is>
          <t>Applied Scientist</t>
        </is>
      </c>
      <c r="C6" t="inlineStr">
        <is>
          <t>Adobe</t>
        </is>
      </c>
      <c r="D6" t="inlineStr">
        <is>
          <t>linkedin</t>
        </is>
      </c>
      <c r="E6" t="inlineStr"/>
      <c r="F6" t="inlineStr"/>
      <c r="G6" t="inlineStr">
        <is>
          <t>San Jose, CA</t>
        </is>
      </c>
      <c r="H6" t="inlineStr"/>
      <c r="I6"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Adobe Firefly Applied Science \&amp; Machine Learning (ASML) group is looking for applied research scientists and engineers to help us build the next generation of creative tools. Video Gen org within ASML is looking for a Machine Learning Engineer with experience in video understanding and generation. We seek candidates with strong expertise in the field, as evidenced by peer\-reviewed academic publications, combined with hands\-on industrial research experience.
 As a Machine Learning Engineer at ASML, you will be joining an outstanding team of applied researchers and engineers building the future of digital experiences. You will have the opportunity to develop novel ideas to advance the Creativity world through features in Adobe's products and reach millions of people worldwide!
**What you will be responsible for:**
* Develop and implement scalable and efficient modeling algorithms that can work with large\-scale data in production systems
* Develop and fine\-tune (e.g., ViTs, VLMs, multimodal encoders) large\-scale foundation models for video understanding and generation
* Collaborate with extraordinary researchers and engineers to bring research ideas to production
* Convert a research idea/paper to code in Python and typical machine learning development toolkits
* Stay on top of the latest ML research (e.g., diffusion models, alignment methods, multimodal understanding) and translate advances into practical solutions
**What you'll need to succeed:**
* Masters or Ph.D. in Computer Science, AI/ML or related fields
* Excellent communication skills
* Strong proficiency in Python and PyTorch
* Solid foundation in computer science fundamentals
* Experience with distributed training and its common strategies
* Experience in state\-of\-the\-art Generative AI technologies, such as VLMs and diffusion models
* Strong hands\-on experience working on image/video understanding, generation and editing
* Working with large\-scale datasets
* Good publication record in Computer Vision, AI/ML or related fields
 Our compensation reflects the cost of labor across several  U.S. geographic markets, and we pay differently based on those defined markets. The U.S. pay range for this position is $120,700 \-\- $238,600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$164,800 \- $238,600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7">
      <c r="A7" t="inlineStr">
        <is>
          <t>li-4308556113</t>
        </is>
      </c>
      <c r="B7" t="inlineStr">
        <is>
          <t>Applied Scientist, Generative AI/ML</t>
        </is>
      </c>
      <c r="C7" t="inlineStr">
        <is>
          <t>Adobe</t>
        </is>
      </c>
      <c r="D7" t="inlineStr">
        <is>
          <t>linkedin</t>
        </is>
      </c>
      <c r="E7" t="inlineStr"/>
      <c r="F7" t="inlineStr"/>
      <c r="G7" t="inlineStr">
        <is>
          <t>San Jose, CA</t>
        </is>
      </c>
      <c r="H7" t="inlineStr"/>
      <c r="I7"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seeking to add Applied Scientists in Generative AI to our world\-class AI Platform team. We are specifically looking for scientists with expertise in preparing data, training, fine\-tuning and adapting large foundation models across all modalities: images, video, 3D, LLMs and cross\-modal setups. We welcome outstanding candidates in all related technical fields, such as Machine Learning, Deep Learning, Computer Vision, and Natural Language Processing. The related applications include image/video/3D generation, editing, and understanding, conditioned on controls stemming from large language models, or other innovative interactions tailored for creative workflows, and multimodal priors.
**What You'll Do**
* Conduct pioneering research and development in Generative AI for visual (image/video/3D), audio, and multi\-modal outputs.
* Develop and deploy novel generative AI technologies to existing and new Adobe Products.
* Research and develop novel large\-scale foundation models with deep reasoning and world\-building capabilities.
* Collaborate with world\-class researchers and ML engineers to bring research ideas to creative workflows used by millions.
* Publish and present your work in world\-class scientific venues in CV/AI/ML/CG fields
**Required Qualifications**
* Ph.D. in Computer Science, CV/AI/ML/CG or related fields and 1\+ years professional experience.
* Research or industry experience in training Generative AI models (pre\-training and/or post\-training) in at least one of the following modalities: image, video, 3D, or audio.
* Expertise in large\-scale model training and optimization, including data curation, distributed training, and memory\-efficient techniques.
* Experience with post\-training techniques such as fine\-tuning, alignment or distillation.
* Proficiency with modern deep learning frameworks (e.g., PyTorch) and experience scaling models on GPU/TPU clusters.
* Excellent communication skills and a strong great teammate
**What You'll Bring**
* Experience on large\-scale generative model training
* Experience on synthetic data generation
* Experience of working with large\-scale datasets
* Experience of working with product teams on technology transfers
 \#FireflyGenAI
 Our compensation reflects the cost of labor across several  U.S. geographic markets, and we pay differently based on those defined markets. The U.S. pay range for this position is $151,800 \-\- $265,350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$183,300 \- $265,350 In Washington, the pay range for this position is $165,600 \- $239,725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There is no deadline to apply to this job posting because Adobe accepts applications for this role on an ongoing basis. The posting will remain open based on hiring needs and position availability.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8">
      <c r="A8" t="inlineStr">
        <is>
          <t>li-4308550192</t>
        </is>
      </c>
      <c r="B8" t="inlineStr">
        <is>
          <t>Staff Applied Scientist, Generative AI/ML</t>
        </is>
      </c>
      <c r="C8" t="inlineStr">
        <is>
          <t>Adobe</t>
        </is>
      </c>
      <c r="D8" t="inlineStr">
        <is>
          <t>linkedin</t>
        </is>
      </c>
      <c r="E8" t="inlineStr"/>
      <c r="F8" t="inlineStr"/>
      <c r="G8" t="inlineStr">
        <is>
          <t>San Jose, CA</t>
        </is>
      </c>
      <c r="H8" t="inlineStr"/>
      <c r="I8"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seeking to add Applied Scientists in Generative AI to our world\-class AI Platform team. We are specifically looking for scientists with expertise in preparing data, training, fine\-tuning and adapting large foundation models across all modalities: images, video, 3D, LLMs and cross\-modal setups. We welcome outstanding candidates in all related technical fields, such as Machine Learning, Deep Learning, Computer Vision, and Natural Language Processing. The related applications include image/video/3D generation, editing, and understanding, conditioned on controls stemming from large language models, or other innovative interactions tailored for creative workflows, and multimodal priors.
**What You'll Do**
* Conduct pioneering research and development in Generative AI for visual (image/video/3D), audio, and multi\-modal outputs.
* Develop and deploy novel generative AI technologies to existing and new Adobe Products.
* Research and develop novel large\-scale foundation models with deep reasoning and world\-building capabilities.
* Collaborate with world\-class researchers and ML engineers to bring research ideas to creative workflows used by millions.
* Publish and present your work in world\-class scientific venues in CV/AI/ML/CG fields
**Required Qualifications**
* Ph.D. in Computer Science, CV/AI/ML/CG or related fields and 4\+ years professional experience.
* Research or industry experience in training Generative AI models (pre\-training and/or post\-training) in at least one of the following modalities: image, video, 3D, or audio.
* Expertise in large\-scale model training and optimization, including data curation, distributed training, and memory\-efficient techniques.
* Experience with post\-training techniques such as fine\-tuning, alignment or distillation.
* Proficiency with modern deep learning frameworks (e.g., PyTorch) and experience scaling models on GPU/TPU clusters.
* Excellent communication skills and a strong great teammate
**What You'll Bring**
* Experience on large\-scale generative model training
* Experience on synthetic data generation
* Experience of working with large\-scale datasets
* Experience of working with product teams on technology transfers
 \#FireflyGenAI
 Our compensation reflects the cost of labor across several  U.S. geographic markets, and we pay differently based on those defined markets. The U.S. pay range for this position is $172,500 \-\- $306,625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$211,800 \- $306,625 In Washington, the pay range for this position is $201,000 \- $291,150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There is no deadline to apply to this job posting because Adobe accepts applications for this role on an ongoing basis. The posting will remain open based on hiring needs and position availability.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9">
      <c r="A9" t="inlineStr">
        <is>
          <t>li-4340536132</t>
        </is>
      </c>
      <c r="B9" t="inlineStr">
        <is>
          <t>Machine Learning Engineer (L4) - Production Science</t>
        </is>
      </c>
      <c r="C9" t="inlineStr">
        <is>
          <t>Netflix</t>
        </is>
      </c>
      <c r="D9" t="inlineStr">
        <is>
          <t>linkedin</t>
        </is>
      </c>
      <c r="E9" t="inlineStr"/>
      <c r="F9" t="inlineStr"/>
      <c r="G9" t="inlineStr"/>
      <c r="H9" t="inlineStr"/>
      <c r="I9"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The Production Science team is part of the Data and Insights organization at Netflix. The team builds machine learning and analytics solutions to augment financial and operational decisions in the Netflix studio, supporting workflows like content planning, budgeting, scheduling, and financial forecasting. We are looking for an ML Engineer to help us develop, optimize and deploy models that directly integrate with internal workflows.
**Responsibilities**
* Design, maintain, automate, and optimize ML training pipelines and realtime model serving infrastructure.
* Improve ML observability, model evaluations, model monitoring, and debugging tools to ensure reliability of deployed models.
* Collaborate closely with ML scientists and engineering teams to integrate deployed models into studio applications.
* Develop new ML solutions to extract information from studio artifacts like scripts, budgets, cost reports, and schedules.
* Stay up to date with ML infrastructure advancements, identifying new technologies and best practices to enhance efficiency.
**About You**
* You have a strong foundation in machine learning, including supervised and unsupervised learning, and model evaluation.
* You have a track record of deploying performant and scalable data\-intensive applications.
* You have a strong understanding of feature engineering, data pipelines, and model lifecycle management.
* You hold an advanced degree (MS or PhD) in Computer Science, Electrical Engineering, or a related technical field with a focus on machine learning, artificial intelligence or computer vision.
* You are proficient in Python and have experience with ML frameworks such as PyTorch, or Jax.
* You excel at complex problem solving with innovative solutions, developing novel algorithms, and adapting existing methods from literature to new challenges.
* You are an excellent communicator, capable of explaining complex technical details to both technical and non\-technical audiences.
* You are highly collaborative and thrive in dynamic environments, contributing positively to the team and company culture.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$300,000\.00 \- $537,000\.00\.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10">
      <c r="A10" t="inlineStr">
        <is>
          <t>li-4318297613</t>
        </is>
      </c>
      <c r="B10" t="inlineStr">
        <is>
          <t>ML/AI Engineer</t>
        </is>
      </c>
      <c r="C10" t="inlineStr">
        <is>
          <t>Rillet</t>
        </is>
      </c>
      <c r="D10" t="inlineStr">
        <is>
          <t>linkedin</t>
        </is>
      </c>
      <c r="E10" t="inlineStr"/>
      <c r="F10" t="inlineStr"/>
      <c r="G10" t="inlineStr">
        <is>
          <t>New York, NY</t>
        </is>
      </c>
      <c r="H10" t="inlineStr"/>
      <c r="I10" t="inlineStr">
        <is>
          <t>**What We Do**
 Rillet serves accounting and finance teams. Our customers are the financial brains of their companies. Our job is to help them run the numbers with impossible speed, accuracy, and insight.
 Rillet is an AI\-native ERP that can drive a zero\-day close. We are different because of our unified source\-of\-truth data model, hundreds of best\-in\-class native integrations (Stripe, Ramp, Salesforce, etc), automated \&amp; auditable workflows, multi\-entity consolidation, and quickly expanding army of specialized AI agents (e.g., accrual, audit, P\&amp;L flux, board decks, etc). These earn us a consistently perfect customer satisfaction score. High\-growth AI customers like Windsurf, Postscript, and Finch love our ship velocity, because their financial stack needs to scale as quickly as they do.
 This huge market is ours to take. We have raised $100M from leading investors (including Sequoia, a16z, Iconiq, Oak HC/FT, and First Round) to
 **help everyone run their numbers at the speed of AI.**
**Who We Are**
 Rillet’s pace is not for everyone. Intelligence is table stakes. To succeed here, you need extreme speed, agency, and flexibility.
 Successful Rilleteers do not wait for assignments. They internalize a mission, design a strategy, and bring back results that are better, faster, and more creative than a manager could have asked for.
 Work revolves around our customers. Successful Rilleteers are energized by delivering the most important things, even those that weren’t in the original plan.
 In this role, you do not need to be an accountant. But you do need to appreciate the value that our customers can create for their own company when we equip them with the perfect financial tools. Successful Rilleteers love powering the financial core of the world’s fastest\-growing companies.
**Who We Need**
 We're looking for a machine learning engineer to build the AI systems that will define the future of accounting software. You'll work directly with our CTO to architect solutions that turn complex financial workflows into elegant, automated experiences—the kind of problems that actually matter.
 We're looking for teammates who value in\-person collaboration and are within commutable distance of our NYC or San Francisco offices (or willing to relocate). Team members are required to work in\-office Tuesdays and Thursdays, plus one additional flexible in\-office day. Certain roles may require additional in\-office time based on function.
**What You'll Do**
* Shape Rillet's ML strategy and infrastructure for the long term
* Own problems end\-to\-end, from understanding user needs with product and design teams to deploying production systems
* Build automated pipelines for model training, evaluation, and deployment
* Ensure ML systems scale reliably under real\-world conditions
**Who We're Looking For**
* 3\+ years building ML products at tech companies
* Strong Python skills (numpy, pandas, sklearn, pytorch) and experience across ML techniques and backend systems
* Experience with LLM\-based agent frameworks
* Bachelor's in CS or related field (Master's/PhD in AI preferred)
* Someone who finds practical solutions without cutting corners and enjoys both independent work and tight collaboration
**Life At Rillet**
* Competitive Pay \&amp; Benefits: Backed by world\-class investors, we offer strong salaries plus equity so you share in our success. We've got you covered with top\-tier health and dental insurance, premiums partially or fully covered for you, plus 90% coverage for dependents.
* Room to Grow: We're building a team of ambitious, high\-performing people who will grow with the company. As Rillet scales, so will your role, responsibilities, and compensation.
* Flexibility That Works: Take the time you need with flexible PTO and 9 company\-wide holidays. We value both the flexibility of remote and hybrid work and the creativity and energy that comes from in\-person collaboration at our hubs in San Francisco, NYC, and Barcelona.
* Build Real Connections: Great work happens when people connect. Join us for team offsites in incredible locations, our team has bonded everywhere from New York and San Francisco to Toronto, Italy, France, and beyond.</t>
        </is>
      </c>
    </row>
    <row r="11">
      <c r="A11" t="inlineStr">
        <is>
          <t>li-4121965577</t>
        </is>
      </c>
      <c r="B11" t="inlineStr">
        <is>
          <t>Machine Learning Engineer, Core Engineering</t>
        </is>
      </c>
      <c r="C11" t="inlineStr">
        <is>
          <t>Pinterest</t>
        </is>
      </c>
      <c r="D11" t="inlineStr">
        <is>
          <t>linkedin</t>
        </is>
      </c>
      <c r="E11" t="inlineStr"/>
      <c r="F11" t="inlineStr"/>
      <c r="G11" t="inlineStr"/>
      <c r="H11" t="inlineStr"/>
      <c r="I11"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 more than 500 million users around the world and 300 billion ideas saved, Pinterest Machine Learning engineers build personalized experiences to help Pinners create a life they love. With just over 3,000 global employees, our teams are small, mighty, and still growing. At Pinterest, you’ll experience hands\-on access to an incredible vault of data and contribute large\-scale recommendation systems in ways you won’t find anywhere else.
**What You’ll Do**
* Build cutting edge technology using the latest advances in deep learning and machine learning to personalize Pinterest
* Partner closely with teams across Pinterest to experiment and improve ML models for various product surfaces (Homefeed, Ads, Growth, Shopping, and Search), while gaining knowledge of how ML works in different areas
* Use data driven methods and leverage the unique properties of our data to improve candidates retrieval
* Work in a high\-impact environment with quick experimentation and product launches
* Keeping up with industry trends in recommendation systems
**What We’re Looking For** 
* 2\+ years of industry experience applying machine learning methods (e.g., user modeling, personalization, recommender systems, search, ranking, natural language processing, reinforcement learning, and graph representation learning)
* End\-to\-end hands\-on experience with building data processing pipelines, large scale machine learning systems, and big data technologies (e.g., Hadoop/Spark)
* Degree in computer science, machine learning, statistics, or related field
* Nice to have:
+ M.S. or PhD in Machine Learning or related areas
+ Publications at top ML conferences
+ Expertise in scalable realtime systems that process stream data
+ Passion for applied ML and the Pinterest product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$138,905—$285,982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12">
      <c r="A12" t="inlineStr">
        <is>
          <t>li-4288096593</t>
        </is>
      </c>
      <c r="B12" t="inlineStr">
        <is>
          <t>Machine Learning Engineer</t>
        </is>
      </c>
      <c r="C12" t="inlineStr">
        <is>
          <t>Scribd, Inc.</t>
        </is>
      </c>
      <c r="D12" t="inlineStr">
        <is>
          <t>linkedin</t>
        </is>
      </c>
      <c r="E12" t="inlineStr"/>
      <c r="F12" t="inlineStr"/>
      <c r="G12" t="inlineStr">
        <is>
          <t>San Francisco, CA</t>
        </is>
      </c>
      <c r="H12" t="inlineStr"/>
      <c r="I12"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Our Machine Learning team builds both the platform and product applications that power personalized discovery, recommendations, and generative AI features across Scribd, Slideshare, and Everand. ML teams works on the Orion ML Platform – providing core ML infrastructure, including a feature store, model registry, model inference systems, and embedding\-based retrieval (EBR). MLE team also works closely with Product team – delivering zero\-to\-one integrations of ML into user\-facing features like recommendations, near real\-time personalization, and AskAI LLM\-powered experiences
**Role Overview**
 We are seeking a Machine Learning Engineer II to help design, build, and optimize high\-impact ML systems that serve millions of users in near real time. You will work on projects that span from improving our core ML platform to integrating models directly into the product experience.
**Tech Stack**
 Our Machine Learning team uses a range of technologies to build and operate large\-scale ML systems. Our regular toolkit includes:
* Languages: Python, Golang, Scala, Ruby on Rails
* Orchestration \&amp; Pipelines: Airflow, Databricks, Spark
* ML \&amp; AI: AWS Sagemaker, embedding\-based retrieval (Weaviate), feature store, model registry, model serving platforms, LLM providers like OpenAI, Anthropic, Gemini, etc.
* APIs \&amp; Integration: HTTP APIs, gRPC
* Infrastructure \&amp; Cloud: AWS (Lambda, ECS, EKS, SQS, ElastiCache, CloudWatch), Datadog, Terraform.
**Key Responsibilities**
* Design, build, and optimize ML pipelines, including data ingestion, feature engineering, training, and deployment for large\-scale, real\-time systems.
* Improve and extend core ML Platform capabilities such as the feature store, model registry, and embedding\-based retrieval services.
* Collaborate with product software engineers to integrate ML models into user\-facing features like recommendations, personalization, and AskAI.
* Conduct model experimentation, A/B testing, and performance analysis to guide production deployment.
* Optimize and refactor existing systems for performance, scalability, and reliability.
* Ensure data accuracy, integrity, and quality through automated validation and monitoring.
* Participate in code reviews and uphold engineering best practices.
* Manage and maintain ML infrastructure in cloud environments, including deployment pipelines, security, and monitoring.
**Requirements**
**Must Have**
* 3\+ years of experience as a professional software or machine learning engineer.
* Proficiency in at least one key programming language (preferably Python or Golang; Scala or Ruby also considered).
* Hands\-on experience building ML pipelines and working with distributed data processing frameworks like Apache Spark, Databricks, or similar.
* Experience working with systems at scale and deploying to production environments.
* Cloud experience (AWS, Azure, or GCP), including building, deploying, and optimizing solutions with ECS, EKS, or AWS Lambda.
* Strong understanding of ML model trade\-offs, scaling considerations, and performance optimization.
* Bachelor’s in Computer Science or equivalent professional experience.
**Nice to Have**
* Experience with embedding\-based retrieval, recommendation systems, ranking models, or large language model integration.
* Experience with feature stores, model serving \&amp; monitoring platforms, and experimentation systems.
* Familiarity with large\-scale system design for ML.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$126,000 \[minimum salary in our lowest geographic market within California] to $196,000 \[maximum salary in our highest geographic market within California].
 In the United States, outside of California, the reasonably expected salary range is between $T103,500 \[minimum salary in our lowest US geographic market outside of California] to $186,500 \[maximum salary in our highest US geographic market outside of California].
 In Canada, the reasonably expected salary range is between $131,500 CAD\[minimum salary in our lowest geographic market] to $174,500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3">
      <c r="A13" t="inlineStr">
        <is>
          <t>li-4336184983</t>
        </is>
      </c>
      <c r="B13" t="inlineStr">
        <is>
          <t>Machine Learning Engineer (Hybrid)</t>
        </is>
      </c>
      <c r="C13" t="inlineStr">
        <is>
          <t>Cisco</t>
        </is>
      </c>
      <c r="D13" t="inlineStr">
        <is>
          <t>linkedin</t>
        </is>
      </c>
      <c r="E13" t="inlineStr"/>
      <c r="F13" t="inlineStr"/>
      <c r="G13" t="inlineStr">
        <is>
          <t>Milpitas, CA</t>
        </is>
      </c>
      <c r="H13" t="inlineStr"/>
      <c r="I13" t="inlineStr">
        <is>
          <t>Applications are accepted until 1/12/2026
**Who We Are**
 Join us at Cisco to shape the future of enterprise AI. We are building an AI Platform Team focused on creating the next\-generation foundation that powers intelligent, secure, and scalable AI solutions across Cisco’s ecosystem. This team is at the forefront of bridging research innovation with real\-world application, addressing some of the most fundamental challenges in AI from advancing large language model capabilities and building agentic frameworks to optimizing data pipelines and ensuring trustworthy AI deployment at scale.
 As part of this pioneering effort, you’ll collaborate with leading AI researchers, data scientists, and engineers to design, develop, and operationalize AI systems that drive measurable business impact for millions of users worldwide. If you’re passionate about solving hard technical problems and shaping how AI transforms enterprise security and networking, this is where you’ll make it happen.
**What You Will Do**
 As a Machine Learning Engineer for our AI Software \&amp; Platform team, you will be responsible for ML model development and delivery:
* Model Training, and Evaluation: This encompasses the complete cycle of training, fine\-tuning, and validating language models. You will be designing and adapting LLMs for use in virtual assistants, automated chatbots, content recommendation systems, etc. You will come up with evaluations for the solutions and iterate on improvements.
* Algorithm Development for Enhanced Language Understanding: Focusing on the development or refinement of algorithms to improve the efficiency and accuracy of language models and understanding and generation tasks.
* Experimentation with Emerging Technologies and Methods: Actively exploring new technologies and methodologies in language model development, including experimental frameworks and software tools.
**Basic Qualifications**
* Education \&amp; Experience: BA/BS with 3\+ years or MS in machine learning, proven project portfolio.
* ML Systems \&amp; Algorithms: Strong background in ML engineering, deep learning, and statistical modeling; experience building scalable ML solutions.
* LLM Expertise: In\-depth knowledge of Transformer\-based architectures (e.g., GPT) and training/fine\-tuning large\-scale models; exposure to Agentic frameworks.
* NLP Skills: Data preprocessing (tokenization, stemming, lemmatization), handling ambiguity and context, and transfer learning for domain/language adaptation.
* Data \&amp; Evaluation: Skilled in data annotation strategies and model evaluation with appropriate metrics (LLM as judges, RAG and Agent evaluations and so on).
* Scalability \&amp; Deployment: Experience deploying LLMs to production with efficiency, reliability, and scalability.
* Applications: Applied LLMs in chatbots, content generation, semantic search, and related use cases.
**Preferred Qualifications**
* Degree in Computer Science, Data Science, Statistics, Computational Linguistics or a related field.
* Proficiency in programming languages such as Python or R, and experience with machine learning libraries (e.g., TensorFlow, PyTorch)
* Excellent problem\-solving and communication skills, with the ability to explain sophisticated concepts to non\-technical partners
* Proven experience to work collaboratively in multi\-functio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$160,100\.00 to $207,900\.00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$160,100\.00 \- $239,000\.00
**Non\-Metro New York State \&amp; Washington State**
 $146,200\.00 \- $212,800\.00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4">
      <c r="A14" t="inlineStr">
        <is>
          <t>li-4121963772</t>
        </is>
      </c>
      <c r="B14" t="inlineStr">
        <is>
          <t>Machine Learning Engineer, Core Engineering</t>
        </is>
      </c>
      <c r="C14" t="inlineStr">
        <is>
          <t>Pinterest</t>
        </is>
      </c>
      <c r="D14" t="inlineStr">
        <is>
          <t>linkedin</t>
        </is>
      </c>
      <c r="E14" t="inlineStr"/>
      <c r="F14" t="inlineStr"/>
      <c r="G14" t="inlineStr">
        <is>
          <t>San Francisco, CA</t>
        </is>
      </c>
      <c r="H14" t="inlineStr"/>
      <c r="I14"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 more than 500 million users around the world and 300 billion ideas saved, Pinterest Machine Learning engineers build personalized experiences to help Pinners create a life they love. With just over 3,000 global employees, our teams are small, mighty, and still growing. At Pinterest, you’ll experience hands\-on access to an incredible vault of data and contribute large\-scale recommendation systems in ways you won’t find anywhere else.
**What You’ll Do**
* Build cutting edge technology using the latest advances in deep learning and machine learning to personalize Pinterest
* Partner closely with teams across Pinterest to experiment and improve ML models for various product surfaces (Homefeed, Ads, Growth, Shopping, and Search), while gaining knowledge of how ML works in different areas
* Use data driven methods and leverage the unique properties of our data to improve candidates retrieval
* Work in a high\-impact environment with quick experimentation and product launches
* Keeping up with industry trends in recommendation systems
**What We’re Looking For** 
* 2\+ years of industry experience applying machine learning methods (e.g., user modeling, personalization, recommender systems, search, ranking, natural language processing, reinforcement learning, and graph representation learning)
* End\-to\-end hands\-on experience with building data processing pipelines, large scale machine learning systems, and big data technologies (e.g., Hadoop/Spark)
* Degree in computer science, machine learning, statistics, or related field
* Nice to have:
+ M.S. or PhD in Machine Learning or related areas
+ Publications at top ML conferences
+ Expertise in scalable realtime systems that process stream data
+ Passion for applied ML and the Pinterest product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$138,905—$285,982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15">
      <c r="A15" t="inlineStr">
        <is>
          <t>li-3981020696</t>
        </is>
      </c>
      <c r="B15" t="inlineStr">
        <is>
          <t>Machine Learning Engineer, Monetization Engineering</t>
        </is>
      </c>
      <c r="C15" t="inlineStr">
        <is>
          <t>Pinterest</t>
        </is>
      </c>
      <c r="D15" t="inlineStr">
        <is>
          <t>linkedin</t>
        </is>
      </c>
      <c r="E15" t="inlineStr"/>
      <c r="F15" t="inlineStr"/>
      <c r="G15" t="inlineStr">
        <is>
          <t>Seattle, WA</t>
        </is>
      </c>
      <c r="H15" t="inlineStr"/>
      <c r="I15"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 more than 600 million users around the world and 300 billion ideas saved, Pinterest Machine Learning engineers build personalized experiences to help Pinners create a life they love. With just over 4,000 global employees, our teams are small, mighty, and still growing. At Pinterest, you’ll experience hands\-on access to an incredible vault of data and contribute large\-scale recommendation systems in ways you won’t find anywhere else.
 Within the Monetization ML Engineering team, we try to connect the dots between the aspirations of Pinners and the products offered by our partners. In this role, you will be responsible for developing and executing a vision for the evolution of the machine learning technology stack within Ads.
**What You’ll Do**
* Build cutting edge technology using the latest advances in deep learning and machine learning to personalize Pinterest
* Partner closely with teams across Pinterest to experiment and improve ML models for various product surfaces (Homefeed, Ads, Growth, Shopping, and Search), while gaining knowledge of how ML works in different areas
* Use data driven methods and leverage the unique properties of our data to improve candidates retrieval
* Work in a high\-impact environment with quick experimentation and product launches
* Keep up with industry trends in recommendation systems
* Leverage LLMs to enhance content understanding
**What We’re Looking For** 
* 2\+ years of industry experience applying machine learning methods (e.g., user modeling, personalization, recommender systems, search, ranking, natural language processing, reinforcement learning, and graph representation learning)
* Degree in computer science, machine learning, statistics, or related field
* End\-to\-end hands\-on experience with building data processing pipelines, large scale machine learning systems, and big data technologies (e.g., Hadoop/Spark)
* Practical knowledge of large scale recommender systems, or modern ads ranking, retrieval, targeting, marketplace systems
* Nice to have:
+ Publications at top ML conferences
+ Expertise in scalable realtime systems that process stream data
+ Passion for applied ML and the Pinterest product
+ Background in computational advertising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$163,418—$285,982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16">
      <c r="A16" t="inlineStr">
        <is>
          <t>li-4251319181</t>
        </is>
      </c>
      <c r="B16" t="inlineStr">
        <is>
          <t>AI Engineer</t>
        </is>
      </c>
      <c r="C16" t="inlineStr">
        <is>
          <t>PepsiCo</t>
        </is>
      </c>
      <c r="D16" t="inlineStr">
        <is>
          <t>linkedin</t>
        </is>
      </c>
      <c r="E16" t="inlineStr"/>
      <c r="F16" t="inlineStr"/>
      <c r="G16" t="inlineStr">
        <is>
          <t>Chicago, IL</t>
        </is>
      </c>
      <c r="H16" t="inlineStr"/>
      <c r="I16" t="inlineStr">
        <is>
          <t>**Overview**
 As an AI Engineer specializing in AI Agents, you will play a pivotal role in our organization's transformation strategies by designing and developing domain\-specific AI agents and solutions. Prototyping, iterating, and taking these solutions to production, you serve as the technical complement to the business side of the AI Solutions Lead. Your work will involve close collaboration with transformation teams, business stakeholders, and AI platform teams to create scalable, cross\-domain AI solutions that deliver actionable insights and perform intelligent tasks.
**Responsibilities**
**AI Development (40%)**
* Prototyping, iterating, and taking to production domain\-specific AI agents that can communicate and work with other AI agents, performing tasks such as information gathering, insight generation, and intelligent actions.
* Writing and optimizing code for high\-performance AI models.
* Develop an actionable Generative AI roadmap and drive solution development using Gen\-AI and Agentic AI capabilities.
**Collaboration with Teams (20%)**
* Collaborate with transformation teams and business stakeholders to understand requirements and tailor AI agents to specific domains.
* Work closely with AI platform teams to build scalable and cross\-domain AI agents while ensuring end\-to\-end observability.
**Integration \&amp; Deployment (20%)**
* Lead AI projects, demonstrating hands\-on experience in code development and software engineering.
* Deploy, monitor, and optimize AI agents on cloud infrastructure, ensuring high availability and performance.
**Continuous Learning (20%)**
* Stay updated with the latest advancements in AI and machine learning technologies and integrate these into existing or new AI agents.
* Conduct thorough testing and validation to ensure the reliability and accuracy of AI agents and solutions.
* Decision\-Making Autonomy Moderate – Significant autonomy in the technical aspects of AI model development and implementation, working under the strategic direction provided by the Senior AI Solutions Manager.
* Supervision Required Moderate – Operates with general guidance from the Senior AI Solutions Manager, with regular updates for alignment and support.
* Complexity of Role High – The role requires managing complex AI/ML projects, working with large datasets, and ensuring successful integration with existing systems while maintaining scalability.
* Cross\-Functional Interactions Yes – Regular interaction with Data Science, Engineering, IT, digital products and business stakeholders to ensure effective AI solution deployment.
**Compensation and Benefits:**
* The expected compensation range for this position is between $106,400 \- $178,100\.
* Location, confirmed job\-related skills, experience, and education will be considered in setting actual starting salary. Your recruiter can share more about the specific salary range during the hiring process.
* Bonus based on performance and eligibility target payout is 12% of annual salary paid out annually.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Education: Bachelor’s or Master’s degree in Computer Science, AI/ML, Data Science, or a related field.
* Experience: Proven experience in leading AI projects with hands\-on experience in code development and software engineering.
* Required Expertise:
* 
+ Proficiency in programming languages such as Python, Java, or C(.
+ Experience and working knowledge with Agentic AI frameworks (e.g., Langchain, CrewAi, MCP, A2A) and deployment of AI solutions on cloud infrastructures (AWS, Azure, or Google Cloud).
+ Strong understanding and experience in designing AI agents and integrating advancements in AI/ML technologies.
+ Excellent analytical, problem\-solving, and communication skills.
+ Ability to work collaboratively in a cross\-functional team environment.
* Technical Proficiency: Deep understanding of new technologies, GenAI algorithms and Agentic tools.
* Problem\-Solving: Ability to translate business challenges into technical solutions.
* Collaboration Skills: Effective at working within cross\-functional teams.
* Agility: Flexibility to adapt to changing requirements and new technologies.
* Communication Skills: Capable of explaining complex technical concepts to non\-technical stakeholders.
**EEO Statement**
 Our Company will consider for employment qualified applicants with criminal histories in a manner consistent with the requirements of the Fair Credit Reporting Act, and all other applicable laws, including but not limited to, San Francisco Police Code Sections 4901\-4919, commonly referred to as the San Francisco Fair Chance Ordinance; and Chapter XVII, Article 9 of the Los Angeles Municipal Code, commonly referred to as the Fair Chance Initiative for Hiring Ordinance.
 All qualified applicants will receive consideration for employment without regard to age, race, color, religion, sex, sexual orientation, gender identity, national origin, protected veteran status, or disability status.
 PepsiCo is an Equal Opportunity Employer: Female / Minority / Disability / Protected Veteran / Sexual Orientation / Gender Identity / Age
 If you'd like more information about your EEO rights as an applicant under the law, please download the available EEO is the Law \&amp; EEO is the Law Supplement documents. View PepsiCo EEO Policy.
 Please view our Pay Transparency Statement</t>
        </is>
      </c>
    </row>
    <row r="17">
      <c r="A17" t="inlineStr">
        <is>
          <t>li-4370326720</t>
        </is>
      </c>
      <c r="B17" t="inlineStr">
        <is>
          <t>ML Engineer</t>
        </is>
      </c>
      <c r="C17" t="inlineStr">
        <is>
          <t>ServiceNow</t>
        </is>
      </c>
      <c r="D17" t="inlineStr">
        <is>
          <t>linkedin</t>
        </is>
      </c>
      <c r="E17" t="inlineStr"/>
      <c r="F17" t="inlineStr"/>
      <c r="G17" t="inlineStr"/>
      <c r="H17" t="inlineStr"/>
      <c r="I17" t="inlineStr">
        <is>
          <t>**About The Company** 
 Founded in sunny Diego, California in 2004, ServiceNow has grown into a global leader in cloud\-based digital workflows, transforming how organizations work and innovate. Driven by a visionary approach from engineer Fred Luddy, the company has established itself as a pioneer in intelligent automation and AI\-enhanced technology. Today, ServiceNow serves over 8,100 customers worldwide, including 85% of the Fortune 500®, providing innovative solutions that seamlessly connect people, systems, and processes. Our platform empowers organizations to operate smarter, faster, and more efficiently, fostering a future where work is more productive and meaningful. With a commitment to making the world work better for everyone, ServiceNow continues to push the boundaries of technology and innovation to deliver industry\-leading digital experiences.
**About The Role** 
 We are seeking a highly skilled and motivated Staff Machine Learning Engineer to join our Platform Engineering and AI Technology Organization (PLATO). This role is pivotal in building and enhancing our AI platform, supporting the deployment of large language models (LLMs), and developing infrastructure that enables scalable, reliable AI workloads. The position requires collaboration with multidisciplinary teams including researchers, AI engineers, and infrastructure specialists to optimize GPU clusters, improve observability, and automate operational workflows. The ideal candidate will have a strong background in software engineering, platform operations, and AI technologies, with a focus on deploying and operating AI models in production environments. This role involves hands\-on development, mentoring colleagues, and contributing to the continuous improvement of our AI infrastructure, all while ensuring high performance, security, and compliance standards are maintained.
**Qualifications** 
* 4\+ years of development experience with Python, GoLang, Java, or similar languages
* 4\+ years of experience operating highly available distributed workloads on Kubernetes following a DevOps approach
* Proficiency in prompt engineering and developing features based on large language models (LLMs)
* Experience with training, fine\-tuning, and deploying large language models, including techniques like distillation and supervised fine\-tuning
* Hands\-on experience operating LLMs on NVIDIA GPUs
* Strong understanding of AI productivity tools such as Cursor, Windsurf, etc.
* Experience with software\-defined networking, infrastructure as code, and configuration management
* Knowledge of operating distributed systems built on Linux and J2EE environments
* Experience with DevOps tooling such as Helm, Ansible, Prometheus, Splunk, GitLab CI
* Background in building secure, compliant software for regulated environments
* Ability to drive outcomes in projects with significant technical risks
* Asset: 4\+ years of experience in infrastructure and platform operations, deployments, SRE, and continuous platform improvement
**Responsibilities** 
* Design, develop, and implement infrastructure, platform, deployment, and observability features that support AI workloads
* Collaborate with research and infrastructure teams to optimize GPU cluster performance, scalability, and reliability
* Enhance the Site Reliability Engineering (SRE) practices by translating operational use cases into software tooling requirements
* Execute deployment and support activities for AI/ML developers, ensuring smooth operational workflows
* Write high\-quality, scalable, and reusable code following best practices such as code reviews and unit testing
* Work closely with product owners to gather detailed requirements, own the development lifecycle from design to delivery
* Operate and optimize large language models on NVIDIA GPUs to ensure efficiency and performance
* Mentor colleagues, promote knowledge sharing, and foster a collaborative team environment
* Continuously improve platform health, reliability, and operational excellence through innovative solutions
**Benefits** 
* Competitive base salary ranging from $173,100 to $303,000, commensurate with experience and qualifications
* Equity options (where applicable), variable/incentive compensation, and performance bonuses
* Comprehensive health plans including medical, dental, and vision coverage
* Flexible spending accounts and a 401(k) plan with company match
* Employee stock purchase plan (ESPP) and matching donation programs
* Flexible time\-off policies, including family leave and vacation days
* Work\-life balance initiatives and opportunities for professional growth
* Access to a collaborative, innovative work environment with cutting\-edge AI and cloud technologies
 Equal Opportunity
 ServiceNow is an equal opportunity employer. We are committed to fostering an inclusive environment where all qualified applicants receive consideration for employment regardless of race, color, creed, religion, sex, sexual orientation, gender identity or expression, national origin, ancestry, age, disability, veteran status, or any other protected category under applicable law. We also consider qualified applicants with arrest or conviction records in accordance with legal requirements.</t>
        </is>
      </c>
    </row>
    <row r="18">
      <c r="A18" t="inlineStr">
        <is>
          <t>li-4251316421</t>
        </is>
      </c>
      <c r="B18" t="inlineStr">
        <is>
          <t>AI Engineer</t>
        </is>
      </c>
      <c r="C18" t="inlineStr">
        <is>
          <t>PepsiCo</t>
        </is>
      </c>
      <c r="D18" t="inlineStr">
        <is>
          <t>linkedin</t>
        </is>
      </c>
      <c r="E18" t="inlineStr"/>
      <c r="F18" t="inlineStr"/>
      <c r="G18" t="inlineStr">
        <is>
          <t>Plano, TX</t>
        </is>
      </c>
      <c r="H18" t="inlineStr"/>
      <c r="I18" t="inlineStr">
        <is>
          <t>**Overview**
 As an AI Engineer specializing in AI Agents, you will play a pivotal role in our organization's transformation strategies by designing and developing domain\-specific AI agents and solutions. Prototyping, iterating, and taking these solutions to production, you serve as the technical complement to the business side of the AI Solutions Lead. Your work will involve close collaboration with transformation teams, business stakeholders, and AI platform teams to create scalable, cross\-domain AI solutions that deliver actionable insights and perform intelligent tasks.
**Responsibilities**
**AI Development (40%)**
* Prototyping, iterating, and taking to production domain\-specific AI agents that can communicate and work with other AI agents, performing tasks such as information gathering, insight generation, and intelligent actions.
* Writing and optimizing code for high\-performance AI models.
* Develop an actionable Generative AI roadmap and drive solution development using Gen\-AI and Agentic AI capabilities.
**Collaboration with Teams (20%)**
* Collaborate with transformation teams and business stakeholders to understand requirements and tailor AI agents to specific domains.
* Work closely with AI platform teams to build scalable and cross\-domain AI agents while ensuring end\-to\-end observability.
**Integration \&amp; Deployment (20%)**
* Lead AI projects, demonstrating hands\-on experience in code development and software engineering.
* Deploy, monitor, and optimize AI agents on cloud infrastructure, ensuring high availability and performance.
**Continuous Learning (20%)**
* Stay updated with the latest advancements in AI and machine learning technologies and integrate these into existing or new AI agents.
* Conduct thorough testing and validation to ensure the reliability and accuracy of AI agents and solutions.
* Decision\-Making Autonomy Moderate – Significant autonomy in the technical aspects of AI model development and implementation, working under the strategic direction provided by the Senior AI Solutions Manager.
* Supervision Required Moderate – Operates with general guidance from the Senior AI Solutions Manager, with regular updates for alignment and support.
* Complexity of Role High – The role requires managing complex AI/ML projects, working with large datasets, and ensuring successful integration with existing systems while maintaining scalability.
* Cross\-Functional Interactions Yes – Regular interaction with Data Science, Engineering, IT, digital products and business stakeholders to ensure effective AI solution deployment.
**Compensation and Benefits:**
* The expected compensation range for this position is between $106,400 \- $178,100\.
* Location, confirmed job\-related skills, experience, and education will be considered in setting actual starting salary. Your recruiter can share more about the specific salary range during the hiring process.
* Bonus based on performance and eligibility target payout is 12% of annual salary paid out annually.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Education: Bachelor’s or Master’s degree in Computer Science, AI/ML, Data Science, or a related field.
* Experience: Proven experience in leading AI projects with hands\-on experience in code development and software engineering.
* Required Expertise:
* 
+ Proficiency in programming languages such as Python, Java, or C(.
+ Experience and working knowledge with Agentic AI frameworks (e.g., Langchain, CrewAi, MCP, A2A) and deployment of AI solutions on cloud infrastructures (AWS, Azure, or Google Cloud).
+ Strong understanding and experience in designing AI agents and integrating advancements in AI/ML technologies.
+ Excellent analytical, problem\-solving, and communication skills.
+ Ability to work collaboratively in a cross\-functional team environment.
* Technical Proficiency: Deep understanding of new technologies, GenAI algorithms and Agentic tools.
* Problem\-Solving: Ability to translate business challenges into technical solutions.
* Collaboration Skills: Effective at working within cross\-functional teams.
* Agility: Flexibility to adapt to changing requirements and new technologies.
* Communication Skills: Capable of explaining complex technical concepts to non\-technical stakeholders.
**EEO Statement**
 Our Company will consider for employment qualified applicants with criminal histories in a manner consistent with the requirements of the Fair Credit Reporting Act, and all other applicable laws, including but not limited to, San Francisco Police Code Sections 4901\-4919, commonly referred to as the San Francisco Fair Chance Ordinance; and Chapter XVII, Article 9 of the Los Angeles Municipal Code, commonly referred to as the Fair Chance Initiative for Hiring Ordinance.
 All qualified applicants will receive consideration for employment without regard to age, race, color, religion, sex, sexual orientation, gender identity, national origin, protected veteran status, or disability status.
 PepsiCo is an Equal Opportunity Employer: Female / Minority / Disability / Protected Veteran / Sexual Orientation / Gender Identity / Age
 If you'd like more information about your EEO rights as an applicant under the law, please download the available EEO is the Law \&amp; EEO is the Law Supplement documents. View PepsiCo EEO Policy.
 Please view our Pay Transparency Statement</t>
        </is>
      </c>
    </row>
    <row r="19">
      <c r="A19" t="inlineStr">
        <is>
          <t>li-4288100133</t>
        </is>
      </c>
      <c r="B19" t="inlineStr">
        <is>
          <t>Machine Learning Engineer</t>
        </is>
      </c>
      <c r="C19" t="inlineStr">
        <is>
          <t>Scribd, Inc.</t>
        </is>
      </c>
      <c r="D19" t="inlineStr">
        <is>
          <t>linkedin</t>
        </is>
      </c>
      <c r="E19" t="inlineStr"/>
      <c r="F19" t="inlineStr"/>
      <c r="G19" t="inlineStr">
        <is>
          <t>San Diego, CA</t>
        </is>
      </c>
      <c r="H19" t="inlineStr"/>
      <c r="I19"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Our Machine Learning team builds both the platform and product applications that power personalized discovery, recommendations, and generative AI features across Scribd, Slideshare, and Everand. ML teams works on the Orion ML Platform – providing core ML infrastructure, including a feature store, model registry, model inference systems, and embedding\-based retrieval (EBR). MLE team also works closely with Product team – delivering zero\-to\-one integrations of ML into user\-facing features like recommendations, near real\-time personalization, and AskAI LLM\-powered experiences
**Role Overview**
 We are seeking a Machine Learning Engineer II to help design, build, and optimize high\-impact ML systems that serve millions of users in near real time. You will work on projects that span from improving our core ML platform to integrating models directly into the product experience.
**Tech Stack**
 Our Machine Learning team uses a range of technologies to build and operate large\-scale ML systems. Our regular toolkit includes:
* Languages: Python, Golang, Scala, Ruby on Rails
* Orchestration \&amp; Pipelines: Airflow, Databricks, Spark
* ML \&amp; AI: AWS Sagemaker, embedding\-based retrieval (Weaviate), feature store, model registry, model serving platforms, LLM providers like OpenAI, Anthropic, Gemini, etc.
* APIs \&amp; Integration: HTTP APIs, gRPC
* Infrastructure \&amp; Cloud: AWS (Lambda, ECS, EKS, SQS, ElastiCache, CloudWatch), Datadog, Terraform.
**Key Responsibilities**
* Design, build, and optimize ML pipelines, including data ingestion, feature engineering, training, and deployment for large\-scale, real\-time systems.
* Improve and extend core ML Platform capabilities such as the feature store, model registry, and embedding\-based retrieval services.
* Collaborate with product software engineers to integrate ML models into user\-facing features like recommendations, personalization, and AskAI.
* Conduct model experimentation, A/B testing, and performance analysis to guide production deployment.
* Optimize and refactor existing systems for performance, scalability, and reliability.
* Ensure data accuracy, integrity, and quality through automated validation and monitoring.
* Participate in code reviews and uphold engineering best practices.
* Manage and maintain ML infrastructure in cloud environments, including deployment pipelines, security, and monitoring.
**Requirements**
**Must Have**
* 3\+ years of experience as a professional software or machine learning engineer.
* Proficiency in at least one key programming language (preferably Python or Golang; Scala or Ruby also considered).
* Hands\-on experience building ML pipelines and working with distributed data processing frameworks like Apache Spark, Databricks, or similar.
* Experience working with systems at scale and deploying to production environments.
* Cloud experience (AWS, Azure, or GCP), including building, deploying, and optimizing solutions with ECS, EKS, or AWS Lambda.
* Strong understanding of ML model trade\-offs, scaling considerations, and performance optimization.
* Bachelor’s in Computer Science or equivalent professional experience.
**Nice to Have**
* Experience with embedding\-based retrieval, recommendation systems, ranking models, or large language model integration.
* Experience with feature stores, model serving \&amp; monitoring platforms, and experimentation systems.
* Familiarity with large\-scale system design for ML.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$126,000 \[minimum salary in our lowest geographic market within California] to $196,000 \[maximum salary in our highest geographic market within California].
 In the United States, outside of California, the reasonably expected salary range is between $T103,500 \[minimum salary in our lowest US geographic market outside of California] to $186,500 \[maximum salary in our highest US geographic market outside of California].
 In Canada, the reasonably expected salary range is between $131,500 CAD\[minimum salary in our lowest geographic market] to $174,500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20">
      <c r="A20" t="inlineStr">
        <is>
          <t>li-4251321130</t>
        </is>
      </c>
      <c r="B20" t="inlineStr">
        <is>
          <t>AI Engineer</t>
        </is>
      </c>
      <c r="C20" t="inlineStr">
        <is>
          <t>PepsiCo</t>
        </is>
      </c>
      <c r="D20" t="inlineStr">
        <is>
          <t>linkedin</t>
        </is>
      </c>
      <c r="E20" t="inlineStr"/>
      <c r="F20" t="inlineStr"/>
      <c r="G20" t="inlineStr">
        <is>
          <t>Purchase, NY</t>
        </is>
      </c>
      <c r="H20" t="inlineStr"/>
      <c r="I20" t="inlineStr">
        <is>
          <t>**Overview**
 As an AI Engineer specializing in AI Agents, you will play a pivotal role in our organization's transformation strategies by designing and developing domain\-specific AI agents and solutions. Prototyping, iterating, and taking these solutions to production, you serve as the technical complement to the business side of the AI Solutions Lead. Your work will involve close collaboration with transformation teams, business stakeholders, and AI platform teams to create scalable, cross\-domain AI solutions that deliver actionable insights and perform intelligent tasks.
**Responsibilities**
**AI Development (40%)**
* Prototyping, iterating, and taking to production domain\-specific AI agents that can communicate and work with other AI agents, performing tasks such as information gathering, insight generation, and intelligent actions.
* Writing and optimizing code for high\-performance AI models.
* Develop an actionable Generative AI roadmap and drive solution development using Gen\-AI and Agentic AI capabilities.
**Collaboration with Teams (20%)**
* Collaborate with transformation teams and business stakeholders to understand requirements and tailor AI agents to specific domains.
* Work closely with AI platform teams to build scalable and cross\-domain AI agents while ensuring end\-to\-end observability.
**Integration \&amp; Deployment (20%)**
* Lead AI projects, demonstrating hands\-on experience in code development and software engineering.
* Deploy, monitor, and optimize AI agents on cloud infrastructure, ensuring high availability and performance.
**Continuous Learning (20%)**
* Stay updated with the latest advancements in AI and machine learning technologies and integrate these into existing or new AI agents.
* Conduct thorough testing and validation to ensure the reliability and accuracy of AI agents and solutions.
* Decision\-Making Autonomy Moderate – Significant autonomy in the technical aspects of AI model development and implementation, working under the strategic direction provided by the Senior AI Solutions Manager.
* Supervision Required Moderate – Operates with general guidance from the Senior AI Solutions Manager, with regular updates for alignment and support.
* Complexity of Role High – The role requires managing complex AI/ML projects, working with large datasets, and ensuring successful integration with existing systems while maintaining scalability.
* Cross\-Functional Interactions Yes – Regular interaction with Data Science, Engineering, IT, digital products and business stakeholders to ensure effective AI solution deployment.
**Compensation and Benefits:**
* The expected compensation range for this position is between $106,400 \- $178,100\.
* Location, confirmed job\-related skills, experience, and education will be considered in setting actual starting salary. Your recruiter can share more about the specific salary range during the hiring process.
* Bonus based on performance and eligibility target payout is 12% of annual salary paid out annually.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Education: Bachelor’s or Master’s degree in Computer Science, AI/ML, Data Science, or a related field.
* Experience: Proven experience in leading AI projects with hands\-on experience in code development and software engineering.
* Required Expertise:
* 
+ Proficiency in programming languages such as Python, Java, or C(.
+ Experience and working knowledge with Agentic AI frameworks (e.g., Langchain, CrewAi, MCP, A2A) and deployment of AI solutions on cloud infrastructures (AWS, Azure, or Google Cloud).
+ Strong understanding and experience in designing AI agents and integrating advancements in AI/ML technologies.
+ Excellent analytical, problem\-solving, and communication skills.
+ Ability to work collaboratively in a cross\-functional team environment.
* Technical Proficiency: Deep understanding of new technologies, GenAI algorithms and Agentic tools.
* Problem\-Solving: Ability to translate business challenges into technical solutions.
* Collaboration Skills: Effective at working within cross\-functional teams.
* Agility: Flexibility to adapt to changing requirements and new technologies.
* Communication Skills: Capable of explaining complex technical concepts to non\-technical stakeholders.
**EEO Statement**
 Our Company will consider for employment qualified applicants with criminal histories in a manner consistent with the requirements of the Fair Credit Reporting Act, and all other applicable laws, including but not limited to, San Francisco Police Code Sections 4901\-4919, commonly referred to as the San Francisco Fair Chance Ordinance; and Chapter XVII, Article 9 of the Los Angeles Municipal Code, commonly referred to as the Fair Chance Initiative for Hiring Ordinance.
 All qualified applicants will receive consideration for employment without regard to age, race, color, religion, sex, sexual orientation, gender identity, national origin, protected veteran status, or disability status.
 PepsiCo is an Equal Opportunity Employer: Female / Minority / Disability / Protected Veteran / Sexual Orientation / Gender Identity / Age
 If you'd like more information about your EEO rights as an applicant under the law, please download the available EEO is the Law \&amp; EEO is the Law Supplement documents. View PepsiCo EEO Policy.
 Please view our Pay Transparency Statement</t>
        </is>
      </c>
    </row>
    <row r="21">
      <c r="A21" t="inlineStr">
        <is>
          <t>li-4323965100</t>
        </is>
      </c>
      <c r="B21" t="inlineStr">
        <is>
          <t>Machine Learning Engineer - Perception Attributes</t>
        </is>
      </c>
      <c r="C21" t="inlineStr">
        <is>
          <t>Zoox</t>
        </is>
      </c>
      <c r="D21" t="inlineStr">
        <is>
          <t>linkedin</t>
        </is>
      </c>
      <c r="E21" t="inlineStr"/>
      <c r="F21" t="inlineStr"/>
      <c r="G21" t="inlineStr">
        <is>
          <t>Foster City, CA</t>
        </is>
      </c>
      <c r="H21" t="inlineStr"/>
      <c r="I21" t="inlineStr">
        <is>
          <t>The Perception team at Zoox is fundamental to our autonomous vehicle technology, creating the understanding of the world for our self\-driving robots. We enable safe and efficient navigation in complex environments through sophisticated detection, classification, and tracking systems.
 As a Machine Learning Engineer on the Attributes team within the Perception department, you will take ownership of developing and enhancing sophisticated behavioral models for various road users, including vehicles, pedestrians, and cyclists. Your work will focus on creating and maintaining robust perception attribute models that generate critical signals for our autonomous driving stack. These signals are essential inputs that enable our Prediction and Planning teams to make intelligent, safe driving decisions for our autonomous vehicles. In this role, you will bridge the crucial gap between raw perception data and autonomous decision\-making, working closely with cross\-functional teams to optimize model outputs and enhance our system's overall perception capabilities. Your contributions will directly impact the safety and effectiveness of Zoox's autonomous vehicle platform, advancing our mission of revolutionizing urban mobility.
 Your work in the Attributes team is fundamental to Zoox's autonomous driving capabilities. The models you develop and the impact you will have will serve as the foundation for how our vehicles understand and interact with other road users, directly contributing to the safety and effectiveness of our autonomous driving system. By creating reliable and accurate behavioral models, you enable Zoox's vehicles to make smart, safe decisions in complex urban environments, bringing us closer to our goal of revolutionizing urban mobility
**In This Role, You Will**
* Work with Data Labeling and Ontology teams on data labeling and ontology definitions of the road users in different attributes and generate auto\-labeling or data mining strategies for different attributes.
* Lead the development of sophisticated behavioral models for vehicles, pedestrians, and cyclists as a key member of the Attributes team within Zoox's Perception department.
* Create and maintain Perception attribute models that generate essential signals, enabling our autonomous vehicles to understand and predict the behavior of various road users.
* Collaborate closely with Prediction and Planning teams to optimize your models' outputs. This will directly influence how our autonomous vehicles make real\-time driving decisions and bridge the critical gap between raw perception data and autonomous decision\-making.
**Qualifications**
* MS/PhD in Computer Science or related fields with a minimum of 5 years of relevant experience
* Experience with training and deploying Deep Learning models
* Experience with production Machine Learning pipelines: dataset creation, training frameworks, metrics pipelines
* Fluency programming in Python and extensive experience with algorithm design
* Strong mathematics skills
**Bonus Qualifications**
* Familiarity of VLMs/VLAs/ViTs
* Experience with large model distillation in a production environment
* Familiarity with C\+\+
 $189,000 \- $257,000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2">
      <c r="A22" t="inlineStr">
        <is>
          <t>li-4361717721</t>
        </is>
      </c>
      <c r="B22" t="inlineStr">
        <is>
          <t>Senior Machine Learning Engineer</t>
        </is>
      </c>
      <c r="C22" t="inlineStr">
        <is>
          <t>Imagry | Autonomous Driving</t>
        </is>
      </c>
      <c r="D22" t="inlineStr">
        <is>
          <t>linkedin</t>
        </is>
      </c>
      <c r="E22" t="inlineStr"/>
      <c r="F22" t="inlineStr"/>
      <c r="G22" t="inlineStr">
        <is>
          <t>San Jose, CA</t>
        </is>
      </c>
      <c r="H22" t="inlineStr"/>
      <c r="I22" t="inlineStr">
        <is>
          <t>Imagry is seeking an experienced Computer Vision\- Machine Learning Engineer
 4\-5 years of experience in the Industry.
 On\-Site in San Jose California!
 The engineer will work on devising, developing, and integrating novel deep vision\-based algorithms at the heart of our autonomous driving system.
 This is an opportunity to work on cutting\-edge deep vision methods, develop and innovate new ideas, and see them deployed on the road in our autonomous vehicles.
 Responsibilities:
 Designing, training, and optimizing novel computer vision algorithms.
 Taking an End\-to End responsibility over medium to long\-term projects
 Seeing projects through from research to deployment
 Devising and implementing performance metrics
 Supervising complex data pipelines, from the collection stage, through annotation, to training models
 Communicating, presenting and visualizing results
 Aligning the algorithms with the product needs</t>
        </is>
      </c>
    </row>
    <row r="23">
      <c r="A23" t="inlineStr">
        <is>
          <t>li-4363857444</t>
        </is>
      </c>
      <c r="B23" t="inlineStr">
        <is>
          <t>Senior ML Engineer</t>
        </is>
      </c>
      <c r="C23" t="inlineStr">
        <is>
          <t>Uber</t>
        </is>
      </c>
      <c r="D23" t="inlineStr">
        <is>
          <t>linkedin</t>
        </is>
      </c>
      <c r="E23" t="inlineStr"/>
      <c r="F23" t="inlineStr"/>
      <c r="G23" t="inlineStr">
        <is>
          <t>San Francisco, CA</t>
        </is>
      </c>
      <c r="H23" t="inlineStr"/>
      <c r="I23" t="inlineStr">
        <is>
          <t>**About The Role**
 Uber's newly formed AI Security team, part of the Core Security Engineering organization, is building the foundation for dynamic, data\-driven security systems. We're evolving Uber's Zero Trust Architecture (ZTA) to be more risk\-adaptive across authentication and authorization, moving beyond static rules and manual approvals toward real\-time, ML\-driven access decisions that secure both humans and AI agents without slowing them down.
 As a Senior ML Engineer, you'll translate ambiguous business and security needs into concrete ML problems, design and iterate on solutions, and take them end\-to\-end into production. This is greenfield work at the intersection of ML, security, and infrastructure, shaping how Uber secures AI at scale.
**What The Candidate Will Need / Bonus Points**
 \-\-\-\- What the Candidate Will Do \-\-\-\-
* Translate business and security needs into well\-defined ML problems.
* Develop, iterate, and productionize ML models that drive risk\-adaptive decisions in real\-time.
* Engineer features from Uber's risk systems, logs, and contextual signals.
* Integrate ML systems into Uber's critical access pathways (containers, APIs, gateways, data).
* Collaborate across Security, Risk, and Infra teams to deliver scalable, production\-ready solutions.
* Provide leadership by mentoring junior engineers, evangelize ML best practices, and help shape ML strategy within AI Security.
**Basic Qualifications**
* 5\+ years experience in formulating ML problems from ambiguous business requirements, especially in risk, fraud, or security contexts.
* Proficiency across a broad range of ML algorithms: tree\-based models (XGBoost, LightGBM), classical statistical models (logistic regression, SVMs), and deep learning architectures (CNNs, RNNs, Transformers), with the ability to select and apply the right approach based on context and data characteristics.
* Hands\-on experience with feature engineering, model development, and productionization of ML pipelines.
* Proficiency in PyTorch, TensorFlow, or similar ML frameworks, and in Python or comparable languages for scalable, production\-grade systems.
**Preferred Qualifications**
* Proven ability to own ML systems end\-to\-end: from requirement discovery → feature design → modeling → deployment.
* Deep experience with advanced ML techniques, including ensemble methods, neural networks, graph\-based models, and handling challenges like imbalanced data, feedback loops, and iterative retraining.
* Familiarity with large\-scale data/infra systems (Kafka, Pinot, Hive, Cassandra, Spark, Flink).
* Background in access control, authentication, or enterprise security systems.
* Track record of technical leadership: mentoring engineers, driving cross\-functional initiatives, or shaping ML/security strategy.
 For San Francisco, CA\-based roles: The base salary range for this role is USD$202,000 per year \- USD$224,000 per year. For Seattle, WA\-based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4">
      <c r="A24" t="inlineStr">
        <is>
          <t>li-4297755028</t>
        </is>
      </c>
      <c r="B24" t="inlineStr">
        <is>
          <t>Sr. Machine Learning Engineer</t>
        </is>
      </c>
      <c r="C24" t="inlineStr">
        <is>
          <t>Databricks</t>
        </is>
      </c>
      <c r="D24" t="inlineStr">
        <is>
          <t>linkedin</t>
        </is>
      </c>
      <c r="E24" t="inlineStr"/>
      <c r="F24" t="inlineStr"/>
      <c r="G24" t="inlineStr">
        <is>
          <t>San Francisco, CA</t>
        </is>
      </c>
      <c r="H24" t="inlineStr"/>
      <c r="I24" t="inlineStr">
        <is>
          <t>P\-1131
 The Applied AI team at Databricks sits at the forefront of advancing GenAI\-powered products. Over the past years, we’ve launched Databricks Assistant, AI/BI Genie, and Agent Bricks working with product teams, and made significant strides in LLM quality for these products. These products are used by 100s of thousands of Databricks users every day. We are tackling challenging problems like code suggestion, error detection and correction, text\-to\-sql generation, automatic pipeline generation, knowledge QA and many others.
 As our GenAI products continue to evolve, we are seeking multiple
 **GenAI Engineers from junior levels to more senior levels** 
 to drive the next phase of development. In 2025, we will focus on enhancing LLM quality, expanding GenAI capabilities across Databricks products, and strengthening our platform architecture to enable seamless AI interactions at scale.
**Key Responsibilities**
* Shape the direction of our applied AI areas and intelligence features in our products. Drive the development and deployment of state\-of\-the\-art AI models and systems that directly impact the capabilities and performance of Databricks' products and services (e.g., Databricks Assistant and AI/BI Genie).
* Develop novel data collection, fine\-tuning, and LLM technologies that achieve optimal performance on specific tasks and domains.
* Design and implement ML pipelines for data preprocessing, feature engineering, model training, hyperparameter tuning, and model evaluation, enabling rapid experimentation and iteration.
* Work closely with cross\-functional teams, including AI researchers, ML engineers, and product teams, to deliver impactful AI solutions that enhance user productivity and satisfaction.
* Build scalable, reusable backend systems to support GenAI products across the company. Develop robust logging, telemetry, and evaluation harnesses to ensure reliable model performance.
**What We’re Looking For**
* 2\-8 years of machine learning engineering experience in high\-velocity, high\-growth companies. Alternatively, a strong background in relevant ML research in academia will be considered as an equivalent qualification.
* Strong track record of working with language modeling technologies. This could include the following: Developing generative and embedding techniques, modern model architectures, fine tuning / pre\-training datasets, and evaluation benchmarks.
* Proficiency in Python, TensorFlow/PyTorch, and scalable ML architectures.
* Ability to drive end\-to\-end model development, from research and prototyping to deployment and monitoring.
* Strong analytical and problem\-solving skills, with a passion for improving AI\-driven user experiences.
* Strong coding and software engineering skills, and familiarity with software engineering principles around testing, code reviews and deployment.
* Experience with LLM fine\-tuning, prompt engineering, and retrieval\-augmented generation (RAG) is a bonus.
**Why Join Us?**
 At Databricks, we are building state\-of\-the\-art AI solutions that redefine how users interact with data and our products. You’ll have the opportunity to shape the future of AI\-driven products at Databricks, work with cutting\-edge models, and collaborate with a world\-class team of AI and ML experts.
 If you're excited about pushing the boundaries of AI in real\-world applications, we’d love to hear from you!
 Please note we are open to employees working from our Mountain View, CA office for this position.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$164,200—$205,200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25">
      <c r="A25" t="inlineStr">
        <is>
          <t>li-4281121264</t>
        </is>
      </c>
      <c r="B25" t="inlineStr">
        <is>
          <t>Engineer Graduate: (Machine Learning Engineer, Data-Search-TikTok Recommendation - San Jose) - 2026 Start (BS/MS)</t>
        </is>
      </c>
      <c r="C25" t="inlineStr">
        <is>
          <t>TikTok</t>
        </is>
      </c>
      <c r="D25" t="inlineStr">
        <is>
          <t>linkedin</t>
        </is>
      </c>
      <c r="E25" t="inlineStr"/>
      <c r="F25" t="inlineStr"/>
      <c r="G25" t="inlineStr">
        <is>
          <t>San Jose, CA</t>
        </is>
      </c>
      <c r="H25" t="inlineStr"/>
      <c r="I25" t="inlineStr">
        <is>
          <t>**Responsibilities**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**About The Team**
 On the TikTok Search Team, you will have the opportunity to develop and apply cutting edge machine learning technologies in real\-time large\-scale systems, which serve billions of search requests every day. Via advanced NLP and multi\-modal models, our projects impact and improve the search experience for hundreds of millions of users globally. We embrace a culture of self\-direction, intellectual curiosity, openness, and problem\-solving.
**Responsibilities:**
 Participate in the improvement of the search core algorithm, possible directions include:
* Content understanding/matching: Applying the industry's cutting\-edge NLP and CV technology to match the most relevant videos for each search query, and continuously improve the relevance of TikTok search.
* User Behavior Modeling: solving the recommendation problem in search, let TikTok search increase the ability of personalization on the basis of "relevant", and understand users better.
* Video understanding: comprehensive use of NLP, CV, and other technologies for better video understanding from the perspective of the video itself and social network, improve the authority, credibility, and usefulness of search results.
**Qualifications**
 Minimum Qualifications:
* Final year or recent graduate with a background in Software Development, Computer Science, Computer Engineering, or a related technical discipline.
* Must obtain work authorization in country of employment at the time of hire, and maintain ongoing work authorization during employment.
* Proficient coding skills and strong algorithm \&amp; data structure basis.
* Effective communication and teamwork skills.
* Experience in one or more of the following areas: NLP, Ranking, Ads, search engine, recommender system, distributed system, and machine learning.
 By submitting an application for this role, you accept and agree to our global applicant privacy policy, which may be accessed here: https://careers.tiktok.com/legal/privacy
 Job Information
**【For Pay Transparency】Compensation Description (Annually)**
 The base salary range for this position in the selected city is $118657 \- $187200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26">
      <c r="A26" t="inlineStr">
        <is>
          <t>li-4121963767</t>
        </is>
      </c>
      <c r="B26" t="inlineStr">
        <is>
          <t>Sr. Machine Learning Engineer, Applied Research Science</t>
        </is>
      </c>
      <c r="C26" t="inlineStr">
        <is>
          <t>Pinterest</t>
        </is>
      </c>
      <c r="D26" t="inlineStr">
        <is>
          <t>linkedin</t>
        </is>
      </c>
      <c r="E26" t="inlineStr"/>
      <c r="F26" t="inlineStr"/>
      <c r="G26" t="inlineStr">
        <is>
          <t>Seattle, WA</t>
        </is>
      </c>
      <c r="H26" t="inlineStr"/>
      <c r="I26"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 more than 500 million users around the world and 300 billion ideas saved, Pinterest Machine Learning engineers build personalized experiences to help Pinners create a life they love. With just over 3,000 global employees, our teams are small, mighty, and still growing. At Pinterest, you’ll experience hands\-on access to an incredible vault of data and contribute large\-scale recommendation systems in ways you won’t find anywhere else.
**What You’ll Do**
* Build cutting edge technology using the latest advances in deep learning and machine learning to personalize Pinterest
* Partner closely with teams across Pinterest to experiment and improve ML models for various product surfaces (Homefeed, Ads, Growth, Shopping, and Search), while gaining knowledge of how ML works in different areas
* Use data driven methods and leverage the unique properties of our data to improve candidates retrieval
* Work in a high\-impact environment with quick experimentation and product launches
* Keeping up with industry trends in recommendation systems
**What We’re Looking For** 
* 4\+ years of industry experience applying machine learning methods (e.g., user modeling, personalization, recommender systems, search, ranking, natural language processing, reinforcement learning, and graph representation learning)
* End\-to\-end hands\-on experience with building data processing pipelines, large scale machine learning systems, and big data technologies (e.g., Hadoop/Spark)
* Degree in computer science, machine learning, statistics, or related field
* Nice to have:
+ Publications at top ML conferences
+ Expertise in scalable realtime systems that process stream data
+ Passion for applied ML and the Pinterest product
+ MS/PhD in Computer Science, ML, NLP, Statistics, Information Sciences, related field, or equivalent experience.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$189,721—$332,012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27">
      <c r="A27" t="inlineStr">
        <is>
          <t>li-4325769202</t>
        </is>
      </c>
      <c r="B27" t="inlineStr">
        <is>
          <t>AI Engineer, AI Services</t>
        </is>
      </c>
      <c r="C27" t="inlineStr">
        <is>
          <t>AHEAD</t>
        </is>
      </c>
      <c r="D27" t="inlineStr">
        <is>
          <t>linkedin</t>
        </is>
      </c>
      <c r="E27" t="inlineStr"/>
      <c r="F27" t="inlineStr"/>
      <c r="G27" t="inlineStr"/>
      <c r="H27" t="inlineStr"/>
      <c r="I27" t="inlineStr">
        <is>
          <t>AHEAD builds platforms for digital business. By weaving together advances in cloud infrastructure, automation and analytics, and software delivery, we help enterprises deliver on the promise of digital transformation.
 At AHEAD, we prioritize creating a culture of belonging, where all perspectives and voices are represented, valued, respected, and heard. We create spaces to empower everyone to speak up, make change, and drive the culture at AHEAD.
 We are an equal opportunity employer, and do not discriminate based on an individual's race, national origin, color, gender, gender identity, gender expression, sexual orientation, religion, age, disability, marital status, or any other protected characteristic under applicable law, whether actual or perceived.
***We embrace all candidates that will contribute to the diversification and enrichment of ideas and perspectives at AHEAD.***
**Role Overview**
 The AI Engineer is a hands\-on builder who develops and deploys agentic AI solutions for AHEAD’s clients. You will work on multi\-agent workflows, retrieval pipelines, and system integrations that automate real business processes like document handling, SDLC tasks, service desk actions, reporting, and decision support.
 This role focuses on implementing and improving components within larger agentic systems. You will collaborate closely with senior engineers, solution managers, and client teams to translate ideas into working automations. It is an ideal role for someone eager to deepen their skills in applied AI, workflow orchestration, and enterprise integration.
**Key Responsibilities**
* Agentic Solution Development
* Build and customize agents using frameworks such as LangChain, LangGraph, Autogen, CrewAI, or LlamaIndex.
* Implement components for document processing, workflow automation, data retrieval, and structured output generation.
* Develop and maintain vector DB pipelines (Pinecone, pgvector, Elasticsearch) and RAG\-based retrieval workflows.
* Configure LLM/SLM endpoints, tool\-calling functions, and agent memory/state handling.
* Workflow \&amp; Integration Engineering
* Implement real\-time and batch workflows using Python, Kafka, EventBridge, Airflow, Celery, Snowflake, S3, or n8n.
* Build integrations with enterprise tools (SharePoint, Salesforce, ServiceNow, Jira, APIs).
* Support data transformations, validation, and versioning needed for downstream agent operations.
* Quality, Testing \&amp; Observability
* Write tests for agent behavior, pipelines, and model output consistency.
* Contribute to monitoring, logging, metrics, and guardrail configurations for agentic systems.
* Participate in debugging sessions and post\-incident reviews with senior engineers.
* Client Delivery Support
* Participate in client workshops, demos, and working sessions as part of the engineering team.
* Translate requirements from senior engineers or solution managers into technical tasks and working components.
* Help document solution behavior, configurations, and deployment steps for clients.
* Security, Governance \&amp; Responsible AI
* Follow established patterns for access control, data handling, safe model usage, and auditing.
* Ensure compliance and guardrail configurations are consistently applied in implementations.
* Team Collaboration \&amp; Growth
* Contribute to internal documentation, code templates, and reusable building blocks.
* Learn and apply AHEAD’s reference architectures, best practices, and agentic patterns.
* Support onboarding of new engineers and collaborate in agile ceremonies.
**Qualifications**
* Required
* Solid Python programming skills and experience building APIs, batch jobs, or automation scripts.
* Exposure to multi\-agent or LLM application frameworks (LangChain, LangGraph, Autogen, LlamaIndex, CrewAI).
* Familiarity with vector databases and retrieval workflows (Pinecone, pgvector, Elasticsearch).
* Experience with data engineering or workflow tools (Kafka, EventBridge, Snowflake, Airflow, Celery, AWS services, or similar).
* Strong attention to documentation, testing, and collaborative engineering practices.
* Ability to learn quickly in fast\-moving, client\-facing environments.
* Preferred
* Experience integrating with enterprise systems or SaaS platforms (ServiceNow, Salesforce, SharePoint, databases).
* Familiarity with MLOps, containerization, or observability stacks.
* Exposure to cloud services (AWS, Azure, GCP).
* Success Metrics
* High\-quality implementation of agentic components, integrations, and workflows.
* Reliability and consistency of delivered features, validated through tests and monitoring.
* Steady velocity of delivery within agile teams.
* Strong collaboration with senior engineers and positive feedback from client teams.
* Demonstrated growth in agentic engineering skills and contribution to reusable assets.
 $180,000 \- $230,000 a year
**Why AHEAD**
 Through our daily work and internal groups like Moving Women AHEAD and RISE AHEAD, we value and benefit from diversity of people, ideas, experience, and everything in between.
 We fuel growth by stacking our office with top\-notch technologies in a multi\-million\-dollar lab, by encouraging cross department training and development, sponsoring certifications and credentials for continued learning.
**USA Employment Benefits Include**
* Medical, Dental, and Vision Insurance
* 401(k)
* Paid company holidays
* Paid time off
* Paid parental and caregiver leave
* Plus more! See benefits https://www.aheadbenefits.com/ for additional details.
 The compensation range indicated in this posting reflects the On\-Target Earnings (“OTE”) for this role, which includes a base salary and any applicable target bonus amount. This OTE range may vary based on the candidate’s relevant experience, qualifications, and geographic location.</t>
        </is>
      </c>
    </row>
    <row r="28">
      <c r="A28" t="inlineStr">
        <is>
          <t>li-4247482691</t>
        </is>
      </c>
      <c r="B28" t="inlineStr">
        <is>
          <t>Staff Machine Learning Engineer, Team Lead</t>
        </is>
      </c>
      <c r="C28" t="inlineStr">
        <is>
          <t>Attentive</t>
        </is>
      </c>
      <c r="D28" t="inlineStr">
        <is>
          <t>linkedin</t>
        </is>
      </c>
      <c r="E28" t="inlineStr"/>
      <c r="F28" t="inlineStr"/>
      <c r="G28" t="inlineStr">
        <is>
          <t>San Francisco, CA</t>
        </is>
      </c>
      <c r="H28" t="inlineStr"/>
      <c r="I28" t="inlineStr">
        <is>
          <t>Attentive® is the AI marketing platform for 1:1 personalization redefining the way brands and people connect. We’re the only marketing platform that combines powerful technology with human expertise to build authentic customer relationships. By unifying SMS, RCS, email, and push notifications, our AI\-powered personalization engine delivers bespoke experiences that drive performance, revenue, and loyalty through real\-time behavioral insights.
 Recognized as the \#1 provider in SMS Marketing by G2, Attentive partners with more than 8,000 customers across 70\+ industries. Leading global brands like Crate and Barrel, Urban Outfitters, and Carter’s work with us to enable billions of interactions that power tens of billions in revenue for our customers.
 With a distributed global workforce and employee hubs in New York City, San Francisco, London, and Sydney, Attentive’s team has been consistently recognized for its performance and culture. We’re proud to be included in Deloitte’s Fast 500 (four years running!), LinkedIn’s Top Startups, Forbes’ Cloud 100 (five years running!), and Inc.’s Best Workplaces.
**About the Role
 Our Machine Learning Engineering team powers personalized experiences for hundreds of millions of customers across thousands of brands. We build advanced ML models that predict customer behaviors in real\-time, enabling highly personalized  shopping experiences. Joining our team offers a high\-growth career opportunity to work with some of the world’s most talented machine learning engineers in a high\-performance and high\-impact culture.
 We are seeking a self\-driven and highly motivated Machine Learning Engineer to join our growing machine learning teams. As an early hire, you will contribute to the development of machine learning models and infrastructure needs across the Attentive platform and work with Product Management and Engineering to implement end\-to\-end modeling use cases.
**What You'll Accomplish** 
* You have a proven track record of building systems that maintain a high bar of quality
* You deeply loathe regressions and take proactive steps to protect against them through a variety of testing techniques
* You are a collaborator, technical leader, and a great communicator
* You are constantly improving the quality of the project you are working on, both via direct contributions as well as long\-term advocacy for larger\-scale changes
* You are enthusiastic about the high impact, fast\-paced work environment of an late\-stage startup
* 10\+ years experience is ideal
**Your Expertise** 
* You have worked professionally building systems for 6\+ years with experience on a single system long enough to see the consequences of your decisions
* Experience with TensorFlow/Pytorch, xgboost, pandas, matplotlib, SQL, Spark or similar tools
* You have proficiency or experience with Python
* You have extensive experience using machine learning and data analysis, or similar, to build scalable systems and data\-driven products, working with cross\-functional teams
* You have a proven track record of building scalable, efficient, automated processes for large\-scale data analyses, model development, model validation, and model implementation from modern research
* You have led cross\-functional machine learning projects across teams
**What We Use** 
* Our infrastructure runs primarily in Kubernetes hosted in AWS’s EKS
* Infrastructure tooling includes Istio, Datadog, Terraform, CloudFlare, and Helm
* Our backend is Java / Spring Boot microservices, built with Gradle, coupled with things like DynamoDB, Kinesis, AirFlow, Postgres, Planetscale, and Redis, hosted via AWS
* Our frontend is built with React and TypeScript, and uses best practices like GraphQL, Storybook, Radix UI, Vite, esbuild, and Playwright
* Our automation is driven by custom and open source machine learning models, lots of data and built with Python, Metaflow, HuggingFace 🤗, PyTorch, TensorFlow, and Pandas
 You'll get competitive
 perks and benefits
 , from health \&amp; wellness to equity, to help you bring your best self to work.
**For US based applicants:
 \- The US base salary range for this full\-time position is $288,000 \- $330,000 annually \+ equity \+ benefits
 \- Equity is a substantial part of the total compensation package
 \- Our salary ranges are determined by role, level and location
**Attentive Company Values
**Default to Action** 
 \- Move swiftly and with purpose
**Be One Unstoppable Team** 
 \- Rally as each other’s champions
**Champion the Customer** 
 \- Our success is defined by our customers' success
**Act Like an Owner** 
  \- Take responsibility for Attentive’s success
 Learn more about AWAKE, Attentive’s collective of employee resource groups.
 If you do not meet all the requirements listed here, we still encourage you to apply! No job description is perfect, and we may also have another opportunity that closely matches your skills and experience.
 At Attentive, we know that our Company's strength lies in the diversity of our employees. Attentive is an Equal Opportunity Employer and we welcome applicants from all backgrounds. Our policy is to provide equal employment opportunities for all employees, applicants and covered individuals regardless of protected characteristics. We prioritize and maintain a fair, inclusive and equitable workplace free from discrimination, harassment, and retaliation. Attentive is also committed to providing reasonable accommodations for candidates with disabilities. If you need any assistance or reasonable accommodations, please let your recruiter know.******</t>
        </is>
      </c>
    </row>
    <row r="29">
      <c r="A29" t="inlineStr">
        <is>
          <t>li-4318611507</t>
        </is>
      </c>
      <c r="B29" t="inlineStr">
        <is>
          <t>Senior AI Engineer</t>
        </is>
      </c>
      <c r="C29" t="inlineStr">
        <is>
          <t>BioRender</t>
        </is>
      </c>
      <c r="D29" t="inlineStr">
        <is>
          <t>linkedin</t>
        </is>
      </c>
      <c r="E29" t="inlineStr"/>
      <c r="F29" t="inlineStr"/>
      <c r="G29" t="inlineStr"/>
      <c r="H29" t="inlineStr"/>
      <c r="I29" t="inlineStr">
        <is>
          <t>At BioRender, we are accelerating the world’s ability to discover, learn, and communicate science faster through visuals. Today, BioRender empowers millions of scientists to create beautiful, accurate biological figures for communication within pharma companies and academic research.
 Our vision is to make BioRender the place where humans read biology—translating human and AI\-generated data into scientifically accurate, human\-understandable visuals. As AI automates large parts of research, BioRender will transform complex data, experimental results, and text inputs into clear, intuitive visuals that scientists, decision\-makers, and broader audiences can quickly interpret. Visual communication will be critical to accelerating breakthroughs across academia and industry, and BioRender will bridge the gap between specialized knowledge domains.
**About Us**
 We’re on a mission to democratize science communication with cutting\-edge AI\-powered products. As a Senior AI Engineer, you’ll not only build full\-stack solutions but also integrate AI into every layer of our product—turning innovative ideas into production\-ready features that delight our users.
**What You'll Be Doing**
* Collaborate Across Teams: Work side\-by\-side with product managers, designers, and data scientists to shape a roadmap that leverages AI for smarter, more engaging user experiences.
* Prototype \&amp; Productionize: Rapidly prototype AI\-driven features (e.g., natural language \&amp; multimodal processing, intelligent recommendations) and productionize them into our core product to help scientists communicate faster.
* Champion AI Innovation: Serve as the AI evangelist on your team—experiment with the latest AI models \&amp; techniques (LLMs, few\-shot learning, RAG..) and share your insights to uplift the entire engineering organization.
* Own and Improve: Take end\-to\-end ownership of key components of our codebase, ensuring that both traditional and AI\-powered features are robust, scalable, and maintainable.
* Drive Creative Problem\-Solving: Embrace ambiguity, experiment boldly, and develop creative solutions that push the boundaries of what our product can do.
**Our Ideal Fit Brings**
* AI Fluency \&amp; Passion: You’re genuinely curious about AI, continuously explore emerging tools, and love applying them in real\-world projects.
* Builder Mentality: With 7\+ years of full\-stack development experience, you’ve built products from concept to production and are eager to prototype and iterate quickly.
* Tech Expertise: Proficient in modern JavaScript frameworks (e.g., ReactJS), NodeJS/ExpressJS, cloud infrastructure (e.g., AWS), and experienced with Python along with ML libraries (e.g., PyTorch or TensorFlow).
* LLM tooling: has experience leveraging modern tools to develop with LLMs and deploy/monitor/experiment with them in production.
* Creative Problem Solver: You thrive in ambiguous environments and can creatively tackle challenges—both in standard product features and in integrating advanced AI functionalities.
* Mentorship \&amp; Collaboration: You love sharing your knowledge, helping peers adopt AI best practices, and continuously improving team processes.
**Why join us?**
* We are mission\-driven: we work collaboratively towards our shared vision of improving scientific communication and accelerating scientific discovery. BioRender figures have appeared in more than 54,000 publications!
* BioRender is loved by millions! We have a world\-class NPS and a community of loyal fans and users in 200\+ countries!
* Our company is backed by top investors and accelerators like Y Combinator, and we are on a growth trajectory comparable to many top\-performing SaaS companies
* We’re remote\-first with team members across Canada and the U.S., offering you the flexibility to work from anywhere.
 BioRender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disability, or veteran status.</t>
        </is>
      </c>
    </row>
    <row r="30">
      <c r="A30" t="inlineStr">
        <is>
          <t>li-4250310969</t>
        </is>
      </c>
      <c r="B30" t="inlineStr">
        <is>
          <t>Staff ML Engineer - Offboard Embodied AI</t>
        </is>
      </c>
      <c r="C30" t="inlineStr">
        <is>
          <t>General Motors</t>
        </is>
      </c>
      <c r="D30" t="inlineStr">
        <is>
          <t>linkedin</t>
        </is>
      </c>
      <c r="E30" t="inlineStr"/>
      <c r="F30" t="inlineStr"/>
      <c r="G30" t="inlineStr">
        <is>
          <t>Mountain View, CA</t>
        </is>
      </c>
      <c r="H30" t="inlineStr"/>
      <c r="I30" t="inlineStr">
        <is>
          <t>**Job Description**
**Role:** 
 In this role, you will be at the forefront of developing and deploying large\-scale Foundation Models (FMs) that enhance our automotive technologies at General Motors focused on Autonomous Driving \&amp; Robotics. You will work closely with a dynamic team of AI and ML researchers, data scientists and engineers who are passionate about leveraging advanced AI techniques to drive innovation for L2, L3 and L4 applications. Your contributions will directly impact our ability to deliver cutting\-edge solutions that meet the needs of our customers.
**What You'll Do:**
* Design and implement large\-scale Foundation Models for various applications, leveraging recent advancements in AI and robotics.
* Collaborate with cross\-functional teams to integrate \&amp; built distillation recipes of Robotics foundation models for onboard driving models.
* Analyze and optimize model performance, ensuring efficient training and deployment.
* Conduct research and stay updated on the latest advancements in AI frameworks and libraries.
* Lead projects from ideation to deployment, documenting learnings and best practices along the way.
* Mentor junior team members and contribute to a culture of knowledge sharing and continuous improvement.
**Your Skills \&amp; Abilities:**
* Bachelor’s, Master’s or PhD degree in Computer Science with a focus in Robotics and or Machine Learning, or a related field.
* Proven experience working with large\-scale Foundation Models, including LLMs, VLAs and vision\-focused models.
* Proficiency in frameworks such as PyTorch and TensorFlow, with experience in libraries like HuggingFace and OpenAI GPT.
* Strong data processing skills using tools like Numpy, Pandas, and Apache Spark.
* Excellent communication skills to effectively collaborate with diverse teams and stakeholders.
* Experience deploying foundation models into production environments and understanding the end\-to\-end process.
* Previous experience in Robotics or Autonomous Driving.
**Compensation** 
**:**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$180,000 to $280,000\. The actual base salary a successful candidate will be offered within this range will vary based on factors relevant to the position.
* Bonus Potential: An incentive pay program offers payouts based on company performance, job level, and individual performance.
**Hybrid:** 
 This role is categorized as hybrid. This means the successful candidate is expected to report to the Mountain View Technical Center in the Bay Area three times per week, at minimum.
**Relocation:**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1">
      <c r="A31" t="inlineStr">
        <is>
          <t>li-4205914517</t>
        </is>
      </c>
      <c r="B31" t="inlineStr">
        <is>
          <t>Staff Machine Learning Engineer – (ADAS/Autonomous Driving)</t>
        </is>
      </c>
      <c r="C31" t="inlineStr">
        <is>
          <t>Lucid Motors</t>
        </is>
      </c>
      <c r="D31" t="inlineStr">
        <is>
          <t>linkedin</t>
        </is>
      </c>
      <c r="E31" t="inlineStr"/>
      <c r="F31" t="inlineStr"/>
      <c r="G31" t="inlineStr">
        <is>
          <t>Newark, CA</t>
        </is>
      </c>
      <c r="H31" t="inlineStr"/>
      <c r="I31"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**About Lucid**
 At Lucid, we are redefining the luxury electric vehicle experience, combining cutting\-edge technology with exceptional design to deliver intuitive, safe, and exhilarating mobility. Join our team and help shape the future of autonomous driving.
 The Role
 We are seeking a
 **Staff Software Engineer** 
 to lead the integration and deployment of advanced perception models into Lucid’s production ADAS and autonomous driving systems. This role focuses on
 **productizing ML models** 
 , ensuring robust performance on automotive\-grade hardware, and building scalable pipelines for deployment and validation. You will collaborate with ML researchers, perception engineers, and hardware teams to deliver high\-performance, safety\-compliant solutions.
 Key Responsibilities
* Model Integration \&amp; Productization
* Deploy and integrate perception models (camera, LiDAR) into Lucid’s centralized software stack.
* Transition experimental components into production\-ready modules with robust scheduling and diagnostics.
* Performance Optimization
* Optimize inference pipelines using CUDA, TensorRT, and mixed\-precision techniques for real\-time performance.
* Implement multithreaded scheduling and containerized deployments for automotive platforms.
* Pipeline Development \&amp; Automation
* Build CI/CD pipelines for nightly deployments, HIL verification, and KPI reporting.
* Automate data recording, evaluation frameworks, and regression testing.
* Cross\-Functional Collaboration
* Work closely with ML researchers, software engineers, and OEM partners to ensure seamless integration.
* Support SDK development and customer\-facing deliverables.
* System Diagnostics \&amp; Monitoring
* Implement runtime performance metrics, logging, and error reporting for perception stack reliability.
**Required Qualifications**
* BS/MS in Computer Science, Electrical Engineering, or related field.
* 7\+ years of experience in software engineering for perception or autonomous systems.
* Strong proficiency in C\+\+ and Python, with experience in ROS1/2, OpenCV, and GPU acceleration.
* Hands\-on experience with ML frameworks (PyTorch) and inference optimization (TensorRT, CUDA).
* Expertise in containerization (Docker), CI/CD, and automated deployment pipelines.
* Proven ability to lead technical projects and collaborate across teams.
**Preferred Qualifications**
* Experience with automotive perception systems and ADAS software stacks.
* Familiarity with automotive safety standards (ISO 26262, ASPICE).
* Knowledge of multithreaded scheduling and real\-time performance tuning.
* Background in SDK development and automotive customer integration.
**Salary Range** 
 : The compensation range for this position is specific to the locations listed below and is the range Lucid reasonably and in good faith expects to pay for the position taking into account the wide variety of factors that are considered in making compensation decisions, including job\-related knowledge; skillset; experience, education and training; certifications; and other relevant business and organizational factors.
 Base Pay Range (Annual)
 $175,900—$257,950 USD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If you are a California resident, please refer to our California Candidate Privacy Notice.
**To all recruitment agencies** 
 :
 *Lucid Motors
 **does not** 
 accept agency resumes. Please do not forward resumes to our careers alias or other Lucid Motors employees. Lucid Motors is not responsible for any fees related to unsolicited resumes.*</t>
        </is>
      </c>
    </row>
    <row r="32">
      <c r="A32" t="inlineStr">
        <is>
          <t>li-4326200729</t>
        </is>
      </c>
      <c r="B32" t="inlineStr">
        <is>
          <t>Lead Machine Learning Engineer</t>
        </is>
      </c>
      <c r="C32" t="inlineStr">
        <is>
          <t>The Walt Disney Company</t>
        </is>
      </c>
      <c r="D32" t="inlineStr">
        <is>
          <t>linkedin</t>
        </is>
      </c>
      <c r="E32" t="inlineStr"/>
      <c r="F32" t="inlineStr"/>
      <c r="G32" t="inlineStr">
        <is>
          <t>Santa Monica, CA</t>
        </is>
      </c>
      <c r="H32" t="inlineStr"/>
      <c r="I32" t="inlineStr">
        <is>
          <t>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**Building the future of Disney’s media:** 
 Our Technologists are designing and building the products and platforms that will power our media, advertising, and distribution businesses for years to come.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**Innovation:** 
 We develop and implement groundbreaking products and techniques that shape industry norms, and solve complex and distinctive technical problems.
 Ad Platforms is responsible for Disney’s industry\-leading ad technology and products – driving advertising performance, innovation, and value in Disney’s sports, news, and entertainment content, across all media platforms.
 Our mission is to advance AI and machine learning capabilities across Ad Platform by delivering scalable, high impact AI/ML and data science solutions that enhance Ad decisioning, forecasting, experimentation and Ad experience. We are seeking a Lead Machine Learning Engineer to join this innovative team. This role offers a unique leadership opportunity for an experienced ML engineer who thrives at the intersection of technical excellence, strategic impact, and cross\-functional collaboration.
**What You’ll Do**
* Drive innovation and apply state of the art AI and machine learning across advertising domains, including inventory forecasting, ad experience, ad pacing, pricing, targeting, and efficient ad delivery.
* Invent and iterate on novel solutions to complex advertising challenges with rapid prototyping and deployment cycles.
* Design, build, and scale robust ML systems that power core ad platform capabilities
* Champion engineering excellence through best practices in code quality, system design, and operational reliability.
* Mentor and support junior engineers, fostering a culture of continuous learning and technical growth.
**What To Bring**
* Minimum 7 years of hands\-on experience developing and deploying large\-scale machine learning systems.
* Strong knowledge of AI/ML technologies, mathematics and statistics.
* Excellent communication, collaboration skills, and a strong teamwork ethic with both technical and non\-technical audiences
* Strong foundations in algorithms, data structures, and numerical optimization with experience in programming languages such as Python (primary), Java and SQL
* Familiarity with tools and frameworks such as TensorFlow, Pytorch, Hugging libraries etc
* Proven proficiency in deep learning methodologies, including recurrent and sequence\-based models.
* Hands\-on experience with transformer architectures (e.g., BERT, GPT, ViT) for natural language and vision tasks.
* Strong understanding of multimodal embedding techniques for integrating text, image, audio, and structured data.
* Experience with LLM models such as GPT models, Claude, Gemini, Llama, etc.
* Strong grasp of LLM evaluation methodologies, experience with RAG architectures.
* A proven track record of thriving in a fast\-paced, data\-driven, and collaborative work environment is required.
**NICE\-TO\-HAVES**
* Experience in digital video advertising or digital marketing domain.
* Experience with forecasting models.
 Required Education
 Bachelor's (MS or PhD preferred) in Computer Science, Software Engineering, or a related field
**Location** 
 : Seattle / Santa Monica
 \#DISNEYTECH
 The hiring range for this position in Santa Monica, CA is $171,600 to $230,100 per year and in Seattle is $179,700 to $241,000\.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33">
      <c r="A33" t="inlineStr">
        <is>
          <t>li-4206266547</t>
        </is>
      </c>
      <c r="B33" t="inlineStr">
        <is>
          <t>Senior Machine Learning Engineer</t>
        </is>
      </c>
      <c r="C33" t="inlineStr">
        <is>
          <t>Capital Group</t>
        </is>
      </c>
      <c r="D33" t="inlineStr">
        <is>
          <t>linkedin</t>
        </is>
      </c>
      <c r="E33" t="inlineStr"/>
      <c r="F33" t="inlineStr"/>
      <c r="G33" t="inlineStr">
        <is>
          <t>Los Angeles, CA</t>
        </is>
      </c>
      <c r="H33" t="inlineStr"/>
      <c r="I33" t="inlineStr">
        <is>
          <t>**“I can be myself at work.”**
 You are more than a job title. We want you to feel comfortable doing great work and bringing your best, authentic self to everything you do. We value your talents, traditions, and uniqueness—and we’re committed to fostering a strong sense of belonging in a respectful workplace.
 We intentionally seek diverse perspectives, experiences, and backgrounds, investing in a culture designed to celebrate differences. We believe that belonging leads to better outcomes and a stronger community of associates united by our mission. At Capital, we live our core values every day: Integrity, Client Focus, Diverse Perspectives, Long\-Term Thinking, and Community.
**“I can influence my income.”**
 You want to feel recognized at work. Your performance will be reviewed annually, and your compensation will be designed to motivate and reward the value that you provide. You’ll receive a competitive salary, bonuses and benefits. Your company\-funded retirement contribution will factor in salary and variable pay, including bonuses.
**“I can lead a full life.”**
 You bring unique goals and interests to your job and your life. Whether you’re raising a family, you’re passionate about where you volunteer, or you want to explore different career paths, we’ll give you the resources that can set you up for success.
* Enjoy generous time\-away and health benefits from day one, with the opportunity for flexible work options
* Receive 2\-for\-1 matching gifts for your charitable contributions and the opportunity to secure annual grants for the organizations you love
* Access on\-demand professional development resources that allow you to hone existing skills and learn new ones
**“I can succeed as a Machine Learning Engineer at Capital Group”**
 We are seeking an experienced Machine Learning Engineer with strong applied science capabilities to design, research, implement, deliver and operate Generative AI systems that improve Capital Group’s investment process and outcomes. You will work closely with senior investment professionals and engineering partners to explore new ideas, run experiments, and translate state\-of\-the\-art research into practical, scalable solutions that meaningfully enhance how we make investment decisions.
 You will join a high\-performing team of applied scientists, ML engineers, and software development engineers that has delivered a number of Generative AI capabilities to production, including multi\-agent systems, semantic search, summarization, text\-to\-speech, and document understanding pipelines. We are passionate about building tools that drive superior long\-term investment results, and we value rigorous thinking, rapid experimentation, and craftsmanship in both science and engineering.
**“I am the person Capital Group is looking for.”**
**You Will**
* Design, research, build, evaluate, and operate Generative AI models and systems that materially improve the work of our investment professionals.
* Prototype quickly to test hypotheses, while contributing to production\-quality solutions as ideas mature.
* Take ownership of complex technical projects, shaping system design and research direction, and collaborating closely with teammates to deliver strong outcomes.
* Break down complex problems into actionable steps, making thoughtful engineering and modeling trade\-offs.
* Read current research, run controlled experiments, analyze results, and clearly communicate insights and trade\-offs.
* Bring a scientist's curiosity and a builder's pragmatism, balancing exploration with delivering real value
* Maintain a high bar for clarity, reliability, and correctness in both code and models
* Work with partners across teams to identify root causes of issues and design long\-term solutions.
* Operate with urgency, positivity, ownership, and a growth mindset, seeking continuous improvement and embracing new ideas.
**Required Experience**
* Strong intellectual curiosity and comfort exploring new tools, frameworks, and techniques, and applying them thoughtfully to real\-world problems.
* Ability to analyze experimental results, make clear trade\-off decisions, and communicate findings effectively.
* Strong communication skills, with the ability to explain technical concepts clearly to diverse audiences.
* Experience developing machine learning solutions such as question answering, information extraction, summarization, classification, search relevance, or similar real\-world ML applications.
* Hands\-on experience solving end\-to\-end ML problems, from data understanding to training, evaluation, iteration, and deployment.
* Strong understanding of core machine learning concepts and the ability to apply them thoughtfully in real\-world settings.
* 7\+ years of experience with at least one modern programming language such as Python or Java, with strong understanding of OO or functional design patterns.
* Proven ability to own and drive technical projects from design through experimentation and implementation, requiring minimal oversight.
**Preferred (Nice To Have)**
* Experience building AI/ML solutions that deliver meaningful impact in real\-world or production environments.
* Knowledge of software engineering best practices (Agile development, testing, code reviews, design documentation).
* Experience with ML Ops, model observability, deployment automation, or scalable training/evaluation pipelines.
* Familiarity with modern Generative AI technologies, foundation models, and current research trends.
* Familiarity with modern ML frameworks (e.g., PyTorch, TensorFlow, or similar).
* Experience with reinforcement learning or related techniques.
**What We Value Most**
 Curiosity. Rigor. Pragmatism. Ownership. Authentic respect for others. A love of learning.
 We are looking for someone who is excited to explore, experiment, and build –someone who combines scientific insight with the ability to translate ideas into reliable, high\-impact systems.
**“I can apply in less than 4 minutes.”**
 You’ve reviewed this job posting and you’re ready to start the candidate journey with us. Apply now to move to the next step in our recruiting process. If this role isn’t what you’re looking for, check out our other opportunities and join our talent community.
**“I Can Learn More About Capital Group.”**
 At Capital Group, the success of the people who invest with us depends on the people in whom we invest. That’s why we offer a culture, compensation and opportunities that empower our associates to build successful and prosperous careers. Through nine decades, our goal has been to improve people’s lives through successful investing. We know that our history is a testament to the strength of the people we hire. More than 9,000 associates in 30\+ offices around the world help our clients and each other grow and thrive every day. Find us on LinkedIn, Instagram, YouTube and Glassdoor.‎
 Southern California Base Salary Range: $201,683\-$322,693
 ‎
 ‎
 ‎
 ‎
 ‎
 ‎
 ‎
 ‎
 ‎
 ‎
 ‎
 ‎
 ‎
 ‎
*In addition to a highly competitive base salary, per plan guidelines, restrictions and vesting requirements, you also will be eligible for an individual annual performance bonus, plus Capital’s annual profitability bonus plus a retirement plan where Capital contributes 15% of your eligible earnings.*
*You can learn more about our compensation and benefits* 
*here* 
*.*
* Temporary positions in the United States are excluded from the above mentioned compensation and benefit plans.
*We are an equal opportunity employer, which means we comply with all federal, state and local laws that prohibit discrimination when making all decisions about employment. As equal opportunity employers, our policies prohibit unlawful discrimination on the basis of race, religion, color, national origin, ancestry, sex (including gender and gender identity), pregnancy, childbirth and related medical conditions, age, physical or mental disability, medical condition, genetic information, marital status, sexual orientation, citizenship status, AIDS/HIV status, political activities or affiliations, military or veteran status, status as a victim of domestic violence, assault or stalking or any other characteristic protected by federal, state or local law.*</t>
        </is>
      </c>
    </row>
    <row r="34">
      <c r="A34" t="inlineStr">
        <is>
          <t>li-4353489997</t>
        </is>
      </c>
      <c r="B34" t="inlineStr">
        <is>
          <t>Machine Learning Engineer IV</t>
        </is>
      </c>
      <c r="C34" t="inlineStr">
        <is>
          <t>Panasonic Avionics Corporation</t>
        </is>
      </c>
      <c r="D34" t="inlineStr">
        <is>
          <t>linkedin</t>
        </is>
      </c>
      <c r="E34" t="inlineStr"/>
      <c r="F34" t="inlineStr"/>
      <c r="G34" t="inlineStr">
        <is>
          <t>Irvine, CA</t>
        </is>
      </c>
      <c r="H34" t="inlineStr"/>
      <c r="I34" t="inlineStr">
        <is>
          <t>**Overview**
 Our new global headquarters is conveniently located in Irvine, CA near John Wayne Airport in the Park Place development. For our onsite and hybrid employees you will be able to enjoy amenities such as access to many restaurants and shops, running trails, a fitness deck, outdoor seating, dry cleaning, car wash, free garage parking, car charging stations, shuttle service for train commuters, outdoor games like bocce, horseshoes, gaming tables, pickle ball, and basketball. For more information on Park Place visit www.parkplaceirvine.com
**Who We Are**
 Ever wonder who brings the entertainment to your flights? Panasonic Avionics Corporation is \#1 in the industry for delivering inflight products such as movies, games, WiFi, and now Bluetooth headphone connectivity!
 How exciting would it be to be a part of the innovation that goes into creating technology that delights millions of people in an industry that’s here to stay! With our company’s history spanning over 40 years, you will have stability, career growth opportunities, and will work with the brightest minds in the industry. And we are committed to a diverse and inclusive culture that will help our organization thrive! We seek diversity in many areas such as background, culture, gender, ways of thinking, skills and more.
 If you want to learn more about us visit us at www.panasonic.aero
 And for a full listing of open job opportunities go to www.panasonic.aero/join\-us/
**The Avionics Way**
 The Avionics Way captures the essence of what makes our employees special, and by extension, our organization. It’s comprised of 5 core identifiers \- Pioneers, Problem Solvers, Accountable, Collaborative, and Customer Focused \- that together form a robust, working framework for our continued success. Beyond a philosophy, the Avionics Way is our guide to daily practices. It provides a clear, actionable model to help employees, at all levels, realize their ambitions through outsized contributions to their teams and the company. This model clearly defines expectations for performance at all levels of the organization, as well as establishes specific actions and modes of working that reinforce our philosophy on the path to achieving our goals.
**Responsibilities**
 Leads machine learning projects, providing technical guidance and mentorship to junior and mid\-level engineers. Design, develop, and implement data\-driven solutions, leveraging machine learning techniques to enhance our In\-Flight Entertainment \&amp; Connectivity (IFEC) systems. Collaborate with cross\-functional teams to drive innovation and elevate the passenger experience through advanced technological solutions.
**What You Will Be Doing**
 Technical Leadership
* Lead the design and implementation of complex, robust, scalable, and high\-performance data\-driven systems, integrating machine learning algorithms to improve content delivery, personalization, and connectivity services.
 Algorithm Development \&amp; Implementation
* Develop and deploy machine learning models, predictive analytics, and data\-driven strategies to optimize user experiences and enhance IFEC functionalities.
* Develop machine learning frameworks, tools, and technologies. They often have expertise in specialized areas such as distributed computing, deep learning, or natural language processing. They may also have contributed to open\-source projects or developed custom tools and libraries.
 Machine Learning Infrastructure \&amp; Engineering
* Plays a key role in architectural decisions related to machine learning infrastructure and deployment pipelines.
* Represent the team in discussions with stakeholders, articulating technical concepts and recommending strategical technical direction.
* Designs scalable and efficient machine learning pipelines, leveraging cloud\-based platforms and distributed computing frameworks.
 Experimentation \&amp; Innovation
* Explore emerging trends and technologies in machine learning, conduct research, and propose innovative approaches to improve our IFEC offerings. Publish technical papers and submit patents.
 Cross\-functional Collaboration
* Work collaboratively with data scientists, software engineers, product managers, and internal and external stakeholders, effectively communicating technical concepts and insights to drive project alignment and success.
 Performance Optimization
* Continuously monitor and optimize the performance of machine learning models, identifying areas for improvement and implementing enhancements to achieve optimal results.
 Mentorship \&amp; Knowledge Sharing
* Mentor engineers, provide technical guidance, and contribute to the development of a culture of excellence and continuous learning within the team.
 The salary range of $138,000 – $231,000 annually is just one component of Panasonic’s total package. The final offer amount may vary based on factors including but not limited to individual’s knowledge, skills, experience, and location.
**Qualifications**
**What we are looking for:**
* Bachelor’s degree in Computer Science, Data Science, Software Engineering, or a related field. Advanced degree preferred.
* 8\+ years of experience in software engineering, with a focus on data\-driven applications, machine learning, or AI, preferably in the aerospace or tech industry.
* Demonstrated proficiency in programming languages such as Python, Java, or similar, along with expertise in machine learning frameworks (e.g., TensorFlow, PyTorch) and data processing technologies.
* Demonstrated leadership skills with the ability to lead technical initiatives, collaborate effectively across teams, and drive projects to successful completion.
* Excellent problem\-solving abilities, critical thinking, and a passion for innovation and technology.
* Ability to write technical publications preferred.
**What We Offer**
 At Panasonic Avionics Corporation we realize the most important aspects in leading our industry are the bright minds behind everything we do. We are proud to offer our employees a highly competitive, comprehensive and flexible benefits program.
* Paid time off: Exempt Salaried employees receive unlimited PTO. This means that there is no fixed number, range, or limit to the amount of Personal and Vacation Days that may be taken for exempt employees. Non\-exempt hourly employees accrue 14 vacation days per year \+ 7 sick days \+ 3 personal days. Accrual rate increases with tenure. All employees receive 11 company paid holidays per year plus a paid company\-wide shut down in the U.S. between Christmas and New Year.
* Insurance: Medical insurance offerings from Aetna and Kaiser (CA \&amp;HI). Options for Employee Only, Employee \+ Spouse/Domestic Partner, Employee \+ Children, or Family. Dental PPO and DMO options \&amp; Vision insurance through EyeMed or VSP.
* 401K with 50% match on up to 8% contribution, full vested from day 1\.
* Other offerings include: Wellness Program, Counseling services, FSA \&amp; HSA, Life Insurance for employee, spouse and child, AD\&amp;D Insurance, Long\-term and Short\-term disability, Critical Illness Insurance, Accident Insurance, Legal Assistance, Pet Insurance, Identity Theft Protection, Dependent Care FLSA, Education Assistance, Commuter Program, Employee Purchase Program, Service Award Program.
 Panasonic is proud to be an Equal Opportunity/Affirmative Action employer. All qualified applicants will receive consideration for employment without regard to race, color, religion, sex, sexual orientation, national origin, disability status, protected veteran status, and any other characteristic protected by law or company policy. All qualified individuals are required to perform the essential functions of the job with or without reasonable accommodation. Pre\-employment drug testing is required for safety sensitive positions or as may otherwise be required by contract or law. Due to the high volume of responses, we will only be able to respond to candidates of interest. All candidates must have valid authorization to work in the U.S. Thank you for your interest in Panasonic Avionics Corporation.
 REQ\-153681</t>
        </is>
      </c>
    </row>
    <row r="35">
      <c r="A35" t="inlineStr">
        <is>
          <t>li-4308549261</t>
        </is>
      </c>
      <c r="B35" t="inlineStr">
        <is>
          <t>Sr Machine Learning Engineer - Safety Experience</t>
        </is>
      </c>
      <c r="C35" t="inlineStr">
        <is>
          <t>Roblox</t>
        </is>
      </c>
      <c r="D35" t="inlineStr">
        <is>
          <t>linkedin</t>
        </is>
      </c>
      <c r="E35" t="inlineStr"/>
      <c r="F35" t="inlineStr"/>
      <c r="G35" t="inlineStr">
        <is>
          <t>San Mateo, CA</t>
        </is>
      </c>
      <c r="H35" t="inlineStr"/>
      <c r="I35"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**Rights Manager** 
 team and the
 **Content Suitability** 
 team that are part of our
 **Safety Experience** 
 are looking to hire a Sr Machine Learning Engineer for their respective teams.
 The Safety Experience organization builds the tools and systems that give Roblox Users and Creators control over their experience and empower moderators to enforce our community standards. These teams focus on education, intervention, visibility, and action.
**We Focus On**
* Monitoring and influencing user behavior (User Safety)
* Building efficient and scalable moderation platforms (Foundation)
* Providing transparency and education for parents and developers (User Safety)
* Giving users agency in managing their own safety (User Safety)
* Give IP owners the ability to manage their creations on Roblox (Rights \&amp; Guidelines)
* Providing users fast and accurate support with the Customer Care Chatbot (Customer Care)
**You Will**
* Work on implementation of machine learning solutions for safety\-related systems
* Help to foster a culture of technical excellence and inclusivity
* Break down long\-term product requirements into iterative deliverable stages, ensuring continuous improvement
* Craft and build large\-scale machine learning models with billions of parameters, ensuring production\-readiness
* Facilitate challenging technical decisions, demonstrating empathy and finding common understanding
* Collaborate with cross\-functional teams to execute on ML\-based problems
**You Have**
* MS or PhD degree \+ 2\+ years of experience in Computer Vision, Deep Learning, or a related field. You have solid fundamentals in Computer Vision and Deep Learning.
* Experience with the full ML lifecycle, including training, deployment, and continuous monitoring.
* Experience with similarity detection and/or digital watermarking. This includes work on developing and re\-training embedding models, including multi\-modal models
* Strong coding skills with proficiency in one or more programming languages and experience with building large\-scale systems
**You Are**
* Experienced in the safety, integrity, or content moderation domain.
* Familiar with large\-scale content understanding problems (e.g., text, image, video classification).
* Experienced with cloud\-based ML platforms and infrastructure.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$195,780—$242,100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36">
      <c r="A36" t="inlineStr">
        <is>
          <t>li-4262545434</t>
        </is>
      </c>
      <c r="B36" t="inlineStr">
        <is>
          <t>Engineer Graduate: (Machine Learning Engineer, Data-Search-TikTok Recommendation - Seattle) - 2026 Start (PhD)</t>
        </is>
      </c>
      <c r="C36" t="inlineStr">
        <is>
          <t>TikTok</t>
        </is>
      </c>
      <c r="D36" t="inlineStr">
        <is>
          <t>linkedin</t>
        </is>
      </c>
      <c r="E36" t="inlineStr"/>
      <c r="F36" t="inlineStr"/>
      <c r="G36" t="inlineStr">
        <is>
          <t>Seattle, WA</t>
        </is>
      </c>
      <c r="H36" t="inlineStr"/>
      <c r="I36" t="inlineStr">
        <is>
          <t>**Responsibilities**
 The Search Growth E\-commerce team is at the forefront of developing the search recommendation algorithm for TikTok's rapidly expanding global e\-commerce enterprise. Utilizing cutting\-edge machine learning technology, advanced NLP, CV, recommendation, and multi\-modal technology, we're shaping a pioneering engine within the industry. Our objective is to deliver the ultimate e\-commerce search experience to over 1 billion active TikTok users worldwide. Our mission: to create a world where "there are no hard\-to\-sell, overpriced products."
**Responsibilities:**
 Participate in the improvement of the search core algorithm, possible directions include:
* Content understanding/matching: Applying the industry's cutting\-edge NLP and CV technology to match the most relevant videos for each search query, and continuously improve the relevance of TikTok search.
* User Behavior Modeling: solving the recommendation problem in search, let TikTok search increase the ability of personalization on the basis of "relevant", and understand users better.
* Video understanding: comprehensive use of NLP, CV, and other technologies for better video understanding from the perspective of the video itself and social network, improve the authority, credibility, and usefulness of search results.
**Qualifications**
 Minimum qualification:
* Final year or recent graduate with a background in Software Development, Computer Science, Computer Engineering, or a related technical discipline.
* Must obtain work authorization in country of employment at the time of hire, and maintain ongoing work authorization during employment.
* Proficient coding skills and strong algorithm \&amp; data structure basis.
* Effective communication and teamwork skills.
* Experience in one or more of the following areas: NLP, Ranking, Ads, search engine, recommender system, distributed system, and machine learning.
 Job Information
**【For Pay Transparency】Compensation Description (Annually)**
 The base salary range for this position in the selected city is $129960 \- $246240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37">
      <c r="A37" t="inlineStr">
        <is>
          <t>li-4289169379</t>
        </is>
      </c>
      <c r="B37" t="inlineStr">
        <is>
          <t>Forward Deployed AI Engineer, Enterprise</t>
        </is>
      </c>
      <c r="C37" t="inlineStr">
        <is>
          <t>Scale AI</t>
        </is>
      </c>
      <c r="D37" t="inlineStr">
        <is>
          <t>linkedin</t>
        </is>
      </c>
      <c r="E37" t="inlineStr"/>
      <c r="F37" t="inlineStr"/>
      <c r="G37" t="inlineStr"/>
      <c r="H37" t="inlineStr"/>
      <c r="I37" t="inlineStr">
        <is>
          <t>**About Scale AI**
 Scale AI is the data foundation for AI, helping organizations build and deploy reliable production AI applications. We partner with leading enterprises and government organizations to accelerate their AI initiatives through our data annotation platform, generative AI solutions, and enterprise AI capabilities.
**Role Overview**
 As a Forward Deployed AI Engineer on our Enterprise team, you'll be the technical bridge between Scale AI's cutting\-edge AI capabilities and our most strategic customers. You'll work with enterprise clients to understand their unique challenges, architect custom AI solutions, and ensure successful deployment and adoption of AI systems in production environments.
 This is a hands\-on technical role that combines deep engineering expertise with customer\-facing problem solving. You'll work directly with customer engineering teams to integrate AI into their critical workflows.
**Key Responsibilities**
**Customer Integration \&amp; Deployment**
* Partner directly with enterprise customers to understand their technical infrastructure, data pipelines, and business requirements
* Design and implement custom integrations between Scale AI's platform and customer data environments (cloud platforms, data warehouses, internal APIs)
* Build robust data connectors and ETL pipelines to ingest, process, and prepare customer data for AI workflows
* Deploy and configure AI models and agents within customer security and compliance boundaries
**AI Agent Development**
* Develop production\-grade AI agents tailored to customer use cases across domains like customer support, data analysis, content generation, and workflow automation
* Architect multi\-agent systems that orchestrate between different models, tools, and data sources
* Implement evaluation frameworks to measure agent performance and iterate toward business objectives
* Design human\-in\-the\-loop workflows and feedback mechanisms for continuous agent improvement
**Prompt Engineering \&amp; Optimization**
* Create sophisticated prompt engineering strategies optimized for customer\-specific domains and data
* Build and maintain prompt libraries, templates, and best practices for customer use cases
* Conduct systematic prompt experimentation and A/B testing to improve model outputs
* Implement RAG (Retrieval Augmented Generation) systems and fine\-tuning pipelines where appropriate
**Technical Leadership \&amp; Collaboration**
* Serve as the primary technical point of contact for strategic enterprise accounts
* Collaborate with customer data scientists, ML engineers, and software developers to ensure smooth integration
* Provide technical training and knowledge transfer to customer teams
* Work closely with Scale's product and engineering teams to translate customer needs into product improvements
* Document technical architectures, integration patterns, and best practices
**Problem Solving \&amp; Innovation**
* Debug complex technical issues across the entire stack, from data pipelines to model outputs
* Rapidly prototype solutions to unblock customers and prove out new use cases
* Stay current on the latest AI/ML research and tools, bringing innovative approaches to customer problems
* Identify opportunities for productization based on common customer patterns
**Required Qualifications**
* 4\+ years of software engineering experience with strong fundamentals in data structures, algorithms, and system design
* Production Python expertise with experience in modern ML/AI frameworks (e.g., LangChain, LlamaIndex, HuggingFace, OpenAI API)
* Experience with cloud platforms (AWS, GCP, or Azure) and modern data infrastructure
* Strong problem\-solving skills with the ability to navigate ambiguous requirements and rapidly iterate toward solutions
* Excellent communication skills with the ability to explain complex technical concepts to both technical and non\-technical audiences
**Preferred Qualifications**
*Agent Development Wiz*
* Deep understanding of LLMs including prompting techniques, embeddings, and RAG architectures
* Experience building and deploying AI agents or autonomous systems in production
* Knowledge of vector databases and semantic search systems
* Contributions to open\-source AI/ML projects
*Infrastructure Guru*
* Experience with containerization (Docker, Kubernetes) and CI/CD pipelines
* Experience using Terraform, Bicep, or other Infrastructure as Code (IaC) tools
* Previous work in a devops, platform, or infra role
* Familiarity with enterprise security, compliance, and governance requirements (SOC 2, GDPR, HIPAA)
*Customer Product Whisperer*
* Proven ability to work with customers in a technical consulting, solutions engineering, or product engineering role
* Domain expertise in verticals like finance, healthcare, government, or manufacturing
* Experience with technical enablement or teaching programs
**Sample Projects**
 The following are some examples of the types of projects we’ve worked on with customers. All of these projects leverage customer data, integrate directly into customers’ existing systems, and are deployed on their infrastructure.
**Deep Research for Due Diligence**
 For a global professional services firm, we developed a sophisticated deep research agent to assist in due diligence. This agent employs a multi\-agent architecture for robust fact\-checking, integrates several internal MCP tools, and processes complex, unstructured data sources. This solution reliably saves employees hundreds of hours weekly.
**Churn Prediction**
 Working with a TelCo organization, we built a model utilizing customer data to predict churn likelihood. The system then curates personalized offers based on this prediction. This model was integrated into a "next best action" copilot, enabling call center agents to proactively surface relevant offers to customers, leading to a significant reduction in churn.
**Data Extraction Voice Agent**
 We partnered with a healthcare organization to create a lifelike voice agent and avatar designed to gather unstructured health information from patients. Engineered for low latency, the agent adeptly manages conversational flow, adheres to safety guardrails, and efficiently handles data extraction. This automation saves the organization's nurses hundreds of hours each week.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$179,400—$224,250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38">
      <c r="A38" t="inlineStr">
        <is>
          <t>li-4331609577</t>
        </is>
      </c>
      <c r="B38" t="inlineStr">
        <is>
          <t>Sr Staff Machine Learning Engineer - Delivery Courier Pricing</t>
        </is>
      </c>
      <c r="C38" t="inlineStr">
        <is>
          <t>Uber</t>
        </is>
      </c>
      <c r="D38" t="inlineStr">
        <is>
          <t>linkedin</t>
        </is>
      </c>
      <c r="E38" t="inlineStr"/>
      <c r="F38" t="inlineStr"/>
      <c r="G38" t="inlineStr">
        <is>
          <t>San Francisco, CA</t>
        </is>
      </c>
      <c r="H38" t="inlineStr"/>
      <c r="I38" t="inlineStr">
        <is>
          <t>**About The Role**
 The Courier Pricing team sits within Uber's Delivery Marketplace org and plays a key role in shaping pricing across food, grocery, and other delivery verticals. We work closely with cross\-functional teams to develop scalable pricing products that keep our marketplace efficient, reliable, and ready to grow. As a Sr Staff Machine Learning Engineer, you'll build a world\-class pricing system that efficiently prices every offer made to Uber's delivery partners\-impacting hundreds of millions of consumers and millions of merchants worldwide.
**What You Will Do**
****Technical Leadership \&amp; Innovation****
* Lead the design and implementation of advanced ML systems for courier pricing algorithms serving millions of couriers
* Own end\-to\-end ML model lifecycle from research through production deployment and continuous optimization
****Platform \&amp; Architecture****
* Build scalable ML architecture and feature management systems supporting Courier Pricing and broader Marketplace teams
* Design experimentation frameworks enabling rapid testing of pricing algorithms using A/B, Switchback, Synthetic Control, and other experimental methodologies
* Establish ML engineering best practices, monitoring, and operational excellence across the organization
* Create platform abstractions that enable other ML engineers to iterate faster on pricing algorithms
****Cross\-Functional Impact****
* Collaborate with Marketplace Engineering and Science teams to productionize cutting\-edge ML research
* Work with Platform Engineering teams to ensure ML systems meet reliability and performance standards
* Influence technical roadmaps across multiple teams through technical leadership and strategic thinking
****Team Development****
* Mentor and grow senior ML engineers, establishing technical standards and engineering culture
* Lead technical discussions and architecture reviews for complex ML systems
* Basic Qualifications
* PhD in Computer Science, Machine Learning, Operations Research, or related quantitative field OR Master's degree with 12\+ years of industry experience
* 10\+ years of experience building and deploying ML models in large\-scale production environments
* Expert\-level proficiency in modern ML frameworks (TensorFlow, PyTorch) and distributed computing platforms (Spark)
* Deep expertise across multiple areas including: Deep Learning, Causal Inference, Reinforcement Learning, Multi\-objective Optimization, and Algorithmic Game Theory
* Proven track record of leading complex ML projects from research through production with significant measurable business impact
* Strong programming skills in Python, Java, or Go with experience building production ML systems
* Experience with feature engineering, model serving, and ML infrastructure at scale (handling millions of predictions per second)
* Technical leadership experience including mentoring senior engineers and driving cross\-team technical initiatives
* Preferred Qualifications
* Marketplace or two\-sided platform ML experience with understanding of supply\-demand dynamics and pricing mechanisms
* Publications or patents in applied machine learning, particularly in areas relevant to optimization, pricing, or marketplace dynamics
* Experience with causal inference methodologies and their application to business problems with network effects
* Reinforcement learning experience in production environments with long\-term optimization and strategic agent considerations
* Technical leadership experience including mentoring senior engineers and driving cross\-team technical initiatives
* Experience with real\-time ML systems requiring low\-latency inference and high\-throughput model serving
* Background in economics, operations research, or related quantitative disciplines with application to marketplace problems
 For San Francisco, CA\-based roles: The base salary range for this role is USD$267,000 per year \- USD$297,000 per year. For Sunnyvale, CA\-based roles: The base salary range for this role is USD$267,000 per year \- USD$297,000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39">
      <c r="A39" t="inlineStr">
        <is>
          <t>li-4370359103</t>
        </is>
      </c>
      <c r="B39" t="inlineStr">
        <is>
          <t>AI/ML Engineer</t>
        </is>
      </c>
      <c r="C39" t="inlineStr">
        <is>
          <t>Shrive Technologies</t>
        </is>
      </c>
      <c r="D39" t="inlineStr">
        <is>
          <t>linkedin</t>
        </is>
      </c>
      <c r="E39" t="inlineStr"/>
      <c r="F39" t="inlineStr"/>
      <c r="G39" t="inlineStr">
        <is>
          <t>Texas, United States</t>
        </is>
      </c>
      <c r="H39" t="inlineStr"/>
      <c r="I39" t="inlineStr">
        <is>
          <t>**Must Have**
 Proficient in Python and other relevant programming languages.
**3 years of hands\-on experience with machine learning frameworks and libraries (such as TensorFlow, PyTorch, or similar).
 2 years of hands\-on experience in developing and deploying AI agents and machine learning models.**
 Machine learning frameworks and libraries (such as TensorFlow, PyTorch, or similar), developing and deploying AI agents and machine learning models, Demonstrate deep expertise in cloud technologies, with a strong focus on Microsoft Azure, including expertise in Azure Data and AI platforms (such as Databricks, Fabric, and AI Foundry), Build and experiment with GenAI models and agentic workflows
 Design and implement intelligent AI agents leveraging large language models (LLMs), planning algorithms, and decision\-making frameworks.
 Build secure, scalable AI agents and integrate into applications and workflows for robust, cross\-platform deployment and enhanced user experience.
 Advance AI agent capabilities through research and performance evaluation, focusing on improved conversation, decision\-making, adaptability, and the implementation of safety and guardrail mechanisms.
 Continuously optimize agent performance through feedback mechanisms, reinforcement learning, and user interaction analysis.
 Demonstrate deep expertise in cloud technologies, with a strong focus on Microsoft Azure, including expertise in Azure Data and AI platforms (such as Databricks, Fabric, and Microsoft AI Foundry).
 Build and experiment with GenAI models and agentic workflows, contributing to the development of intelligent security solutions.
 Collaborate across the stack, supporting backend services, model pipelines, and frontend interfaces for agentic systems.
 Prototype rapidly, iterate on ideas, and contribute to incubation efforts in a startup\-style environment.
 Work closely with senior engineers and researchers, learning best practices and contributing to production\-grade AI systems.</t>
        </is>
      </c>
    </row>
    <row r="40">
      <c r="A40" t="inlineStr">
        <is>
          <t>li-4370366036</t>
        </is>
      </c>
      <c r="B40" t="inlineStr">
        <is>
          <t>AI Engineer</t>
        </is>
      </c>
      <c r="C40" t="inlineStr">
        <is>
          <t>Concentrate AI</t>
        </is>
      </c>
      <c r="D40" t="inlineStr">
        <is>
          <t>linkedin</t>
        </is>
      </c>
      <c r="E40" t="inlineStr"/>
      <c r="F40" t="inlineStr"/>
      <c r="G40" t="inlineStr">
        <is>
          <t>New York, NY</t>
        </is>
      </c>
      <c r="H40" t="inlineStr"/>
      <c r="I40" t="inlineStr">
        <is>
          <t>Concentrate AI
  provides a unified, OpenAI\-compatible API to access, route, and manage LLMs. We save our customers time, cut costs, and reduce risk. We manage high\-volume AI traffic and logs.
 We’re seed\-stage, well\-funded, and in stealth. This role is fully remote.
**The Role** 
 Build, run, and debug LLM applications on top of Concentrate. You’ll work on production workloads (customer\-facing and internal), stress test the platform, and share feedback and learnings with the product team.
 We move quickly, debate things, and work long hours.
**Key Areas of Responsibility:** 
* Build LLM\-powered services, workflows, and applications using Concentrate
* Integrate with real production applications and environments
* Design reliable interactions with LLMs (OpenAI, Anthropic, Gemini, OSS), including prompts, tool calling, evals, and guardrails
* Debug failures across models, APIs, and infrastructure
* Write code, scripts, and small tools to test system behavior at scale
* Reproduce bugs, isolate root causes, and clearly document findings
* Drive improvements to APIs, defaults, and overall developer experience
**What We’re Looking for** 
* Hands\-on experience integrating LLMs via APIs in production
* Always building tools, scripts, side projects, or experiments to test ideas and learn fast
* Strong Python; TypeScript is a plus
* Comfortable with REST APIs, async systems, and production debugging
* Bachelor’s degree in Computer Science from a highly selective, rigorous engineering program.
* Curious about model behavior under load, failure, and edge cases
* Familiarity with tool calling, agents, multi\-step workflows, or MCPs
* Strong code quality and technical judgment
* Comfortable operating in early\-stage environments with speed and ambiguity
* Clear async communication (Slack, written updates, concise docs)
* Fluent written and verbal English required for documentation, incident response, and technical and business presentations.
* Bonus: active open\-source contributor
**Comp** 
 : Base \+ bonus \+ meaningful equity
**Equal Opportunity \&amp; Fair Chance Notice** 
 Concentrate AI is an affirmative action and equal opportunity employer. We are committed to providing equal employment opportunities and do not discriminate in recruiting, hiring, training, promotion, or other employment practices on the basis of race, color, sex, age, religion, national origin, ancestry, protected veteran status, disability, sexual orientation, gender identity or expression, genetic information, or any other status protected by applicable law.
 Qualified applicants with arrest and conviction records will be considered in accordance with the San Francisco Fair Chance Ordinance and applicable state and local laws.
**California Privacy Notice** 
 California residents may contact privacy@concentrate.ai for additional information regarding how we collect, use, and disclose personal information during the job application process.
**Recruitment Agency Notice** 
 Concentrate AI does not accept unsolicited resumes from recruitment agencies and is not responsible for any fees related to unsolicited submissions.</t>
        </is>
      </c>
    </row>
    <row r="41">
      <c r="A41" t="inlineStr">
        <is>
          <t>li-4370356492</t>
        </is>
      </c>
      <c r="B41" t="inlineStr">
        <is>
          <t>Machine Learning Engineer - Computer Vision</t>
        </is>
      </c>
      <c r="C41" t="inlineStr">
        <is>
          <t>CaseGuard</t>
        </is>
      </c>
      <c r="D41" t="inlineStr">
        <is>
          <t>linkedin</t>
        </is>
      </c>
      <c r="E41" t="inlineStr"/>
      <c r="F41" t="inlineStr"/>
      <c r="G41" t="inlineStr">
        <is>
          <t>Arlington, VA</t>
        </is>
      </c>
      <c r="H41" t="inlineStr"/>
      <c r="I41" t="inlineStr">
        <is>
          <t>We are seeking a highly skilled and motivated Machine Learning Engineer specializing in Computer Vision to join our team. The ideal candidate will have a strong background in developing and deploying machine learning models focused on image and video processing. You will work closely with cross\-functional teams to design, implement, and optimize vision\-based AI solutions to address real\-world challenges.
**Key Responsibilities**
* Design, develop, and deploy computer vision models for tasks such as object detection, object tracking, video segmentation, and facial recognition.
* Optimize and fine\-tune deep learning algorithms for real\-time performance.
* Work closely with the software engineers and product teams to identify opportunities for leveraging data.
* Collect, clean, and preprocess large datasets to prepare for model training and evaluation.
* Evaluate and optimize machine learning models for accuracy, performance, and scalability.
* Deploy models into production environments and monitor their performance to ensure reliability.
* Stay up\-to\-date with the latest advancements in computer vision and artificial intelligence.
* Collaborate with cross\-functional teams to integrate machine learning solutions into business processes.
* Document processes, models, and implementations to ensure reproducibility and scalability.
**Required Qualifications**
* Bachelor's or Master’s degree in Computer Science, Artificial Intelligence, Data Science, or a related field.
* Experience in deep learning models, their training, and hyperparameter tuning using libraries such as TensorFlow, PyTorch, and Transformers or other Huggingface tools.
* Experience with data manipulation tools such as Pandas, NumPy, and SQL.
* Strong programming skills in Python and C\+\+.
* Experience in MLOps principles and model deployment and instrumentation on cloud platforms such as AWS, Azure, or Google Cloud for model deployment and knowledge with efficient serving tools such as ONNX, triton, and vllm.
* Proficiency in working with image and video data, including preprocessing and augmentation techniques.
* Strong understanding of machine learning algorithms, including supervised and unsupervised learning and deep learning.
* Strong communication skills and the ability to work collaboratively in a team environment.
**Great To Have**
* Familiarity with containerization and orchestration tools like Docker and Kubernetes.
* Experience with version control systems such as Git.
* Understanding software engineering best practices, including code review, testing, and documentation.
* Experience with Large Language Models (LLMs) is a great plus.
* Experience with data annotation tools and processes.
**Benefits**
* Competitive salary.
* Comprehensive health and wellness benefits.
* Professional development opportunities and continuous learning programs.
* Collaborative and inclusive work environment.</t>
        </is>
      </c>
    </row>
    <row r="42">
      <c r="A42" t="inlineStr">
        <is>
          <t>li-4370351339</t>
        </is>
      </c>
      <c r="B42" t="inlineStr">
        <is>
          <t>Machine Learning Engineer</t>
        </is>
      </c>
      <c r="C42" t="inlineStr">
        <is>
          <t>Whatnot</t>
        </is>
      </c>
      <c r="D42" t="inlineStr">
        <is>
          <t>linkedin</t>
        </is>
      </c>
      <c r="E42" t="inlineStr"/>
      <c r="F42" t="inlineStr"/>
      <c r="G42" t="inlineStr"/>
      <c r="H42" t="inlineStr"/>
      <c r="I42" t="inlineStr">
        <is>
          <t>**About The Company**
 Join the Future of Commerce with Whatnot! Whatnot is the largest live shopping platform in North America and Europe, revolutionizing the way people buy, sell, and discover their favorite items. We are dedicated to redefining e\-commerce by seamlessly blending community engagement, entertainment, and shopping into a vibrant, interactive experience. Our remote co\-located team is driven by innovation and grounded in core values that prioritize collaboration and forward\-thinking. With operational hubs in the US, UK, Germany, Ireland, and Poland, we are building the future of online marketplaces—creating opportunities for users to connect over a diverse range of products including fashion, beauty, electronics, collectibles like trading cards and comic books, and even live plants. As a rapidly growing marketplace, we are committed to enabling passionate individuals to turn their interests into thriving businesses while fostering a sense of community and shared success.
**About The Role**
 We are seeking a talented and innovative Machine Learning Engineer to join our Trust \&amp; Safety team. In this role, you will be responsible for designing, training, and deploying both traditional machine learning models and large language models (LLMs) to detect and prevent fraudulent activities across our platform. Your expertise will help maintain a secure environment by identifying suspicious behaviors related to user accounts, payment transactions, and marketplace interactions. You will lead the development of end\-to\-end fraud detection systems, balancing platform security with a seamless user experience. Key responsibilities include building behavioral graphs to model user interactions and collusion networks, developing scalable data pipelines supporting high\-volume ML workloads, and conducting behavioral and adversarial data analysis to uncover emerging fraud trends. Collaboration with cross\-functional teams such as Trust \&amp; Safety, Payments, and Infrastructure is essential to develop effective features, labels, and evaluation pipelines. Additionally, you will implement model monitoring systems to ensure ongoing reliability and adapt detection strategies based on evolving fraud tactics. Your contributions will directly impact our ability to automate fraud risk decisions, improve detection accuracy, and enhance overall platform trustworthiness.
**Qualifications**
* Bachelor’s degree in Computer Science, Data Science, or a related field, or equivalent work experience
* 2–6 years of experience in machine learning, software engineering, or related domains, preferably in risk, fraud, or trust \&amp; safety
* Strong proficiency in Python and familiarity with ML libraries such as scikit\-learn, PyTorch, LightGBM
* Solid backend development skills with experience deploying ML models to production environments (batch or real\-time)
* Experience in data analysis and building data pipelines using SQL, Spark, DBT, or similar tools
* Knowledge of fraud detection techniques including chargeback prediction, anomaly detection, and graph\-based modeling
* Experience with data orchestration frameworks like Dagster or Kubeflow and designing feature stores
* Ability to translate business risk scenarios into measurable ML solutions and collaborate effectively across teams
**Responsibilities**
* Design, train, and deploy machine learning models, including LLMs, to identify fraudulent behaviors
* Lead the architecture of fraud detection, prevention, and intervention systems to ensure security and user experience balance
* Build and maintain behavioral graphs to model user interactions, collusion networks, and account connectivity
* Develop scalable data pipelines and real\-time inference systems capable of handling high\-volume, low\-latency workloads
* Conduct behavioral and adversarial data analysis to identify emerging fraud trends and improve detection accuracy
* Collaborate with Trust \&amp; Safety, Payments, and Infrastructure teams to develop features, labels, and evaluation pipelines for models
* Implement model monitoring, drift detection, and reliability systems to ensure consistent performance
* Contribute to fraud risk orchestration by combining rules, heuristics, and models for automated decision\-making
* Define key metrics and dashboards to monitor fraud detection effectiveness, including precision, recall, false\-positive rate, and latency
* Stay informed about emerging fraud tactics and translate insights into adaptive, production\-ready solutions
**Benefits**
* Generous holiday and time\-off policies to support work\-life balance
* Comprehensive health insurance options including Medical, Dental, and Vision coverage
* Support for remote work with home office setup allowances and monthly stipends for cell phone and internet expenses
* Care benefits and wellness allowances to promote overall well\-being
* Annual childcare allowances and lifetime benefits for family planning, including adoption and fertility expenses
* Retirement plans including 401(k) with employer matching in the US and pension plans internationally
* Monthly allowances for product testing and app usage to foster deep product understanding
* Paid parental leave of 16 weeks plus a gradual return\-to\-work program
 Equal Opportunity
 Whatnot is proud to be an Equal Opportunity Employer. We value diversity and are committed to creating an inclusive environment for all employees. We do not discriminate based on race, religion, color, national origin, gender, sexual orientation, age, marital status, veteran status, parental status, disability, or any other protected characteristic. We believe that a diverse workforce enhances our innovation, culture, and overall success, and we encourage individuals from all backgrounds to apply and join our vibrant community.</t>
        </is>
      </c>
    </row>
    <row r="43">
      <c r="A43" t="inlineStr">
        <is>
          <t>li-4370345443</t>
        </is>
      </c>
      <c r="B43" t="inlineStr">
        <is>
          <t>AI/ML Engineer, Sr.</t>
        </is>
      </c>
      <c r="C43" t="inlineStr">
        <is>
          <t>General Motors</t>
        </is>
      </c>
      <c r="D43" t="inlineStr">
        <is>
          <t>linkedin</t>
        </is>
      </c>
      <c r="E43" t="inlineStr"/>
      <c r="F43" t="inlineStr"/>
      <c r="G43" t="inlineStr"/>
      <c r="H43" t="inlineStr"/>
      <c r="I43" t="inlineStr">
        <is>
          <t>**About The Company**
 General Motors (GM) is a global leader in automotive innovation, committed to shaping the future of transportation through advanced technology and sustainable solutions. With a rich history of engineering excellence and a focus on mobility, GM is at the forefront of developing cutting\-edge vehicles, including autonomous and electric models. The company fosters a dynamic and inclusive work environment that encourages innovation, collaboration, and continuous learning. GM's dedication to pushing technological boundaries is exemplified through its investments in AI, machine learning, and data\-driven solutions to enhance vehicle performance, safety, and customer experience.
**About The Role**
 The AV Pipelines \&amp; Lineage team at GM is seeking a highly skilled Senior AI/ML Engineer to join our core infrastructure development team. In this role, you will be responsible for designing and implementing scalable machine learning infrastructure solutions that support the entire AI lifecycle, from experimentation to deployment and operational visibility. Your work will enable ML engineers and researchers to develop, understand, and evolve models efficiently across diverse environments. This position emphasizes technical excellence and individual contribution, with a focus on developing robust infrastructure products rather than applying machine learning models directly. You will take ownership of key technical projects, collaborate with cross\-functional teams, and mentor junior engineers to foster a culture of innovation and growth.
**Qualifications**
* 5\+ years of experience in large\-scale distributed systems or related fields
* 1\+ years of experience leading and driving large\-scale technical initiatives
* Proficiency in building scalable infrastructure using Python, C\+\+, Golang, or similar languages
* Experience working with relational and NoSQL databases
* Strong understanding of cloud technologies, preferably GCP, Azure, or AWS
* Bachelor’s, Master’s, or Ph.D. in Computer Science, Electrical Engineering, Mathematics, Physics, or a related discipline, or equivalent practical experience
* Demonstrated ability to develop and maintain systems at scale
* Excellent problem\-solving skills with a focus on accuracy and attention to detail
* A passion for autonomous vehicle technology and its transformative potential
* Startup mentality with adaptability and willingness to wear multiple hats
**Responsibilities**
* Design, develop, and test scalable distributed computing and data processing solutions leveraging cloud technologies such as GCP and Azure
* Take ownership of technical projects from conception through deployment, contributing to product roadmaps and making informed technical decisions
* Engage in team planning sessions, code reviews, and design discussions, considering cross\-team impacts and proactively resolving conflicts
* Mentor and onboard junior engineers and interns, fostering a collaborative and growth\-oriented environment
* Collaborate with cross\-functional teams to develop infrastructure products that empower GM teams in machine learning and data science at scale
* Maintain and optimize systems to ensure high performance, reliability, and scalability
* Stay updated with the latest cloud and infrastructure technologies, integrating best practices into development workflows
**Benefits**
* Comprehensive health and well\-being benefits including medical, dental, and vision coverage
* Health Savings Account (HSA) and Flexible Spending Accounts (FSA)
* Retirement savings plan with company contributions
* Paid vacation, holidays, and sick leave
* Tuition assistance programs for continued education
* Employee assistance programs offering support and resources
* GM vehicle discounts and exclusive employee offers
* Potential relocation benefits for eligible candidates
 Equal Opportunity
 GM is an equal opportunity employer. We celebrate diversity and are committed to creating an inclusive environment for all employees. We do not discriminate based on race, color, religion, sex, sexual orientation, gender identity, national origin, age, disability, or any other legally protected status. We encourage candidates from all backgrounds to apply and join our innovative team dedicated to shaping the future of transportation.</t>
        </is>
      </c>
    </row>
    <row r="44">
      <c r="A44" t="inlineStr">
        <is>
          <t>li-4370356433</t>
        </is>
      </c>
      <c r="B44" t="inlineStr">
        <is>
          <t>Senior Machine Learning Engineer (NYC)</t>
        </is>
      </c>
      <c r="C44" t="inlineStr">
        <is>
          <t>TWG Global</t>
        </is>
      </c>
      <c r="D44" t="inlineStr">
        <is>
          <t>linkedin</t>
        </is>
      </c>
      <c r="E44" t="inlineStr"/>
      <c r="F44" t="inlineStr"/>
      <c r="G44" t="inlineStr">
        <is>
          <t>New York, NY</t>
        </is>
      </c>
      <c r="H44" t="inlineStr"/>
      <c r="I44" t="inlineStr">
        <is>
          <t>At TWG Group Holdings, LLC ("TWG Global"), we drive innovation and business transformation across a range of industries, including financial services, insurance, technology, media, and sports, by leveraging data and AI as core assets. Our AI\-first, cloud\-native approach delivers real\-time intelligence and interactive business applications, empowering informed decision\-making for both customers and employees. We prioritize responsible data and AI practices, ensuring ethical standards and regulatory compliance.
 Our decentralized structure enables each business unit to operate autonomously, supported by a central AI Solutions Group, while strategic partnerships with leading data and AI vendors fuel game\-changing efforts in marketing, operations, and product development. You will collaborate with management to advance our data and analytics transformation, enhance productivity, and enable agile, data\-driven decisions. By leveraging relationships with top tech startups and universities, you will help create competitive advantages and drive enterprise innovation.
 At TWG Global, your contributions will support our goal of sustained growth and superior returns, as we deliver rare value and impact across our businesses.
**The Role**
 As a Senior Associate, Machine Learning Engineer, you'll work alongside experienced ML engineers and data scientists to design, build, and scale machine learning systems that deliver real business value. Reporting to the Executive Director of ML Engineering, you'll gain hands\-on experience developing production\-grade pipelines, monitoring frameworks, and scalable ML applications that support mission\-critical business functions. This is a high\-growth opportunity for someone with early industry experience (or strong academic grounding) in machine learning engineering, eager to deepen their expertise in production systems and MLOps while growing within a dynamic AI team operating at the frontier of applied ML.
**Key Responsibilities:**
* Contribute to the design, development, and deployment of ML models and pipelines across business\-critical domains such as financial services and insurance.
* Support production efforts, including model packaging, integration, CI/CD deployment, and monitoring for performance, drift, and reliability.
* Collaborate with senior engineers to build internal ML engineering tools and infrastructure that improve training, testing, and observability workflows.
* Partner with Data Scientists to operationalize prototype models, ensuring they are scalable, robust, and cost\-efficient in production.
* Work with large\-scale datasets to enable feature engineering, transformation, and quality assurance within ML pipelines
* Implement monitoring dashboards, alerts, and diagnostics for model health and system performance.
* Contribute to documentation, governance, and reproducibility practices, supporting compliance in regulated environments
**Requirements**
**Qualifications:**
* 5\+ years of experience building and deploying machine learning models in production environments, with exposure to monitoring and diagnostics.
* Solid understanding of machine learning engineering fundamentals (pipelines, deployment, monitoring) and familiarity with data science workflows.
* Experience with MLOps tools such as MLflow, Weights \&amp; Biases, or equivalent. Exposure to observability/monitoring systems (Prometheus, Grafana, ELK, Datadog) is a plus.
* Proficiency in Python and familiarity with ML libraries (scikit\-learn, XGBoost, TensorFlow, PyTorch).
* Strong experience with data manipulation and pipelines using Pandas, NumPy, and SQL.
* Knowledge of containerized deployments (Docker, Kubernetes) and cloud ML services (AWS SageMaker, GCP Vertex AI, or Azure ML) preferred.
* Excellent problem\-solving skills, eagerness to learn, and ability to thrive in a fast\-paced, evolving environment
* Bachelor's or Master's degree in Computer Science, Machine Learning, or a related technical field.
* Strong written and verbal communication skills, with the ability to explain technical details to both technical and business stakeholders
**Preferred experience:**
* Hands\-on experience with Palantir platforms (Foundry, AIP, Ontology), including deploying and integrating ML solutions in enterprise ecosystems.
* Familiarity with vector databases (FAISS, Pinecone, Milvus, Weaviate) and LLM engineering workflows.
* Exposure to graph databases (Neo4j, TigerGraph) and their application in AI/ML systems.
**Benefits**
* Work at the forefront of AI/ML innovation in life insurance, annuities, and financial services.
* Drive AI transformation for some of the most sophisticated financial entities.
* Competitive compensation, benefits, future equity options, and leadership opportunities.
**Position Location**
 This is an on\-site position based in Manhattan in New York City.
**Compensation**
 The base salary for this position is $190,000\-$200,000\. A discretionary bonus will be provided as part of the compensation package, in addition to a full range of medical, financial, and/or other benefits.
*TWG is an equal opportunity employer, and all qualified applicants will receive consideration for employment without regard to race, color, religion, gender, sexual orientation, gender identity, national origin, disability, or status as a protected veteran.*</t>
        </is>
      </c>
    </row>
    <row r="45">
      <c r="A45" t="inlineStr">
        <is>
          <t>li-4370083983</t>
        </is>
      </c>
      <c r="B45" t="inlineStr">
        <is>
          <t>AI Engineer - Product</t>
        </is>
      </c>
      <c r="C45" t="inlineStr">
        <is>
          <t>Vybers Inc.</t>
        </is>
      </c>
      <c r="D45" t="inlineStr">
        <is>
          <t>linkedin</t>
        </is>
      </c>
      <c r="E45" t="inlineStr"/>
      <c r="F45" t="inlineStr"/>
      <c r="G45" t="inlineStr"/>
      <c r="H45" t="inlineStr"/>
      <c r="I45" t="inlineStr">
        <is>
          <t>**US\-based AI Engineer \- Multimodal Agentic Application** 
**Engagement** 
* **Type:** 
 Full\-time, project\-based contractor (option to extend)
* **Time:** 
 \~60\+ hrs/week (flexible)
* **Duration:** 
 3 month to long term
* **Location:** 
 Hire in San Francisco bay area local
* **Compensation:** 
 $50\+ / hour
**About the Project** 
 We’re building a
**world\-model / agent product** 
 with
**multimodal input** 
 ,
**long memory** 
 ,
**emotion quality** 
 , and
**seamless context across sessions** 
 . We need an engineer who can implements UI that makes complex system states feel
**intuitive, calm, and delightful** 
 —and can ship fast with high taste.
 This role is for someone who loves the frontier where
**AI UX \+ rendering \+ polish** 
 meet.
**What You’ll Do** 
* Make progress to contribute to world model, Agentic application and Evaluation
* Work with crew from top company founding engineers to build application to world model
**Requirements** 
* Familiar with Game Design, Frontend and multi\-modal models.
* Coding with
**Claude Code** 
 is a must have,  able to fix bugs in AI code.
* Deep expertise in:
**TypeScript** 
 ,
**Node.js** 
 ,
 Next.js
 **,** 
**GCP**
* Accept heavy workload and tight deadlines, we expect (60 hours / week )
**Strong Plus (Preferred)** 
* Phaser.js
 **,** 
 three.js
 **,** 
 or other equivalent game frameworks
* Excellent prompt engineering with multi\-modal
* Experience with creative tools, video, editors, or generative media products
**How to Apply** 
* GitHub (or project demo) \+ LinkedIn (or Resume)
* Availability \+ Salary Expectations</t>
        </is>
      </c>
    </row>
    <row r="46">
      <c r="A46" t="inlineStr">
        <is>
          <t>li-4370357189</t>
        </is>
      </c>
      <c r="B46" t="inlineStr">
        <is>
          <t>AI Engineer</t>
        </is>
      </c>
      <c r="C46" t="inlineStr">
        <is>
          <t>Best Job Tool</t>
        </is>
      </c>
      <c r="D46" t="inlineStr">
        <is>
          <t>linkedin</t>
        </is>
      </c>
      <c r="E46" t="inlineStr"/>
      <c r="F46" t="inlineStr"/>
      <c r="G46" t="inlineStr"/>
      <c r="H46" t="inlineStr"/>
      <c r="I46" t="inlineStr">
        <is>
          <t>**About The Company**
 Fieldguide is a pioneering technology company dedicated to delivering innovative solutions that empower businesses to optimize their operations and enhance their strategic decision\-making processes. With a strong focus on leveraging cutting\-edge data analytics, artificial intelligence, and cloud\-based platforms, Fieldguide strives to transform complex data into actionable insights. Our team is composed of passionate professionals committed to fostering a collaborative and inclusive workplace environment. We serve a diverse range of industries, including finance, healthcare, manufacturing, and retail, providing tailored solutions that meet the unique needs of each client. At Fieldguide, we believe in continuous learning, innovation, and the pursuit of excellence to drive sustainable growth and success for our clients and employees alike.
**About The Role**
 We are seeking a highly skilled and motivated Data Analyst to join our dynamic team at Fieldguide. The ideal candidate will play a crucial role in analyzing complex datasets, developing insightful reports, and supporting data\-driven decision\-making processes across various projects. This position offers an excellent opportunity to work in a fast\-paced environment where your analytical skills will directly impact the strategic initiatives of our clients. The successful candidate will collaborate with cross\-functional teams, including product development, marketing, and sales, to identify opportunities for process improvements and innovation. You will be responsible for designing and implementing data collection systems, cleaning and validating data, and presenting findings in a clear and impactful manner. This role requires a strong analytical mindset, attention to detail, and the ability to communicate complex information effectively to both technical and non\-technical stakeholders.
**Qualifications**
* Bachelor’s degree in Data Science, Statistics, Computer Science, or a related field; a master’s degree is a plus.
* Proven experience as a Data Analyst or similar role, preferably in a technology\-driven environment.
* Proficiency in data analysis tools and programming languages such as SQL, Python, R, or similar.
* Experience with data visualization tools like Tableau, Power BI, or Looker.
* Strong understanding of statistical methods and data modeling techniques.
* Excellent problem\-solving skills and attention to detail.
* Ability to work independently and collaboratively within a team.
* Effective communication skills, with the ability to translate technical findings into actionable insights.
**Responsibilities**
* Collect, process, and analyze large datasets to identify trends, patterns, and insights.
* Develop and maintain dashboards, reports, and visualizations to support business decision\-making.
* Collaborate with cross\-functional teams to understand data needs and deliver tailored solutions.
* Design and implement data collection systems to ensure data accuracy and integrity.
* Perform data cleaning, validation, and quality assurance to ensure reliable analysis results.
* Present findings and recommendations to stakeholders in a clear and concise manner.
* Stay updated with the latest industry trends and best practices in data analysis and visualization.
* Assist in the development of predictive models and advanced analytics initiatives.
**Benefits**
 At Fieldguide, we value our employees and offer a comprehensive benefits package designed to support your personal and professional growth. This includes competitive salary packages, health insurance coverage, and retirement savings plans. We also provide opportunities for continuous learning through training programs, workshops, and conferences. Our flexible work arrangements promote work\-life balance, and we foster a culture of collaboration and innovation. Additionally, employees have access to wellness programs, paid time off, and various team\-building activities to promote a positive work environment.
 Equal Opportunity
 Fieldguide is an equal opportunity employer. We celebrate diversity and are committed to creating an inclusive environment for all employees. We do not discriminate based on race, ethnicity, gender, age, sexual orientation, disability, or any other protected characteristic. We believe that diverse perspectives foster creativity and innovation, and we are dedicated to providing equal employment opportunities to all qualified candidates.</t>
        </is>
      </c>
    </row>
    <row r="47">
      <c r="A47" t="inlineStr">
        <is>
          <t>li-4370353431</t>
        </is>
      </c>
      <c r="B47" t="inlineStr">
        <is>
          <t>AI Engineer</t>
        </is>
      </c>
      <c r="C47" t="inlineStr">
        <is>
          <t>Hirenza</t>
        </is>
      </c>
      <c r="D47" t="inlineStr">
        <is>
          <t>linkedin</t>
        </is>
      </c>
      <c r="E47" t="inlineStr"/>
      <c r="F47" t="inlineStr"/>
      <c r="G47" t="inlineStr"/>
      <c r="H47" t="inlineStr"/>
      <c r="I47" t="inlineStr">
        <is>
          <t>**About The Company**
 Established nearly two centuries ago, Factory Mutual Insurance (FM) is a leading mutual insurance company specializing in property risk management and resilience solutions. With a rich history rooted in scientific research, engineering expertise, and financial stability, FM is dedicated to helping its policyholder\-owners prevent property losses and enhance business continuity. The company’s owners include many of the world's largest organizations, with one in four Fortune 500 companies trusting FM to safeguard their assets. FM’s approach combines property loss prevention strategies with comprehensive insurance protection, ensuring clients are well\-prepared for potential hazards and disruptions.
**About The Role**
 Join our Innovation Analytics \&amp; AI team as a GenAI Engineer IV, where you will be at the forefront of developing enterprise\-scale AI solutions that drive strategic innovation. This senior\-level role involves shaping the architecture, strategy, and implementation of cutting\-edge Generative AI systems utilizing large language models (LLMs) such as OpenAI, Gemini, Llama2, and GPT\-4, along with multi\-modal models on cloud platforms like Azure. You will be responsible for designing cloud\-native architectures, building retrieval\-augmented generation (RAG) workflows, and integrating structured and unstructured data to deliver secure, scalable, and ethical AI solutions.
 As a technical leader, you will collaborate with Solution Architects and cross\-functional teams to align AI initiatives with business objectives. Your expertise will guide the development of agentic AI frameworks, optimize model performance, and ensure compliance with ethical standards. You will mentor engineers, influence enterprise AI strategy, and foster a culture of continuous learning and innovation. This role offers an exciting opportunity to drive impactful AI projects, stay ahead of industry trends, and contribute to FM’s mission of risk prevention and resilience.
**Qualifications**
 Minimum education required is a bachelor’s degree in Computer Science, Data Science, Artificial Intelligence, or a related field, with extensive professional experience. Candidates should possess at least 8\+ years of AI engineering experience, demonstrating expertise in GenAI, cloud architectures, and enterprise\-scale delivery. Advanced proficiency in programming languages such as Python, .NET, and C\# is essential, along with familiarity with AI frameworks like LangChain and Hugging Face.
 Deep knowledge of LLMs (including OpenAI, Gemini, Llama2, GPT\-4\), multi\-modal models, and CI/CD automation is required. Proven leadership in AI strategy, mentoring, and implementing innovative solutions at scale is vital. Experience with cloud\-native technologies such as Kubernetes, Terraform, and API development will be advantageous. Candidates should also have a strong understanding of ethical AI practices, bias detection, hallucination mitigation, and performance benchmarking. Exceptional communication and strategic thinking skills are necessary to influence enterprise\-wide initiatives effectively.
**Responsibilities**
* Lead the strategy, design, architecture, and deployment of scalable Generative AI solutions utilizing LLMs, multi\-modal models, and open\-source frameworks within Azure and other cloud platforms.
* Develop and manage data integration pipelines and RAG workflows using tools such as Promptflow, Azure AI Search, Semantic Search, Hybrid Search, Document Intelligence, Skillsets, Generative RAG Search, Vector Databases, Azure OAI, AI Hub, Agents, and LangChain.
* Design and implement robust test automation strategies within CI/CD pipelines, establish observability metrics using Azure Application Insights and Dynatrace, and support production deployments with comprehensive documentation and risk mitigation plans.
* Collaborate closely with Solution Architects to ensure successful delivery of enterprise initiatives, including application security, API development, and architecture design.
* Act as a subject matter expert in AI tools and technologies, lead internal training sessions, set strategic objectives, and promote the adoption of innovative methodologies across teams.
* Mentor engineering teams, foster a culture of innovation, and influence enterprise AI strategies aligned with business goals.
**Benefits**
 FM offers a competitive total rewards package that includes an incentive plan, comprehensive medical, dental, and vision insurance, life and disability coverage, and well\-being programs. Employees have access to a 401(k) and pension plan, career development opportunities, tuition reimbursement, flexible work arrangements, and generous paid time off including vacation and sick leave. The company emphasizes work\-life balance and professional growth, supporting employees in their pursuit of excellence and innovation.
 Equal Opportunity
 FM is an Equal Opportunity Employer committed to fostering a diverse and inclusive workforce. We believe that diversity enhances our ability to serve our policyholder\-owners and innovate effectively. We encourage applications from individuals of all backgrounds, regardless of race, gender, age, disability, sexual orientation, or any other characteristic protected by law. Our commitment to equal opportunity ensures a welcoming environment where everyone can thrive and contribute to our mission of risk prevention and resilience.</t>
        </is>
      </c>
    </row>
    <row r="48">
      <c r="A48" t="inlineStr">
        <is>
          <t>li-4361890020</t>
        </is>
      </c>
      <c r="B48" t="inlineStr">
        <is>
          <t>Senior Machine Learning Engineer</t>
        </is>
      </c>
      <c r="C48" t="inlineStr">
        <is>
          <t>Zendesk</t>
        </is>
      </c>
      <c r="D48" t="inlineStr">
        <is>
          <t>linkedin</t>
        </is>
      </c>
      <c r="E48" t="inlineStr"/>
      <c r="F48" t="inlineStr"/>
      <c r="G48" t="inlineStr">
        <is>
          <t>California, United States</t>
        </is>
      </c>
      <c r="H48" t="inlineStr"/>
      <c r="I48"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49">
      <c r="A49" t="inlineStr">
        <is>
          <t>li-4370355611</t>
        </is>
      </c>
      <c r="B49" t="inlineStr">
        <is>
          <t>Staff / VP, Machine Learning Engineer (NYC)</t>
        </is>
      </c>
      <c r="C49" t="inlineStr">
        <is>
          <t>TWG Global</t>
        </is>
      </c>
      <c r="D49" t="inlineStr">
        <is>
          <t>linkedin</t>
        </is>
      </c>
      <c r="E49" t="inlineStr"/>
      <c r="F49" t="inlineStr"/>
      <c r="G49" t="inlineStr">
        <is>
          <t>New York, NY</t>
        </is>
      </c>
      <c r="H49" t="inlineStr"/>
      <c r="I49" t="inlineStr">
        <is>
          <t>At TWG Group Holdings, LLC ("TWG Global"), we drive innovation and business transformation across a range of industries, including financial services, insurance, technology, media, and sports, by leveraging data and AI as core assets. Our AI\-first, cloud\-native approach delivers real\-time intelligence and interactive business applications, empowering informed decision\-making for both customers and employees.
 We prioritize responsible data and AI practices, ensuring ethical standards and regulatory compliance. Our decentralized structure enables each business unit to operate autonomously, supported by a central AI Solutions Group, while strategic partnerships with leading data and AI vendors fuel game\-changing efforts in marketing, operations, and product development.
 You will collaborate with management to advance our data and analytics transformation, enhance productivity, and enable agile, data\-driven decisions. By leveraging relationships with top tech startups and universities, you will help create competitive advantages and drive enterprise innovation.
 At TWG Global, your contributions will support our goal of sustained growth and superior returns, as we deliver rare value and impact across our businesses.
**The Role**
 As the Staff Machine Learning Engineer (VP) on the ML Engineering team, you will be responsible for designing, deploying, and scaling advanced ML systems that power core business functions across the enterprise. Reporting to the Executive Director of ML Engineering, you will play a critical role in building production\-grade ML infrastructure, reusable frameworks, and scalable model pipelines that deliver measurable business outcomes—ranging from cost optimization to top\-line growth. You will act as a technical thought leader and strategic partner, shaping the organization's machine learning engineering practices and fostering a culture of operational excellence, reliability, and responsible AI adoption.
**Key Responsibilities:**
* Architect and deploy ML systems and platforms that solve high\-impact business problems across regulated enterprise environments.
* Lead the development of production\-ready pipelines, including feature stores, model registries, and scalable inference services.
* Champion MLOps best practices (CI/CD for ML, model versioning, monitoring, observability) to ensure models are reliable, reproducible, and cost\-efficient.
* Partner with Data Scientists to operationalize experimental models, enabling scalability and generalizability across diverse business domains.
* Integrate emerging ML engineering techniques (e.g., LLM deployment, fine\-tuning pipelines, vector databases, RAG systems) into enterprise\-ready solutions.
* Own the design of foundational ML platforms and frameworks that serve as building blocks for downstream AI applications.
* Embed controls, governance, and auditability into ML workflows, ensuring compliance with regulatory standards and responsible AI principles.
* Collaborate with Engineering, Product, and Security teams to embed ML\-driven decision\-making into enterprise platforms and workflows.
* Define and track engineering and model performance metrics (latency, scalability, cost, accuracy) to optimize systems in production.
* Mentor and coach ML engineers, fostering technical excellence, collaboration, and innovation within the AI Science team
**Requirements**
**Qualifications:**
* 8\+ years of experience building and deploying machine learning systems in production environments at enterprise or platform scale.
* Proven track record of leading ML engineering projects from architecture to deployment, including ownership of production\-grade systems.
* Deep expertise in ML frameworks and engineering stacks (TensorFlow, PyTorch, JAX, Ray, MLflow, Kubeflow)
* Proficiency in Python and at least one backend language (e.g., Java, Scala, Go, C\+\+).
* Strong understanding of cloud ML infrastructure (AWS SageMaker, GCP Vertex AI, Azure ML) and containerized deployments (Kubernetes, Docker).
* Hands\-on experience with data and model pipelines (feature stores, registries, distributed training, inference scaling).
* Knowledge of observability and monitoring stacks (Prometheus, Grafana, ELK, Datadog) for ML system performance.
* Experience collaborating with cross\-functional teams in regulated industries (finance, insurance, health) with compliance and governance needs.
* Exceptional communication and leadership skills, with the ability to translate complex engineering challenges into clear business outcomes.
* Master's or PhD in Computer Science, Machine Learning, or related technical discipline
**Preferred Qualifications:**
* Hands\-on experience with Palantir platforms (Foundry, AIP, Ontology), including developing, deploying, and integrating ML solutions in enterprise ecosystems.
* Exposure to LLM and GenAI engineering (fine\-tuning, vector search, distributed inference).
* Experience optimizing GPU clusters, distributed training, or HPC environments.
* Familiarity with graph databases (e.g., Neo4j, TigerGraph) and their application in AI/ML systems
**Benefits**
* Work at the forefront of AI/ML innovation in life insurance, annuities, and financial services.
* Drive AI transformation for some of the most sophisticated financial entities.
* Competitive compensation, benefits, future equity options, and leadership opportunities.
**Position Location**
 This is an onsite position based in Manhattan in New York City.
**Compensation**
 The salary for this position is $290,000\-$300,0000\. A discretionary bonus will be provided as part of the compensation package, in addition to a full range of medical, financial, and/or other benefits.
*TWG is an equal opportunity employer, and all qualified applicants will receive consideration for employment without regard to race, color, religion, gender, sexual orientation, gender identity, national origin, disability, or status as a protected veteran.*</t>
        </is>
      </c>
    </row>
    <row r="50">
      <c r="A50" t="inlineStr">
        <is>
          <t>li-4361776319</t>
        </is>
      </c>
      <c r="B50" t="inlineStr">
        <is>
          <t>Senior AI Engineer</t>
        </is>
      </c>
      <c r="C50" t="inlineStr">
        <is>
          <t>ChatGPT Jobs</t>
        </is>
      </c>
      <c r="D50" t="inlineStr">
        <is>
          <t>linkedin</t>
        </is>
      </c>
      <c r="E50" t="inlineStr"/>
      <c r="F50" t="inlineStr"/>
      <c r="G50" t="inlineStr"/>
      <c r="H50" t="inlineStr"/>
      <c r="I50" t="inlineStr">
        <is>
          <t>**Job Description**
 Senior AI Engineer
 Doctor Evidence
 Remote Nationwide,
* Remote
* Full\-Time
 Salary: DOE
 Title: Senior AI Engineer
 Reports to: VP, Software Engineering / Chief Architect
 Status: Employee, Exempt
 Location: Remote (must be located in the US)
 Hire Date: Immediate
**Company Summary**
 Dr.Evidence is the preeminent AI\-powered insights platform for life sciences, enabling teams to generate rapid and relevant insights grounded in published medical literature, clinical trial data, drug labels, regulatory documents and beyond, delivering value from drug discovery through commercialization. We push the boundaries of healthcare technology and allow for new possibilities in science, enabling more informed decision making and faster time\-to\-market for accelerated impact.
**Research \&amp; Development (r\&amp;d) Organization Summary**
 The Dr.Evidence R\&amp;D organization includes software engineers, QA/QC engineers, product management, scrum masters, and business analysts. R\&amp;D is responsible for all aspects of product development, from ideation to maintenance. Our software engineers are experienced, talented, precise, and move at a fast pace to ensure speed\-to\-market goals for our customers are met.
**Responsibilities**
* Research \&amp; Prototyping
+ Rapidly prototype state\-of\-the\-art ML/NLP/LLM architectures using frameworks like Python, PyTorch, Hugging Face, and LangChain/LangGraph.
+ Assess open\-source and commercial models (e.g., Llama 3, Mistral, GPT\-series, Qwen, and other modern LLM architectures) for accuracy, latency, cost, hallucination risk, and compliance.
+ Run structured model evaluations (accuracy, relevance, precision/recall, hallucination checks).
* Model Development \&amp; Training
+ Build scalable training pipelines for supervised and self\-supervised learning paradigms.
+ Implement efficient techniques such as LoRA/QLoRA, instruction tuning, and quantization when needed.
+ Develop agentic workflows (tool\-calling, iterative reasoning, ranking, and multi\-step pipelines) for real\-world use cases.
+ Improve and maintain existing ML pipelines.
+ Optimize inference performance with batching, quantization, and efficient serving frameworks.
* Retrieval\-Augmented Generation (RAG) \&amp; Search
+ Design and optimize RAG systems that integrate with internal data sources.
+ Build hybrid retrieval using Elasticsearch/BM25 \+ vector search (PGVector or other vector DBs).
+ Tune chunking, embeddings, reranking, and hallucination\-prevention strategies for long documents.
* Data Engineering for AI
+ Prepare and refine text datasets for training, evaluation, and fine\-tuning.
+ Generate synthetic training data using LLMs to improve extraction accuracy, classification, and reasoning.
+ Build small, targeted datasets for fine\-tuning domain\-specific models.
* LLM Specialization
+ Fine\-tune and align open\-source LLMs for domain\-specific tasks (RAG, agents, tool\-calling, reasoning).
+ Implement safety layers: prompt guards, output filters, adversarial robustness testing.
* Productionization \&amp; MLOps
+ Containerize models with Docker; orchestrate with Docker Swarm.
+ Build monitoring for model quality, latency, hallucinations, and regressions.
+ Collaborate with DevOps and Architecture teams on cost, performance, and scalability decisions.
+ Implement observability around prompts, retrieval, and model outputs.
* Cross\-Functional Impact
+ Collaborate with Product to define AI roadmaps and success metrics.
+ Partner with Product and Engineering to design new AI capabilities across modules.
**Qualifications**
* Education: MS/PhD in CS, ML, Data Science, or related field; or BS \+ 5\+ years of intensive AI industry experience.
* Core Technical Skills:
+ Languages: Python (expert); familiarity with modern web stacks (e.g., PERN) is a plus.
+ Experience with PyTorch, Hugging Face Transformers, and common LLM tooling (PEFT, LoRA, QLoRA).
+ Strong understanding of NLP: tokenization, embeddings, chunking, NER, classification, summarization.
+ Experience with RAG pipelines, vector databases, retrieval/ranking strategies.
+ Experience designing and running model evaluation pipelines.
+ Comfortable with Docker\-based deployments and cloud environments.
+ Knowledge of Elasticsearch.
* Proven Track Record:
+ Shipped at least 3 production LLM\-powered features (e.g., chatbots, summarizers, agents).
+ Experience working with modern large\-scale models.
+ Experience designing clean, maintainable architectures for LLM features.
+ Strong documentation and communication skills.</t>
        </is>
      </c>
    </row>
    <row r="51">
      <c r="A51" t="inlineStr">
        <is>
          <t>li-4361708795</t>
        </is>
      </c>
      <c r="B51" t="inlineStr">
        <is>
          <t>Senior Machine Learning Engineer</t>
        </is>
      </c>
      <c r="C51" t="inlineStr">
        <is>
          <t>Zendesk</t>
        </is>
      </c>
      <c r="D51" t="inlineStr">
        <is>
          <t>linkedin</t>
        </is>
      </c>
      <c r="E51" t="inlineStr"/>
      <c r="F51" t="inlineStr"/>
      <c r="G51" t="inlineStr">
        <is>
          <t>New York, United States</t>
        </is>
      </c>
      <c r="H51" t="inlineStr"/>
      <c r="I51"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52">
      <c r="A52" t="inlineStr">
        <is>
          <t>li-4361785291</t>
        </is>
      </c>
      <c r="B52" t="inlineStr">
        <is>
          <t>Senior Machine Learning Engineer</t>
        </is>
      </c>
      <c r="C52" t="inlineStr">
        <is>
          <t>Zendesk</t>
        </is>
      </c>
      <c r="D52" t="inlineStr">
        <is>
          <t>linkedin</t>
        </is>
      </c>
      <c r="E52" t="inlineStr"/>
      <c r="F52" t="inlineStr"/>
      <c r="G52" t="inlineStr">
        <is>
          <t>New Jersey, United States</t>
        </is>
      </c>
      <c r="H52" t="inlineStr"/>
      <c r="I52"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53">
      <c r="A53" t="inlineStr">
        <is>
          <t>li-4361727835</t>
        </is>
      </c>
      <c r="B53" t="inlineStr">
        <is>
          <t>Senior Machine Learning Engineer</t>
        </is>
      </c>
      <c r="C53" t="inlineStr">
        <is>
          <t>Zendesk</t>
        </is>
      </c>
      <c r="D53" t="inlineStr">
        <is>
          <t>linkedin</t>
        </is>
      </c>
      <c r="E53" t="inlineStr"/>
      <c r="F53" t="inlineStr"/>
      <c r="G53" t="inlineStr">
        <is>
          <t>Florida, United States</t>
        </is>
      </c>
      <c r="H53" t="inlineStr"/>
      <c r="I53"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54">
      <c r="A54" t="inlineStr">
        <is>
          <t>li-4361821876</t>
        </is>
      </c>
      <c r="B54" t="inlineStr">
        <is>
          <t>Senior Machine Learning Engineer</t>
        </is>
      </c>
      <c r="C54" t="inlineStr">
        <is>
          <t>Zendesk</t>
        </is>
      </c>
      <c r="D54" t="inlineStr">
        <is>
          <t>linkedin</t>
        </is>
      </c>
      <c r="E54" t="inlineStr"/>
      <c r="F54" t="inlineStr"/>
      <c r="G54" t="inlineStr">
        <is>
          <t>Maryland, United States</t>
        </is>
      </c>
      <c r="H54" t="inlineStr"/>
      <c r="I54"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55">
      <c r="A55" t="inlineStr">
        <is>
          <t>li-4361803613</t>
        </is>
      </c>
      <c r="B55" t="inlineStr">
        <is>
          <t>Senior Machine Learning Engineer</t>
        </is>
      </c>
      <c r="C55" t="inlineStr">
        <is>
          <t>Zendesk</t>
        </is>
      </c>
      <c r="D55" t="inlineStr">
        <is>
          <t>linkedin</t>
        </is>
      </c>
      <c r="E55" t="inlineStr"/>
      <c r="F55" t="inlineStr"/>
      <c r="G55" t="inlineStr">
        <is>
          <t>Massachusetts, United States</t>
        </is>
      </c>
      <c r="H55" t="inlineStr"/>
      <c r="I55"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56">
      <c r="A56" t="inlineStr">
        <is>
          <t>li-4361439173</t>
        </is>
      </c>
      <c r="B56" t="inlineStr">
        <is>
          <t>Senior Machine Learning Engineer</t>
        </is>
      </c>
      <c r="C56" t="inlineStr">
        <is>
          <t>Zendesk</t>
        </is>
      </c>
      <c r="D56" t="inlineStr">
        <is>
          <t>linkedin</t>
        </is>
      </c>
      <c r="E56" t="inlineStr"/>
      <c r="F56" t="inlineStr"/>
      <c r="G56" t="inlineStr">
        <is>
          <t>Connecticut, United States</t>
        </is>
      </c>
      <c r="H56" t="inlineStr"/>
      <c r="I56"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57">
      <c r="A57" t="inlineStr">
        <is>
          <t>li-4361737468</t>
        </is>
      </c>
      <c r="B57" t="inlineStr">
        <is>
          <t>Senior Machine Learning Engineer</t>
        </is>
      </c>
      <c r="C57" t="inlineStr">
        <is>
          <t>Zendesk</t>
        </is>
      </c>
      <c r="D57" t="inlineStr">
        <is>
          <t>linkedin</t>
        </is>
      </c>
      <c r="E57" t="inlineStr"/>
      <c r="F57" t="inlineStr"/>
      <c r="G57" t="inlineStr">
        <is>
          <t>Washington, DC</t>
        </is>
      </c>
      <c r="H57" t="inlineStr"/>
      <c r="I57"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58">
      <c r="A58" t="inlineStr">
        <is>
          <t>li-4361785292</t>
        </is>
      </c>
      <c r="B58" t="inlineStr">
        <is>
          <t>Senior Machine Learning Engineer</t>
        </is>
      </c>
      <c r="C58" t="inlineStr">
        <is>
          <t>Zendesk</t>
        </is>
      </c>
      <c r="D58" t="inlineStr">
        <is>
          <t>linkedin</t>
        </is>
      </c>
      <c r="E58" t="inlineStr"/>
      <c r="F58" t="inlineStr"/>
      <c r="G58" t="inlineStr">
        <is>
          <t>Georgia, United States</t>
        </is>
      </c>
      <c r="H58" t="inlineStr"/>
      <c r="I58"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59">
      <c r="A59" t="inlineStr">
        <is>
          <t>li-4361831462</t>
        </is>
      </c>
      <c r="B59" t="inlineStr">
        <is>
          <t>Senior Machine Learning Engineer</t>
        </is>
      </c>
      <c r="C59" t="inlineStr">
        <is>
          <t>Zendesk</t>
        </is>
      </c>
      <c r="D59" t="inlineStr">
        <is>
          <t>linkedin</t>
        </is>
      </c>
      <c r="E59" t="inlineStr"/>
      <c r="F59" t="inlineStr"/>
      <c r="G59" t="inlineStr">
        <is>
          <t>Indiana, United States</t>
        </is>
      </c>
      <c r="H59" t="inlineStr"/>
      <c r="I59"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60">
      <c r="A60" t="inlineStr">
        <is>
          <t>li-4361860019</t>
        </is>
      </c>
      <c r="B60" t="inlineStr">
        <is>
          <t>Senior Machine Learning Engineer</t>
        </is>
      </c>
      <c r="C60" t="inlineStr">
        <is>
          <t>Zendesk</t>
        </is>
      </c>
      <c r="D60" t="inlineStr">
        <is>
          <t>linkedin</t>
        </is>
      </c>
      <c r="E60" t="inlineStr"/>
      <c r="F60" t="inlineStr"/>
      <c r="G60" t="inlineStr">
        <is>
          <t>Wyoming, United States</t>
        </is>
      </c>
      <c r="H60" t="inlineStr"/>
      <c r="I60"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61">
      <c r="A61" t="inlineStr">
        <is>
          <t>li-4361821878</t>
        </is>
      </c>
      <c r="B61" t="inlineStr">
        <is>
          <t>Senior Machine Learning Engineer</t>
        </is>
      </c>
      <c r="C61" t="inlineStr">
        <is>
          <t>Zendesk</t>
        </is>
      </c>
      <c r="D61" t="inlineStr">
        <is>
          <t>linkedin</t>
        </is>
      </c>
      <c r="E61" t="inlineStr"/>
      <c r="F61" t="inlineStr"/>
      <c r="G61" t="inlineStr">
        <is>
          <t>Ohio, United States</t>
        </is>
      </c>
      <c r="H61" t="inlineStr"/>
      <c r="I61"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62">
      <c r="A62" t="inlineStr">
        <is>
          <t>li-4361727833</t>
        </is>
      </c>
      <c r="B62" t="inlineStr">
        <is>
          <t>Senior Machine Learning Engineer</t>
        </is>
      </c>
      <c r="C62" t="inlineStr">
        <is>
          <t>Zendesk</t>
        </is>
      </c>
      <c r="D62" t="inlineStr">
        <is>
          <t>linkedin</t>
        </is>
      </c>
      <c r="E62" t="inlineStr"/>
      <c r="F62" t="inlineStr"/>
      <c r="G62" t="inlineStr">
        <is>
          <t>Montana, United States</t>
        </is>
      </c>
      <c r="H62" t="inlineStr"/>
      <c r="I62"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63">
      <c r="A63" t="inlineStr">
        <is>
          <t>li-4361718275</t>
        </is>
      </c>
      <c r="B63" t="inlineStr">
        <is>
          <t>Senior Machine Learning Engineer</t>
        </is>
      </c>
      <c r="C63" t="inlineStr">
        <is>
          <t>Zendesk</t>
        </is>
      </c>
      <c r="D63" t="inlineStr">
        <is>
          <t>linkedin</t>
        </is>
      </c>
      <c r="E63" t="inlineStr"/>
      <c r="F63" t="inlineStr"/>
      <c r="G63" t="inlineStr">
        <is>
          <t>North Carolina, United States</t>
        </is>
      </c>
      <c r="H63" t="inlineStr"/>
      <c r="I63"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64">
      <c r="A64" t="inlineStr">
        <is>
          <t>li-4361812788</t>
        </is>
      </c>
      <c r="B64" t="inlineStr">
        <is>
          <t>Senior Machine Learning Engineer</t>
        </is>
      </c>
      <c r="C64" t="inlineStr">
        <is>
          <t>Zendesk</t>
        </is>
      </c>
      <c r="D64" t="inlineStr">
        <is>
          <t>linkedin</t>
        </is>
      </c>
      <c r="E64" t="inlineStr"/>
      <c r="F64" t="inlineStr"/>
      <c r="G64" t="inlineStr">
        <is>
          <t>Idaho, United States</t>
        </is>
      </c>
      <c r="H64" t="inlineStr"/>
      <c r="I64"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65">
      <c r="A65" t="inlineStr">
        <is>
          <t>li-4361776274</t>
        </is>
      </c>
      <c r="B65" t="inlineStr">
        <is>
          <t>Senior Machine Learning Engineer</t>
        </is>
      </c>
      <c r="C65" t="inlineStr">
        <is>
          <t>Zendesk</t>
        </is>
      </c>
      <c r="D65" t="inlineStr">
        <is>
          <t>linkedin</t>
        </is>
      </c>
      <c r="E65" t="inlineStr"/>
      <c r="F65" t="inlineStr"/>
      <c r="G65" t="inlineStr">
        <is>
          <t>Michigan, United States</t>
        </is>
      </c>
      <c r="H65" t="inlineStr"/>
      <c r="I65"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66">
      <c r="A66" t="inlineStr">
        <is>
          <t>li-4361727834</t>
        </is>
      </c>
      <c r="B66" t="inlineStr">
        <is>
          <t>Senior Machine Learning Engineer</t>
        </is>
      </c>
      <c r="C66" t="inlineStr">
        <is>
          <t>Zendesk</t>
        </is>
      </c>
      <c r="D66" t="inlineStr">
        <is>
          <t>linkedin</t>
        </is>
      </c>
      <c r="E66" t="inlineStr"/>
      <c r="F66" t="inlineStr"/>
      <c r="G66" t="inlineStr">
        <is>
          <t>Arizona, United States</t>
        </is>
      </c>
      <c r="H66" t="inlineStr"/>
      <c r="I66"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67">
      <c r="A67" t="inlineStr">
        <is>
          <t>li-4361880025</t>
        </is>
      </c>
      <c r="B67" t="inlineStr">
        <is>
          <t>Senior Machine Learning Engineer</t>
        </is>
      </c>
      <c r="C67" t="inlineStr">
        <is>
          <t>Zendesk</t>
        </is>
      </c>
      <c r="D67" t="inlineStr">
        <is>
          <t>linkedin</t>
        </is>
      </c>
      <c r="E67" t="inlineStr"/>
      <c r="F67" t="inlineStr"/>
      <c r="G67" t="inlineStr">
        <is>
          <t>Oklahoma, United States</t>
        </is>
      </c>
      <c r="H67" t="inlineStr"/>
      <c r="I67"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68">
      <c r="A68" t="inlineStr">
        <is>
          <t>li-4361756445</t>
        </is>
      </c>
      <c r="B68" t="inlineStr">
        <is>
          <t>Senior Machine Learning Engineer</t>
        </is>
      </c>
      <c r="C68" t="inlineStr">
        <is>
          <t>Zendesk</t>
        </is>
      </c>
      <c r="D68" t="inlineStr">
        <is>
          <t>linkedin</t>
        </is>
      </c>
      <c r="E68" t="inlineStr"/>
      <c r="F68" t="inlineStr"/>
      <c r="G68" t="inlineStr">
        <is>
          <t>Alabama, United States</t>
        </is>
      </c>
      <c r="H68" t="inlineStr"/>
      <c r="I68"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69">
      <c r="A69" t="inlineStr">
        <is>
          <t>li-4361831461</t>
        </is>
      </c>
      <c r="B69" t="inlineStr">
        <is>
          <t>Senior Machine Learning Engineer</t>
        </is>
      </c>
      <c r="C69" t="inlineStr">
        <is>
          <t>Zendesk</t>
        </is>
      </c>
      <c r="D69" t="inlineStr">
        <is>
          <t>linkedin</t>
        </is>
      </c>
      <c r="E69" t="inlineStr"/>
      <c r="F69" t="inlineStr"/>
      <c r="G69" t="inlineStr">
        <is>
          <t>Mississippi, United States</t>
        </is>
      </c>
      <c r="H69" t="inlineStr"/>
      <c r="I69"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70">
      <c r="A70" t="inlineStr">
        <is>
          <t>li-4370363214</t>
        </is>
      </c>
      <c r="B70" t="inlineStr">
        <is>
          <t>Sr. Principal Data Scientist - Machine Learning Engineer - R10222135-2</t>
        </is>
      </c>
      <c r="C70" t="inlineStr">
        <is>
          <t>Northrop Grumman</t>
        </is>
      </c>
      <c r="D70" t="inlineStr">
        <is>
          <t>linkedin</t>
        </is>
      </c>
      <c r="E70" t="inlineStr"/>
      <c r="F70" t="inlineStr"/>
      <c r="G70" t="inlineStr">
        <is>
          <t>Falls Church, VA</t>
        </is>
      </c>
      <c r="H70" t="inlineStr"/>
      <c r="I70" t="inlineStr">
        <is>
          <t>RELOCATION ASSISTANCE: No relocation assistance available
 CLEARANCE TYPE: None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the Insights \&amp; Intelligence (i2\) organization seeks to embed trusted AI and data insights into every business decision at the company. Our Applied Data Science \&amp; AI team builds lightweight, production‑grade analytics solutions that solve problems traditional enterprise tools struggle to meet.
 Our team operates with high autonomy, working closely with engineers and business leaders to identify high‑value problems, build apps and other products from the ground up, and deploy them into production. We value speed, intellectual curiosity, and the ability to toggle between “prototype rapidly” and “engineer for production” based on what the situation demands.
 As a data scientist / machine learning engineer, you will be a technical force multiplier—working with program teams to understand their challenges, building the infrastructure and applications to address them, and deploying production solutions that drive high\-impact decisions.
**Job Duties Include, But Are Not Limited To**
* Work directly with stakeholders (engineers, program managers, subject matter experts) to scope problems, identify constraints, and iterate on technical solutions
* Bridge analytics and infrastructure by understanding both the business problem and the approach, then building systems that deliver insights
* Build user‑friendly, production‑grade ML/AI applications (e.g., Streamlit, Gradio) that provide data insights to teams across the enterprise and enable better decision making
* Develop and maintain cloud‑based infrastructure (AWS, Databricks) and tooling to support scalable and reliable data analytics workflows
* Design and implement CI/CD pipelines, infrastructure‑as‑code (Terraform, AWS CloudFormation), and MLOps practices that enhance team productivity
* Optimize existing workflows and advocate for software engineering best practices (version control, modular design, testing) to drive team efficiency and code quality
* Stay current on cloud technologies, MLOps trends, and application frameworks to identify opportunities for improvement
**What Makes You Successful In This Role**
**You balance speed with quality:** 
 You can assess when “good enough now” beats “perfect later” and prioritize impact and working solutions over perfection.
**You have high agency:** 
 You proactively gather information, identify blockers, can operate in ambiguity, and make thoughtful decisions with incomplete information.
**You’re technically versatile:** 
 You’re comfortable diving into infrastructure one day and analyzing a dataset the next, stepping into different roles depending on project needs.
**You’re a bridge** 
**‑** 
**builder:** 
 You can talk to data scientists about model deployment, engineers about infrastructure, and business stakeholders about their problem. You translate and collaborate across domains.
**Work Arrangement**
 This is a hybrid/remote position. Most of our team is based in the Northern Virginia area, and we welcome candidates who can sometimes collaborate in person, but we operate primarily remotely and value flexibility. This position’s standard work schedule is a 9/80\. The 9/80 schedule allows employees who work a nine\-hour day Monday through Thursday to take every other Friday off.
**Basic Qualifications**
* Must have a PhD with 4 years of relevant professional experience OR a Master’s degree with 6 years of relevant professional experience OR Bachelor’s degree with 8 years of relevant professional experience
* Must have strong proficiency with Python, SQL, and Git
* Must have experience with frameworks for rapid application development (e.g., Streamlit, Gradio, Starlette, Next.js)
* Must have knowledge of DevOps or MLOps concepts and their application in data science workflows
* Must have strong understanding of containerization (e.g., Docker, Podman)
* Must have the ability to work collaboratively with data teams (data scientists, analysts) to support analytics workflows and insights
* Must have demonstrated problem‑solving and critical‑thinking skills with an ability to handle complex technical challenges
* Must have excellent communication skills and comfort engaging with non‑technical stakeholders
**Preferred Qualifications**
* Proven track record of deploying and monitoring production‑grade software systems on AWS
* Experience with Databricks and PySpark for data transformation and analytics
* Proven experience building and deploying web‑based visualization or decision‑support tools for business use cases
* Exposure to workflow orchestration tools (e.g., AWS Step Functions, Apache Airflow) and infrastructure‑as‑code tools (e.g., Terraform, AWS CloudFormation)
* Familiarity with scalable data architectures and machine learning deployment frameworks
* Domain experience in manufacturing analytics, operations research, supply chain optimization, or financial forecasting
* Background in consulting, forward‑deployed engineering, or other client‑facing technical roles where you translated ambiguous business problems into technical solutions
 Primary Level Salary Range: $142,200\.00 \- $213,200\.00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71">
      <c r="A71" t="inlineStr">
        <is>
          <t>li-4370365050</t>
        </is>
      </c>
      <c r="B71" t="inlineStr">
        <is>
          <t>Sr. Principal Data Scientist - Machine Learning Engineer - R10222135</t>
        </is>
      </c>
      <c r="C71" t="inlineStr">
        <is>
          <t>Northrop Grumman</t>
        </is>
      </c>
      <c r="D71" t="inlineStr">
        <is>
          <t>linkedin</t>
        </is>
      </c>
      <c r="E71" t="inlineStr"/>
      <c r="F71" t="inlineStr"/>
      <c r="G71" t="inlineStr">
        <is>
          <t>Falls Church, VA</t>
        </is>
      </c>
      <c r="H71" t="inlineStr"/>
      <c r="I71" t="inlineStr">
        <is>
          <t>RELOCATION ASSISTANCE: No relocation assistance available
 CLEARANCE TYPE: None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the Insights \&amp; Intelligence (i2\) organization seeks to embed trusted AI and data insights into every business decision at the company. Our Applied Data Science \&amp; AI team builds lightweight, production‑grade analytics solutions that solve problems traditional enterprise tools struggle to meet.
 Our team operates with high autonomy, working closely with engineers and business leaders to identify high‑value problems, build apps and other products from the ground up, and deploy them into production. We value speed, intellectual curiosity, and the ability to toggle between “prototype rapidly” and “engineer for production” based on what the situation demands.
 As a data scientist / machine learning engineer, you will be a technical force multiplier—working with program teams to understand their challenges, building the infrastructure and applications to address them, and deploying production solutions that drive high\-impact decisions.
**Job Duties Include, But Are Not Limited To**
* Work directly with stakeholders (engineers, program managers, subject matter experts) to scope problems, identify constraints, and iterate on technical solutions
* Bridge analytics and infrastructure by understanding both the business problem and the approach, then building systems that deliver insights
* Build user‑friendly, production‑grade ML/AI applications (e.g., Streamlit, Gradio) that provide data insights to teams across the enterprise and enable better decision making
* Develop and maintain cloud‑based infrastructure (AWS, Databricks) and tooling to support scalable and reliable data analytics workflows
* Design and implement CI/CD pipelines, infrastructure‑as‑code (Terraform, AWS CloudFormation), and MLOps practices that enhance team productivity
* Optimize existing workflows and advocate for software engineering best practices (version control, modular design, testing) to drive team efficiency and code quality
* Stay current on cloud technologies, MLOps trends, and application frameworks to identify opportunities for improvement
**What Makes You Successful In This Role**
**You balance speed with quality:** 
 You can assess when “good enough now” beats “perfect later” and prioritize impact and working solutions over perfection.
**You have high agency:** 
 You proactively gather information, identify blockers, can operate in ambiguity, and make thoughtful decisions with incomplete information.
**You’re technically versatile:** 
 You’re comfortable diving into infrastructure one day and analyzing a dataset the next, stepping into different roles depending on project needs.
**You’re a bridge** 
**‑** 
**builder:** 
 You can talk to data scientists about model deployment, engineers about infrastructure, and business stakeholders about their problem. You translate and collaborate across domains.
**Work Arrangement**
 This is a hybrid/remote position. Most of our team is based in the Northern Virginia area, and we welcome candidates who can sometimes collaborate in person, but we operate primarily remotely and value flexibility. This position’s standard work schedule is a 9/80\. The 9/80 schedule allows employees who work a nine\-hour day Monday through Thursday to take every other Friday off.
**Basic Qualifications**
* Must have a PhD with 4 years of relevant professional experience OR a Master’s degree with 6 years of relevant professional experience OR Bachelor’s degree with 8 years of relevant professional experience
* Must have strong proficiency with Python, SQL, and Git
* Must have experience with frameworks for rapid application development (e.g., Streamlit, Gradio, Starlette, Next.js)
* Must have knowledge of DevOps or MLOps concepts and their application in data science workflows
* Must have strong understanding of containerization (e.g., Docker, Podman)
* Must have the ability to work collaboratively with data teams (data scientists, analysts) to support analytics workflows and insights
* Must have demonstrated problem‑solving and critical‑thinking skills with an ability to handle complex technical challenges
* Must have excellent communication skills and comfort engaging with non‑technical stakeholders
**Preferred Qualifications**
* Proven track record of deploying and monitoring production‑grade software systems on AWS
* Experience with Databricks and PySpark for data transformation and analytics
* Proven experience building and deploying web‑based visualization or decision‑support tools for business use cases
* Exposure to workflow orchestration tools (e.g., AWS Step Functions, Apache Airflow) and infrastructure‑as‑code tools (e.g., Terraform, AWS CloudFormation)
* Familiarity with scalable data architectures and machine learning deployment frameworks
* Domain experience in manufacturing analytics, operations research, supply chain optimization, or financial forecasting
* Background in consulting, forward‑deployed engineering, or other client‑facing technical roles where you translated ambiguous business problems into technical solutions
 Primary Level Salary Range: $142,200\.00 \- $213,200\.00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72">
      <c r="A72" t="inlineStr">
        <is>
          <t>li-4370200196</t>
        </is>
      </c>
      <c r="B72" t="inlineStr">
        <is>
          <t>Senior Full-Stack AI ML Engineer</t>
        </is>
      </c>
      <c r="C72" t="inlineStr">
        <is>
          <t>Cognizant</t>
        </is>
      </c>
      <c r="D72" t="inlineStr">
        <is>
          <t>linkedin</t>
        </is>
      </c>
      <c r="E72" t="inlineStr"/>
      <c r="F72" t="inlineStr"/>
      <c r="G72" t="inlineStr">
        <is>
          <t>Louisville, KY</t>
        </is>
      </c>
      <c r="H72" t="inlineStr"/>
      <c r="I72" t="inlineStr">
        <is>
          <t>We are seeking a
 **Full\-Stack AI ML Engineer** 
 where you will leverage your expertise in Azure Platform, Python, Rest API and cutting\-edge technologies like Google Gemini and Azure Open AI GPT3\. You will play a pivotal role in developing and optimizing machine learning models and natural language processing applications.
**About Cognizant’s CIS Practice**
 Cognizant’s CIS (Cognizant Infrastructure Services) Practice is a global leader in providing IT infrastructure services. We deliver innovative solutions to optimize and transform IT infrastructure, ensuring business agility and operational efficiency. Our services include cloud computing, data center management, network services, and cybersecurity. We focus on understanding client needs and delivering customized solutions to drive business success.
**In This Role, You Will**
 Core Technical Skills (Required)
* Python Development (5\+ years): Advanced proficiency with async/await, dataclasses, type hints
* Machine Learning \&amp; AI (3\+ years):
+ Scikit\-learn, NumPy, Pandas for data analysis
+ Vector embeddings and similarity calculations
+ Clustering algorithms (K\-means, DBSCAN)
+ Experience with OpenAI API and LLM integration
* Web Development (3\+ years):
+ Flask framework for REST APIs
+ HTML/CSS/JavaScript for frontend interfaces
+ Jinja2 templating and responsive design
* Data Processing:
+ YAML/JSON parsing and validation
+ OpenAPI specification understanding
+ Large dataset processing and optimization
 Specialized Skills
* Semantic Analysis: Experience with sentence transformers, embedding models
* API Architecture: RESTful design, OpenAPI/Swagger specifications
* Performance Optimization: Caching strategies, async processing
* Testing: pytest, test\-driven development, integration testing
**What You’ll Need To Succeed (required Skills)**
* Bachelors degree in computer science or related degree
* Python Development (5\+ years): Advanced proficiency with async/await data classes type hints
* Machine Learning \&amp; AI (3\+ years):
* Web Development (3\+ years):
**Note: \*Please note, this role is not able to offer visa transfer or sponsorship now or in the future\* .**
**Applications will be accepted until Feb 11, 2026\.**
 Compensation: Annual compensation between $90,000 \-$107,000 is being offered for this role. This position is also eligible for Cognizant’s discretionary annual incentive program, based on performance and subject to the terms of Cognizant’s applicable plans.
 Cognizant offers the following benefits for this position, subject to applicable eligibility requirements:
* Medical/Dental/Vision/Life Insurance
* Paid holidays plus Paid Time Off
* 401(k) plan and contributions
* Long\-term/Short\-term Disability
* Paid Parental Leave
 Disclaimer: The salary, other compensation, and benefits information is accurate as of the date of this posting. Cognizant reserves the right to modify this information at any time, subject to applicable law.</t>
        </is>
      </c>
    </row>
    <row r="73">
      <c r="A73" t="inlineStr">
        <is>
          <t>li-4363827237</t>
        </is>
      </c>
      <c r="B73" t="inlineStr">
        <is>
          <t>Senior AI Engineer</t>
        </is>
      </c>
      <c r="C73" t="inlineStr">
        <is>
          <t>Capital One</t>
        </is>
      </c>
      <c r="D73" t="inlineStr">
        <is>
          <t>linkedin</t>
        </is>
      </c>
      <c r="E73" t="inlineStr"/>
      <c r="F73" t="inlineStr"/>
      <c r="G73" t="inlineStr">
        <is>
          <t>New York, NY</t>
        </is>
      </c>
      <c r="H73" t="inlineStr"/>
      <c r="I73" t="inlineStr">
        <is>
          <t>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3 years of experience developing AI and ML algorithms or technologies, or a Master's degree in Computer Science, AI, Electrical Engineering, Computer Engineering, or related fields plus at least 1 year of experience developing AI and ML algorithms or technologies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AI Engineer
 New York, NY: $176,500 \- $201,400 for Senior AI Engineer
 San Jose, CA: $176,500 \- $201,400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4">
      <c r="A74" t="inlineStr">
        <is>
          <t>li-4370359103</t>
        </is>
      </c>
      <c r="B74" t="inlineStr">
        <is>
          <t>AI/ML Engineer</t>
        </is>
      </c>
      <c r="C74" t="inlineStr">
        <is>
          <t>Shrive Technologies</t>
        </is>
      </c>
      <c r="D74" t="inlineStr">
        <is>
          <t>linkedin</t>
        </is>
      </c>
      <c r="E74">
        <f>HYPERLINK("https://www.linkedin.com/jobs/view/4370359103", "https://www.linkedin.com/jobs/view/4370359103")</f>
        <v/>
      </c>
      <c r="F74" t="inlineStr"/>
      <c r="G74" t="inlineStr">
        <is>
          <t>Texas, United States</t>
        </is>
      </c>
      <c r="H74" t="inlineStr"/>
      <c r="I74" t="inlineStr">
        <is>
          <t>**Must Have**
 Proficient in Python and other relevant programming languages.
**3 years of hands\-on experience with machine learning frameworks and libraries (such as TensorFlow, PyTorch, or similar).
 2 years of hands\-on experience in developing and deploying AI agents and machine learning models.**
 Machine learning frameworks and libraries (such as TensorFlow, PyTorch, or similar), developing and deploying AI agents and machine learning models, Demonstrate deep expertise in cloud technologies, with a strong focus on Microsoft Azure, including expertise in Azure Data and AI platforms (such as Databricks, Fabric, and AI Foundry), Build and experiment with GenAI models and agentic workflows
 Design and implement intelligent AI agents leveraging large language models (LLMs), planning algorithms, and decision\-making frameworks.
 Build secure, scalable AI agents and integrate into applications and workflows for robust, cross\-platform deployment and enhanced user experience.
 Advance AI agent capabilities through research and performance evaluation, focusing on improved conversation, decision\-making, adaptability, and the implementation of safety and guardrail mechanisms.
 Continuously optimize agent performance through feedback mechanisms, reinforcement learning, and user interaction analysis.
 Demonstrate deep expertise in cloud technologies, with a strong focus on Microsoft Azure, including expertise in Azure Data and AI platforms (such as Databricks, Fabric, and Microsoft AI Foundry).
 Build and experiment with GenAI models and agentic workflows, contributing to the development of intelligent security solutions.
 Collaborate across the stack, supporting backend services, model pipelines, and frontend interfaces for agentic systems.
 Prototype rapidly, iterate on ideas, and contribute to incubation efforts in a startup\-style environment.
 Work closely with senior engineers and researchers, learning best practices and contributing to production\-grade AI systems.</t>
        </is>
      </c>
    </row>
    <row r="75">
      <c r="A75" t="inlineStr">
        <is>
          <t>li-4370366036</t>
        </is>
      </c>
      <c r="B75" t="inlineStr">
        <is>
          <t>AI Engineer</t>
        </is>
      </c>
      <c r="C75" t="inlineStr">
        <is>
          <t>Concentrate AI</t>
        </is>
      </c>
      <c r="D75" t="inlineStr">
        <is>
          <t>linkedin</t>
        </is>
      </c>
      <c r="E75">
        <f>HYPERLINK("https://www.linkedin.com/jobs/view/4370366036", "https://www.linkedin.com/jobs/view/4370366036")</f>
        <v/>
      </c>
      <c r="F75" t="inlineStr"/>
      <c r="G75" t="inlineStr">
        <is>
          <t>New York, NY</t>
        </is>
      </c>
      <c r="H75" t="inlineStr"/>
      <c r="I75" t="inlineStr">
        <is>
          <t>Concentrate AI
  provides a unified, OpenAI\-compatible API to access, route, and manage LLMs. We save our customers time, cut costs, and reduce risk. We manage high\-volume AI traffic and logs.
 We’re seed\-stage, well\-funded, and in stealth. This role is fully remote.
**The Role** 
 Build, run, and debug LLM applications on top of Concentrate. You’ll work on production workloads (customer\-facing and internal), stress test the platform, and share feedback and learnings with the product team.
 We move quickly, debate things, and work long hours.
**Key Areas of Responsibility:** 
* Build LLM\-powered services, workflows, and applications using Concentrate
* Integrate with real production applications and environments
* Design reliable interactions with LLMs (OpenAI, Anthropic, Gemini, OSS), including prompts, tool calling, evals, and guardrails
* Debug failures across models, APIs, and infrastructure
* Write code, scripts, and small tools to test system behavior at scale
* Reproduce bugs, isolate root causes, and clearly document findings
* Drive improvements to APIs, defaults, and overall developer experience
**What We’re Looking for** 
* Hands\-on experience integrating LLMs via APIs in production
* Always building tools, scripts, side projects, or experiments to test ideas and learn fast
* Strong Python; TypeScript is a plus
* Comfortable with REST APIs, async systems, and production debugging
* Bachelor’s degree in Computer Science from a highly selective, rigorous engineering program.
* Curious about model behavior under load, failure, and edge cases
* Familiarity with tool calling, agents, multi\-step workflows, or MCPs
* Strong code quality and technical judgment
* Comfortable operating in early\-stage environments with speed and ambiguity
* Clear async communication (Slack, written updates, concise docs)
* Fluent written and verbal English required for documentation, incident response, and technical and business presentations.
* Bonus: active open\-source contributor
**Comp** 
 : Base \+ bonus \+ meaningful equity
**Equal Opportunity \&amp; Fair Chance Notice** 
 Concentrate AI is an affirmative action and equal opportunity employer. We are committed to providing equal employment opportunities and do not discriminate in recruiting, hiring, training, promotion, or other employment practices on the basis of race, color, sex, age, religion, national origin, ancestry, protected veteran status, disability, sexual orientation, gender identity or expression, genetic information, or any other status protected by applicable law.
 Qualified applicants with arrest and conviction records will be considered in accordance with the San Francisco Fair Chance Ordinance and applicable state and local laws.
**California Privacy Notice** 
 California residents may contact privacy@concentrate.ai for additional information regarding how we collect, use, and disclose personal information during the job application process.
**Recruitment Agency Notice** 
 Concentrate AI does not accept unsolicited resumes from recruitment agencies and is not responsible for any fees related to unsolicited submissions.</t>
        </is>
      </c>
    </row>
    <row r="76">
      <c r="A76" t="inlineStr">
        <is>
          <t>li-4370356492</t>
        </is>
      </c>
      <c r="B76" t="inlineStr">
        <is>
          <t>Machine Learning Engineer - Computer Vision</t>
        </is>
      </c>
      <c r="C76" t="inlineStr">
        <is>
          <t>CaseGuard</t>
        </is>
      </c>
      <c r="D76" t="inlineStr">
        <is>
          <t>linkedin</t>
        </is>
      </c>
      <c r="E76">
        <f>HYPERLINK("https://www.linkedin.com/jobs/view/4370356492", "https://www.linkedin.com/jobs/view/4370356492")</f>
        <v/>
      </c>
      <c r="F76">
        <f>HYPERLINK("https://www.adzuna.com/details/5352643125?v=86CB7FE6F18F70381220226F50516BABB719A913&amp;frd=5ece000bcddfde6fd503812907811aaf&amp;ccd=9594e6b3e10a24b3478186a204c0e10d&amp;r=21225287&amp;utm_source=linkedin7&amp;utm_medium=organic&amp;chnlid=1931&amp;title=Machine%20Learning%20Engineer%20-%20Computer%20Vision&amp;a=e&amp;urlHash=9xm_", "https://www.adzuna.com/details/5352643125?v=86CB7FE6F18F70381220226F50516BABB719A913&amp;frd=5ece000bcddfde6fd503812907811aaf&amp;ccd=9594e6b3e10a24b3478186a204c0e10d&amp;r=21225287&amp;utm_source=linkedin7&amp;utm_medium=organic&amp;chnlid=1931&amp;title=Machine%20Learning%20Engineer%20-%20Computer%20Vision&amp;a=e&amp;urlHash=9xm_")</f>
        <v/>
      </c>
      <c r="G76" t="inlineStr">
        <is>
          <t>Arlington, VA</t>
        </is>
      </c>
      <c r="H76" t="inlineStr"/>
      <c r="I76" t="inlineStr">
        <is>
          <t>We are seeking a highly skilled and motivated Machine Learning Engineer specializing in Computer Vision to join our team. The ideal candidate will have a strong background in developing and deploying machine learning models focused on image and video processing. You will work closely with cross\-functional teams to design, implement, and optimize vision\-based AI solutions to address real\-world challenges.
**Key Responsibilities**
* Design, develop, and deploy computer vision models for tasks such as object detection, object tracking, video segmentation, and facial recognition.
* Optimize and fine\-tune deep learning algorithms for real\-time performance.
* Work closely with the software engineers and product teams to identify opportunities for leveraging data.
* Collect, clean, and preprocess large datasets to prepare for model training and evaluation.
* Evaluate and optimize machine learning models for accuracy, performance, and scalability.
* Deploy models into production environments and monitor their performance to ensure reliability.
* Stay up\-to\-date with the latest advancements in computer vision and artificial intelligence.
* Collaborate with cross\-functional teams to integrate machine learning solutions into business processes.
* Document processes, models, and implementations to ensure reproducibility and scalability.
**Required Qualifications**
* Bachelor's or Master’s degree in Computer Science, Artificial Intelligence, Data Science, or a related field.
* Experience in deep learning models, their training, and hyperparameter tuning using libraries such as TensorFlow, PyTorch, and Transformers or other Huggingface tools.
* Experience with data manipulation tools such as Pandas, NumPy, and SQL.
* Strong programming skills in Python and C\+\+.
* Experience in MLOps principles and model deployment and instrumentation on cloud platforms such as AWS, Azure, or Google Cloud for model deployment and knowledge with efficient serving tools such as ONNX, triton, and vllm.
* Proficiency in working with image and video data, including preprocessing and augmentation techniques.
* Strong understanding of machine learning algorithms, including supervised and unsupervised learning and deep learning.
* Strong communication skills and the ability to work collaboratively in a team environment.
**Great To Have**
* Familiarity with containerization and orchestration tools like Docker and Kubernetes.
* Experience with version control systems such as Git.
* Understanding software engineering best practices, including code review, testing, and documentation.
* Experience with Large Language Models (LLMs) is a great plus.
* Experience with data annotation tools and processes.
**Benefits**
* Competitive salary.
* Comprehensive health and wellness benefits.
* Professional development opportunities and continuous learning programs.
* Collaborative and inclusive work environment.</t>
        </is>
      </c>
    </row>
    <row r="77">
      <c r="A77" t="inlineStr">
        <is>
          <t>li-4370351339</t>
        </is>
      </c>
      <c r="B77" t="inlineStr">
        <is>
          <t>Machine Learning Engineer</t>
        </is>
      </c>
      <c r="C77" t="inlineStr">
        <is>
          <t>Whatnot</t>
        </is>
      </c>
      <c r="D77" t="inlineStr">
        <is>
          <t>linkedin</t>
        </is>
      </c>
      <c r="E77">
        <f>HYPERLINK("https://www.linkedin.com/jobs/view/4370351339", "https://www.linkedin.com/jobs/view/4370351339")</f>
        <v/>
      </c>
      <c r="F77" t="inlineStr"/>
      <c r="G77" t="inlineStr"/>
      <c r="H77" t="inlineStr"/>
      <c r="I77" t="inlineStr">
        <is>
          <t>**About The Company**
 Join the Future of Commerce with Whatnot! Whatnot is the largest live shopping platform in North America and Europe, revolutionizing the way people buy, sell, and discover their favorite items. We are dedicated to redefining e\-commerce by seamlessly blending community engagement, entertainment, and shopping into a vibrant, interactive experience. Our remote co\-located team is driven by innovation and grounded in core values that prioritize collaboration and forward\-thinking. With operational hubs in the US, UK, Germany, Ireland, and Poland, we are building the future of online marketplaces—creating opportunities for users to connect over a diverse range of products including fashion, beauty, electronics, collectibles like trading cards and comic books, and even live plants. As a rapidly growing marketplace, we are committed to enabling passionate individuals to turn their interests into thriving businesses while fostering a sense of community and shared success.
**About The Role**
 We are seeking a talented and innovative Machine Learning Engineer to join our Trust \&amp; Safety team. In this role, you will be responsible for designing, training, and deploying both traditional machine learning models and large language models (LLMs) to detect and prevent fraudulent activities across our platform. Your expertise will help maintain a secure environment by identifying suspicious behaviors related to user accounts, payment transactions, and marketplace interactions. You will lead the development of end\-to\-end fraud detection systems, balancing platform security with a seamless user experience. Key responsibilities include building behavioral graphs to model user interactions and collusion networks, developing scalable data pipelines supporting high\-volume ML workloads, and conducting behavioral and adversarial data analysis to uncover emerging fraud trends. Collaboration with cross\-functional teams such as Trust \&amp; Safety, Payments, and Infrastructure is essential to develop effective features, labels, and evaluation pipelines. Additionally, you will implement model monitoring systems to ensure ongoing reliability and adapt detection strategies based on evolving fraud tactics. Your contributions will directly impact our ability to automate fraud risk decisions, improve detection accuracy, and enhance overall platform trustworthiness.
**Qualifications**
* Bachelor’s degree in Computer Science, Data Science, or a related field, or equivalent work experience
* 2–6 years of experience in machine learning, software engineering, or related domains, preferably in risk, fraud, or trust \&amp; safety
* Strong proficiency in Python and familiarity with ML libraries such as scikit\-learn, PyTorch, LightGBM
* Solid backend development skills with experience deploying ML models to production environments (batch or real\-time)
* Experience in data analysis and building data pipelines using SQL, Spark, DBT, or similar tools
* Knowledge of fraud detection techniques including chargeback prediction, anomaly detection, and graph\-based modeling
* Experience with data orchestration frameworks like Dagster or Kubeflow and designing feature stores
* Ability to translate business risk scenarios into measurable ML solutions and collaborate effectively across teams
**Responsibilities**
* Design, train, and deploy machine learning models, including LLMs, to identify fraudulent behaviors
* Lead the architecture of fraud detection, prevention, and intervention systems to ensure security and user experience balance
* Build and maintain behavioral graphs to model user interactions, collusion networks, and account connectivity
* Develop scalable data pipelines and real\-time inference systems capable of handling high\-volume, low\-latency workloads
* Conduct behavioral and adversarial data analysis to identify emerging fraud trends and improve detection accuracy
* Collaborate with Trust \&amp; Safety, Payments, and Infrastructure teams to develop features, labels, and evaluation pipelines for models
* Implement model monitoring, drift detection, and reliability systems to ensure consistent performance
* Contribute to fraud risk orchestration by combining rules, heuristics, and models for automated decision\-making
* Define key metrics and dashboards to monitor fraud detection effectiveness, including precision, recall, false\-positive rate, and latency
* Stay informed about emerging fraud tactics and translate insights into adaptive, production\-ready solutions
**Benefits**
* Generous holiday and time\-off policies to support work\-life balance
* Comprehensive health insurance options including Medical, Dental, and Vision coverage
* Support for remote work with home office setup allowances and monthly stipends for cell phone and internet expenses
* Care benefits and wellness allowances to promote overall well\-being
* Annual childcare allowances and lifetime benefits for family planning, including adoption and fertility expenses
* Retirement plans including 401(k) with employer matching in the US and pension plans internationally
* Monthly allowances for product testing and app usage to foster deep product understanding
* Paid parental leave of 16 weeks plus a gradual return\-to\-work program
 Equal Opportunity
 Whatnot is proud to be an Equal Opportunity Employer. We value diversity and are committed to creating an inclusive environment for all employees. We do not discriminate based on race, religion, color, national origin, gender, sexual orientation, age, marital status, veteran status, parental status, disability, or any other protected characteristic. We believe that a diverse workforce enhances our innovation, culture, and overall success, and we encourage individuals from all backgrounds to apply and join our vibrant community.</t>
        </is>
      </c>
    </row>
    <row r="78">
      <c r="A78" t="inlineStr">
        <is>
          <t>li-4370345443</t>
        </is>
      </c>
      <c r="B78" t="inlineStr">
        <is>
          <t>AI/ML Engineer, Sr.</t>
        </is>
      </c>
      <c r="C78" t="inlineStr">
        <is>
          <t>General Motors</t>
        </is>
      </c>
      <c r="D78" t="inlineStr">
        <is>
          <t>linkedin</t>
        </is>
      </c>
      <c r="E78">
        <f>HYPERLINK("https://www.linkedin.com/jobs/view/4370345443", "https://www.linkedin.com/jobs/view/4370345443")</f>
        <v/>
      </c>
      <c r="F78">
        <f>HYPERLINK("https://www.wiraa.com/job-description/usB5FBC1F1E9A3E36EF1523A4895FEAE00?source=Linkedin&amp;urlHash=kMWJ", "https://www.wiraa.com/job-description/usB5FBC1F1E9A3E36EF1523A4895FEAE00?source=Linkedin&amp;urlHash=kMWJ")</f>
        <v/>
      </c>
      <c r="G78" t="inlineStr"/>
      <c r="H78" t="inlineStr"/>
      <c r="I78" t="inlineStr">
        <is>
          <t>**About The Company**
 General Motors (GM) is a global leader in automotive innovation, committed to shaping the future of transportation through advanced technology and sustainable solutions. With a rich history of engineering excellence and a focus on mobility, GM is at the forefront of developing cutting\-edge vehicles, including autonomous and electric models. The company fosters a dynamic and inclusive work environment that encourages innovation, collaboration, and continuous learning. GM's dedication to pushing technological boundaries is exemplified through its investments in AI, machine learning, and data\-driven solutions to enhance vehicle performance, safety, and customer experience.
**About The Role**
 The AV Pipelines \&amp; Lineage team at GM is seeking a highly skilled Senior AI/ML Engineer to join our core infrastructure development team. In this role, you will be responsible for designing and implementing scalable machine learning infrastructure solutions that support the entire AI lifecycle, from experimentation to deployment and operational visibility. Your work will enable ML engineers and researchers to develop, understand, and evolve models efficiently across diverse environments. This position emphasizes technical excellence and individual contribution, with a focus on developing robust infrastructure products rather than applying machine learning models directly. You will take ownership of key technical projects, collaborate with cross\-functional teams, and mentor junior engineers to foster a culture of innovation and growth.
**Qualifications**
* 5\+ years of experience in large\-scale distributed systems or related fields
* 1\+ years of experience leading and driving large\-scale technical initiatives
* Proficiency in building scalable infrastructure using Python, C\+\+, Golang, or similar languages
* Experience working with relational and NoSQL databases
* Strong understanding of cloud technologies, preferably GCP, Azure, or AWS
* Bachelor’s, Master’s, or Ph.D. in Computer Science, Electrical Engineering, Mathematics, Physics, or a related discipline, or equivalent practical experience
* Demonstrated ability to develop and maintain systems at scale
* Excellent problem\-solving skills with a focus on accuracy and attention to detail
* A passion for autonomous vehicle technology and its transformative potential
* Startup mentality with adaptability and willingness to wear multiple hats
**Responsibilities**
* Design, develop, and test scalable distributed computing and data processing solutions leveraging cloud technologies such as GCP and Azure
* Take ownership of technical projects from conception through deployment, contributing to product roadmaps and making informed technical decisions
* Engage in team planning sessions, code reviews, and design discussions, considering cross\-team impacts and proactively resolving conflicts
* Mentor and onboard junior engineers and interns, fostering a collaborative and growth\-oriented environment
* Collaborate with cross\-functional teams to develop infrastructure products that empower GM teams in machine learning and data science at scale
* Maintain and optimize systems to ensure high performance, reliability, and scalability
* Stay updated with the latest cloud and infrastructure technologies, integrating best practices into development workflows
**Benefits**
* Comprehensive health and well\-being benefits including medical, dental, and vision coverage
* Health Savings Account (HSA) and Flexible Spending Accounts (FSA)
* Retirement savings plan with company contributions
* Paid vacation, holidays, and sick leave
* Tuition assistance programs for continued education
* Employee assistance programs offering support and resources
* GM vehicle discounts and exclusive employee offers
* Potential relocation benefits for eligible candidates
 Equal Opportunity
 GM is an equal opportunity employer. We celebrate diversity and are committed to creating an inclusive environment for all employees. We do not discriminate based on race, color, religion, sex, sexual orientation, gender identity, national origin, age, disability, or any other legally protected status. We encourage candidates from all backgrounds to apply and join our innovative team dedicated to shaping the future of transportation.</t>
        </is>
      </c>
    </row>
    <row r="79">
      <c r="A79" t="inlineStr">
        <is>
          <t>li-4370356433</t>
        </is>
      </c>
      <c r="B79" t="inlineStr">
        <is>
          <t>Senior Machine Learning Engineer (NYC)</t>
        </is>
      </c>
      <c r="C79" t="inlineStr">
        <is>
          <t>TWG Global</t>
        </is>
      </c>
      <c r="D79" t="inlineStr">
        <is>
          <t>linkedin</t>
        </is>
      </c>
      <c r="E79">
        <f>HYPERLINK("https://www.linkedin.com/jobs/view/4370356433", "https://www.linkedin.com/jobs/view/4370356433")</f>
        <v/>
      </c>
      <c r="F79" t="inlineStr"/>
      <c r="G79" t="inlineStr">
        <is>
          <t>New York, NY</t>
        </is>
      </c>
      <c r="H79" t="inlineStr"/>
      <c r="I79" t="inlineStr">
        <is>
          <t>At TWG Group Holdings, LLC ("TWG Global"), we drive innovation and business transformation across a range of industries, including financial services, insurance, technology, media, and sports, by leveraging data and AI as core assets. Our AI\-first, cloud\-native approach delivers real\-time intelligence and interactive business applications, empowering informed decision\-making for both customers and employees. We prioritize responsible data and AI practices, ensuring ethical standards and regulatory compliance.
 Our decentralized structure enables each business unit to operate autonomously, supported by a central AI Solutions Group, while strategic partnerships with leading data and AI vendors fuel game\-changing efforts in marketing, operations, and product development. You will collaborate with management to advance our data and analytics transformation, enhance productivity, and enable agile, data\-driven decisions. By leveraging relationships with top tech startups and universities, you will help create competitive advantages and drive enterprise innovation.
 At TWG Global, your contributions will support our goal of sustained growth and superior returns, as we deliver rare value and impact across our businesses.
**The Role**
 As a Senior Associate, Machine Learning Engineer, you'll work alongside experienced ML engineers and data scientists to design, build, and scale machine learning systems that deliver real business value. Reporting to the Executive Director of ML Engineering, you'll gain hands\-on experience developing production\-grade pipelines, monitoring frameworks, and scalable ML applications that support mission\-critical business functions. This is a high\-growth opportunity for someone with early industry experience (or strong academic grounding) in machine learning engineering, eager to deepen their expertise in production systems and MLOps while growing within a dynamic AI team operating at the frontier of applied ML.
**Key Responsibilities:**
* Contribute to the design, development, and deployment of ML models and pipelines across business\-critical domains such as financial services and insurance.
* Support production efforts, including model packaging, integration, CI/CD deployment, and monitoring for performance, drift, and reliability.
* Collaborate with senior engineers to build internal ML engineering tools and infrastructure that improve training, testing, and observability workflows.
* Partner with Data Scientists to operationalize prototype models, ensuring they are scalable, robust, and cost\-efficient in production.
* Work with large\-scale datasets to enable feature engineering, transformation, and quality assurance within ML pipelines
* Implement monitoring dashboards, alerts, and diagnostics for model health and system performance.
* Contribute to documentation, governance, and reproducibility practices, supporting compliance in regulated environments
**Requirements**
**Qualifications:**
* 5\+ years of experience building and deploying machine learning models in production environments, with exposure to monitoring and diagnostics.
* Solid understanding of machine learning engineering fundamentals (pipelines, deployment, monitoring) and familiarity with data science workflows.
* Experience with MLOps tools such as MLflow, Weights \&amp; Biases, or equivalent. Exposure to observability/monitoring systems (Prometheus, Grafana, ELK, Datadog) is a plus.
* Proficiency in Python and familiarity with ML libraries (scikit\-learn, XGBoost, TensorFlow, PyTorch).
* Strong experience with data manipulation and pipelines using Pandas, NumPy, and SQL.
* Knowledge of containerized deployments (Docker, Kubernetes) and cloud ML services (AWS SageMaker, GCP Vertex AI, or Azure ML) preferred.
* Excellent problem\-solving skills, eagerness to learn, and ability to thrive in a fast\-paced, evolving environment
* Bachelor's or Master's degree in Computer Science, Machine Learning, or a related technical field.
* Strong written and verbal communication skills, with the ability to explain technical details to both technical and business stakeholders
**Preferred experience:**
* Hands\-on experience with Palantir platforms (Foundry, AIP, Ontology), including deploying and integrating ML solutions in enterprise ecosystems.
* Familiarity with vector databases (FAISS, Pinecone, Milvus, Weaviate) and LLM engineering workflows.
* Exposure to graph databases (Neo4j, TigerGraph) and their application in AI/ML systems.
**Benefits**
* Work at the forefront of AI/ML innovation in life insurance, annuities, and financial services.
* Drive AI transformation for some of the most sophisticated financial entities.
* Competitive compensation, benefits, future equity options, and leadership opportunities.
**Position Location**
 This is an on\-site position based in Manhattan in New York City.
**Compensation**
 The base salary for this position is $190,000\-$200,000\. A discretionary bonus will be provided as part of the compensation package, in addition to a full range of medical, financial, and/or other benefits.
*TWG is an equal opportunity employer, and all qualified applicants will receive consideration for employment without regard to race, color, religion, gender, sexual orientation, gender identity, national origin, disability, or status as a protected veteran.*</t>
        </is>
      </c>
    </row>
    <row r="80">
      <c r="A80" t="inlineStr">
        <is>
          <t>li-4370083983</t>
        </is>
      </c>
      <c r="B80" t="inlineStr">
        <is>
          <t>AI Engineer - Product</t>
        </is>
      </c>
      <c r="C80" t="inlineStr">
        <is>
          <t>Vybers Inc.</t>
        </is>
      </c>
      <c r="D80" t="inlineStr">
        <is>
          <t>linkedin</t>
        </is>
      </c>
      <c r="E80">
        <f>HYPERLINK("https://www.linkedin.com/jobs/view/4370083983", "https://www.linkedin.com/jobs/view/4370083983")</f>
        <v/>
      </c>
      <c r="F80" t="inlineStr"/>
      <c r="G80" t="inlineStr"/>
      <c r="H80" t="inlineStr"/>
      <c r="I80" t="inlineStr">
        <is>
          <t>**US\-based AI Engineer \- Multimodal Agentic Application** 
**Engagement** 
* **Type:** 
 Full\-time, project\-based contractor (option to extend)
* **Time:** 
 \~60\+ hrs/week (flexible)
* **Duration:** 
 3 month to long term
* **Location:** 
 Hire in San Francisco bay area local
* **Compensation:** 
 $50\+ / hour
**About the Project** 
 We’re building a
**world\-model / agent product** 
 with
**multimodal input** 
 ,
**long memory** 
 ,
**emotion quality** 
 , and
**seamless context across sessions** 
 . We need an engineer who can implements UI that makes complex system states feel
**intuitive, calm, and delightful** 
 —and can ship fast with high taste.
 This role is for someone who loves the frontier where
**AI UX \+ rendering \+ polish** 
 meet.
**What You’ll Do** 
* Make progress to contribute to world model, Agentic application and Evaluation
* Work with crew from top company founding engineers to build application to world model
**Requirements** 
* Familiar with Game Design, Frontend and multi\-modal models.
* Coding with
**Claude Code** 
 is a must have,  able to fix bugs in AI code.
* Deep expertise in:
**TypeScript** 
 ,
**Node.js** 
 ,
 Next.js
 **,** 
**GCP**
* Accept heavy workload and tight deadlines, we expect (60 hours / week )
**Strong Plus (Preferred)** 
* Phaser.js
 **,** 
 three.js
 **,** 
 or other equivalent game frameworks
* Excellent prompt engineering with multi\-modal
* Experience with creative tools, video, editors, or generative media products
**How to Apply** 
* GitHub (or project demo) \+ LinkedIn (or Resume)
* Availability \+ Salary Expectations</t>
        </is>
      </c>
    </row>
    <row r="81">
      <c r="A81" t="inlineStr">
        <is>
          <t>li-4370357189</t>
        </is>
      </c>
      <c r="B81" t="inlineStr">
        <is>
          <t>AI Engineer</t>
        </is>
      </c>
      <c r="C81" t="inlineStr">
        <is>
          <t>Best Job Tool</t>
        </is>
      </c>
      <c r="D81" t="inlineStr">
        <is>
          <t>linkedin</t>
        </is>
      </c>
      <c r="E81">
        <f>HYPERLINK("https://www.linkedin.com/jobs/view/4370357189", "https://www.linkedin.com/jobs/view/4370357189")</f>
        <v/>
      </c>
      <c r="F81" t="inlineStr"/>
      <c r="G81" t="inlineStr"/>
      <c r="H81" t="inlineStr"/>
      <c r="I81" t="inlineStr">
        <is>
          <t>**About The Company**
 Fieldguide is a pioneering technology company dedicated to delivering innovative solutions that empower businesses to optimize their operations and enhance their strategic decision\-making processes. With a strong focus on leveraging cutting\-edge data analytics, artificial intelligence, and cloud\-based platforms, Fieldguide strives to transform complex data into actionable insights. Our team is composed of passionate professionals committed to fostering a collaborative and inclusive workplace environment. We serve a diverse range of industries, including finance, healthcare, manufacturing, and retail, providing tailored solutions that meet the unique needs of each client. At Fieldguide, we believe in continuous learning, innovation, and the pursuit of excellence to drive sustainable growth and success for our clients and employees alike.
**About The Role**
 We are seeking a highly skilled and motivated Data Analyst to join our dynamic team at Fieldguide. The ideal candidate will play a crucial role in analyzing complex datasets, developing insightful reports, and supporting data\-driven decision\-making processes across various projects. This position offers an excellent opportunity to work in a fast\-paced environment where your analytical skills will directly impact the strategic initiatives of our clients. The successful candidate will collaborate with cross\-functional teams, including product development, marketing, and sales, to identify opportunities for process improvements and innovation. You will be responsible for designing and implementing data collection systems, cleaning and validating data, and presenting findings in a clear and impactful manner. This role requires a strong analytical mindset, attention to detail, and the ability to communicate complex information effectively to both technical and non\-technical stakeholders.
**Qualifications**
* Bachelor’s degree in Data Science, Statistics, Computer Science, or a related field; a master’s degree is a plus.
* Proven experience as a Data Analyst or similar role, preferably in a technology\-driven environment.
* Proficiency in data analysis tools and programming languages such as SQL, Python, R, or similar.
* Experience with data visualization tools like Tableau, Power BI, or Looker.
* Strong understanding of statistical methods and data modeling techniques.
* Excellent problem\-solving skills and attention to detail.
* Ability to work independently and collaboratively within a team.
* Effective communication skills, with the ability to translate technical findings into actionable insights.
**Responsibilities**
* Collect, process, and analyze large datasets to identify trends, patterns, and insights.
* Develop and maintain dashboards, reports, and visualizations to support business decision\-making.
* Collaborate with cross\-functional teams to understand data needs and deliver tailored solutions.
* Design and implement data collection systems to ensure data accuracy and integrity.
* Perform data cleaning, validation, and quality assurance to ensure reliable analysis results.
* Present findings and recommendations to stakeholders in a clear and concise manner.
* Stay updated with the latest industry trends and best practices in data analysis and visualization.
* Assist in the development of predictive models and advanced analytics initiatives.
**Benefits**
 At Fieldguide, we value our employees and offer a comprehensive benefits package designed to support your personal and professional growth. This includes competitive salary packages, health insurance coverage, and retirement savings plans. We also provide opportunities for continuous learning through training programs, workshops, and conferences. Our flexible work arrangements promote work\-life balance, and we foster a culture of collaboration and innovation. Additionally, employees have access to wellness programs, paid time off, and various team\-building activities to promote a positive work environment.
 Equal Opportunity
 Fieldguide is an equal opportunity employer. We celebrate diversity and are committed to creating an inclusive environment for all employees. We do not discriminate based on race, ethnicity, gender, age, sexual orientation, disability, or any other protected characteristic. We believe that diverse perspectives foster creativity and innovation, and we are dedicated to providing equal employment opportunities to all qualified candidates.</t>
        </is>
      </c>
    </row>
    <row r="82">
      <c r="A82" t="inlineStr">
        <is>
          <t>li-4370353431</t>
        </is>
      </c>
      <c r="B82" t="inlineStr">
        <is>
          <t>AI Engineer</t>
        </is>
      </c>
      <c r="C82" t="inlineStr">
        <is>
          <t>Hirenza</t>
        </is>
      </c>
      <c r="D82" t="inlineStr">
        <is>
          <t>linkedin</t>
        </is>
      </c>
      <c r="E82">
        <f>HYPERLINK("https://www.linkedin.com/jobs/view/4370353431", "https://www.linkedin.com/jobs/view/4370353431")</f>
        <v/>
      </c>
      <c r="F82">
        <f>HYPERLINK("https://www.bestjobtool.com/job-description/3068501508?source=LinkedIn&amp;urlHash=c1jc", "https://www.bestjobtool.com/job-description/3068501508?source=LinkedIn&amp;urlHash=c1jc")</f>
        <v/>
      </c>
      <c r="G82" t="inlineStr"/>
      <c r="H82" t="inlineStr"/>
      <c r="I82" t="inlineStr">
        <is>
          <t>**About The Company**
 Established nearly two centuries ago, Factory Mutual Insurance (FM) is a leading mutual insurance company specializing in property risk management and resilience solutions. With a rich history rooted in scientific research, engineering expertise, and financial stability, FM is dedicated to helping its policyholder\-owners prevent property losses and enhance business continuity. The company’s owners include many of the world's largest organizations, with one in four Fortune 500 companies trusting FM to safeguard their assets. FM’s approach combines property loss prevention strategies with comprehensive insurance protection, ensuring clients are well\-prepared for potential hazards and disruptions.
**About The Role**
 Join our Innovation Analytics \&amp; AI team as a GenAI Engineer IV, where you will be at the forefront of developing enterprise\-scale AI solutions that drive strategic innovation. This senior\-level role involves shaping the architecture, strategy, and implementation of cutting\-edge Generative AI systems utilizing large language models (LLMs) such as OpenAI, Gemini, Llama2, and GPT\-4, along with multi\-modal models on cloud platforms like Azure. You will be responsible for designing cloud\-native architectures, building retrieval\-augmented generation (RAG) workflows, and integrating structured and unstructured data to deliver secure, scalable, and ethical AI solutions.
 As a technical leader, you will collaborate with Solution Architects and cross\-functional teams to align AI initiatives with business objectives. Your expertise will guide the development of agentic AI frameworks, optimize model performance, and ensure compliance with ethical standards. You will mentor engineers, influence enterprise AI strategy, and foster a culture of continuous learning and innovation. This role offers an exciting opportunity to drive impactful AI projects, stay ahead of industry trends, and contribute to FM’s mission of risk prevention and resilience.
**Qualifications**
 Minimum education required is a bachelor’s degree in Computer Science, Data Science, Artificial Intelligence, or a related field, with extensive professional experience. Candidates should possess at least 8\+ years of AI engineering experience, demonstrating expertise in GenAI, cloud architectures, and enterprise\-scale delivery. Advanced proficiency in programming languages such as Python, .NET, and C\# is essential, along with familiarity with AI frameworks like LangChain and Hugging Face.
 Deep knowledge of LLMs (including OpenAI, Gemini, Llama2, GPT\-4\), multi\-modal models, and CI/CD automation is required. Proven leadership in AI strategy, mentoring, and implementing innovative solutions at scale is vital. Experience with cloud\-native technologies such as Kubernetes, Terraform, and API development will be advantageous. Candidates should also have a strong understanding of ethical AI practices, bias detection, hallucination mitigation, and performance benchmarking. Exceptional communication and strategic thinking skills are necessary to influence enterprise\-wide initiatives effectively.
**Responsibilities**
* Lead the strategy, design, architecture, and deployment of scalable Generative AI solutions utilizing LLMs, multi\-modal models, and open\-source frameworks within Azure and other cloud platforms.
* Develop and manage data integration pipelines and RAG workflows using tools such as Promptflow, Azure AI Search, Semantic Search, Hybrid Search, Document Intelligence, Skillsets, Generative RAG Search, Vector Databases, Azure OAI, AI Hub, Agents, and LangChain.
* Design and implement robust test automation strategies within CI/CD pipelines, establish observability metrics using Azure Application Insights and Dynatrace, and support production deployments with comprehensive documentation and risk mitigation plans.
* Collaborate closely with Solution Architects to ensure successful delivery of enterprise initiatives, including application security, API development, and architecture design.
* Act as a subject matter expert in AI tools and technologies, lead internal training sessions, set strategic objectives, and promote the adoption of innovative methodologies across teams.
* Mentor engineering teams, foster a culture of innovation, and influence enterprise AI strategies aligned with business goals.
**Benefits**
 FM offers a competitive total rewards package that includes an incentive plan, comprehensive medical, dental, and vision insurance, life and disability coverage, and well\-being programs. Employees have access to a 401(k) and pension plan, career development opportunities, tuition reimbursement, flexible work arrangements, and generous paid time off including vacation and sick leave. The company emphasizes work\-life balance and professional growth, supporting employees in their pursuit of excellence and innovation.
 Equal Opportunity
 FM is an Equal Opportunity Employer committed to fostering a diverse and inclusive workforce. We believe that diversity enhances our ability to serve our policyholder\-owners and innovate effectively. We encourage applications from individuals of all backgrounds, regardless of race, gender, age, disability, sexual orientation, or any other characteristic protected by law. Our commitment to equal opportunity ensures a welcoming environment where everyone can thrive and contribute to our mission of risk prevention and resilience.</t>
        </is>
      </c>
    </row>
    <row r="83">
      <c r="A83" t="inlineStr">
        <is>
          <t>li-4361870021</t>
        </is>
      </c>
      <c r="B83" t="inlineStr">
        <is>
          <t>Senior Machine Learning Engineer</t>
        </is>
      </c>
      <c r="C83" t="inlineStr">
        <is>
          <t>Zendesk</t>
        </is>
      </c>
      <c r="D83" t="inlineStr">
        <is>
          <t>linkedin</t>
        </is>
      </c>
      <c r="E83">
        <f>HYPERLINK("https://www.linkedin.com/jobs/view/4361870021", "https://www.linkedin.com/jobs/view/4361870021")</f>
        <v/>
      </c>
      <c r="F83" t="inlineStr"/>
      <c r="G83" t="inlineStr">
        <is>
          <t>Philadelphia, PA</t>
        </is>
      </c>
      <c r="H83" t="inlineStr"/>
      <c r="I83"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84">
      <c r="A84" t="inlineStr">
        <is>
          <t>li-4361785291</t>
        </is>
      </c>
      <c r="B84" t="inlineStr">
        <is>
          <t>Senior Machine Learning Engineer</t>
        </is>
      </c>
      <c r="C84" t="inlineStr">
        <is>
          <t>Zendesk</t>
        </is>
      </c>
      <c r="D84" t="inlineStr">
        <is>
          <t>linkedin</t>
        </is>
      </c>
      <c r="E84">
        <f>HYPERLINK("https://www.linkedin.com/jobs/view/4361785291", "https://www.linkedin.com/jobs/view/4361785291")</f>
        <v/>
      </c>
      <c r="F84">
        <f>HYPERLINK("https://zendesk.wd1.myworkdayjobs.com/en-US/zendesk/job/Remote-California-United-States-of-America/Senior-Machine-Learning-Engineer_R33607?source=LinkedIn&amp;urlHash=iSIQ", "https://zendesk.wd1.myworkdayjobs.com/en-US/zendesk/job/Remote-California-United-States-of-America/Senior-Machine-Learning-Engineer_R33607?source=LinkedIn&amp;urlHash=iSIQ")</f>
        <v/>
      </c>
      <c r="G84" t="inlineStr">
        <is>
          <t>New Jersey, United States</t>
        </is>
      </c>
      <c r="H84" t="inlineStr"/>
      <c r="I84"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85">
      <c r="A85" t="inlineStr">
        <is>
          <t>li-4361737468</t>
        </is>
      </c>
      <c r="B85" t="inlineStr">
        <is>
          <t>Senior Machine Learning Engineer</t>
        </is>
      </c>
      <c r="C85" t="inlineStr">
        <is>
          <t>Zendesk</t>
        </is>
      </c>
      <c r="D85" t="inlineStr">
        <is>
          <t>linkedin</t>
        </is>
      </c>
      <c r="E85">
        <f>HYPERLINK("https://www.linkedin.com/jobs/view/4361737468", "https://www.linkedin.com/jobs/view/4361737468")</f>
        <v/>
      </c>
      <c r="F85" t="inlineStr"/>
      <c r="G85" t="inlineStr">
        <is>
          <t>Washington, DC</t>
        </is>
      </c>
      <c r="H85" t="inlineStr"/>
      <c r="I85"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86">
      <c r="A86" t="inlineStr">
        <is>
          <t>li-4361727832</t>
        </is>
      </c>
      <c r="B86" t="inlineStr">
        <is>
          <t>Senior Machine Learning Engineer</t>
        </is>
      </c>
      <c r="C86" t="inlineStr">
        <is>
          <t>Zendesk</t>
        </is>
      </c>
      <c r="D86" t="inlineStr">
        <is>
          <t>linkedin</t>
        </is>
      </c>
      <c r="E86">
        <f>HYPERLINK("https://www.linkedin.com/jobs/view/4361727832", "https://www.linkedin.com/jobs/view/4361727832")</f>
        <v/>
      </c>
      <c r="F86" t="inlineStr"/>
      <c r="G86" t="inlineStr">
        <is>
          <t>Utah, United States</t>
        </is>
      </c>
      <c r="H86" t="inlineStr"/>
      <c r="I86"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87">
      <c r="A87" t="inlineStr">
        <is>
          <t>li-4361821877</t>
        </is>
      </c>
      <c r="B87" t="inlineStr">
        <is>
          <t>Senior Machine Learning Engineer</t>
        </is>
      </c>
      <c r="C87" t="inlineStr">
        <is>
          <t>Zendesk</t>
        </is>
      </c>
      <c r="D87" t="inlineStr">
        <is>
          <t>linkedin</t>
        </is>
      </c>
      <c r="E87">
        <f>HYPERLINK("https://www.linkedin.com/jobs/view/4361821877", "https://www.linkedin.com/jobs/view/4361821877")</f>
        <v/>
      </c>
      <c r="F87" t="inlineStr"/>
      <c r="G87" t="inlineStr">
        <is>
          <t>Virginia, United States</t>
        </is>
      </c>
      <c r="H87" t="inlineStr"/>
      <c r="I87"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88">
      <c r="A88" t="inlineStr">
        <is>
          <t>li-4361831461</t>
        </is>
      </c>
      <c r="B88" t="inlineStr">
        <is>
          <t>Senior Machine Learning Engineer</t>
        </is>
      </c>
      <c r="C88" t="inlineStr">
        <is>
          <t>Zendesk</t>
        </is>
      </c>
      <c r="D88" t="inlineStr">
        <is>
          <t>linkedin</t>
        </is>
      </c>
      <c r="E88">
        <f>HYPERLINK("https://www.linkedin.com/jobs/view/4361831461", "https://www.linkedin.com/jobs/view/4361831461")</f>
        <v/>
      </c>
      <c r="F88" t="inlineStr"/>
      <c r="G88" t="inlineStr">
        <is>
          <t>Mississippi, United States</t>
        </is>
      </c>
      <c r="H88" t="inlineStr"/>
      <c r="I88"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89">
      <c r="A89" t="inlineStr">
        <is>
          <t>li-4361890020</t>
        </is>
      </c>
      <c r="B89" t="inlineStr">
        <is>
          <t>Senior Machine Learning Engineer</t>
        </is>
      </c>
      <c r="C89" t="inlineStr">
        <is>
          <t>Zendesk</t>
        </is>
      </c>
      <c r="D89" t="inlineStr">
        <is>
          <t>linkedin</t>
        </is>
      </c>
      <c r="E89">
        <f>HYPERLINK("https://www.linkedin.com/jobs/view/4361890020", "https://www.linkedin.com/jobs/view/4361890020")</f>
        <v/>
      </c>
      <c r="F89" t="inlineStr"/>
      <c r="G89" t="inlineStr">
        <is>
          <t>California, United States</t>
        </is>
      </c>
      <c r="H89" t="inlineStr"/>
      <c r="I89"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90">
      <c r="A90" t="inlineStr">
        <is>
          <t>li-4370355611</t>
        </is>
      </c>
      <c r="B90" t="inlineStr">
        <is>
          <t>Staff / VP, Machine Learning Engineer (NYC)</t>
        </is>
      </c>
      <c r="C90" t="inlineStr">
        <is>
          <t>TWG Global</t>
        </is>
      </c>
      <c r="D90" t="inlineStr">
        <is>
          <t>linkedin</t>
        </is>
      </c>
      <c r="E90">
        <f>HYPERLINK("https://www.linkedin.com/jobs/view/4370355611", "https://www.linkedin.com/jobs/view/4370355611")</f>
        <v/>
      </c>
      <c r="F90">
        <f>HYPERLINK("https://apply.workable.com/j/67F5676FF4&amp;urlHash=Aumo", "https://apply.workable.com/j/67F5676FF4&amp;urlHash=Aumo")</f>
        <v/>
      </c>
      <c r="G90" t="inlineStr">
        <is>
          <t>New York, NY</t>
        </is>
      </c>
      <c r="H90" t="inlineStr"/>
      <c r="I90" t="inlineStr">
        <is>
          <t>At TWG Group Holdings, LLC ("TWG Global"), we drive innovation and business transformation across a range of industries, including financial services, insurance, technology, media, and sports, by leveraging data and AI as core assets. Our AI\-first, cloud\-native approach delivers real\-time intelligence and interactive business applications, empowering informed decision\-making for both customers and employees.
 We prioritize responsible data and AI practices, ensuring ethical standards and regulatory compliance. Our decentralized structure enables each business unit to operate autonomously, supported by a central AI Solutions Group, while strategic partnerships with leading data and AI vendors fuel game\-changing efforts in marketing, operations, and product development.
 You will collaborate with management to advance our data and analytics transformation, enhance productivity, and enable agile, data\-driven decisions. By leveraging relationships with top tech startups and universities, you will help create competitive advantages and drive enterprise innovation.
 At TWG Global, your contributions will support our goal of sustained growth and superior returns, as we deliver rare value and impact across our businesses.
**The Role**
 As the Staff Machine Learning Engineer (VP) on the ML Engineering team, you will be responsible for designing, deploying, and scaling advanced ML systems that power core business functions across the enterprise. Reporting to the Executive Director of ML Engineering, you will play a critical role in building production\-grade ML infrastructure, reusable frameworks, and scalable model pipelines that deliver measurable business outcomes—ranging from cost optimization to top\-line growth. You will act as a technical thought leader and strategic partner, shaping the organization's machine learning engineering practices and fostering a culture of operational excellence, reliability, and responsible AI adoption.
**Key Responsibilities:**
* Architect and deploy ML systems and platforms that solve high\-impact business problems across regulated enterprise environments.
* Lead the development of production\-ready pipelines, including feature stores, model registries, and scalable inference services.
* Champion MLOps best practices (CI/CD for ML, model versioning, monitoring, observability) to ensure models are reliable, reproducible, and cost\-efficient.
* Partner with Data Scientists to operationalize experimental models, enabling scalability and generalizability across diverse business domains.
* Integrate emerging ML engineering techniques (e.g., LLM deployment, fine\-tuning pipelines, vector databases, RAG systems) into enterprise\-ready solutions.
* Own the design of foundational ML platforms and frameworks that serve as building blocks for downstream AI applications.
* Embed controls, governance, and auditability into ML workflows, ensuring compliance with regulatory standards and responsible AI principles.
* Collaborate with Engineering, Product, and Security teams to embed ML\-driven decision\-making into enterprise platforms and workflows.
* Define and track engineering and model performance metrics (latency, scalability, cost, accuracy) to optimize systems in production.
* Mentor and coach ML engineers, fostering technical excellence, collaboration, and innovation within the AI Science team
**Requirements**
**Qualifications:**
* 8\+ years of experience building and deploying machine learning systems in production environments at enterprise or platform scale.
* Proven track record of leading ML engineering projects from architecture to deployment, including ownership of production\-grade systems.
* Deep expertise in ML frameworks and engineering stacks (TensorFlow, PyTorch, JAX, Ray, MLflow, Kubeflow)
* Proficiency in Python and at least one backend language (e.g., Java, Scala, Go, C\+\+).
* Strong understanding of cloud ML infrastructure (AWS SageMaker, GCP Vertex AI, Azure ML) and containerized deployments (Kubernetes, Docker).
* Hands\-on experience with data and model pipelines (feature stores, registries, distributed training, inference scaling).
* Knowledge of observability and monitoring stacks (Prometheus, Grafana, ELK, Datadog) for ML system performance.
* Experience collaborating with cross\-functional teams in regulated industries (finance, insurance, health) with compliance and governance needs.
* Exceptional communication and leadership skills, with the ability to translate complex engineering challenges into clear business outcomes.
* Master's or PhD in Computer Science, Machine Learning, or related technical discipline
**Preferred Qualifications:**
* Hands\-on experience with Palantir platforms (Foundry, AIP, Ontology), including developing, deploying, and integrating ML solutions in enterprise ecosystems.
* Exposure to LLM and GenAI engineering (fine\-tuning, vector search, distributed inference).
* Experience optimizing GPU clusters, distributed training, or HPC environments.
* Familiarity with graph databases (e.g., Neo4j, TigerGraph) and their application in AI/ML systems
**Benefits**
* Work at the forefront of AI/ML innovation in life insurance, annuities, and financial services.
* Drive AI transformation for some of the most sophisticated financial entities.
* Competitive compensation, benefits, future equity options, and leadership opportunities.
**Position Location**
 This is an onsite position based in Manhattan in New York City.
**Compensation**
 The salary for this position is $290,000\-$300,0000\. A discretionary bonus will be provided as part of the compensation package, in addition to a full range of medical, financial, and/or other benefits.
*TWG is an equal opportunity employer, and all qualified applicants will receive consideration for employment without regard to race, color, religion, gender, sexual orientation, gender identity, national origin, disability, or status as a protected veteran.*</t>
        </is>
      </c>
    </row>
    <row r="91">
      <c r="A91" t="inlineStr">
        <is>
          <t>li-4361812786</t>
        </is>
      </c>
      <c r="B91" t="inlineStr">
        <is>
          <t>Senior Machine Learning Engineer</t>
        </is>
      </c>
      <c r="C91" t="inlineStr">
        <is>
          <t>Zendesk</t>
        </is>
      </c>
      <c r="D91" t="inlineStr">
        <is>
          <t>linkedin</t>
        </is>
      </c>
      <c r="E91">
        <f>HYPERLINK("https://www.linkedin.com/jobs/view/4361812786", "https://www.linkedin.com/jobs/view/4361812786")</f>
        <v/>
      </c>
      <c r="F91" t="inlineStr"/>
      <c r="G91" t="inlineStr">
        <is>
          <t>Illinois, United States</t>
        </is>
      </c>
      <c r="H91" t="inlineStr"/>
      <c r="I91"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92">
      <c r="A92" t="inlineStr">
        <is>
          <t>li-4361776274</t>
        </is>
      </c>
      <c r="B92" t="inlineStr">
        <is>
          <t>Senior Machine Learning Engineer</t>
        </is>
      </c>
      <c r="C92" t="inlineStr">
        <is>
          <t>Zendesk</t>
        </is>
      </c>
      <c r="D92" t="inlineStr">
        <is>
          <t>linkedin</t>
        </is>
      </c>
      <c r="E92">
        <f>HYPERLINK("https://www.linkedin.com/jobs/view/4361776274", "https://www.linkedin.com/jobs/view/4361776274")</f>
        <v/>
      </c>
      <c r="F92">
        <f>HYPERLINK("https://zendesk.wd1.myworkdayjobs.com/en-US/zendesk/job/Remote-California-United-States-of-America/Senior-Machine-Learning-Engineer_R33607?source=LinkedIn&amp;urlHash=iSIQ", "https://zendesk.wd1.myworkdayjobs.com/en-US/zendesk/job/Remote-California-United-States-of-America/Senior-Machine-Learning-Engineer_R33607?source=LinkedIn&amp;urlHash=iSIQ")</f>
        <v/>
      </c>
      <c r="G92" t="inlineStr">
        <is>
          <t>Michigan, United States</t>
        </is>
      </c>
      <c r="H92" t="inlineStr"/>
      <c r="I92"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93">
      <c r="A93" t="inlineStr">
        <is>
          <t>li-4361785292</t>
        </is>
      </c>
      <c r="B93" t="inlineStr">
        <is>
          <t>Senior Machine Learning Engineer</t>
        </is>
      </c>
      <c r="C93" t="inlineStr">
        <is>
          <t>Zendesk</t>
        </is>
      </c>
      <c r="D93" t="inlineStr">
        <is>
          <t>linkedin</t>
        </is>
      </c>
      <c r="E93">
        <f>HYPERLINK("https://www.linkedin.com/jobs/view/4361785292", "https://www.linkedin.com/jobs/view/4361785292")</f>
        <v/>
      </c>
      <c r="F93">
        <f>HYPERLINK("https://zendesk.wd1.myworkdayjobs.com/en-US/zendesk/job/Remote-California-United-States-of-America/Senior-Machine-Learning-Engineer_R33607?source=LinkedIn&amp;urlHash=iSIQ", "https://zendesk.wd1.myworkdayjobs.com/en-US/zendesk/job/Remote-California-United-States-of-America/Senior-Machine-Learning-Engineer_R33607?source=LinkedIn&amp;urlHash=iSIQ")</f>
        <v/>
      </c>
      <c r="G93" t="inlineStr">
        <is>
          <t>Georgia, United States</t>
        </is>
      </c>
      <c r="H93" t="inlineStr"/>
      <c r="I93"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94">
      <c r="A94" t="inlineStr">
        <is>
          <t>li-4361831462</t>
        </is>
      </c>
      <c r="B94" t="inlineStr">
        <is>
          <t>Senior Machine Learning Engineer</t>
        </is>
      </c>
      <c r="C94" t="inlineStr">
        <is>
          <t>Zendesk</t>
        </is>
      </c>
      <c r="D94" t="inlineStr">
        <is>
          <t>linkedin</t>
        </is>
      </c>
      <c r="E94">
        <f>HYPERLINK("https://www.linkedin.com/jobs/view/4361831462", "https://www.linkedin.com/jobs/view/4361831462")</f>
        <v/>
      </c>
      <c r="F94">
        <f>HYPERLINK("https://zendesk.wd1.myworkdayjobs.com/en-US/zendesk/job/Remote-California-United-States-of-America/Senior-Machine-Learning-Engineer_R33607?source=LinkedIn&amp;urlHash=iSIQ", "https://zendesk.wd1.myworkdayjobs.com/en-US/zendesk/job/Remote-California-United-States-of-America/Senior-Machine-Learning-Engineer_R33607?source=LinkedIn&amp;urlHash=iSIQ")</f>
        <v/>
      </c>
      <c r="G94" t="inlineStr">
        <is>
          <t>Indiana, United States</t>
        </is>
      </c>
      <c r="H94" t="inlineStr"/>
      <c r="I94"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95">
      <c r="A95" t="inlineStr">
        <is>
          <t>li-4361860019</t>
        </is>
      </c>
      <c r="B95" t="inlineStr">
        <is>
          <t>Senior Machine Learning Engineer</t>
        </is>
      </c>
      <c r="C95" t="inlineStr">
        <is>
          <t>Zendesk</t>
        </is>
      </c>
      <c r="D95" t="inlineStr">
        <is>
          <t>linkedin</t>
        </is>
      </c>
      <c r="E95">
        <f>HYPERLINK("https://www.linkedin.com/jobs/view/4361860019", "https://www.linkedin.com/jobs/view/4361860019")</f>
        <v/>
      </c>
      <c r="F95" t="inlineStr"/>
      <c r="G95" t="inlineStr">
        <is>
          <t>Wyoming, United States</t>
        </is>
      </c>
      <c r="H95" t="inlineStr"/>
      <c r="I95"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96">
      <c r="A96" t="inlineStr">
        <is>
          <t>li-4361821878</t>
        </is>
      </c>
      <c r="B96" t="inlineStr">
        <is>
          <t>Senior Machine Learning Engineer</t>
        </is>
      </c>
      <c r="C96" t="inlineStr">
        <is>
          <t>Zendesk</t>
        </is>
      </c>
      <c r="D96" t="inlineStr">
        <is>
          <t>linkedin</t>
        </is>
      </c>
      <c r="E96">
        <f>HYPERLINK("https://www.linkedin.com/jobs/view/4361821878", "https://www.linkedin.com/jobs/view/4361821878")</f>
        <v/>
      </c>
      <c r="F96" t="inlineStr"/>
      <c r="G96" t="inlineStr">
        <is>
          <t>Ohio, United States</t>
        </is>
      </c>
      <c r="H96" t="inlineStr"/>
      <c r="I96"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97">
      <c r="A97" t="inlineStr">
        <is>
          <t>li-4361727833</t>
        </is>
      </c>
      <c r="B97" t="inlineStr">
        <is>
          <t>Senior Machine Learning Engineer</t>
        </is>
      </c>
      <c r="C97" t="inlineStr">
        <is>
          <t>Zendesk</t>
        </is>
      </c>
      <c r="D97" t="inlineStr">
        <is>
          <t>linkedin</t>
        </is>
      </c>
      <c r="E97">
        <f>HYPERLINK("https://www.linkedin.com/jobs/view/4361727833", "https://www.linkedin.com/jobs/view/4361727833")</f>
        <v/>
      </c>
      <c r="F97">
        <f>HYPERLINK("https://zendesk.wd1.myworkdayjobs.com/en-US/zendesk/job/Remote-California-United-States-of-America/Senior-Machine-Learning-Engineer_R33607?source=LinkedIn&amp;urlHash=iSIQ", "https://zendesk.wd1.myworkdayjobs.com/en-US/zendesk/job/Remote-California-United-States-of-America/Senior-Machine-Learning-Engineer_R33607?source=LinkedIn&amp;urlHash=iSIQ")</f>
        <v/>
      </c>
      <c r="G97" t="inlineStr">
        <is>
          <t>Montana, United States</t>
        </is>
      </c>
      <c r="H97" t="inlineStr"/>
      <c r="I97"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98">
      <c r="A98" t="inlineStr">
        <is>
          <t>li-4361718275</t>
        </is>
      </c>
      <c r="B98" t="inlineStr">
        <is>
          <t>Senior Machine Learning Engineer</t>
        </is>
      </c>
      <c r="C98" t="inlineStr">
        <is>
          <t>Zendesk</t>
        </is>
      </c>
      <c r="D98" t="inlineStr">
        <is>
          <t>linkedin</t>
        </is>
      </c>
      <c r="E98">
        <f>HYPERLINK("https://www.linkedin.com/jobs/view/4361718275", "https://www.linkedin.com/jobs/view/4361718275")</f>
        <v/>
      </c>
      <c r="F98">
        <f>HYPERLINK("https://zendesk.wd1.myworkdayjobs.com/en-US/zendesk/job/Remote-California-United-States-of-America/Senior-Machine-Learning-Engineer_R33607?source=LinkedIn&amp;urlHash=iSIQ", "https://zendesk.wd1.myworkdayjobs.com/en-US/zendesk/job/Remote-California-United-States-of-America/Senior-Machine-Learning-Engineer_R33607?source=LinkedIn&amp;urlHash=iSIQ")</f>
        <v/>
      </c>
      <c r="G98" t="inlineStr">
        <is>
          <t>North Carolina, United States</t>
        </is>
      </c>
      <c r="H98" t="inlineStr"/>
      <c r="I98"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99">
      <c r="A99" t="inlineStr">
        <is>
          <t>li-4361812788</t>
        </is>
      </c>
      <c r="B99" t="inlineStr">
        <is>
          <t>Senior Machine Learning Engineer</t>
        </is>
      </c>
      <c r="C99" t="inlineStr">
        <is>
          <t>Zendesk</t>
        </is>
      </c>
      <c r="D99" t="inlineStr">
        <is>
          <t>linkedin</t>
        </is>
      </c>
      <c r="E99">
        <f>HYPERLINK("https://www.linkedin.com/jobs/view/4361812788", "https://www.linkedin.com/jobs/view/4361812788")</f>
        <v/>
      </c>
      <c r="F99" t="inlineStr"/>
      <c r="G99" t="inlineStr">
        <is>
          <t>Idaho, United States</t>
        </is>
      </c>
      <c r="H99" t="inlineStr"/>
      <c r="I99"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100">
      <c r="A100" t="inlineStr">
        <is>
          <t>li-4361727834</t>
        </is>
      </c>
      <c r="B100" t="inlineStr">
        <is>
          <t>Senior Machine Learning Engineer</t>
        </is>
      </c>
      <c r="C100" t="inlineStr">
        <is>
          <t>Zendesk</t>
        </is>
      </c>
      <c r="D100" t="inlineStr">
        <is>
          <t>linkedin</t>
        </is>
      </c>
      <c r="E100">
        <f>HYPERLINK("https://www.linkedin.com/jobs/view/4361727834", "https://www.linkedin.com/jobs/view/4361727834")</f>
        <v/>
      </c>
      <c r="F100" t="inlineStr"/>
      <c r="G100" t="inlineStr">
        <is>
          <t>Arizona, United States</t>
        </is>
      </c>
      <c r="H100" t="inlineStr"/>
      <c r="I100"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101">
      <c r="A101" t="inlineStr">
        <is>
          <t>li-4361489151</t>
        </is>
      </c>
      <c r="B101" t="inlineStr">
        <is>
          <t>Senior Machine Learning Engineer</t>
        </is>
      </c>
      <c r="C101" t="inlineStr">
        <is>
          <t>Zendesk</t>
        </is>
      </c>
      <c r="D101" t="inlineStr">
        <is>
          <t>linkedin</t>
        </is>
      </c>
      <c r="E101">
        <f>HYPERLINK("https://www.linkedin.com/jobs/view/4361489151", "https://www.linkedin.com/jobs/view/4361489151")</f>
        <v/>
      </c>
      <c r="F101" t="inlineStr"/>
      <c r="G101" t="inlineStr">
        <is>
          <t>Maine, United States</t>
        </is>
      </c>
      <c r="H101" t="inlineStr"/>
      <c r="I101"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102">
      <c r="A102" t="inlineStr">
        <is>
          <t>li-4361766379</t>
        </is>
      </c>
      <c r="B102" t="inlineStr">
        <is>
          <t>Senior Machine Learning Engineer</t>
        </is>
      </c>
      <c r="C102" t="inlineStr">
        <is>
          <t>Zendesk</t>
        </is>
      </c>
      <c r="D102" t="inlineStr">
        <is>
          <t>linkedin</t>
        </is>
      </c>
      <c r="E102">
        <f>HYPERLINK("https://www.linkedin.com/jobs/view/4361766379", "https://www.linkedin.com/jobs/view/4361766379")</f>
        <v/>
      </c>
      <c r="F102" t="inlineStr"/>
      <c r="G102" t="inlineStr">
        <is>
          <t>Kentucky, United States</t>
        </is>
      </c>
      <c r="H102" t="inlineStr"/>
      <c r="I102"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103">
      <c r="A103" t="inlineStr">
        <is>
          <t>li-4361880025</t>
        </is>
      </c>
      <c r="B103" t="inlineStr">
        <is>
          <t>Senior Machine Learning Engineer</t>
        </is>
      </c>
      <c r="C103" t="inlineStr">
        <is>
          <t>Zendesk</t>
        </is>
      </c>
      <c r="D103" t="inlineStr">
        <is>
          <t>linkedin</t>
        </is>
      </c>
      <c r="E103">
        <f>HYPERLINK("https://www.linkedin.com/jobs/view/4361880025", "https://www.linkedin.com/jobs/view/4361880025")</f>
        <v/>
      </c>
      <c r="F103" t="inlineStr"/>
      <c r="G103" t="inlineStr">
        <is>
          <t>Oklahoma, United States</t>
        </is>
      </c>
      <c r="H103" t="inlineStr"/>
      <c r="I103"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104">
      <c r="A104" t="inlineStr">
        <is>
          <t>li-4361756445</t>
        </is>
      </c>
      <c r="B104" t="inlineStr">
        <is>
          <t>Senior Machine Learning Engineer</t>
        </is>
      </c>
      <c r="C104" t="inlineStr">
        <is>
          <t>Zendesk</t>
        </is>
      </c>
      <c r="D104" t="inlineStr">
        <is>
          <t>linkedin</t>
        </is>
      </c>
      <c r="E104">
        <f>HYPERLINK("https://www.linkedin.com/jobs/view/4361756445", "https://www.linkedin.com/jobs/view/4361756445")</f>
        <v/>
      </c>
      <c r="F104" t="inlineStr"/>
      <c r="G104" t="inlineStr">
        <is>
          <t>Alabama, United States</t>
        </is>
      </c>
      <c r="H104" t="inlineStr"/>
      <c r="I104" t="inlineStr">
        <is>
          <t>**Job Description**
 Zendesk’s people have one goal in mind: to make Customer Experience better.
 The Enterprise Machine Learning team drives organizational value through scalable ML solutions and data\-driven insights, fundamentally changing how business decisions are made. We collaborate closely with stakeholders, applying the latest advances in machine learning, deep learning, and large language models (LLMs) to create highly impactful outcomes. Our commitment is to advance the state of AI, statistical modeling, and robust system design to enhance and expand our core business capabilities.
 Role Overview
 As a Machine Learning Engineer, you will serve as a technical and strategic member within the team, driving the development and deployment of advanced data science and machine learning solutions—particularly those harnessing LLMs and deep learning. You will architect and scale ML systems, foster effective cross\-functional collaborations, and ensure that business value is embedded in every technical decision. Your business acumen allows you to translate complex analytical approaches into actionable insights and stakeholder\-friendly narratives, strengthening partnership and adoption across the enterprise.
 Key Responsibilities
* Drive the design, development, and deployment of advanced ML and AI solutions, with an emphasis on large language models (LLMs), deep learning architectures, and sophisticated statistical modeling.
* Build scalable, robust data science systems—from data ingestion, data curation, data modeling to algorithm development, model deployment and monitoring—meeting enterprise\-grade performance, reliability, and compliance standards.
* Act as a subject matter expert, collaborating with data scientists, ML engineers, analysts, and business stakeholders to understand needs, define requirements, and deliver practical solutions with measurable business impact.
* Effectively articulate complex technical concepts to non\-technical partners, bridging gaps between technical teams and business operations for maximum results.
* Drive adoption of best practices in MLOps, including CI/CD pipelines, containerization, orchestration, observability, and reproducibility.
* Oversee and enhance the integrity, security, and compliance of all data science workflows and contracts.
* Stay abreast of the latest industry advancements in ML, LLMs, deep learning, cloud data engineering, and MLOps solutions (AWS, Kubernetes, Snowflake, etc.).
* Fostering technical excellence and ensuring alignment with business objectives.
 What We’re Looking For
**Education \&amp; Experience**
* 3\+ years’ experience in Data Science, Machine Learning, or a related field
* BA/BS in Computer Science, Data Science, or related discipline (advanced degree is highly preferred)
**Technical Expertise**
* Deep expertise in statistical modeling, machine learning, and deep learning (including practical experience with LLMs and transformers)
* Strong programming skills (Python preferred; Java, Scala, or similar also valued)
* Proven ability to build and optimize scalable data science solutions—end\-to\-end—from data pipelines (dbt, Astronomer, Snowflake, AWS) to deployment and monitoring (Docker, Kubernetes, CI/CD, MLOps best practices)
* Experience handling and analyzing large datasets, with a preference for experience in cloud data warehouses (Snowflake)
**Business Acumen**
* Demonstrated success in translating business needs into analytical solutions, driving quantifiable impact
* Strong stakeholder engagement skills, with a track record of building trusted business partnerships and driving adoption of data science initiatives
**Communication \&amp; Collaboration**
* Exceptional ability to simplify and communicate complex data science concepts to technical and non\-technical audiences alike
* Experience working cross\-functionally with engineers, analysts, and product leaders
* Steadfast commitment to continuous learning, collaboration, and fostering an inclusive, innovative team environment
 Why You’ll Thrive Here
* Opportunity to develop and scale of LLM and deep learning solutions with real\-world business impact
* An environment that values innovation, ownership, and professional growth
* The chance to work on high\-visibility, high\-impact projects at scale alongside a passionate multidisciplinary team
 The US annualized base salary range for this position is $196,000\.00\-$294,000\.00\.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105">
      <c r="A105" t="inlineStr">
        <is>
          <t>li-4370363214</t>
        </is>
      </c>
      <c r="B105" t="inlineStr">
        <is>
          <t>Sr. Principal Data Scientist - Machine Learning Engineer - R10222135-2</t>
        </is>
      </c>
      <c r="C105" t="inlineStr">
        <is>
          <t>Northrop Grumman</t>
        </is>
      </c>
      <c r="D105" t="inlineStr">
        <is>
          <t>linkedin</t>
        </is>
      </c>
      <c r="E105">
        <f>HYPERLINK("https://www.linkedin.com/jobs/view/4370363214", "https://www.linkedin.com/jobs/view/4370363214")</f>
        <v/>
      </c>
      <c r="F105" t="inlineStr"/>
      <c r="G105" t="inlineStr">
        <is>
          <t>Falls Church, VA</t>
        </is>
      </c>
      <c r="H105" t="inlineStr"/>
      <c r="I105" t="inlineStr">
        <is>
          <t>RELOCATION ASSISTANCE: No relocation assistance available
 CLEARANCE TYPE: None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the Insights \&amp; Intelligence (i2\) organization seeks to embed trusted AI and data insights into every business decision at the company. Our Applied Data Science \&amp; AI team builds lightweight, production‑grade analytics solutions that solve problems traditional enterprise tools struggle to meet.
 Our team operates with high autonomy, working closely with engineers and business leaders to identify high‑value problems, build apps and other products from the ground up, and deploy them into production. We value speed, intellectual curiosity, and the ability to toggle between “prototype rapidly” and “engineer for production” based on what the situation demands.
 As a data scientist / machine learning engineer, you will be a technical force multiplier—working with program teams to understand their challenges, building the infrastructure and applications to address them, and deploying production solutions that drive high\-impact decisions.
**Job Duties Include, But Are Not Limited To**
* Work directly with stakeholders (engineers, program managers, subject matter experts) to scope problems, identify constraints, and iterate on technical solutions
* Bridge analytics and infrastructure by understanding both the business problem and the approach, then building systems that deliver insights
* Build user‑friendly, production‑grade ML/AI applications (e.g., Streamlit, Gradio) that provide data insights to teams across the enterprise and enable better decision making
* Develop and maintain cloud‑based infrastructure (AWS, Databricks) and tooling to support scalable and reliable data analytics workflows
* Design and implement CI/CD pipelines, infrastructure‑as‑code (Terraform, AWS CloudFormation), and MLOps practices that enhance team productivity
* Optimize existing workflows and advocate for software engineering best practices (version control, modular design, testing) to drive team efficiency and code quality
* Stay current on cloud technologies, MLOps trends, and application frameworks to identify opportunities for improvement
**What Makes You Successful In This Role**
**You balance speed with quality:** 
 You can assess when “good enough now” beats “perfect later” and prioritize impact and working solutions over perfection.
**You have high agency:** 
 You proactively gather information, identify blockers, can operate in ambiguity, and make thoughtful decisions with incomplete information.
**You’re technically versatile:** 
 You’re comfortable diving into infrastructure one day and analyzing a dataset the next, stepping into different roles depending on project needs.
**You’re a bridge** 
**‑** 
**builder:** 
 You can talk to data scientists about model deployment, engineers about infrastructure, and business stakeholders about their problem. You translate and collaborate across domains.
**Work Arrangement**
 This is a hybrid/remote position. Most of our team is based in the Northern Virginia area, and we welcome candidates who can sometimes collaborate in person, but we operate primarily remotely and value flexibility. This position’s standard work schedule is a 9/80\. The 9/80 schedule allows employees who work a nine\-hour day Monday through Thursday to take every other Friday off.
**Basic Qualifications**
* Must have a PhD with 4 years of relevant professional experience OR a Master’s degree with 6 years of relevant professional experience OR Bachelor’s degree with 8 years of relevant professional experience
* Must have strong proficiency with Python, SQL, and Git
* Must have experience with frameworks for rapid application development (e.g., Streamlit, Gradio, Starlette, Next.js)
* Must have knowledge of DevOps or MLOps concepts and their application in data science workflows
* Must have strong understanding of containerization (e.g., Docker, Podman)
* Must have the ability to work collaboratively with data teams (data scientists, analysts) to support analytics workflows and insights
* Must have demonstrated problem‑solving and critical‑thinking skills with an ability to handle complex technical challenges
* Must have excellent communication skills and comfort engaging with non‑technical stakeholders
**Preferred Qualifications**
* Proven track record of deploying and monitoring production‑grade software systems on AWS
* Experience with Databricks and PySpark for data transformation and analytics
* Proven experience building and deploying web‑based visualization or decision‑support tools for business use cases
* Exposure to workflow orchestration tools (e.g., AWS Step Functions, Apache Airflow) and infrastructure‑as‑code tools (e.g., Terraform, AWS CloudFormation)
* Familiarity with scalable data architectures and machine learning deployment frameworks
* Domain experience in manufacturing analytics, operations research, supply chain optimization, or financial forecasting
* Background in consulting, forward‑deployed engineering, or other client‑facing technical roles where you translated ambiguous business problems into technical solutions
 Primary Level Salary Range: $142,200\.00 \- $213,200\.00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06">
      <c r="A106" t="inlineStr">
        <is>
          <t>li-4370365050</t>
        </is>
      </c>
      <c r="B106" t="inlineStr">
        <is>
          <t>Sr. Principal Data Scientist - Machine Learning Engineer - R10222135</t>
        </is>
      </c>
      <c r="C106" t="inlineStr">
        <is>
          <t>Northrop Grumman</t>
        </is>
      </c>
      <c r="D106" t="inlineStr">
        <is>
          <t>linkedin</t>
        </is>
      </c>
      <c r="E106">
        <f>HYPERLINK("https://www.linkedin.com/jobs/view/4370365050", "https://www.linkedin.com/jobs/view/4370365050")</f>
        <v/>
      </c>
      <c r="F106" t="inlineStr"/>
      <c r="G106" t="inlineStr">
        <is>
          <t>Falls Church, VA</t>
        </is>
      </c>
      <c r="H106" t="inlineStr"/>
      <c r="I106" t="inlineStr">
        <is>
          <t>RELOCATION ASSISTANCE: No relocation assistance available
 CLEARANCE TYPE: None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the Insights \&amp; Intelligence (i2\) organization seeks to embed trusted AI and data insights into every business decision at the company. Our Applied Data Science \&amp; AI team builds lightweight, production‑grade analytics solutions that solve problems traditional enterprise tools struggle to meet.
 Our team operates with high autonomy, working closely with engineers and business leaders to identify high‑value problems, build apps and other products from the ground up, and deploy them into production. We value speed, intellectual curiosity, and the ability to toggle between “prototype rapidly” and “engineer for production” based on what the situation demands.
 As a data scientist / machine learning engineer, you will be a technical force multiplier—working with program teams to understand their challenges, building the infrastructure and applications to address them, and deploying production solutions that drive high\-impact decisions.
**Job Duties Include, But Are Not Limited To**
* Work directly with stakeholders (engineers, program managers, subject matter experts) to scope problems, identify constraints, and iterate on technical solutions
* Bridge analytics and infrastructure by understanding both the business problem and the approach, then building systems that deliver insights
* Build user‑friendly, production‑grade ML/AI applications (e.g., Streamlit, Gradio) that provide data insights to teams across the enterprise and enable better decision making
* Develop and maintain cloud‑based infrastructure (AWS, Databricks) and tooling to support scalable and reliable data analytics workflows
* Design and implement CI/CD pipelines, infrastructure‑as‑code (Terraform, AWS CloudFormation), and MLOps practices that enhance team productivity
* Optimize existing workflows and advocate for software engineering best practices (version control, modular design, testing) to drive team efficiency and code quality
* Stay current on cloud technologies, MLOps trends, and application frameworks to identify opportunities for improvement
**What Makes You Successful In This Role**
**You balance speed with quality:** 
 You can assess when “good enough now” beats “perfect later” and prioritize impact and working solutions over perfection.
**You have high agency:** 
 You proactively gather information, identify blockers, can operate in ambiguity, and make thoughtful decisions with incomplete information.
**You’re technically versatile:** 
 You’re comfortable diving into infrastructure one day and analyzing a dataset the next, stepping into different roles depending on project needs.
**You’re a bridge** 
**‑** 
**builder:** 
 You can talk to data scientists about model deployment, engineers about infrastructure, and business stakeholders about their problem. You translate and collaborate across domains.
**Work Arrangement**
 This is a hybrid/remote position. Most of our team is based in the Northern Virginia area, and we welcome candidates who can sometimes collaborate in person, but we operate primarily remotely and value flexibility. This position’s standard work schedule is a 9/80\. The 9/80 schedule allows employees who work a nine\-hour day Monday through Thursday to take every other Friday off.
**Basic Qualifications**
* Must have a PhD with 4 years of relevant professional experience OR a Master’s degree with 6 years of relevant professional experience OR Bachelor’s degree with 8 years of relevant professional experience
* Must have strong proficiency with Python, SQL, and Git
* Must have experience with frameworks for rapid application development (e.g., Streamlit, Gradio, Starlette, Next.js)
* Must have knowledge of DevOps or MLOps concepts and their application in data science workflows
* Must have strong understanding of containerization (e.g., Docker, Podman)
* Must have the ability to work collaboratively with data teams (data scientists, analysts) to support analytics workflows and insights
* Must have demonstrated problem‑solving and critical‑thinking skills with an ability to handle complex technical challenges
* Must have excellent communication skills and comfort engaging with non‑technical stakeholders
**Preferred Qualifications**
* Proven track record of deploying and monitoring production‑grade software systems on AWS
* Experience with Databricks and PySpark for data transformation and analytics
* Proven experience building and deploying web‑based visualization or decision‑support tools for business use cases
* Exposure to workflow orchestration tools (e.g., AWS Step Functions, Apache Airflow) and infrastructure‑as‑code tools (e.g., Terraform, AWS CloudFormation)
* Familiarity with scalable data architectures and machine learning deployment frameworks
* Domain experience in manufacturing analytics, operations research, supply chain optimization, or financial forecasting
* Background in consulting, forward‑deployed engineering, or other client‑facing technical roles where you translated ambiguous business problems into technical solutions
 Primary Level Salary Range: $142,200\.00 \- $213,200\.00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07">
      <c r="A107" t="inlineStr">
        <is>
          <t>li-4370200196</t>
        </is>
      </c>
      <c r="B107" t="inlineStr">
        <is>
          <t>Senior Full-Stack AI ML Engineer</t>
        </is>
      </c>
      <c r="C107" t="inlineStr">
        <is>
          <t>Cognizant</t>
        </is>
      </c>
      <c r="D107" t="inlineStr">
        <is>
          <t>linkedin</t>
        </is>
      </c>
      <c r="E107">
        <f>HYPERLINK("https://www.linkedin.com/jobs/view/4370200196", "https://www.linkedin.com/jobs/view/4370200196")</f>
        <v/>
      </c>
      <c r="F107" t="inlineStr"/>
      <c r="G107" t="inlineStr">
        <is>
          <t>Louisville, KY</t>
        </is>
      </c>
      <c r="H107" t="inlineStr"/>
      <c r="I107" t="inlineStr">
        <is>
          <t>We are seeking a
 **Full\-Stack AI ML Engineer** 
 where you will leverage your expertise in Azure Platform, Python, Rest API and cutting\-edge technologies like Google Gemini and Azure Open AI GPT3\. You will play a pivotal role in developing and optimizing machine learning models and natural language processing applications.
**About Cognizant’s CIS Practice**
 Cognizant’s CIS (Cognizant Infrastructure Services) Practice is a global leader in providing IT infrastructure services. We deliver innovative solutions to optimize and transform IT infrastructure, ensuring business agility and operational efficiency. Our services include cloud computing, data center management, network services, and cybersecurity. We focus on understanding client needs and delivering customized solutions to drive business success.
**In This Role, You Will**
 Core Technical Skills (Required)
* Python Development (5\+ years): Advanced proficiency with async/await, dataclasses, type hints
* Machine Learning \&amp; AI (3\+ years):
+ Scikit\-learn, NumPy, Pandas for data analysis
+ Vector embeddings and similarity calculations
+ Clustering algorithms (K\-means, DBSCAN)
+ Experience with OpenAI API and LLM integration
* Web Development (3\+ years):
+ Flask framework for REST APIs
+ HTML/CSS/JavaScript for frontend interfaces
+ Jinja2 templating and responsive design
* Data Processing:
+ YAML/JSON parsing and validation
+ OpenAPI specification understanding
+ Large dataset processing and optimization
 Specialized Skills
* Semantic Analysis: Experience with sentence transformers, embedding models
* API Architecture: RESTful design, OpenAPI/Swagger specifications
* Performance Optimization: Caching strategies, async processing
* Testing: pytest, test\-driven development, integration testing
**What You’ll Need To Succeed (required Skills)**
* Bachelors degree in computer science or related degree
* Python Development (5\+ years): Advanced proficiency with async/await data classes type hints
* Machine Learning \&amp; AI (3\+ years):
* Web Development (3\+ years):
**Note: \*Please note, this role is not able to offer visa transfer or sponsorship now or in the future\* .**
**Applications will be accepted until Feb 11, 2026\.**
 Compensation: Annual compensation between $90,000 \-$107,000 is being offered for this role. This position is also eligible for Cognizant’s discretionary annual incentive program, based on performance and subject to the terms of Cognizant’s applicable plans.
 Cognizant offers the following benefits for this position, subject to applicable eligibility requirements:
* Medical/Dental/Vision/Life Insurance
* Paid holidays plus Paid Time Off
* 401(k) plan and contributions
* Long\-term/Short\-term Disability
* Paid Parental Leave
 Disclaimer: The salary, other compensation, and benefits information is accurate as of the date of this posting. Cognizant reserves the right to modify this information at any time, subject to applicable law.</t>
        </is>
      </c>
    </row>
    <row r="108">
      <c r="A108" t="inlineStr">
        <is>
          <t>li-4363827237</t>
        </is>
      </c>
      <c r="B108" t="inlineStr">
        <is>
          <t>Senior AI Engineer</t>
        </is>
      </c>
      <c r="C108" t="inlineStr">
        <is>
          <t>Capital One</t>
        </is>
      </c>
      <c r="D108" t="inlineStr">
        <is>
          <t>linkedin</t>
        </is>
      </c>
      <c r="E108">
        <f>HYPERLINK("https://www.linkedin.com/jobs/view/4363827237", "https://www.linkedin.com/jobs/view/4363827237")</f>
        <v/>
      </c>
      <c r="F108" t="inlineStr"/>
      <c r="G108" t="inlineStr">
        <is>
          <t>New York, NY</t>
        </is>
      </c>
      <c r="H108" t="inlineStr"/>
      <c r="I108" t="inlineStr">
        <is>
          <t>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3 years of experience developing AI and ML algorithms or technologies, or a Master's degree in Computer Science, AI, Electrical Engineering, Computer Engineering, or related fields plus at least 1 year of experience developing AI and ML algorithms or technologies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AI Engineer
 New York, NY: $176,500 \- $201,400 for Senior AI Engineer
 San Jose, CA: $176,500 \- $201,400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2026-02-09T00:34:44Z</dcterms:created>
  <dcterms:modified xsi:type="dcterms:W3CDTF">2026-02-09T00:34:44Z</dcterms:modified>
</cp:coreProperties>
</file>