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in-8686b244272c3d7b</t>
        </is>
      </c>
      <c r="B2" t="inlineStr">
        <is>
          <t>Sr. Software Developer (C++) in Bioinformatics and Big Data</t>
        </is>
      </c>
      <c r="C2" t="inlineStr">
        <is>
          <t>Association of Biomolecular Resource Facilities</t>
        </is>
      </c>
      <c r="D2" t="inlineStr">
        <is>
          <t>indeed</t>
        </is>
      </c>
      <c r="E2" t="inlineStr"/>
      <c r="F2" t="inlineStr"/>
      <c r="G2" t="inlineStr">
        <is>
          <t>Washington, DC, US</t>
        </is>
      </c>
      <c r="H2" s="2" t="n">
        <v>46060</v>
      </c>
      <c r="I2" t="inlineStr">
        <is>
          <t>NXTKEYCORPORATION
Washington, DC  
Company Description
NXTKey Corporation has been delivering Information Technology, Information management, Information Assurance (IA) and cybersecurity solutions to US Federal Government since 2005\.
NXTKey Corporation is an agile Small Business that places emphasis on teamwork and partnership with our clients to produce optimum contract performance. We have refined our solution from experience supporting highly complex Department of Justice (DOJ) environments such as United States Marshals Service (USMS), Justice Management Division (JMD), Office of Justice Programs  
(OJP) and Federal Prison Industries (FPI).
Our depth of experience allows us to provide IT security support for a wide range of IT General Support Systems (GSS) and major applications (MAs) within the Federal Enterprise and following the guidance in the Federal Enterprise Architecture (FEA) and information systems security support services in accordance with OMB Circular A\-130, NIST guidelines and standards, as well as other federal policies and regulations.
Job Description
 We are searching for a **Sr. Software Developer in Bioinformatics and Big Data** to support our work for the National Center for Biotechnology Information (NCBI) at the National Library of Medicine (NLM), an institute of the National Institutes of Health. This opportunity is full time and onsite at the NIH\-NCBI in Bethesda, MD and/or remote work.
NCBI, the National Center for Biotechnology Information, the nation’s premier biomedical resource, is seeking a software developer to help deliver biological sequence annotation and data curation infrastructure for the nation’s foremost sequence and biomedical literature repositories. Sites at NCBI, a part of the National Library of Medicine (NLM) at the National Institutes of Health (NIH), see four million daily users searching for gene sequence data, biomedical journal citations, and a wide array of other information that directly impacts biomedical research and public health. NCBI’s annotation pipelines not only serve these diverse expert communities – they actually drive new life sciences discoveries, ranging from medical health (viruses and pandemics, genetic diseases, cancer) to public health (food safety monitoring, antimicrobial resistance, viral outbreaks), to basic research topics in computational biology, bioinformatics and microbial diversity, and many more.
On a technical level, NCBI’s wide range of applications, platforms (e.g. node, Python, Django, C\+\+), and applications and environments (petabyte\-level big data, multiple cloud providers) serve more users than the US Postal Service and see more traffic than the IRS at tax time. We embrace FAIR principles (Findable, Accessible, Interoperable, Reusable) and are on the cutting edge of civic tech and cloud computing.
This role calls for more than an expert coder and architect – someone who can work equally effectively with subject\-matter experts, user researchers, designers, product managers, scientists, security and DevOps engineers, and more. Work with teams of dedicated, skilled developers, researchers, and product professionals as you build robust, flexible solutions serving dozens of production applications, APIs and services. Join us!
**Duties \&amp; Responsibilities:**
* Responsible for the development, implementation, testing, and continued maintenance of NCBI bioinformatics software and information retrieval systems
* Work with a diverse group of scientists, bioinformaticians and other developers across the center to implement efficient bioinformatics algorithms
Learn new technologies, keep up with internal systems, and* your knowledge with the team
Qualifications**Required qualifications**:
* 5\+ years of experience handling large amounts of data or working in a distributed computing environment
* Programming experience in a Linux environment
* Proficiency in C\+\+
* Experience with MS SQL server and relational database design and optimization
* Fluency in some scripting languages such as BASH, csh, Perl, or Python
**Preferred qualifications:**
* 5\+ years of working with genetic and biological data
* Proficiency in Python and/or JavaScript and familiarity with their associated ecosystems
* Experience with MongoDB or other NoSQL database technology
* Experience with Docker or other containerization mechanisms
* Experience with CI/CD pipelines, unit testing, integration and regression testing
* Experience using GitHub
* Experience with Cloud technologies a strong plus
Additional Information
We attract the best people in the business with our competitive benefits package that includes medical, dental and vision coverage, 401k plan with employer contribution, paid holidays, vacation, and tuition reimbursement. If you enjoy being a part of a high performing, professional service and technology focused organization, please apply today!</t>
        </is>
      </c>
    </row>
    <row r="3">
      <c r="A3" t="inlineStr">
        <is>
          <t>in-67eb35fd8015bec9</t>
        </is>
      </c>
      <c r="B3" t="inlineStr">
        <is>
          <t>Software Engineer - Remote</t>
        </is>
      </c>
      <c r="C3" t="inlineStr">
        <is>
          <t>Mayo Clinic</t>
        </is>
      </c>
      <c r="D3" t="inlineStr">
        <is>
          <t>indeed</t>
        </is>
      </c>
      <c r="E3" t="inlineStr"/>
      <c r="F3" t="inlineStr"/>
      <c r="G3" t="inlineStr">
        <is>
          <t>Rochester, MN, US</t>
        </is>
      </c>
      <c r="H3" s="2" t="n">
        <v>46059</v>
      </c>
      <c r="I3"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Mayo Clinic is seeking a Software Engineer to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ensures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Works closely with the Product Owners, Product Managers, Architects to translate requirements into code. Developing services around data warehousing, big data, cloud computing, business intelligence, analytics and machine learning. Participate in DevOps, Agile, continuous development and integration frameworks. Programming in high\-level languages such as Go, Python, Java etc. Work on deployment automation/configuration management with tools including but not limited to ADO, Puppet, Chef or Ansible or Azure Pipelines, CloudFormation, Terraform following a DevOps model. Ensure all appropriate documentation of processes and source code is created and maintained. Communicate effectively with peers, leaders, and customers throughout the organization. Participate in expert level troubleshooting and resolve problems through root cause analysis, data and system investigation. Continues to build knowledge of the organization, processes and customers. Performs a range of mainly straightforward assignments. Uses prescribed guidelines or policies to analyze and resolve problems. Receives a moderate level of guidance and direction.
 **Qualifications**  
Bachelor's degree in computer science/engineering or related field; Or an associate’s degree in computer science/engineering or related field with an additional 2 years of experience as described below.  
Have working knowledge and experience of Software Engineering with a minimum of internships and a minimum of 1 yr. of experience, or 2yrs of experience coding applications or services in a high\-level language (C, C\+\+, Golang, Java, C\# etc.).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**Preferred qualifications for this position include:**
* Ability to use a wide variety of open\-source technologies and cloud\-based services.
* Experience with Google and Azure cloud environments
* Experience in databases, analytics, big data systems or business intelligence products
* Experience with building high\-performance, highly available and scalable distributed systems.
* Experience developing software for healthcare related industries.
**This vacancy is not eligible for sponsorship/ we will not sponsor or transfer visas for this position. Also, Mayo Clinic DOES NOT participate in the F\-1 STEM OPT extension program.**
 **Exemption Status**  
Exempt  
**Compensation Detail**  
$95,534\.40 \- $140,462\.40 / year  
**Benefits Eligible**  
Yes  
**Schedule**  
Full Time  
**Hours/Pay Period**  
80  
**Schedule Details**  
Monday \- Friday; 8am\-5pm CST  
**Weekend Schedule**  
As needed by the practice or L3 on call responsibilities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Miranda Grabner</t>
        </is>
      </c>
    </row>
    <row r="4">
      <c r="A4" t="inlineStr">
        <is>
          <t>in-7330ea56cd5b41eb</t>
        </is>
      </c>
      <c r="B4" t="inlineStr">
        <is>
          <t>AI/ML Software Engineer</t>
        </is>
      </c>
      <c r="C4" t="inlineStr">
        <is>
          <t>Blue Purpose</t>
        </is>
      </c>
      <c r="D4" t="inlineStr">
        <is>
          <t>indeed</t>
        </is>
      </c>
      <c r="E4" t="inlineStr"/>
      <c r="F4" t="inlineStr"/>
      <c r="G4" t="inlineStr">
        <is>
          <t>Tampa, FL, US</t>
        </is>
      </c>
      <c r="H4" s="2" t="n">
        <v>46061</v>
      </c>
      <c r="I4" t="inlineStr">
        <is>
          <t>**ABOUT BLUE PURPOSE**
At Blue Purpose, our mission is to empower senior care providers through transformative software. We're not just building tools—we're reimagining how technology can enhance care. Our focus is development, strategy, and design to support the people who care for our aging population. If you're excited by a purpose\-driven culture and meaningful tech, we want to hear from you.
We are seeking a forward thinking AI/ML Software Engineer with strong C\#/.NET experience to help build the most powerful tool in Senior Care. You will drive real world impact through applied AI/ML solutions, guiding our transition into intelligent long\-term care technology. You'll collaborate across teams, influence architecture, and deploy meaningful systems that enhance lives.
The AI/ML Software Engineer will have a solid background in software design using SOLID principles with HIPAA compliant datasets, and healthcare industry knowledge.
Job Location: This is a **Hybrid role**, for occasional in\-person team collaboration
**Key Responsibilities**
* Design, code, test, and troubleshoot intelligent applications using C\#/.NET and AI/ML techniques
* Build, maintain, and optimize scalable AI/ML applications deployed on Azure
* Develop and operationalize Retrieval\-Augmented Generation (RAG) workflows, vector database integrations, and feature pipelines to support LLM\-powered applications.
* Prototype, test, and iterate quickly, delivering proof\-of\-concepts and scaling successful solutions into production systems.
* Translate business goals into actionable AI/ML implementations
* Contribute to building AI best practices across the organization, especially around automation, vector mapping, and data modeling.
* Research and prototype scalable, cost\-effective AI features for production use
* Evaluate and audit tools for continuous improvement and model governance
* Maintain secure, HIPAA\-compliant systems across healthcare data domains
**Minimum Qualifications**
* Bachelor’s degree in Computer Science, Engineering, or related field (or equivalent experience)
* 5\+ years in software engineering, primarily with .NET/C\#
* 4\+ years in applied AI/ML development, including model deployment
* Experience with ASP.NET Core, Entity Framework, SQL Server
* Strong API integration skills, ideally with AI/LLM services
* Proven track record delivering end\-to\-end AI/ML solutions, from data ingestion to deployment and monitoring
* Understanding of data manipulation and foundational machine learning; experience with custom models is a plus
* Experience with HIPAA\-compliant environments and secure data handling
* Strong problem\-solving, communication, and teamwork skills
**Preferred Qualifications**
* Python or hybrid stack experience (TensorFlow, PyTorch, Scikit\-learn, etc.)
* Familiarity with LLM frameworks (Hugging Face, LangChain, Azure OpenAI)
* Experience with MLOps/LLMOps practices and pipeline tooling
* JavaScript, TypeScript, or Blazor/React experience
* Healthcare or long\-term care software background
**Why Join Us?**
* Be part of a mission\-first culture improving lives through technology
* Collaborate with a smart, purpose\-driven team
* Competitive compensation \+ full benefits (WFH, medical, dental, vision, life, 401k, PTO)
* Influence the future of AI in long\-term care
**Apply Today**
Join us in redefining the future of senior care. If you're ready to build intelligent solutions that matter, we want to hear from you.
Job Type: Full\-time
Pay: $120,000\.00 \- $145,000\.00 per year
Benefits:
* Dental insurance
* Health insurance
* Life insurance
* Paid time off
* Retirement plan
* Vision insurance
Work Location: Hybrid remote in Tampa, FL 33602</t>
        </is>
      </c>
    </row>
    <row r="5">
      <c r="A5" t="inlineStr">
        <is>
          <t>in-2a48e9df725a8fae</t>
        </is>
      </c>
      <c r="B5" t="inlineStr">
        <is>
          <t>Blockchain Software Engineer</t>
        </is>
      </c>
      <c r="C5" t="inlineStr">
        <is>
          <t>Craftner INC</t>
        </is>
      </c>
      <c r="D5" t="inlineStr">
        <is>
          <t>indeed</t>
        </is>
      </c>
      <c r="E5" t="inlineStr"/>
      <c r="F5" t="inlineStr"/>
      <c r="G5" t="inlineStr">
        <is>
          <t>Charlotte, NC, US</t>
        </is>
      </c>
      <c r="H5" s="2" t="n">
        <v>46060</v>
      </c>
      <c r="I5"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6">
      <c r="A6" t="inlineStr">
        <is>
          <t>in-e6d6feab7446bd6c</t>
        </is>
      </c>
      <c r="B6" t="inlineStr">
        <is>
          <t>Software Developer</t>
        </is>
      </c>
      <c r="C6" t="inlineStr">
        <is>
          <t>General Dynamics Information Technology</t>
        </is>
      </c>
      <c r="D6" t="inlineStr">
        <is>
          <t>indeed</t>
        </is>
      </c>
      <c r="E6" t="inlineStr"/>
      <c r="F6" t="inlineStr"/>
      <c r="G6" t="inlineStr">
        <is>
          <t>Herndon, VA, US</t>
        </is>
      </c>
      <c r="H6" s="2" t="n">
        <v>46060</v>
      </c>
      <c r="I6" t="inlineStr">
        <is>
          <t>Your Impact
Own your opportunity to be at the center of GDIT’s business operations. Make an impact by collaborating across functions to make mission success achievable.
Job Description
GDIT has an opportunity for a Software Developer Associate who will design, develop, troubleshoot, and analyze software programs for computer\-based systems, specifically within the fields of multi\-dimensional data and financial analytics. As required, provides inputs for documentation of new or existing programs.  
MEANINGFUL WORK AND PERSONAL IMPACT  
Use object\-oriented techniques, programming languages, and standard methodologies, including classic development, waterfall, and agile methods.
* Perform deployment, installation, maintenance, quality control monitoring, and implementation of software.
* Maintain processes to log and track customer service requests.
* Maintain/develop software products to be used on a variety of platforms.
* Familiarity with Configuration Management (CM) tools, such as Subversion/Trac or Git.
* Familiarity with task tracking tool like JIRA.
* Background in web\-based coding such as extensible Mark\-up Language (XML) or GROOVY Scripts
* Experience with Integrated Development Environments (IDEs), such as JBuilder and/or Eclipse
* Design, develop, and document system and subsystem\-level code. This includes support for system requirements, preliminary design, detailed design and specifications, data dictionaries, interface control/design documents, user help information/manuals, maintenance information/manuals, operations information/manuals, program code, quality assurance activities, and test.
* Develop customer requirements and information needs into software specifications that can be implemented
* Maintain/modify software code to add new features, correct errors, adapt to new hardware, or to improve system performance.
* Perform system and unit level testing. This includes test plans and procedures,
* Documentation of test results and development of special test code. Plan/conduct regression tests after each code modification, upgrade enhancement.
* Exposure with Linux/UNIX and REST API is a plus.
* Development experience (C\+\+, JAVA, XML/XSD), scripting language experience, (Python or Perl), JAVA GUI development experience
* Interacts with project customers and stakeholders to report project status and manage subsystems requirements.
WHAT YOU’LL NEED TO SUCCEED  
Bring your engineering expertise along with a drive for innovation to GDIT. The Software Developer Associate must have:  
* Education: Bachelor's Degree in Computer Science, IT or similar field required
* Experience: 0\+ years of related experience
* Technical skills: One plus (1\+) years of programming experience in JAVA, C\+\+, Python or similar languages. Software application design and development performing coding, debugging, testing, and troubleshooting throughout the application development process
* Desired skills: Oracle SQL, Relational databases, Cloud based computing and some finance knowledge as well as exposure to multi\-dimensional databases
* Location: HYBRID work schedule with an expectation the selected candidate will work three (3\) days in office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0 \+ years of related experience* may vary based on technical training, certification(s), *or* degree
Certification
Travel Required
Less than 10%
Salary and Benefit Information
The likely salary range for this position is $80,750 \- $109,250\.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7">
      <c r="A7" t="inlineStr">
        <is>
          <t>in-eb9adecb4c3a094e</t>
        </is>
      </c>
      <c r="B7" t="inlineStr">
        <is>
          <t>Principal Security Software Engineer</t>
        </is>
      </c>
      <c r="C7" t="inlineStr">
        <is>
          <t>Apple</t>
        </is>
      </c>
      <c r="D7" t="inlineStr">
        <is>
          <t>indeed</t>
        </is>
      </c>
      <c r="E7" t="inlineStr"/>
      <c r="F7" t="inlineStr"/>
      <c r="G7" t="inlineStr">
        <is>
          <t>Seattle, WA, US</t>
        </is>
      </c>
      <c r="H7" s="2" t="n">
        <v>46060</v>
      </c>
      <c r="I7" t="inlineStr">
        <is>
          <t>Apple services and platforms face evolving security threats, from cloud vulnerabilities to application layer attacks, that require scalable, effective security solutions. We are looking for a Principal Security Software Engineer to tackle complex security problems across our datacenter and public cloud\-based infrastructure and services, translating emerging threats into concrete defenses.  
In this role, you'll solve critical security challenges by identifying, designing, and implementing innovative solutions that protect our systems and services while enabling engineers to build quickly and safely. This role combines deep engineering problem\-solving with cross\-functional collaboration and technical leadership to embed security into everything we build.  
**Description**  
As a Principal Security Software Engineer, you'll tackle complex security challenges that span our entire infrastructure and services. You'll identify and resolve security issues across infrastructure, public cloud, applications, data stores and platforms, designing secure and scalable architectures that protect our services and customer data while enabling engineering teams to build quickly and confidently. Working closely with engineering, product, privacy, legal, and compliance teams, you'll translate security requirements into practical, developer\-friendly solutions that embed protection into our systems from the ground up. This means identifying new approaches and tools that make secure\-by\-design the paved path, the default path, not an obstacle to overcome.  
You'll also strengthen security capabilities across the organization through mentorship and collaboration. That means partnering with engineers to build security skills through hands\-on problem\-solving, creating practical guidance that makes security concepts accessible and actionable. When emerging threats arise, you'll analyze new attack vectors, develop proactive defenses, and drive changes in our platforms and services. Success in this role means solving problems that require both deep technical expertise across security domains (cloud, network, application security, data protection) and the ability to collaborate effectively across teams to turn security theory into engineering reality.  
**Preferred Qualifications**  
Experience building a secure cloud, not just using one securely  
Visionary: Capable of anticipating future challenges and crafting security strategies that prepare us to meet them.  
Problem Solver: Analytical mentality with an aim to solve sophisticated security challenges and deliver balanced solutions.  
Communicator: Outstanding communication skills, with the ability to influence and inspire technical and non\-technical partners.  
**Minimum Qualifications**  
Education: Bachelor’s or Master’s degree in Computer Science, Information Security, or a related field (or equivalent experience).  
Experience: 10\+ years of hands\-on experience in security engineering, including expertise in one or more areas such as cloud security, network security, or application security.  
Expert knowledge in threat modeling, vulnerability management, security architecture, and secure coding practices.  
Deep expertise in AWS, GCP or Azure  
Strong coding or scripting skills (e.g., Python, Go, Java) and experience with infrastructure\-as\-code (IaC) and DevSecOps practices.  
Familiarity with regulatory and compliance frameworks (e.g., GDPR, PCI\-DSS, HIPAA).  
Leadership: Proven ability to lead security strategy and mentor teams across functions, driving a security\-focused culture.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$201,300 and $367,400,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8">
      <c r="A8" t="inlineStr">
        <is>
          <t>in-f381fe33e783a05f</t>
        </is>
      </c>
      <c r="B8" t="inlineStr">
        <is>
          <t>Apps Accessibility Software Engineer</t>
        </is>
      </c>
      <c r="C8" t="inlineStr">
        <is>
          <t>Apple</t>
        </is>
      </c>
      <c r="D8" t="inlineStr">
        <is>
          <t>indeed</t>
        </is>
      </c>
      <c r="E8" t="inlineStr"/>
      <c r="F8" t="inlineStr"/>
      <c r="G8" t="inlineStr">
        <is>
          <t>Cupertino, CA, US</t>
        </is>
      </c>
      <c r="H8" s="2" t="n">
        <v>46060</v>
      </c>
      <c r="I8" t="inlineStr">
        <is>
          <t>Are you interested in making the world a better place? Do you want to help influence and create some of Apple’s most important products on a small and highly cross\-functional team?  
Here at Apple we believe that technology is most powerful when it empowers everyone! Apple's Applications team is looking for a talented software engineer to help make Apple’s applications more accessible to users with disabilities  
**Description**  
This is a highly cross\-functional position that requires attention to detail and effective communication. You’ll get to work on several of Apple’s first and second party applications and be exposed to a wide variety of programming styles.  
On a typical day, you’ll be writing code that improves the accessibility of one of Apple’s applications. You’ll frequently need to work with other people throughout the company so clear, effective communication and the ability to stay organized is key to your success. Our priorities can\-and do\-change, which means you’ll need to be flexible and work well in a changing environment.  
All of your hard work will help to ensure that the applications used by millions of people every day enrich the lives of every single user, no matter their need.  
**Preferred Qualifications**  
Understanding of user\-centered accessibility design principles  
Demonstrated experience implementing accessible solutions  
Experience with Apple’s accessibility frameworks  
**Minimum Qualifications**  
1\+ year of Objective\-C, C\+\+, C and/or Swift  
1\+ year Proficiency with algorithms, data structures, and performance optimization  
Proficiency in debugging skills using Xcode and lldb  
Excitement and passion to build software that makes a tangible difference in peoples’ lives  
Strong personal responsibility and drive for continual self\-improvement  
Excellent communication and collaborative skills  
Ability to achieve great results with only high\-level direction  
Bachelor of Computer Science or related degree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
      <c r="A9" t="inlineStr">
        <is>
          <t>in-ace96e6f89ae8e72</t>
        </is>
      </c>
      <c r="B9" t="inlineStr">
        <is>
          <t>Siri NL Platform Software Engineer, Siri Core Modeling</t>
        </is>
      </c>
      <c r="C9" t="inlineStr">
        <is>
          <t>Apple</t>
        </is>
      </c>
      <c r="D9" t="inlineStr">
        <is>
          <t>indeed</t>
        </is>
      </c>
      <c r="E9" t="inlineStr"/>
      <c r="F9" t="inlineStr"/>
      <c r="G9" t="inlineStr">
        <is>
          <t>Cupertino, CA, US</t>
        </is>
      </c>
      <c r="H9" s="2" t="n">
        <v>46060</v>
      </c>
      <c r="I9" t="inlineStr">
        <is>
          <t>Join the Siri Runtime Platform team and help shape the future of Apple Intelligence. We are engineers, scientists, and problem solvers working to bring smarter, faster, and more natural interactions to millions of users worldwide. As a Software Engineer on our team, you will build the on\-device runtime foundation that powers Siri, enabling seamless, intelligent, and secure user experiences. This is an opportunity to collaborate with a passionate, diverse group of cross\-functional partners to deliver the next generation of innovative features across the Apple ecosystem.  
**Description**  
In this role, you will be at the forefront of integrating Apple Intelligence into Siri. You will drive the design and implementation of new features, optimize system performance for low\-latency interaction, and help integrate intelligent experiences into people’s daily lives. You will work closely with engineers across Siri and the wider Apple organization to create scalable, efficient, and user\-focused solutions that leverage the latest advancements in Large Language Models (LLMs) and on\-device intelligence.","responsibilities":"Design, develop, and maintain the robust on\-device runtime platform for Siri.  
Contribute to the implementation of scalable, maintainable, and highly testable code.  
Debug, optimize, and profile system performance to ensure high\-quality, responsive interactions.  
Apply LLMs and on\-device intelligence to enhance Siri’s capabilities, collaborating with cross\-functional teams to ship new experiences.  
Leverage GenAI\-based tooling to enhance engineering productivity, code quality, and efficiency at scale.  
**Preferred Qualifications**  
Proficiency with Swift and Xcode, with experience building applications for Apple platforms (personal, academic, or professional).  
Exposure to on\-device development workflows (e.g., debugging tools, memory profiling, performance optimization).  
Experience working on voice assistants or conversational AI systems leveraging Large Language Models (LLMs).  
Experience working on large\-scale or multi\-team software projects (including open\-source or research projects).  
**Minimum Qualifications**  
BS or MS degree in Computer Science, Electrical Engineering, or a related technical field, or equivalent practical experience.  
Strong programming proficiency in languages such as Swift, C\+\+, or Objective\-C, and comfort using them for technical interviews.  
Foundational knowledge in computer science, including data structures, algorithms, system design, concurrency, and object\-oriented programming.  
Familiarity with modern development tools and practices (e.g., Git, CI/CD, code review, automated testing).  
Experience utilizing GenAI and LLM\-based tools to accelerate engineering tasks (e.g., code generation, testing, or system analysis).  
Demonstrated ability to learn new technologies and development environments quickly.  
Strong verbal and written communication skills, with a collaborative approach to problem\-solving.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0">
      <c r="A10" t="inlineStr">
        <is>
          <t>in-34e1dbdcbe752eaf</t>
        </is>
      </c>
      <c r="B10" t="inlineStr">
        <is>
          <t>Senior Software Engineer, Apple Data Platform</t>
        </is>
      </c>
      <c r="C10" t="inlineStr">
        <is>
          <t>Apple</t>
        </is>
      </c>
      <c r="D10" t="inlineStr">
        <is>
          <t>indeed</t>
        </is>
      </c>
      <c r="E10" t="inlineStr"/>
      <c r="F10" t="inlineStr"/>
      <c r="G10" t="inlineStr">
        <is>
          <t>Cupertino, CA, US</t>
        </is>
      </c>
      <c r="H10" s="2" t="n">
        <v>46060</v>
      </c>
      <c r="I10" t="inlineStr">
        <is>
          <t>Imagine what you could do here. At Apple, great ideas have a way of becoming phenomenal products, services, and customer experiences very quickly. Bring passion and dedication to your job and there's no telling what you could accomplish. Do you love solving complex challenges? Are you an inventive self\-starter who takes pride in making ideas come to life on a global scale? Are you passionate about developing big\-data platforms using creative algorithms to process petabytes of data with very low latency? Are you passionate about Cloud Technologies, have a proven track record in designing and implementing scalable solutions, love solving complex challenges and thrive in a collaborative team environment? If so, join Apple Services Engineering (ASE) Data Platform team to design and build a scalable big\-data platform that is used across Apple. As part of Apple Services Engineering (ASE), you will have a meaningful role in designing, developing, and deploying high\-performance systems that handle millions of queries every single day. This enormous scale brings challenges that require extraordinarily creative problem\-solving. By focusing on and respecting the customer's needs, you'll be responsible for helping us build the technology that works for so many customers around the world. We are looking for engineers who are passionate about crafting big\-data products. This role requires a deep understanding of developing products that are highly scalable, highly available, and fully fault tolerant.  
**Description**  
As part of the Data Platform team, you will have a meaningful role in designing, developing, and deploying high\-performance systems that handle millions of online events and queries daily. This enormous scale brings challenges that require extraordinarily creative problem\-solving. We are building and supporting critical infrastructure and frameworks that provide and support services like structured and unstructured storage, caching, queueing, searching, and much more. We are looking for a strong, enthusiastic developer to join as a member of this group. You will have a tremendous amount of individual responsibility and influence over the direction of critical services for years to come. You are someone with ideas and a real passion for software delivered as a service to improve reuse, efficiency, and simplicity.","responsibilities":"Design, develop, and deploy large\-scale data processing frameworks and applications on cloud\-based infrastructure such as AWS and GCP.  
Build and maintain highly reliable, distributed systems using programming languages such as Go, Java, and Scala,  
Develop and manage infrastructure through Infrastructure as Code (IaC) tools such as Pulumi and Crossplane.  
Collaborate with cross\-functional teams to integrate cloud infrastructure solutions into data platform products and services.  
Implement and manage containerization and orchestration technologies, including Docker and Kubernetes.  
Architect large\-scale, complex applications with strong runtime performance, including low latency, fault tolerance, and high availability.  
Contribute to the full lifecycle of system design, ensuring scalability, reliability, and maintainability.  
**Preferred Qualifications**  
Experience engineering modern Analytics and Data technologies like Spark, Flink, Iceberg, Trino, Jupyter, Druid, etc. at scale is a plus  
Experience with contribution to Open Source projects is a plus  
**Minimum Qualifications**  
5\+ years experience designing, developing, and deploying large\-scale data processing frameworks and applications on cloud\-based infrastructure such as AWS, GCP, etc.  
Strong programming expertise in Go, Java, Scala, and scripting languages, preferably with critical, large\-scale distributed systems.  
Proficiency in Infrastructure as Code (IaC) tools.  
Experience with containerization and orchestration (e.g., Docker, Kubernetes).  
Ability to design large\-scale, complex applications with excellent run\-time characteristics such as low latency, fault\-tolerance, and high availability  
A learning attitude to continuously improve the self, team, and the organization  
Deeply concerned about excellence and quality  
Loves fast\-paced environment and learning/leveraging new technologies  
Bachelor’s degree or Masters in Computer Science, Computer Engineering,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
      <c r="A11" t="inlineStr">
        <is>
          <t>in-3cb59c3464f3f2b8</t>
        </is>
      </c>
      <c r="B11" t="inlineStr">
        <is>
          <t>Senior Software Engineer</t>
        </is>
      </c>
      <c r="C11" t="inlineStr">
        <is>
          <t>Apple</t>
        </is>
      </c>
      <c r="D11" t="inlineStr">
        <is>
          <t>indeed</t>
        </is>
      </c>
      <c r="E11" t="inlineStr"/>
      <c r="F11" t="inlineStr"/>
      <c r="G11" t="inlineStr">
        <is>
          <t>Cupertino, CA, US</t>
        </is>
      </c>
      <c r="H11" s="2" t="n">
        <v>46060</v>
      </c>
      <c r="I11" t="inlineStr">
        <is>
          <t>The Motion \&amp; Interaction team designs and delivers intuitive customer experiences through motion sensing. When you simply raise your wrist, shake your head, or move your device to interact, it’s the work of engineers and scientists on this team. Our fingerprints can be found across core capabilities and experiences on iPhone, Watch, AirPods, Vision Pro, and other Apple products. We are a multidisciplinary team, uniting expertise in algorithms, software, hardware, and design. We come from diverse backgrounds in software engineering, firmware development, machine learning, signal processing, controls, statistics, and more. Our environment values engineers who proactively seek responsibility for complex systems with deep technical challenges.  
**Description**  
We are seeking a dedicated, self\-motivated software engineer to build Apple’s next\-generation sensor fusion technologies and interactive experiences! This role involves developing and optimizing embedded algorithms and APIs, with an emphasis on power, memory, and real\-time performance. You will work closely with scientists, engineers, project managers, and designers throughout the product lifecycle, working towards the best possible customer experience.","responsibilities":"You will be instrumental in shipping interactive features that directly impact millions of users daily! The ideal candidate embodies deep ownership, taking personal responsibility for product delivery. You consistently meet deadlines with an unwavering focus on critical objectives, and thrive in uncertainty by proactively bringing order to sophisticated challenges. You demonstrate outstanding creativity and initiative, skillfully building positive relationships across teams. You are a lifelong learner, relentlessly seeking to improve both yourself and your team's capabilities.  
**Preferred Qualifications**  
Results\-oriented, with a proven ability to effectively prioritize and deliver tasks on schedule  
Excellent communication and collaboration skills  
Strong proficiency in C\+\+  
Experience delivering production code for embedded or real\-time systems  
Experience designing and implementing interfaces between algorithms, software, and firmware  
Strong product sense, including the ability to balance technical feasibility with user experience  
**Minimum Qualifications**  
Bachelor's or Master's degree in Computer Science, EECS, or equivalent experience  
Solid understanding of algorithm design and data structures  
Strong and intuitive understanding of object\-oriented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
      <c r="A12" t="inlineStr">
        <is>
          <t>in-1034e4fe9f767d9e</t>
        </is>
      </c>
      <c r="B12" t="inlineStr">
        <is>
          <t>Camera Embedded Software Engineer</t>
        </is>
      </c>
      <c r="C12" t="inlineStr">
        <is>
          <t>Apple</t>
        </is>
      </c>
      <c r="D12" t="inlineStr">
        <is>
          <t>indeed</t>
        </is>
      </c>
      <c r="E12" t="inlineStr"/>
      <c r="F12" t="inlineStr"/>
      <c r="G12" t="inlineStr">
        <is>
          <t>Cupertino, CA, US</t>
        </is>
      </c>
      <c r="H12" s="2" t="n">
        <v>46060</v>
      </c>
      <c r="I12" t="inlineStr">
        <is>
          <t>Apple's Camera Firmware team is looking for an extraordinary firmware engineer to drive groundbreaking technologies for Apple products! As part of the team you would work on core camera/ISP/Machine learning technologies, including Apple crafted Image signal processing pipeline and HW components, where you will have the chance to define the way that Apple develops, tests and manufactures all of its products. Our close\-knit team champions an environment of product innovation, rapid product iteration and collaboration at both team and multi\-functional levels with a liberating amount of autonomy!  
**Description**  
In this role you will implement, maintain and pursue problems in our firmware. This is a highly multi\-functional product development role and you will work closely with various teams, like Silicon Design, QA team and the Machine Learning algorithm team! The environment is multifaceted, fast\-paced and requires a self\-starter demeanor.","responsibilities":"Develop low level device drivers for sophisticated image processing pipeline in embedded systems for the latest SoC blocks, chipsets in Apple.  
Work with algorithm team to design and develop algorithms to control CMOS image sensors, ISP pipeline and machine learning pipeline.  
Design and implement camera features in embedded systems for Apple products. You will work with other teams to define features and communication protocols and detail the requirements clearly with implementation specifications.  
Optimize image processing algorithms to improve system performance.  
Work on HW validation and provide firmware support to factory testing. You will also implement features to support hardware testing and diagnosis.  
**Preferred Qualifications**  
Familiarity with camera pipeline and HW components  
**Minimum Qualifications**  
BS and a minimum of 3 years relevant industry experience  
3\+ years of embedded software development experience  
Proficiency in C/C\+\+  
Proficiency in development of multi\-thread software within embedded RTOS system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
      <c r="A13" t="inlineStr">
        <is>
          <t>in-83a8cc20d72c2226</t>
        </is>
      </c>
      <c r="B13" t="inlineStr">
        <is>
          <t>Sr Software Engineer (Java &amp; Gen Ai), Sales Engineering</t>
        </is>
      </c>
      <c r="C13" t="inlineStr">
        <is>
          <t>Apple</t>
        </is>
      </c>
      <c r="D13" t="inlineStr">
        <is>
          <t>indeed</t>
        </is>
      </c>
      <c r="E13" t="inlineStr"/>
      <c r="F13" t="inlineStr"/>
      <c r="G13" t="inlineStr">
        <is>
          <t>Sunnyvale, CA, US</t>
        </is>
      </c>
      <c r="H13" s="2" t="n">
        <v>46060</v>
      </c>
      <c r="I13" t="inlineStr">
        <is>
          <t>Imagine what you could do here. At Apple, great ideas have a way of becoming great products, services and customer experiences very quickly. Bring passion and dedication to your job and there's no telling what you could accomplish.  
Apple’s Sales Engineering team is building high impact applications for our channel partners, and we are looking for a senior software engineer to join us in solving problems that directly impact the business. We are looking for Software Engineers with an experience in developing large\-scale systems to join our friendly, collaborative team.  
**Description**  
Do you want to work in faster paced environment ? Do you dream about solving problems with code? How about the building blocks of a large scale system? If so, come join the Sales Engineering team to build and scale our high impact applications for channel partners. If you are a Software Engineer who cares about impeccable code, looks for bugs as a hobby and fixes them with their eyes closed this is the right place. The ideal candidate is a developer with experience in Java, NoSQL databases, Kafka, GenAI and related technologies, has an eye for usability, savors tech challenges and thrives on delivering customer value and satisfaction.  
","responsibilities":"Take full ownership of the projects for design, implementation, and support.  
Collaborate effectively with large and diverse engineering teams across different timezones.  
Continuously improve the codebase and adopt community standard processes.  
**Preferred Qualifications**  
Ability to design, implement, and maintain scalable web applications.  
Experience in J2EE technologies and micro\-services architecture preferred.  
Experience with build and deployment tools, e.g., Git, Maven, etc.  
Familiarity in NoSQL database systems such as Elastic search, MongoDB highly desirable.  
Excellent problem solving, critical thinking and communication skills.  
Quick understanding and ability to simplify complex ideas into clear and effective solutions.  
Proficiency in full\-stack technologies will be advantageous.  
**Minimum Qualifications**  
Bachelor's or Master's degree in computer science or equivalent field.  
4\+ years of strong programming skills in Java, C\+\+, or an equivalent language.  
Hands on experience in Generative AI technologies.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
      <c r="A14" t="inlineStr">
        <is>
          <t>in-5b30fd10823fcdc0</t>
        </is>
      </c>
      <c r="B14" t="inlineStr">
        <is>
          <t>AI/ML - Senior Software Engineer, Machine Translation</t>
        </is>
      </c>
      <c r="C14" t="inlineStr">
        <is>
          <t>Apple</t>
        </is>
      </c>
      <c r="D14" t="inlineStr">
        <is>
          <t>indeed</t>
        </is>
      </c>
      <c r="E14" t="inlineStr"/>
      <c r="F14" t="inlineStr"/>
      <c r="G14" t="inlineStr">
        <is>
          <t>Cary, NC, US</t>
        </is>
      </c>
      <c r="H14" s="2" t="n">
        <v>46060</v>
      </c>
      <c r="I14" t="inlineStr">
        <is>
          <t>Do you want to work with us on the next revolution in human\-computer interaction? The Apple Machine Translation team is building the groundbreaking technology that enables connecting people across language barriers. We are looking for exceptional Software Engineers passionate about delighting customers’ experiences and pushing the envelope on Machine Learning, Embedded, and Distributed Computing.  
**Description**  
You will be primarily responsible for developing our low\-level frameworks and services that connect state\-of\-the\-art Machine Learning models and inference engines to the variety of Translation experiences across all of our platforms! You will be working with many partner teams including Asset delivery, Phone/FaceTime and Messages.  
To succeed in this role, you are a strong programmer and a creative problem solver who enjoys learning new things. You are passionate about developing new features, maintaining existing code, fixing bugs, and contributing to overall system design. You are a great teammate who thrives in a dynamic environment with rapidly changing priorities.  
**Preferred Qualifications**  
5\+ years development experience with Objective\-C  
Experience with Swift \&amp; SwiftUI  
Project Leadership  
**Minimum Qualifications**  
3\+ years development experience with Objective\-C  
Experience in object\-oriented software design and programming  
Framework\-level programming including multi\-threaded architectures and cross\-process communication  
Accomplished debugging and problem\-solving skills  
Strong testing discipline  
Excellent communication and collaborative skills  
B.S. or M.S. in Computer Science or related field with 4\+ years of industrial working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5">
      <c r="A15" t="inlineStr">
        <is>
          <t>in-3e370ac3726aa974</t>
        </is>
      </c>
      <c r="B15" t="inlineStr">
        <is>
          <t>AI/ML - Senior Software Engineer, Machine Translation</t>
        </is>
      </c>
      <c r="C15" t="inlineStr">
        <is>
          <t>Apple</t>
        </is>
      </c>
      <c r="D15" t="inlineStr">
        <is>
          <t>indeed</t>
        </is>
      </c>
      <c r="E15" t="inlineStr"/>
      <c r="F15" t="inlineStr"/>
      <c r="G15" t="inlineStr">
        <is>
          <t>Cary, NC, US</t>
        </is>
      </c>
      <c r="H15" s="2" t="n">
        <v>46060</v>
      </c>
      <c r="I15" t="inlineStr">
        <is>
          <t>Do you want to work with us on the next revolution in human\-computer interaction? The Apple Machine Translation team is building the groundbreaking technology that enables connecting people across language barriers. We are looking for exceptional Software Engineers passionate about delighting customers’ experiences and pushing the envelope on Machine Learning, Embedded, and Distributed Computing.  
**Description**  
You will be primarily responsible for developing our low\-level frameworks and services that connect state\-of\-the\-art Machine Learning models and inference engines to the variety of Translation experiences across all of our platforms! You will be working with many partner teams including Asset delivery, Phone/FaceTime and Messages.  
To succeed in this role, you are a strong programmer and a creative problem solver who enjoys learning new things. You are passionate about developing new features, maintaining existing code, fixing bugs, and contributing to overall system design. You are a great teammate who thrives in a dynamic environment with rapidly changing priorities.  
**Preferred Qualifications**  
5\+ years development experience with Objective\-C  
Experience with Swift \&amp; SwiftUI  
Project Leadership  
**Minimum Qualifications**  
3\+ years development experience with Objective\-C  
Experience in object\-oriented software design and programming  
Framework\-level programming including multi\-threaded architectures and cross\-process communication  
Accomplished debugging and problem\-solving skills  
Strong testing discipline  
Excellent communication and collaborative skills  
B.S. or M.S. in Computer Science or related field with 4\+ years of industrial working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
      <c r="A16" t="inlineStr">
        <is>
          <t>in-7d1290ddd2fd51e5</t>
        </is>
      </c>
      <c r="B16" t="inlineStr">
        <is>
          <t>Software Engineer (Solutions Architect), IS&amp;T Enterprise Systems</t>
        </is>
      </c>
      <c r="C16" t="inlineStr">
        <is>
          <t>Apple</t>
        </is>
      </c>
      <c r="D16" t="inlineStr">
        <is>
          <t>indeed</t>
        </is>
      </c>
      <c r="E16" t="inlineStr"/>
      <c r="F16" t="inlineStr"/>
      <c r="G16" t="inlineStr">
        <is>
          <t>Austin, TX, US</t>
        </is>
      </c>
      <c r="H16" s="2" t="n">
        <v>46060</v>
      </c>
      <c r="I16" t="inlineStr">
        <is>
          <t>At Apple, we are driven to deliver exceptional experiences through ultra\-fast, thoughtfully designed, and meticulously crafted solutions. Our team is not just any group; we are a highly motivated, fast\-paced, and dynamic collective of professionals committed to scaling new heights and achieving excellence. We seek individuals who strive beyond mediocrity and are relentless in their pursuit of perfection.  
The AppleCare Sales \&amp; Service, Platform Services team at Apple is seeking a dedicated and detail\-oriented Solution Architect. The ideal candidate is an energetic professional with outstanding communication skills, a passion for innovation, and the ability to challenge conventional thinking.  
If you are highly motivated and passionate about solving complex problems, fostering innovation, and developing critical cross\-functional products in a fast\-paced, collaborative environment, this role is for you.  
**Description**  
Our team is responsible for building and managing global, business\-critical applications within AppleCare Sales \&amp; Service space. Our enterprise solutions and services are leveraged across a wide spectrum of consumers, including Apple Service Providers, Carriers, Self\-Servicing Customers, Repair Centers, Mac Depots, and all Apple Retail stores’ Genius Bars. These applications are designed to deliver a world\-class sales and service experience to our customers.  
In this role, you will employ innovative techniques, working collaboratively with cross\-functional team members and business stakeholders during full lifecycle development process. Serve as the AppleCare Sales and Service domain champion, leading the design and architectural development of innovative Repair and AppleCare solutions that enhance the end\-to\-end experience for customers across diverse sales and service channels.  
","responsibilities":"Lead brainstorming sessions to gather requirements and perform high level systems impact analysis for new business initiatives  
Perform Requirement/ Functional Detailed analysis to deliver End\-to\-End Solutions in collaboration with multiple business, engineering and cross functional teams  
Ensure proper requirement traceability and delivery during development and Integration Testing  
Provide solution hand\-off and training for the new features to Operations and Production Support teams  
**Preferred Qualifications**  
Excellent problem\-solving and analytical skills  
Strong written and verbal communication skills as well as strong organizational skills.  
Ability to juggle and complete multiple tasks  
Excellent leadership and influencing skills  
Proficient at managing multiple global efforts simultaneously  
Able to fit in well with a team, understand capabilities and priorities  
Self\-motivated and pro\-active with demonstrated creative and critical thinking capabilities  
Engineering/ Technical background preferred  
Experience working with vendors and contractors  
**Minimum Qualifications**  
5 years experience in business process definition, requirement definition, solution architecture  
5 years business analysis experience working with large scale enterprise solutions  
5 years experience in software development methodologies (including agile and traditional waterfall)  
5 years experience in working in a cross functional time\-zone distributed team environment  
5 years experience in Java, SOA, J2EE, Object Oriented Programming and Oracle  
Bachelor’s degree in Computer Science, Engineering, or a related technical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
      <c r="A17" t="inlineStr">
        <is>
          <t>in-b76b98b4e793adf6</t>
        </is>
      </c>
      <c r="B17" t="inlineStr">
        <is>
          <t>Software Engineer Developer -</t>
        </is>
      </c>
      <c r="C17" t="inlineStr">
        <is>
          <t>ASRC Federal</t>
        </is>
      </c>
      <c r="D17" t="inlineStr">
        <is>
          <t>indeed</t>
        </is>
      </c>
      <c r="E17" t="inlineStr"/>
      <c r="F17" t="inlineStr"/>
      <c r="G17" t="inlineStr">
        <is>
          <t>Wright-Patterson AFB, OH, US</t>
        </is>
      </c>
      <c r="H17" s="2" t="n">
        <v>46060</v>
      </c>
      <c r="I17"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Software Engineer Developer. This position offers a sign\-on bonus.
As a Software Engineer Developer, your responsibility will be to deploy, configure, and manage a DevSecOps platform as a service for a U.S. Government customer, including certain customizations based on agreed\-upon customer requirements. As part of that management, you are expected to follow an agile\-based delivery approach and manage a backlog of work item tasks outlined by the Microsoft Architect. During delivery, you will be expected to develop the platform solution and deliver it into a classified Microsoft region. After the initial delivery of the DevSecOps platform, you are expected to provide clear documentation for code checked into a Git repository and instructions on how to deploy the platform into a Kubernetes cluster. You will also be required to provide a software bill of materials, including version numbers for platform accreditation. Additionally, you will be required to provide configuration assistance for the customer to integrate the service with their on\-premises network identity store.
By applying to this position, you agree to let ASRC Federal confidentially share your resume with our partner company supporting this contract.
**Responsibilities:**  
* Deploy and manage a DevSecOps platform as a service to a U.S. Government customer along with certain customizations based on agreed to customer requirements.
* Manage a backlog of work item tasks outlined by the Microsoft Architect.
* Provide clear documentation for code checked into a Git repository and instructions on how to deploy the platform into a Kubernetes cluster.
* Develop and maintain Azure infrastructure using Infrastructure as Code (IaC) tools such as Bicep or Terraform.
* Support DevOps pipelines and CI/CD automation.
* Ensure compliance with DoD cybersecurity standards and contribute to ATO documentation.
* Generate software bill of materials and check the artifacts into a common artifact repository such as Jfrog Artifactory and remediate findings discovered by X\-Ray.
* Other duties as assigned
**Requirements:**  
* Must be a US citizen to currently have or be willing to obtain a Department of Defense Secret Clearance.
* Security\+ Certification
* Experience working in a classified Azure Region or delivering software into an AirGapped network.
* Experience deploying Microsoft infrastructure using Terraform or Bicep
* Bachelor’s degree in computer science, Engineering, or related
Field AND 3\+ years leadership experience in relevant area of business OR equivalent experience.
* 6\-8 years demonstrated performance in related technology.
Additional or Preferred Qualifications
* 5\+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18">
      <c r="A18" t="inlineStr">
        <is>
          <t>in-f8c95a19cdb42b5e</t>
        </is>
      </c>
      <c r="B18" t="inlineStr">
        <is>
          <t>Senior Software Engineer Developer - Secret clearance</t>
        </is>
      </c>
      <c r="C18" t="inlineStr">
        <is>
          <t>ASRC Federal</t>
        </is>
      </c>
      <c r="D18" t="inlineStr">
        <is>
          <t>indeed</t>
        </is>
      </c>
      <c r="E18" t="inlineStr"/>
      <c r="F18" t="inlineStr"/>
      <c r="G18" t="inlineStr">
        <is>
          <t>Wright-Patterson AFB, OH, US</t>
        </is>
      </c>
      <c r="H18" s="2" t="n">
        <v>46060</v>
      </c>
      <c r="I18"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Senior Operations \&amp; Maintenance Support. This position offers a sign\-on bonus.
As a Senior Operations \&amp; Maintenance Support you will be responsible for overall administration, operations and maintenance of a classified Azure environment and all associated software including, but not limited to subscription and marketplace management, monitoring end\-to\-end system health, maintenance tasks such as patching, troubleshooting as needed, and automation of deployment, scaling, and monitoring of applications and services. They will also be responsible for maintaining a Windows Active Directory domain and supporting Linux infrastructure in the classified region.
By applying to this position, you agree to let ASRC Federal confidentially share your resume with our partner company supporting this contract.
**Responsibilities:**  
* Support a Linux \&amp; Windows AirGapped environment.
* Troubleshoot systems as needed, and route trouble tickets \&amp; support requests as required to Service Desk.
* Review and automate workload deployments in support of the POX Customers site specific requirements such as enabling the consumption of workloads from collateral and program read on users off the same stack. This person will help automate the configuration and deployment of said solutions and have the code delivered into a USG owned software factory.
* Design, develop, and build an automated CI/CD pipeline to deliver complex software products into a production environment.
* Continue development and maintenance of the automated software build process using tools such as, but not limited to, Docker, Jenkins, Kubernetes, and specific Azure technologies
* Collaborate with internal engineering teams to ensure smooth integration of code into production environment.
* Troubleshoot and resolve issues related to infrastructure, deployment, and automation.
* Implement security best practices and ensure compliance with industry standards.
* Continuously improve and optimize infrastructure and automation processes.
* The ability to be adaptable and to work constructively with a technically diverse team is also crucial.
* A willingness to learn and stay abreast of industry trends is also required.
* Support a cloud hosted DevOps Platform inside of Azure that leverages cloud\-based infrastructure such as Azure Kubernetes Service to support rapid software development.
* Lead, plan, design and implement backlog tasking (e.g. component upgrades, feature request, bug fixes).
* Provide mentorship and technical guidance to junior engineers to solve complex problems.
* Ensure the security controls are implemented correctly.
* Other duties as assigned
**Requirements:**  
* Must be a US citizen to currently have or be willing to obtain a Department of Defense Top Secret/SCI Clearance.
* Advanced technical competency and experience in one or more of the following areas: Active Directory Domain Services, Active Directory Federated Services, Active Directory Certificate Services, Windows Server Update Services, YUM, ACAS Automation, Azure Monitor / Log Analytics, Kubernetes.
* Ability to manage an Airgap Linux update infrastructure on behalf of the customer.
* Ability to submit required documentation in support of a change configuration management process.
* 5\+ years related experience in SCI/SAP environments.
* Bachelor’s degree in computer science, Engineering, Finance, Business, or related
field AND 3\+ years leadership experience in relevant area of business OR equivalent experience.
* 5\-8 years demonstrated performance in related technology.
Additional or Preferred Qualifications
* 5\-8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19">
      <c r="A19" t="inlineStr">
        <is>
          <t>in-42589d90561a09c8</t>
        </is>
      </c>
      <c r="B19" t="inlineStr">
        <is>
          <t>Senior Software Engineer Developer - Secret clearance</t>
        </is>
      </c>
      <c r="C19" t="inlineStr">
        <is>
          <t>ASRC Federal</t>
        </is>
      </c>
      <c r="D19" t="inlineStr">
        <is>
          <t>indeed</t>
        </is>
      </c>
      <c r="E19" t="inlineStr"/>
      <c r="F19" t="inlineStr"/>
      <c r="G19" t="inlineStr">
        <is>
          <t>Dayton, OH, US</t>
        </is>
      </c>
      <c r="H19" s="2" t="n">
        <v>46060</v>
      </c>
      <c r="I19"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Senior Operations \&amp; Maintenance Support. This position offers a sign\-on bonus.
As a Senior Operations \&amp; Maintenance Support you will be responsible for overall administration, operations and maintenance of a classified Azure environment and all associated software including, but not limited to subscription and marketplace management, monitoring end\-to\-end system health, maintenance tasks such as patching, troubleshooting as needed, and automation of deployment, scaling, and monitoring of applications and services. They will also be responsible for maintaining a Windows Active Directory domain and supporting Linux infrastructure in the classified region.
By applying to this position, you agree to let ASRC Federal confidentially share your resume with our partner company supporting this contract.
**Responsibilities:**  
* Support a Linux \&amp; Windows AirGapped environment.
* Troubleshoot systems as needed, and route trouble tickets \&amp; support requests as required to Service Desk.
* Review and automate workload deployments in support of the POX Customers site specific requirements such as enabling the consumption of workloads from collateral and program read on users off the same stack. This person will help automate the configuration and deployment of said solutions and have the code delivered into a USG owned software factory.
* Design, develop, and build an automated CI/CD pipeline to deliver complex software products into a production environment.
* Continue development and maintenance of the automated software build process using tools such as, but not limited to, Docker, Jenkins, Kubernetes, and specific Azure technologies
* Collaborate with internal engineering teams to ensure smooth integration of code into production environment.
* Troubleshoot and resolve issues related to infrastructure, deployment, and automation.
* Implement security best practices and ensure compliance with industry standards.
* Continuously improve and optimize infrastructure and automation processes.
* The ability to be adaptable and to work constructively with a technically diverse team is also crucial.
* A willingness to learn and stay abreast of industry trends is also required.
* Support a cloud hosted DevOps Platform inside of Azure that leverages cloud\-based infrastructure such as Azure Kubernetes Service to support rapid software development.
* Lead, plan, design and implement backlog tasking (e.g. component upgrades, feature request, bug fixes).
* Provide mentorship and technical guidance to junior engineers to solve complex problems.
* Ensure the security controls are implemented correctly.
* Other duties as assigned
**Requirements:**  
* Must be a US citizen to currently have or be willing to obtain a Department of Defense Top Secret/SCI Clearance.
* Advanced technical competency and experience in one or more of the following areas: Active Directory Domain Services, Active Directory Federated Services, Active Directory Certificate Services, Windows Server Update Services, YUM, ACAS Automation, Azure Monitor / Log Analytics, Kubernetes.
* Ability to manage an Airgap Linux update infrastructure on behalf of the customer.
* Ability to submit required documentation in support of a change configuration management process.
* 5\+ years related experience in SCI/SAP environments.
* Bachelor’s degree in computer science, Engineering, Finance, Business, or related
field AND 3\+ years leadership experience in relevant area of business OR equivalent experience.
* 5\-8 years demonstrated performance in related technology.
Additional or Preferred Qualifications
* 5\-8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0">
      <c r="A20" t="inlineStr">
        <is>
          <t>in-f9b5b9880ef6eb3b</t>
        </is>
      </c>
      <c r="B20" t="inlineStr">
        <is>
          <t>Software Engineer Developer -</t>
        </is>
      </c>
      <c r="C20" t="inlineStr">
        <is>
          <t>ASRC Federal</t>
        </is>
      </c>
      <c r="D20" t="inlineStr">
        <is>
          <t>indeed</t>
        </is>
      </c>
      <c r="E20" t="inlineStr"/>
      <c r="F20" t="inlineStr"/>
      <c r="G20" t="inlineStr">
        <is>
          <t>Dayton, OH, US</t>
        </is>
      </c>
      <c r="H20" s="2" t="n">
        <v>46060</v>
      </c>
      <c r="I20"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Software Engineer Developer. This position offers a sign\-on bonus.
As a Software Engineer Developer, your responsibility will be to deploy, configure, and manage a DevSecOps platform as a service for a U.S. Government customer, including certain customizations based on agreed\-upon customer requirements. As part of that management, you are expected to follow an agile\-based delivery approach and manage a backlog of work item tasks outlined by the Microsoft Architect. During delivery, you will be expected to develop the platform solution and deliver it into a classified Microsoft region. After the initial delivery of the DevSecOps platform, you are expected to provide clear documentation for code checked into a Git repository and instructions on how to deploy the platform into a Kubernetes cluster. You will also be required to provide a software bill of materials, including version numbers for platform accreditation. Additionally, you will be required to provide configuration assistance for the customer to integrate the service with their on\-premises network identity store.
By applying to this position, you agree to let ASRC Federal confidentially share your resume with our partner company supporting this contract.
**Responsibilities:**  
* Deploy and manage a DevSecOps platform as a service to a U.S. Government customer along with certain customizations based on agreed to customer requirements.
* Manage a backlog of work item tasks outlined by the Microsoft Architect.
* Provide clear documentation for code checked into a Git repository and instructions on how to deploy the platform into a Kubernetes cluster.
* Develop and maintain Azure infrastructure using Infrastructure as Code (IaC) tools such as Bicep or Terraform.
* Support DevOps pipelines and CI/CD automation.
* Ensure compliance with DoD cybersecurity standards and contribute to ATO documentation.
* Generate software bill of materials and check the artifacts into a common artifact repository such as Jfrog Artifactory and remediate findings discovered by X\-Ray.
* Other duties as assigned
**Requirements:**  
* Must be a US citizen to currently have or be willing to obtain a Department of Defense Secret Clearance.
* Security\+ Certification
* Experience working in a classified Azure Region or delivering software into an AirGapped network.
* Experience deploying Microsoft infrastructure using Terraform or Bicep
* Bachelor’s degree in computer science, Engineering, or related
Field AND 3\+ years leadership experience in relevant area of business OR equivalent experience.
* 6\-8 years demonstrated performance in related technology.
Additional or Preferred Qualifications
* 5\+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1">
      <c r="A21" t="inlineStr">
        <is>
          <t>in-6a262012a1140b0a</t>
        </is>
      </c>
      <c r="B21" t="inlineStr">
        <is>
          <t>Software Developer</t>
        </is>
      </c>
      <c r="C21" t="inlineStr">
        <is>
          <t>Oracle</t>
        </is>
      </c>
      <c r="D21" t="inlineStr">
        <is>
          <t>indeed</t>
        </is>
      </c>
      <c r="E21" t="inlineStr"/>
      <c r="F21" t="inlineStr"/>
      <c r="G21" t="inlineStr">
        <is>
          <t>US</t>
        </is>
      </c>
      <c r="H21" s="2" t="n">
        <v>46059</v>
      </c>
      <c r="I21" t="inlineStr">
        <is>
          <t>The Strategic Customers, Engineering team (SCE) at OCI is tasked with managing the relationships with some of our most significant customers, who are the key drivers of our revenue. In response to rapid market growth across Cloud Native businesses in APAC, we are establishing the APAC Strategic Pursuits team to guide Oracle’s largest and high growth cloud opportunities to success. As the principal solution architects in this team, you will be helping the most strategic customers in the region with solving technical challenges with OCI.
**Job Description**
* Serve as the technical interface and owner for bringing tech solutions to strategic customers, through t he strong and close partnership with TPMs, customer engineers, and OCI back\-end services and infra teams.
* Identify and address key technical blockers. Own the strategy and the execution with back end service and capacity teams that is focused on customer excellence.
* Be the voice of customers to Oracle’s various cloud engineering teams, while also speaking of the product view when addressing customer’s demand with front end teams and earn trust from service teams.
* Facilitating conversations between back end teams with customers, bridging both the technology barriers, as well as the language and culture barrier.
* Working hours are flexible but having after hours meetings occasionally with APAC audiences
**Required Skills \&amp; Experience:**
* Bachelor’s degree in computer science, Information Technology, or related field (or equivalent experience), with 10year of experience architecting and implementing solutions on major CSPs.
* In depth knowledge with cloud native business architecture and hands\-on in Cloud migration projects and AI infrastructure. Understanding of cloud security, compliance, and governance principles.
* Customer centric with strong ownership.
* Proactive, self\-starter attitude with strong problem\-solving capabilities.
* Collaborative team player, dedicated to serving business needs and empowering the sales team to win from competitions.
* Ability to create detailed customer engagement plans to keep up with the high velocity of features being delivered on the platform
Excellent communication and presentation skills. Fluent in Mandarin and English (both spoken and written).  
* 
**Preferred Qualifications:**
* 3year experience in customer facing roles such as solution architect, pre\-sales or TAM.
* Experience with GPU and AI infra is a strong plus.
* Familiar with the competition landscape and major providers’ offerings.
Stay current on OCI platform enhancements, industry trends, and emerging technologies. Able to write tech blogs and represent OCI in executive\-level customer meetings, industry events, and strategic forums in the Cloud and AI Infra ecosystem.  
* 
**Why Join Us?**
* Be at the forefront of driving Oracle’s cloud growth strategy in APAC
* Shape the direction and success of Oracle’s largest opportunities outside the US.
* Collaborate with an elite team in a fast\-paced, growth\-oriented environment.
* Take on a strategic and highly impactful role visible to OCI leadership.
* Exposure to cutting\-edge cloud and AI infra technologies.</t>
        </is>
      </c>
    </row>
    <row r="22">
      <c r="A22" t="inlineStr">
        <is>
          <t>in-982707eeb052a81d</t>
        </is>
      </c>
      <c r="B22" t="inlineStr">
        <is>
          <t>Senior Software Engineer</t>
        </is>
      </c>
      <c r="C22" t="inlineStr">
        <is>
          <t>Microsoft</t>
        </is>
      </c>
      <c r="D22" t="inlineStr">
        <is>
          <t>indeed</t>
        </is>
      </c>
      <c r="E22" t="inlineStr"/>
      <c r="F22" t="inlineStr"/>
      <c r="G22" t="inlineStr">
        <is>
          <t>US</t>
        </is>
      </c>
      <c r="H22" s="2" t="n">
        <v>46057</v>
      </c>
      <c r="I2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 fully managed, open source, MongoDB compatible document database service designed for modern, cloud native applications. Built on the open source DocumentDB engine and backed by the power of Azure, it delivers predictable low latency performance, flexible data modeling and seamless horizontal, vertical, and storage scaling.  
We are hiring a Senior Softwae Engineer with deep expertise in database internals and systems design to help extend PostgreSQL to power large scale document workloads. As part of the DocumentDB engine team, you will design and develop foundational features across the query, indexing subsystem and storage layer to power mission critical workloads running on Azure.
We do not just value differences or different perspectives. We seek them out and invite them in so we can tap into the collective power of everyone in the company. As a result, our customers are better served.
 **Responsibilities**  
* Lead deep work on PostgreSQL internals (index access methods, operator classes) to design, implement and evolve indexing strategies for largescale unstructured / semi\-structured data.
* Extend PostgreSQL’s query engine by analyzing execution plans, introducing BSON aware operators, custom scan nodes and new cursor/continuation semantics to match NoSQL query needs and ensure efficient execution at scale.
* Design and tune index pruning strategies that keep large tables and indexes lean without regressing query performance.
* Collaborate across the PostgreSQL, MongoDB, and Linux Foundation hosted DocumentDB communities to share vision, align on roadmap priorities, and contribute features that advance the open source DocumentDB engine.
* Profile and analyze distributed system to identify performance bottlenecks.
* Conduct and participate in design/code reviews and help shape and steer the team coding guidelines.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internals of PostgreSQL or similar Enterprise Database Management system, including Storage Engine and High Availability.
* Experience building Distributed Systems with strong guarantees.
* 2\+ years of experience in designing, developing and shipping system level features in a large\-scale cloud application or a backend distributed system.
* 2\+ years of experience developing and maintaining high\-performance libraries or software engineering with a focus on large distributed systems involving concurrency, storage systems or databases.
\#azdat \#azuredata \#documentdb \#postgresql \#postgres \#databases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3">
      <c r="A23" t="inlineStr">
        <is>
          <t>in-7850a4a650672594</t>
        </is>
      </c>
      <c r="B23" t="inlineStr">
        <is>
          <t>Principal Software Engineer</t>
        </is>
      </c>
      <c r="C23" t="inlineStr">
        <is>
          <t>Microsoft</t>
        </is>
      </c>
      <c r="D23" t="inlineStr">
        <is>
          <t>indeed</t>
        </is>
      </c>
      <c r="E23" t="inlineStr"/>
      <c r="F23" t="inlineStr"/>
      <c r="G23" t="inlineStr">
        <is>
          <t>US</t>
        </is>
      </c>
      <c r="H23" s="2" t="n">
        <v>46057</v>
      </c>
      <c r="I23"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DocumentDB is a fully managed, open source, MongoDB compatible document database service designed for modern, cloud native applications. Built on the open source DocumentDB engine and backed by the power of Azure, it delivers predictable low latency performance, flexible data modeling and seamless horizontal, vertical, and storage scaling.
We are hiring a Principal Software Engineer with deep expertise in database internals and systems design to help extend PostgreSQL to power large scale document workloads. As part of the DocumentDB engine team, you will design and develop foundational features across the query, indexing subsystem and storage layer to power mission critical workloads running on Azure.
We do not just value differences or different perspectives. We seek them out and invite them in so we can tap into the collective power of everyone in the company. As a result, our customers are better served.
 **Responsibilities**  
* Lead deep work on PostgreSQL internals (index access methods, operator classes) to design, implement and evolve indexing strategies for largescale unstructured / semi\-structured data.
* Extend PostgreSQL’s query engine by analyzing execution plans, introducing BSON aware operators, custom scan nodes and new cursor/continuation semantics to match NoSQL query needs and ensure efficient execution at scale.
* Design and tune index pruning strategies that keep large tables and indexes lean without regressing query performance.
* Collaborate across the PostgreSQL, MongoDB, and Linux Foundation hosted DocumentDB communities to share vision, align on roadmap priorities, and contribute features that advance the open source DocumentDB engine.
* Profile and analyze distributed system to identify performance bottlenecks.
* Work across team and organizational boundaries to drive clarity and alignment.
* Conduct and participate in design/code reviews and help shape and steer the team coding guidelines.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Experience with internals of PostgreSQL or similar Enterprise Database Management system, including Storage Engine and High Availability.
* Experience building Distributed Systems with strong guarantees.
* 5\+ years of experience in designing, developing and shipping system level features in a large\-scale cloud application or a backend distributed system.
	+ OR 3\+ years of experience developing and maintaining high\-performance libraries or software engineering with a focus on large distributed systems involving concurrency, storage systems or databases.
\#azdat \#azuredata \#documentdb \#postgresql \#postgres \#databases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
      <c r="A24" t="inlineStr">
        <is>
          <t>in-dd195079e957d545</t>
        </is>
      </c>
      <c r="B24" t="inlineStr">
        <is>
          <t>Senior Software Engineer</t>
        </is>
      </c>
      <c r="C24" t="inlineStr">
        <is>
          <t>Microsoft</t>
        </is>
      </c>
      <c r="D24" t="inlineStr">
        <is>
          <t>indeed</t>
        </is>
      </c>
      <c r="E24" t="inlineStr"/>
      <c r="F24" t="inlineStr"/>
      <c r="G24" t="inlineStr">
        <is>
          <t>US</t>
        </is>
      </c>
      <c r="H24" s="2" t="n">
        <v>46055</v>
      </c>
      <c r="I24"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 integration team builds data gravity on the Microsoft Cloud. Massive volumes of data are generated – not just from transactional systems of record, but also from the world around us. Our data integration products – Azure Data Factory and Power Query make it easy for customers to bring in, clean, shape, and join data, to extract intelligence.
The DataMovementMetadataService and Gateway team within Azure Data Integration is hiring a senior software engineer. Our team builds and maintains a critical cloud service which manages all the customer's cloud and on premises data source connections and credentials for PowerBI and Microsoft Fabric. This is a worldwide deployed service with over 10M MAU.
We do not just value differences or different perspectives. We seek them out and invite them in so we can tap into the collective power of everyone in the company. As a result, our customers are better served.
 **Responsibilities**  
* Develop AI‑native capabilities that enhance product functionality
* Write clean, efficient, and well‑structured code
* Design scalable systems and software components
* Champion engineering excellence through testing, code reviews, and quality standards
* Implement end‑to‑end features in collaboration with product and program partners
* Deploy services reliably using modern DevOps practices
* Maintain and support production systems to ensure reliability
* Understand user requirements and translate them into actionable engineering work
* Embody our culture and values
**Qualifications** **Required Qualifications:**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5\+ years experience of developing web services using C\#
* 5\+ years experience of using T\-SQL
* Extensive experience of using ARM (Azure Resource Manager)
* Extensive experience of using EV2 deployment
* Experience of developing and running large scale Azure SaaS service
\#azdat
\#azuredata
**\#dataintegration**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5">
      <c r="A25" t="inlineStr">
        <is>
          <t>in-f89474fdcd004b72</t>
        </is>
      </c>
      <c r="B25" t="inlineStr">
        <is>
          <t>Senior Fullstack Engineer, Payments</t>
        </is>
      </c>
      <c r="C25" t="inlineStr">
        <is>
          <t>Germain Hotels</t>
        </is>
      </c>
      <c r="D25" t="inlineStr">
        <is>
          <t>indeed</t>
        </is>
      </c>
      <c r="E25" t="inlineStr"/>
      <c r="F25" t="inlineStr"/>
      <c r="G25" t="inlineStr">
        <is>
          <t>New York, NY, US</t>
        </is>
      </c>
      <c r="H25" s="2" t="n">
        <v>46060</v>
      </c>
      <c r="I25"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We're looking for a Senior Fullstack Engineer who wants to build the financial engine of our platform. You're not just building a checkout flow; you're **powering the liquidity** that makes this marketplace work. You'll join a high\-impact team responsible for our custom double\-entry ledger, payment provider integrations, and our core lending products.
If you have a "measure twice, cut once" mindset for backend integrity but still move with a bias toward action on the frontend, you'll thrive here.
### **What You'll Do Here:**
* **Engineer Financial Integrity:** Build and maintain our custom\-built double\-entry ledger system to ensure every cent is accounted for across the platform.
* **Own Lending Infrastructure:** Design and scale our lending products—from the logic of credit disbursements to the automated lifecycle of loan management.
* **Architect Integrations:** Design and implement robust integrations with payment gateways and banking partners, ensuring 99\.99% reliability and seamless reconciliation.
* **Own the UX of Money:** Create high\-trust user interfaces for payments and lending that make complex financial actions feel simple, transparent, and secure.
* **Balance Rigor with Speed:** Make thoughtful trade\-offs between rapid feature shipping and the uncompromising correctness required for financial systems.
* **Be a Multiplier:** Level up the team through rigorous code reviews, technical documentation, and mentorship.
### **This is a perfect fit if you…**
* **Are Obsessed with Correctness:** You understand that in payments, "mostly working" is a failure. You think deeply about idempotency, race conditions, and data consistency.
* **Think Like a Product Owner:** You don't just build a "pay button"; you understand the flow of funds and how to communicate financial status clearly to the user.
* **Love Building Infrastructure:** You're energized by the challenge of building a ledger or a lending engine from the ground up.
* **Are Pragmatic:** You know when to build a custom internal solution and when to leverage a third\-party API to get the job done.
### **What You Bring to the Table:**
* **5\+ years of experience** with a heavy focus on backend systems (Python, Postgres, AWS) and a proven ability to build modern frontends (React, TypeScript).
* **Fintech or Payments experience:** You've worked with ledgers, payment processors, or lending products and understand the complexities of moving money.
* **Database Mastery:** You are an expert in SQL and relational database design—you know how to write a transaction that won't fail under load.
* **Fullstack Ownership:** A track record of taking a complex financial feature from a technical design doc all the way to a polished UI in production.
* **Bonus:** Experience with distributed systems, credit/risk modeling, or the alternative asset space.
###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26">
      <c r="A26" t="inlineStr">
        <is>
          <t>in-3e9edcd21ad67528</t>
        </is>
      </c>
      <c r="B26" t="inlineStr">
        <is>
          <t>Software Engineer I</t>
        </is>
      </c>
      <c r="C26" t="inlineStr">
        <is>
          <t>Amazon.com</t>
        </is>
      </c>
      <c r="D26" t="inlineStr">
        <is>
          <t>indeed</t>
        </is>
      </c>
      <c r="E26" t="inlineStr"/>
      <c r="F26" t="inlineStr"/>
      <c r="G26" t="inlineStr">
        <is>
          <t>Irvine, CA, US</t>
        </is>
      </c>
      <c r="H26" s="2"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in-37f5aa9eafa9a1cc</t>
        </is>
      </c>
      <c r="B27" t="inlineStr">
        <is>
          <t>Software Engineer I</t>
        </is>
      </c>
      <c r="C27" t="inlineStr">
        <is>
          <t>Amazon.com</t>
        </is>
      </c>
      <c r="D27" t="inlineStr">
        <is>
          <t>indeed</t>
        </is>
      </c>
      <c r="E27" t="inlineStr"/>
      <c r="F27" t="inlineStr"/>
      <c r="G27" t="inlineStr">
        <is>
          <t>Seattle, WA, US</t>
        </is>
      </c>
      <c r="H27" s="2" t="n">
        <v>46006</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in-b37bb04cb57a3ae8</t>
        </is>
      </c>
      <c r="B28" t="inlineStr">
        <is>
          <t>Software Engineer I</t>
        </is>
      </c>
      <c r="C28" t="inlineStr">
        <is>
          <t>Amazon.com</t>
        </is>
      </c>
      <c r="D28" t="inlineStr">
        <is>
          <t>indeed</t>
        </is>
      </c>
      <c r="E28" t="inlineStr"/>
      <c r="F28" t="inlineStr"/>
      <c r="G28" t="inlineStr">
        <is>
          <t>San Francisco, CA, US</t>
        </is>
      </c>
      <c r="H28" s="2" t="n">
        <v>46006</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in-2f8557eb7bb52554</t>
        </is>
      </c>
      <c r="B29" t="inlineStr">
        <is>
          <t>Software Engineer I</t>
        </is>
      </c>
      <c r="C29" t="inlineStr">
        <is>
          <t>Amazon.com</t>
        </is>
      </c>
      <c r="D29" t="inlineStr">
        <is>
          <t>indeed</t>
        </is>
      </c>
      <c r="E29" t="inlineStr"/>
      <c r="F29" t="inlineStr"/>
      <c r="G29" t="inlineStr">
        <is>
          <t>San Francisco, CA, US</t>
        </is>
      </c>
      <c r="H29" s="2" t="n">
        <v>45946</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in-9864dcd9250f28c5</t>
        </is>
      </c>
      <c r="B30" t="inlineStr">
        <is>
          <t>Software Engineer I</t>
        </is>
      </c>
      <c r="C30" t="inlineStr">
        <is>
          <t>Amazon.com</t>
        </is>
      </c>
      <c r="D30" t="inlineStr">
        <is>
          <t>indeed</t>
        </is>
      </c>
      <c r="E30" t="inlineStr"/>
      <c r="F30" t="inlineStr"/>
      <c r="G30" t="inlineStr">
        <is>
          <t>Irvine, CA, US</t>
        </is>
      </c>
      <c r="H30" s="2" t="n">
        <v>45946</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in-5c16fd34687eda54</t>
        </is>
      </c>
      <c r="B31" t="inlineStr">
        <is>
          <t>Software Engineer II</t>
        </is>
      </c>
      <c r="C31" t="inlineStr">
        <is>
          <t>Amazon.com</t>
        </is>
      </c>
      <c r="D31" t="inlineStr">
        <is>
          <t>indeed</t>
        </is>
      </c>
      <c r="E31" t="inlineStr"/>
      <c r="F31" t="inlineStr"/>
      <c r="G31" t="inlineStr">
        <is>
          <t>Irvine, CA, US</t>
        </is>
      </c>
      <c r="H31" s="2" t="n">
        <v>45938</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in-ab1b009dc4a38254</t>
        </is>
      </c>
      <c r="B32" t="inlineStr">
        <is>
          <t>Software Engineer II</t>
        </is>
      </c>
      <c r="C32" t="inlineStr">
        <is>
          <t>Amazon.com</t>
        </is>
      </c>
      <c r="D32" t="inlineStr">
        <is>
          <t>indeed</t>
        </is>
      </c>
      <c r="E32" t="inlineStr"/>
      <c r="F32" t="inlineStr"/>
      <c r="G32" t="inlineStr">
        <is>
          <t>San Francisco, CA, US</t>
        </is>
      </c>
      <c r="H32" s="2" t="n">
        <v>45938</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in-dd65801b13759eca</t>
        </is>
      </c>
      <c r="B33" t="inlineStr">
        <is>
          <t>Software Engineer II</t>
        </is>
      </c>
      <c r="C33" t="inlineStr">
        <is>
          <t>Amazon.com</t>
        </is>
      </c>
      <c r="D33" t="inlineStr">
        <is>
          <t>indeed</t>
        </is>
      </c>
      <c r="E33" t="inlineStr"/>
      <c r="F33" t="inlineStr"/>
      <c r="G33" t="inlineStr">
        <is>
          <t>Irvine, CA, US</t>
        </is>
      </c>
      <c r="H33" s="2" t="n">
        <v>45938</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in-d820807bc064f827</t>
        </is>
      </c>
      <c r="B34" t="inlineStr">
        <is>
          <t>Software Engineer II</t>
        </is>
      </c>
      <c r="C34" t="inlineStr">
        <is>
          <t>Amazon.com</t>
        </is>
      </c>
      <c r="D34" t="inlineStr">
        <is>
          <t>indeed</t>
        </is>
      </c>
      <c r="E34" t="inlineStr"/>
      <c r="F34" t="inlineStr"/>
      <c r="G34" t="inlineStr">
        <is>
          <t>Culver City, CA, US</t>
        </is>
      </c>
      <c r="H34" s="2" t="n">
        <v>45938</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in-6e882eb36660a57a</t>
        </is>
      </c>
      <c r="B35" t="inlineStr">
        <is>
          <t>Software Engineer II</t>
        </is>
      </c>
      <c r="C35" t="inlineStr">
        <is>
          <t>Amazon.com</t>
        </is>
      </c>
      <c r="D35" t="inlineStr">
        <is>
          <t>indeed</t>
        </is>
      </c>
      <c r="E35" t="inlineStr"/>
      <c r="F35" t="inlineStr"/>
      <c r="G35" t="inlineStr">
        <is>
          <t>San Francisco, CA, US</t>
        </is>
      </c>
      <c r="H35" s="2" t="n">
        <v>45938</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in-eff010b895a31ac7</t>
        </is>
      </c>
      <c r="B36" t="inlineStr">
        <is>
          <t>Sr Software Engineer</t>
        </is>
      </c>
      <c r="C36" t="inlineStr">
        <is>
          <t>Amazon.com</t>
        </is>
      </c>
      <c r="D36" t="inlineStr">
        <is>
          <t>indeed</t>
        </is>
      </c>
      <c r="E36" t="inlineStr"/>
      <c r="F36" t="inlineStr"/>
      <c r="G36" t="inlineStr">
        <is>
          <t>San Francisco, CA, US</t>
        </is>
      </c>
      <c r="H36" s="2" t="n">
        <v>45921</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in-296bfc108f5be780</t>
        </is>
      </c>
      <c r="B37" t="inlineStr">
        <is>
          <t>Sr Software Engineer</t>
        </is>
      </c>
      <c r="C37" t="inlineStr">
        <is>
          <t>Amazon.com</t>
        </is>
      </c>
      <c r="D37" t="inlineStr">
        <is>
          <t>indeed</t>
        </is>
      </c>
      <c r="E37" t="inlineStr"/>
      <c r="F37" t="inlineStr"/>
      <c r="G37" t="inlineStr">
        <is>
          <t>Irvine, CA, US</t>
        </is>
      </c>
      <c r="H37" s="2" t="n">
        <v>45921</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in-badc2f6ee0f1ab95</t>
        </is>
      </c>
      <c r="B38" t="inlineStr">
        <is>
          <t>Software Engineer II</t>
        </is>
      </c>
      <c r="C38" t="inlineStr">
        <is>
          <t>Amazon.com</t>
        </is>
      </c>
      <c r="D38" t="inlineStr">
        <is>
          <t>indeed</t>
        </is>
      </c>
      <c r="E38" t="inlineStr"/>
      <c r="F38" t="inlineStr"/>
      <c r="G38" t="inlineStr">
        <is>
          <t>Irvine, CA, US</t>
        </is>
      </c>
      <c r="H38" s="2" t="n">
        <v>45921</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in-fd8c556bee926514</t>
        </is>
      </c>
      <c r="B39" t="inlineStr">
        <is>
          <t>Software Engineer II</t>
        </is>
      </c>
      <c r="C39" t="inlineStr">
        <is>
          <t>Amazon.com</t>
        </is>
      </c>
      <c r="D39" t="inlineStr">
        <is>
          <t>indeed</t>
        </is>
      </c>
      <c r="E39" t="inlineStr"/>
      <c r="F39" t="inlineStr"/>
      <c r="G39" t="inlineStr">
        <is>
          <t>San Francisco, CA, US</t>
        </is>
      </c>
      <c r="H39" s="2" t="n">
        <v>45921</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in-eaf787d0f2901386</t>
        </is>
      </c>
      <c r="B40" t="inlineStr">
        <is>
          <t>Software Engineer I- Ad Demand</t>
        </is>
      </c>
      <c r="C40" t="inlineStr">
        <is>
          <t>Amazon.com</t>
        </is>
      </c>
      <c r="D40" t="inlineStr">
        <is>
          <t>indeed</t>
        </is>
      </c>
      <c r="E40" t="inlineStr"/>
      <c r="F40" t="inlineStr"/>
      <c r="G40" t="inlineStr">
        <is>
          <t>San Francisco, CA, US</t>
        </is>
      </c>
      <c r="H40" s="2" t="n">
        <v>45908</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in-21b06de830ec6392</t>
        </is>
      </c>
      <c r="B41" t="inlineStr">
        <is>
          <t>Software Engineer I- Ad Demand</t>
        </is>
      </c>
      <c r="C41" t="inlineStr">
        <is>
          <t>Amazon.com</t>
        </is>
      </c>
      <c r="D41" t="inlineStr">
        <is>
          <t>indeed</t>
        </is>
      </c>
      <c r="E41" t="inlineStr"/>
      <c r="F41" t="inlineStr"/>
      <c r="G41" t="inlineStr">
        <is>
          <t>New York, NY, US</t>
        </is>
      </c>
      <c r="H41" s="2" t="n">
        <v>45908</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in-68b3c6fa3aac2f0c</t>
        </is>
      </c>
      <c r="B42" t="inlineStr">
        <is>
          <t>Manager, Digital Software Engineering</t>
        </is>
      </c>
      <c r="C42" t="inlineStr">
        <is>
          <t>Harley-Davidson, Inc.</t>
        </is>
      </c>
      <c r="D42" t="inlineStr">
        <is>
          <t>indeed</t>
        </is>
      </c>
      <c r="E42" t="inlineStr"/>
      <c r="F42" t="inlineStr"/>
      <c r="G42" t="inlineStr">
        <is>
          <t>Milwaukee, WI, US</t>
        </is>
      </c>
      <c r="H42" s="2" t="n">
        <v>46060</v>
      </c>
      <c r="I42" t="inlineStr">
        <is>
          <t>**Auto req ID: 46057**  
**Title: Manager, Digital Software Engineering**  
**Job Function: Digital**  
**Location: JUNEAU**  
**Workplace Category:Onsite**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Harley\-Davidson Motor Company, founded in a humble Milwaukee backyard shed in 1903, still calls the city home. Today, its Corporate Campus includes a 4\.8\-acre public park—a welcoming greenspace open to all. Join our team as a Mgr Digital Software Engineering.
Job Summary
Reporting to the Director of Software Engineering, the Manager of Digital Software Engineering will help to lead the digital software engineering team for Harley\-Davidson across our Omnichannel initiatives. The Manager of Software Engineering will hire and lead new talent into HD, including data engineers, DevOps, and other digital (Software) engineering professionals.
Job Responsibilities
* Define technical requirements and systems architecture with clarity on feasibility, time, cost, and impact
* Attract and retain a team of high\-performing engineers
* Establish an engineering culture emphasizing innovation, growth, and development
* Ensure all internal processes and external services comply with security and privacy regulations
* Define and implement a consistent and repeatable process for quality assurance across all areas of the organization and product build
* Identify opportunities and challenges in the marketplace, with constant evaluation of technological advancements and innovation to mitigate impediments and drive success.
* Understand software delivery in a startup environment, balanced with the rigor needed for sustainable and maintainable products.
Education Requirements
* Bachelor's Degree Required
Education Specifications
* A Bachelor’s degree from an accredited educational institution in a technical discipline (Computer Science, Electrical Engineering) – M.S. or other advanced degree preferred
Experience Requirements
* 10\+ years architecting \&amp; building products from pre\-launch through maturity
* 5\+ years in an Engineering Management role with experience in launching digital products.
* 5\+ years leading Software Engineering team
* Experience scaling products, overseeing their build from MVP to mass scale
* Experience with building service\-based architecture, including the use of micro services frameworks
* Good understanding of application security and regulatory compliance
* Demonstrated experience managing content within CMS platforms, ideally Contentful
* Strong knowledge of DevOps and cloud infrastructure services (Azure, AWS, etc.)
* Strong analytical and problem\-solving skills \- including requirements analysis, debugging, and risk assessment.
* Hands\-on skills in one or more object\-oriented programming languages (Java/J2EE preferred)
* Knowledge of AEM, Headless E\-commerce, Java, Node.JS, REST, JSON, HTTP, DevOps tool chains a plus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Yes**  
**Travel Required: 0 \- 10%**  
**Pay Range: 126,000\- 201,000**  
**Visa Sponsorship: This position is not eligible for visa sponsorship or visa transfer**  
**Relocation: This position is eligible for domestic relocation assistance (within posted country)**</t>
        </is>
      </c>
    </row>
    <row r="43">
      <c r="A43" t="inlineStr">
        <is>
          <t>in-1f392d6feb90dd0b</t>
        </is>
      </c>
      <c r="B43" t="inlineStr">
        <is>
          <t>Senior Software Engineer, Twitch</t>
        </is>
      </c>
      <c r="C43" t="inlineStr">
        <is>
          <t>Amazon.com</t>
        </is>
      </c>
      <c r="D43" t="inlineStr">
        <is>
          <t>indeed</t>
        </is>
      </c>
      <c r="E43" t="inlineStr"/>
      <c r="F43" t="inlineStr"/>
      <c r="G43" t="inlineStr">
        <is>
          <t>San Francisco, CA, US</t>
        </is>
      </c>
      <c r="H43" s="2" t="n">
        <v>45995</v>
      </c>
      <c r="I4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in-850ca38f941bef97</t>
        </is>
      </c>
      <c r="B44" t="inlineStr">
        <is>
          <t>Senior Software Engineer, Twitch</t>
        </is>
      </c>
      <c r="C44" t="inlineStr">
        <is>
          <t>Amazon.com</t>
        </is>
      </c>
      <c r="D44" t="inlineStr">
        <is>
          <t>indeed</t>
        </is>
      </c>
      <c r="E44" t="inlineStr"/>
      <c r="F44" t="inlineStr"/>
      <c r="G44" t="inlineStr">
        <is>
          <t>Seattle, WA, US</t>
        </is>
      </c>
      <c r="H44" s="2" t="n">
        <v>45995</v>
      </c>
      <c r="I4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in-ed47c2de5da04885</t>
        </is>
      </c>
      <c r="B45" t="inlineStr">
        <is>
          <t>Sr. Software Engineer, Manager</t>
        </is>
      </c>
      <c r="C45" t="inlineStr">
        <is>
          <t>Amazon.com</t>
        </is>
      </c>
      <c r="D45" t="inlineStr">
        <is>
          <t>indeed</t>
        </is>
      </c>
      <c r="E45" t="inlineStr"/>
      <c r="F45" t="inlineStr"/>
      <c r="G45" t="inlineStr">
        <is>
          <t>Irvine, CA, US</t>
        </is>
      </c>
      <c r="H45" s="2" t="n">
        <v>46006</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46">
      <c r="A46" t="inlineStr">
        <is>
          <t>in-b4fabac021242096</t>
        </is>
      </c>
      <c r="B46" t="inlineStr">
        <is>
          <t>Sr. Software Engineer, Manager</t>
        </is>
      </c>
      <c r="C46" t="inlineStr">
        <is>
          <t>Amazon.com</t>
        </is>
      </c>
      <c r="D46" t="inlineStr">
        <is>
          <t>indeed</t>
        </is>
      </c>
      <c r="E46" t="inlineStr"/>
      <c r="F46" t="inlineStr"/>
      <c r="G46" t="inlineStr">
        <is>
          <t>Culver City, CA, US</t>
        </is>
      </c>
      <c r="H46" s="2" t="n">
        <v>46006</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47">
      <c r="A47" t="inlineStr">
        <is>
          <t>in-ba14bc084a12826d</t>
        </is>
      </c>
      <c r="B47" t="inlineStr">
        <is>
          <t>Sr. Software Engineer, Manager</t>
        </is>
      </c>
      <c r="C47" t="inlineStr">
        <is>
          <t>Amazon.com</t>
        </is>
      </c>
      <c r="D47" t="inlineStr">
        <is>
          <t>indeed</t>
        </is>
      </c>
      <c r="E47" t="inlineStr"/>
      <c r="F47" t="inlineStr"/>
      <c r="G47" t="inlineStr">
        <is>
          <t>New York, NY, US</t>
        </is>
      </c>
      <c r="H47" s="2" t="n">
        <v>46006</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48">
      <c r="A48" t="inlineStr">
        <is>
          <t>in-6a60348c9a7733e7</t>
        </is>
      </c>
      <c r="B48" t="inlineStr">
        <is>
          <t>Sr. Software Engineer, Manager</t>
        </is>
      </c>
      <c r="C48" t="inlineStr">
        <is>
          <t>Amazon.com</t>
        </is>
      </c>
      <c r="D48" t="inlineStr">
        <is>
          <t>indeed</t>
        </is>
      </c>
      <c r="E48" t="inlineStr"/>
      <c r="F48" t="inlineStr"/>
      <c r="G48" t="inlineStr">
        <is>
          <t>Seattle, WA, US</t>
        </is>
      </c>
      <c r="H48" s="2" t="n">
        <v>46006</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49">
      <c r="A49" t="inlineStr">
        <is>
          <t>in-10f93b69d80dcd22</t>
        </is>
      </c>
      <c r="B49" t="inlineStr">
        <is>
          <t>Sr. Software Engineer, Manager</t>
        </is>
      </c>
      <c r="C49" t="inlineStr">
        <is>
          <t>Amazon.com</t>
        </is>
      </c>
      <c r="D49" t="inlineStr">
        <is>
          <t>indeed</t>
        </is>
      </c>
      <c r="E49" t="inlineStr"/>
      <c r="F49" t="inlineStr"/>
      <c r="G49" t="inlineStr">
        <is>
          <t>San Francisco, CA, US</t>
        </is>
      </c>
      <c r="H49" s="2" t="n">
        <v>46006</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50">
      <c r="A50" t="inlineStr">
        <is>
          <t>in-3d35448365330902</t>
        </is>
      </c>
      <c r="B50" t="inlineStr">
        <is>
          <t>Sr. Software Engineer (ML), AGI Foundations</t>
        </is>
      </c>
      <c r="C50" t="inlineStr">
        <is>
          <t>Amazon.com</t>
        </is>
      </c>
      <c r="D50" t="inlineStr">
        <is>
          <t>indeed</t>
        </is>
      </c>
      <c r="E50" t="inlineStr"/>
      <c r="F50" t="inlineStr"/>
      <c r="G50" t="inlineStr">
        <is>
          <t>Bellevue, WA, US</t>
        </is>
      </c>
      <c r="H50" s="2" t="n">
        <v>45803</v>
      </c>
      <c r="I5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51">
      <c r="A51" t="inlineStr">
        <is>
          <t>in-db5de60e6f2ff272</t>
        </is>
      </c>
      <c r="B51" t="inlineStr">
        <is>
          <t>Sr. Software Engineer (ML), AGI Foundations</t>
        </is>
      </c>
      <c r="C51" t="inlineStr">
        <is>
          <t>Amazon.com</t>
        </is>
      </c>
      <c r="D51" t="inlineStr">
        <is>
          <t>indeed</t>
        </is>
      </c>
      <c r="E51" t="inlineStr"/>
      <c r="F51" t="inlineStr"/>
      <c r="G51" t="inlineStr">
        <is>
          <t>Sunnyvale, CA, US</t>
        </is>
      </c>
      <c r="H51" s="2" t="n">
        <v>45803</v>
      </c>
      <c r="I5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52">
      <c r="A52" t="inlineStr">
        <is>
          <t>in-0c7f74e98df71871</t>
        </is>
      </c>
      <c r="B52" t="inlineStr">
        <is>
          <t>Software Engineer- AI/ML, AWS Neuron Distributed Training</t>
        </is>
      </c>
      <c r="C52" t="inlineStr">
        <is>
          <t>Amazon Web Services</t>
        </is>
      </c>
      <c r="D52" t="inlineStr">
        <is>
          <t>indeed</t>
        </is>
      </c>
      <c r="E52" t="inlineStr"/>
      <c r="F52" t="inlineStr"/>
      <c r="G52" t="inlineStr">
        <is>
          <t>Cupertino, CA, US</t>
        </is>
      </c>
      <c r="H52" s="2" t="n">
        <v>45727</v>
      </c>
      <c r="I5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in-27f88e722ef8afcc</t>
        </is>
      </c>
      <c r="B53" t="inlineStr">
        <is>
          <t>Software Engineer- AI/ML, AWS Neuron Distributed Training</t>
        </is>
      </c>
      <c r="C53" t="inlineStr">
        <is>
          <t>Amazon Web Services</t>
        </is>
      </c>
      <c r="D53" t="inlineStr">
        <is>
          <t>indeed</t>
        </is>
      </c>
      <c r="E53" t="inlineStr"/>
      <c r="F53" t="inlineStr"/>
      <c r="G53" t="inlineStr">
        <is>
          <t>Seattle, WA, US</t>
        </is>
      </c>
      <c r="H53" s="2" t="n">
        <v>45727</v>
      </c>
      <c r="I5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in-d49c6d477b3b916b</t>
        </is>
      </c>
      <c r="B54" t="inlineStr">
        <is>
          <t>Sr. Software Engineer- AI/ML, AWS Neuron Distributed Training</t>
        </is>
      </c>
      <c r="C54" t="inlineStr">
        <is>
          <t>Amazon Web Services</t>
        </is>
      </c>
      <c r="D54" t="inlineStr">
        <is>
          <t>indeed</t>
        </is>
      </c>
      <c r="E54" t="inlineStr"/>
      <c r="F54" t="inlineStr"/>
      <c r="G54" t="inlineStr">
        <is>
          <t>Seattle, WA, US</t>
        </is>
      </c>
      <c r="H54" s="2" t="n">
        <v>45713</v>
      </c>
      <c r="I5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in-87aaf05098007020</t>
        </is>
      </c>
      <c r="B55" t="inlineStr">
        <is>
          <t>Sr. Software Engineer- AI/ML, AWS Neuron Distributed Training</t>
        </is>
      </c>
      <c r="C55" t="inlineStr">
        <is>
          <t>Amazon Web Services</t>
        </is>
      </c>
      <c r="D55" t="inlineStr">
        <is>
          <t>indeed</t>
        </is>
      </c>
      <c r="E55" t="inlineStr"/>
      <c r="F55" t="inlineStr"/>
      <c r="G55" t="inlineStr">
        <is>
          <t>Cupertino, CA, US</t>
        </is>
      </c>
      <c r="H55" s="2" t="n">
        <v>45713</v>
      </c>
      <c r="I5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in-9a8304945dfbb729</t>
        </is>
      </c>
      <c r="B56" t="inlineStr">
        <is>
          <t>Software Engineer</t>
        </is>
      </c>
      <c r="C56" t="inlineStr">
        <is>
          <t>Lockheed Martin</t>
        </is>
      </c>
      <c r="D56" t="inlineStr">
        <is>
          <t>indeed</t>
        </is>
      </c>
      <c r="E56" t="inlineStr"/>
      <c r="F56" t="inlineStr"/>
      <c r="G56" t="inlineStr">
        <is>
          <t>Littleton, CO, US</t>
        </is>
      </c>
      <c r="H56" s="2" t="n">
        <v>46060</v>
      </c>
      <c r="I56" t="inlineStr">
        <is>
          <t>**Job ID:** 714248BR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programming; exposure to Python or scripting languages is a plus.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57">
      <c r="A57" t="inlineStr">
        <is>
          <t>in-3714c6a5536e6cee</t>
        </is>
      </c>
      <c r="B57" t="inlineStr">
        <is>
          <t>Software Engineer</t>
        </is>
      </c>
      <c r="C57" t="inlineStr">
        <is>
          <t>Lockheed Martin</t>
        </is>
      </c>
      <c r="D57" t="inlineStr">
        <is>
          <t>indeed</t>
        </is>
      </c>
      <c r="E57" t="inlineStr"/>
      <c r="F57" t="inlineStr"/>
      <c r="G57" t="inlineStr">
        <is>
          <t>Littleton, CO, US</t>
        </is>
      </c>
      <c r="H57" s="2" t="n">
        <v>46060</v>
      </c>
      <c r="I57" t="inlineStr">
        <is>
          <t>**Job ID:** 714249BR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Embedded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programming; exposure to Python or scripting languages is a plus.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58">
      <c r="A58" t="inlineStr">
        <is>
          <t>in-654dc723d142066f</t>
        </is>
      </c>
      <c r="B58" t="inlineStr">
        <is>
          <t>Software Engineer Asc</t>
        </is>
      </c>
      <c r="C58" t="inlineStr">
        <is>
          <t>Lockheed Martin</t>
        </is>
      </c>
      <c r="D58" t="inlineStr">
        <is>
          <t>indeed</t>
        </is>
      </c>
      <c r="E58" t="inlineStr"/>
      <c r="F58" t="inlineStr"/>
      <c r="G58" t="inlineStr">
        <is>
          <t>Littleton, CO, US</t>
        </is>
      </c>
      <c r="H58" s="2" t="n">
        <v>46060</v>
      </c>
      <c r="I58" t="inlineStr">
        <is>
          <t>**Job ID:** 714233BR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Entry‑Level Embedded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programming; exposure to Python or scripting languages is a plus.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59">
      <c r="A59" t="inlineStr">
        <is>
          <t>in-51ab25d25acd1c55</t>
        </is>
      </c>
      <c r="B59" t="inlineStr">
        <is>
          <t>Senior Software Engineer</t>
        </is>
      </c>
      <c r="C59" t="inlineStr">
        <is>
          <t>Lockheed Martin</t>
        </is>
      </c>
      <c r="D59" t="inlineStr">
        <is>
          <t>indeed</t>
        </is>
      </c>
      <c r="E59" t="inlineStr"/>
      <c r="F59" t="inlineStr"/>
      <c r="G59" t="inlineStr">
        <is>
          <t>Littleton, CO, US</t>
        </is>
      </c>
      <c r="H59" s="2" t="n">
        <v>46060</v>
      </c>
      <c r="I59" t="inlineStr">
        <is>
          <t>**Job ID:** 714251BR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Embedded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\&amp; Python programming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60">
      <c r="A60" t="inlineStr">
        <is>
          <t>in-cbb6f271186af2d4</t>
        </is>
      </c>
      <c r="B60" t="inlineStr">
        <is>
          <t>Senior Software Engineer - Java</t>
        </is>
      </c>
      <c r="C60" t="inlineStr">
        <is>
          <t>Halliburton</t>
        </is>
      </c>
      <c r="D60" t="inlineStr">
        <is>
          <t>indeed</t>
        </is>
      </c>
      <c r="E60" t="inlineStr"/>
      <c r="F60" t="inlineStr"/>
      <c r="G60" t="inlineStr">
        <is>
          <t>Houston, TX, US</t>
        </is>
      </c>
      <c r="H60" s="2" t="n">
        <v>46060</v>
      </c>
      <c r="I60"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
* Design, development, testing, and documentation of scalable software systems, ensuring alignment with engineering best practices.
* Architect and implement components that integrate seamlessly within a broader ecosystem using REST APIs, database queries, and library calls.
* Apply system design patterns to build efficient, maintainable, and high\-performing solutions.
* Expertise in technical research and development efforts and ensure timely delivery of high\-quality software.
* Stay current with emerging technologies and contribute to continuous improvement across the development lifecycle.
**Qualifications**
------------------
* Bachelor’s degree in Software Engineering, Computer Science, or a related field required.
* Minimum 10\+ years of experience in Java development for complex software applications.
* Strong understanding of software design principles, best practices, and architectural considerations.
* Proficient in JDBC for database access and strong SQL skills, particularly with SQL Server and Oracle.
* Demonstrated experience in applying coding best practices, conducting code reviews, and ensuring quality.
* Familiarity with CI/CD tools and technologies, especially GitLab.
* Self\-motivated with the ability to thrive in a team\-oriented environment.
* Excellent analytical, communication, and problem\-solving skills.
* Quick learner with a passion for exploring new technologies.
* Team player with a willingness to mentor junior developers and collaborate on problem\-solving.
* Familiarity and understanding of modern cloud technologies and microservices
**Desirable Attributes**
------------------------
* Experience in drilling and drilling operational domain especially in Oil and Gas
* Objective C or other mobile technologies will be a plus
* Strong proficiency in Java SE 11 (32\-bit) with readiness to work on migration to Java 17 (64\-bit)
* Solid understanding of Java language features, concurrency, collections, Swing, SWT and exception handling
* Proficiency in Hibernate ORM for data persistence
* Hands\-on experience with Git, Maven for build automation and dependency management
* Unit testing (JUnit, Mockito), integration testing, and test\-driven development (TDD)
* Experience with RESTful API design, integration and SOAP Implementation using AXIS
* Experience working with JNI for integrating Java with nat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Technical Advisor \- Software Development.
**World Class Benefits:**
-------------------------
At Halliburton, we're committed to providing you and your family with a comprehensive and affordable benefits package \- which means we offer support for your physical, emotional, financial and parental needs, both now and in the future. When you join our team, you'll have access to a wide range of resources designed to help you thrive at work and at home. By clicking here, you can review a summary of the benefits available once you join.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201552  
**Experience Level:** Experienced Hire  
**Job Family:** Engineering/Science/Technology  
**Product Service Line:** Landmark Software \&amp; Services  
**Full Time / Part Time:** Full Time
**Additional Locations for this position:**
 **Compensation Information**  
Compensation is competitive and commensurate with experience.</t>
        </is>
      </c>
    </row>
    <row r="61">
      <c r="A61" t="inlineStr">
        <is>
          <t>in-2b6373592057cb10</t>
        </is>
      </c>
      <c r="B61" t="inlineStr">
        <is>
          <t>Senior Fullstack Engineer, Auctions</t>
        </is>
      </c>
      <c r="C61" t="inlineStr">
        <is>
          <t>Germain Hotels</t>
        </is>
      </c>
      <c r="D61" t="inlineStr">
        <is>
          <t>indeed</t>
        </is>
      </c>
      <c r="E61" t="inlineStr"/>
      <c r="F61" t="inlineStr"/>
      <c r="G61" t="inlineStr">
        <is>
          <t>New York, NY, US</t>
        </is>
      </c>
      <c r="H61" s="2" t="n">
        <v>46060</v>
      </c>
      <c r="I61"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We're looking for a Senior Fullstack Engineer to build the engine behind a marketplace that moves hundreds of millions of dollars in GMV. Our Auctions team doesn't just "list items"—we build the high\-stakes, high\-concurrency environments where collectors' dreams are realized.
In this role, you'll sit at the intersection of high\-scale transaction systems and cutting\-edge AI. You'll build products that provide upfront liquidity to consignors, personalized discovery for buyers, and professional\-grade tools for power sellers. If you're energized by the idea of shipping features that millions of hobbyists and power\-users rely on, we want to talk.
### **What You'll Do Here:**
* **Architect the Auction Engine:** Build and scale the high\-concurrency bidding and listing systems that power 9\-figure annual GMV.
* **Ship AI\-Powered Liquidity:** Develop next\-gen features that leverage AI to provide instant valuations and upfront liquidity to our consignors and sellers.
* **Personalize the Hobby:** Use data and machine learning to build rich, personalized discovery experiences that match unique collectibles to the right buyers.
* **Empower Power Users:** Design and launch sophisticated management tools for everyone from high\-frequency "power sellers" to veteran hobbyists.
* **Own the Experience:** Build end\-to\-end—from the low\-latency backend logic required for live bidding to the sleek, responsive UI where the action happens.
* **Drive Technical Excellence:** Mentor the team and set the standard for code quality, system reliability, and performance.
### **This is a perfect fit if you…**
* **Love High\-Scale Challenges:** You aren't intimidated by 9\-figure transaction volumes or the "thundering herd" of bidders in the final seconds of an auction.
* **Are an AI Pragmatist:** You know how to take LLMs or computer vision models and turn them into practical, user\-facing features that solve real business problems.
* **Think in Systems \&amp; UX:** You can visualize how a data schema change on the backend will ripple out into the user experience for a power seller.
* **Have High Agency:** You thrive in an environment where you are expected to identify the highest\-leverage work and execute on it without a hand\-holding manual.
### **What You Bring to the Table:**
* **5\+ years of experience** building and scaling complex applications (Python, Postgres, AWS/Cloud infra).
* **Modern Frontend Mastery:** Deep experience with React, TypeScript, and building high\-performance, real\-time UIs.
* **Data\-Driven Mindset:** Experience working with personalization engines, recommendation systems, or AI/ML integrations is a major plus.
* **Product Instincts:** You don't just build what's on the ticket; you understand the collector mindset and build features that delight them.
* **Reliability Under Pressure:** You have a track record of building systems that stay up when the stakes (and the traffic) are highest.
###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62">
      <c r="A62" t="inlineStr">
        <is>
          <t>in-c52efa4a5c921314</t>
        </is>
      </c>
      <c r="B62" t="inlineStr">
        <is>
          <t>Software Engineer- Domain Expert Lead (Contract), AGI - Data Services</t>
        </is>
      </c>
      <c r="C62" t="inlineStr">
        <is>
          <t>Amazon.com</t>
        </is>
      </c>
      <c r="D62" t="inlineStr">
        <is>
          <t>indeed</t>
        </is>
      </c>
      <c r="E62" t="inlineStr"/>
      <c r="F62" t="inlineStr"/>
      <c r="G62" t="inlineStr">
        <is>
          <t>Boston, MA, US</t>
        </is>
      </c>
      <c r="H62" s="2" t="n">
        <v>46029</v>
      </c>
      <c r="I62"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in-52b07d1635d57cc8</t>
        </is>
      </c>
      <c r="B63" t="inlineStr">
        <is>
          <t>Software Engineer- Domain Expert Lead (Contract), AGI - Data Services</t>
        </is>
      </c>
      <c r="C63" t="inlineStr">
        <is>
          <t>Amazon.com</t>
        </is>
      </c>
      <c r="D63" t="inlineStr">
        <is>
          <t>indeed</t>
        </is>
      </c>
      <c r="E63" t="inlineStr"/>
      <c r="F63" t="inlineStr"/>
      <c r="G63" t="inlineStr">
        <is>
          <t>Bellevue, WA, US</t>
        </is>
      </c>
      <c r="H63" s="2" t="n">
        <v>46029</v>
      </c>
      <c r="I63"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in-7625540ccd2ddf8d</t>
        </is>
      </c>
      <c r="B64" t="inlineStr">
        <is>
          <t>Software Engineer</t>
        </is>
      </c>
      <c r="C64" t="inlineStr">
        <is>
          <t>Amazon.com</t>
        </is>
      </c>
      <c r="D64" t="inlineStr">
        <is>
          <t>indeed</t>
        </is>
      </c>
      <c r="E64" t="inlineStr"/>
      <c r="F64" t="inlineStr"/>
      <c r="G64" t="inlineStr">
        <is>
          <t>San Francisco, CA, US</t>
        </is>
      </c>
      <c r="H64" s="2" t="n">
        <v>46008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in-3ebdd9a51720c66f</t>
        </is>
      </c>
      <c r="B65" t="inlineStr">
        <is>
          <t>Software Engineer</t>
        </is>
      </c>
      <c r="C65" t="inlineStr">
        <is>
          <t>Amazon.com</t>
        </is>
      </c>
      <c r="D65" t="inlineStr">
        <is>
          <t>indeed</t>
        </is>
      </c>
      <c r="E65" t="inlineStr"/>
      <c r="F65" t="inlineStr"/>
      <c r="G65" t="inlineStr">
        <is>
          <t>Seattle, WA, US</t>
        </is>
      </c>
      <c r="H65" s="2" t="n">
        <v>46008</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in-55376c32d4265785</t>
        </is>
      </c>
      <c r="B66" t="inlineStr">
        <is>
          <t>Sr. Embedded Software Engineer - FPGA Systems, Amazon Leo's Wireless Systems</t>
        </is>
      </c>
      <c r="C66" t="inlineStr">
        <is>
          <t>Amazon.com</t>
        </is>
      </c>
      <c r="D66" t="inlineStr">
        <is>
          <t>indeed</t>
        </is>
      </c>
      <c r="E66" t="inlineStr"/>
      <c r="F66" t="inlineStr"/>
      <c r="G66" t="inlineStr">
        <is>
          <t>Austin, TX, US</t>
        </is>
      </c>
      <c r="H66" s="2" t="n">
        <v>46008</v>
      </c>
      <c r="I6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67">
      <c r="A67" t="inlineStr">
        <is>
          <t>in-fdbc121397170d8e</t>
        </is>
      </c>
      <c r="B67" t="inlineStr">
        <is>
          <t>Sr. Embedded Software Engineer - FPGA Systems, Amazon Leo's Wireless Systems</t>
        </is>
      </c>
      <c r="C67" t="inlineStr">
        <is>
          <t>Amazon.com</t>
        </is>
      </c>
      <c r="D67" t="inlineStr">
        <is>
          <t>indeed</t>
        </is>
      </c>
      <c r="E67" t="inlineStr"/>
      <c r="F67" t="inlineStr"/>
      <c r="G67" t="inlineStr">
        <is>
          <t>San Diego, CA, US</t>
        </is>
      </c>
      <c r="H67" s="2" t="n">
        <v>46008</v>
      </c>
      <c r="I6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68">
      <c r="A68" t="inlineStr">
        <is>
          <t>in-6e54a365a00b8d72</t>
        </is>
      </c>
      <c r="B68" t="inlineStr">
        <is>
          <t>Sr. Embedded Software Engineer - FPGA Systems, Amazon Leo's Wireless Systems</t>
        </is>
      </c>
      <c r="C68" t="inlineStr">
        <is>
          <t>Amazon.com</t>
        </is>
      </c>
      <c r="D68" t="inlineStr">
        <is>
          <t>indeed</t>
        </is>
      </c>
      <c r="E68" t="inlineStr"/>
      <c r="F68" t="inlineStr"/>
      <c r="G68" t="inlineStr">
        <is>
          <t>Sunnyvale, CA, US</t>
        </is>
      </c>
      <c r="H68" s="2" t="n">
        <v>46008</v>
      </c>
      <c r="I6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69">
      <c r="A69" t="inlineStr">
        <is>
          <t>in-1a7bc6420b8f2984</t>
        </is>
      </c>
      <c r="B69" t="inlineStr">
        <is>
          <t>Sr Software Engineer, Amazon Ads Exchange</t>
        </is>
      </c>
      <c r="C69" t="inlineStr">
        <is>
          <t>Amazon.com</t>
        </is>
      </c>
      <c r="D69" t="inlineStr">
        <is>
          <t>indeed</t>
        </is>
      </c>
      <c r="E69" t="inlineStr"/>
      <c r="F69" t="inlineStr"/>
      <c r="G69" t="inlineStr">
        <is>
          <t>Palo Alto, CA, US</t>
        </is>
      </c>
      <c r="H69" s="2" t="n">
        <v>46002</v>
      </c>
      <c r="I6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in-9586fdd67ccd8496</t>
        </is>
      </c>
      <c r="B70" t="inlineStr">
        <is>
          <t>Sr Software Engineer, Amazon Ads Exchange</t>
        </is>
      </c>
      <c r="C70" t="inlineStr">
        <is>
          <t>Amazon.com</t>
        </is>
      </c>
      <c r="D70" t="inlineStr">
        <is>
          <t>indeed</t>
        </is>
      </c>
      <c r="E70" t="inlineStr"/>
      <c r="F70" t="inlineStr"/>
      <c r="G70" t="inlineStr">
        <is>
          <t>Arlington, VA, US</t>
        </is>
      </c>
      <c r="H70" s="2" t="n">
        <v>46002</v>
      </c>
      <c r="I7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in-9cd99edd898f60d5</t>
        </is>
      </c>
      <c r="B71" t="inlineStr">
        <is>
          <t>Sr Software Engineer, Amazon Ads Exchange</t>
        </is>
      </c>
      <c r="C71" t="inlineStr">
        <is>
          <t>Amazon.com</t>
        </is>
      </c>
      <c r="D71" t="inlineStr">
        <is>
          <t>indeed</t>
        </is>
      </c>
      <c r="E71" t="inlineStr"/>
      <c r="F71" t="inlineStr"/>
      <c r="G71" t="inlineStr">
        <is>
          <t>San Francisco, CA, US</t>
        </is>
      </c>
      <c r="H71" s="2" t="n">
        <v>46002</v>
      </c>
      <c r="I7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in-3777b6616816bfe8</t>
        </is>
      </c>
      <c r="B72" t="inlineStr">
        <is>
          <t>Software Engineer I</t>
        </is>
      </c>
      <c r="C72" t="inlineStr">
        <is>
          <t>Amazon.com</t>
        </is>
      </c>
      <c r="D72" t="inlineStr">
        <is>
          <t>indeed</t>
        </is>
      </c>
      <c r="E72" t="inlineStr"/>
      <c r="F72" t="inlineStr"/>
      <c r="G72" t="inlineStr">
        <is>
          <t>San Francisco, CA, US</t>
        </is>
      </c>
      <c r="H72" s="2" t="n">
        <v>46001</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in-0b5723d97d77c267</t>
        </is>
      </c>
      <c r="B73" t="inlineStr">
        <is>
          <t>Software Engineer I</t>
        </is>
      </c>
      <c r="C73" t="inlineStr">
        <is>
          <t>Amazon.com</t>
        </is>
      </c>
      <c r="D73" t="inlineStr">
        <is>
          <t>indeed</t>
        </is>
      </c>
      <c r="E73" t="inlineStr"/>
      <c r="F73" t="inlineStr"/>
      <c r="G73" t="inlineStr">
        <is>
          <t>Seattle, WA, US</t>
        </is>
      </c>
      <c r="H73" s="2" t="n">
        <v>46001</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in-566b2c9d9ccfe149</t>
        </is>
      </c>
      <c r="B74" t="inlineStr">
        <is>
          <t>Software Engineer II, Twitch</t>
        </is>
      </c>
      <c r="C74" t="inlineStr">
        <is>
          <t>Amazon.com</t>
        </is>
      </c>
      <c r="D74" t="inlineStr">
        <is>
          <t>indeed</t>
        </is>
      </c>
      <c r="E74" t="inlineStr"/>
      <c r="F74" t="inlineStr"/>
      <c r="G74" t="inlineStr">
        <is>
          <t>San Francisco, CA, US</t>
        </is>
      </c>
      <c r="H74" s="2" t="n">
        <v>45995</v>
      </c>
      <c r="I7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in-635baddbbf4a4eec</t>
        </is>
      </c>
      <c r="B75" t="inlineStr">
        <is>
          <t>Software Engineer II, Android</t>
        </is>
      </c>
      <c r="C75" t="inlineStr">
        <is>
          <t>Amazon.com</t>
        </is>
      </c>
      <c r="D75" t="inlineStr">
        <is>
          <t>indeed</t>
        </is>
      </c>
      <c r="E75" t="inlineStr"/>
      <c r="F75" t="inlineStr"/>
      <c r="G75" t="inlineStr">
        <is>
          <t>Irvine, CA, US</t>
        </is>
      </c>
      <c r="H75" s="2" t="n">
        <v>45995</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in-1a5da6b554ac5564</t>
        </is>
      </c>
      <c r="B76" t="inlineStr">
        <is>
          <t>Software Engineer II, Android</t>
        </is>
      </c>
      <c r="C76" t="inlineStr">
        <is>
          <t>Amazon.com</t>
        </is>
      </c>
      <c r="D76" t="inlineStr">
        <is>
          <t>indeed</t>
        </is>
      </c>
      <c r="E76" t="inlineStr"/>
      <c r="F76" t="inlineStr"/>
      <c r="G76" t="inlineStr">
        <is>
          <t>Seattle, WA, US</t>
        </is>
      </c>
      <c r="H76" s="2" t="n">
        <v>45995</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in-5b1fcd5f5c7d4966</t>
        </is>
      </c>
      <c r="B77" t="inlineStr">
        <is>
          <t>Software Engineer II, Twitch</t>
        </is>
      </c>
      <c r="C77" t="inlineStr">
        <is>
          <t>Amazon.com</t>
        </is>
      </c>
      <c r="D77" t="inlineStr">
        <is>
          <t>indeed</t>
        </is>
      </c>
      <c r="E77" t="inlineStr"/>
      <c r="F77" t="inlineStr"/>
      <c r="G77" t="inlineStr">
        <is>
          <t>Seattle, WA, US</t>
        </is>
      </c>
      <c r="H77" s="2" t="n">
        <v>45995</v>
      </c>
      <c r="I7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in-5ede832ee9890d7b</t>
        </is>
      </c>
      <c r="B78" t="inlineStr">
        <is>
          <t>Software Engineer II, Android</t>
        </is>
      </c>
      <c r="C78" t="inlineStr">
        <is>
          <t>Amazon.com</t>
        </is>
      </c>
      <c r="D78" t="inlineStr">
        <is>
          <t>indeed</t>
        </is>
      </c>
      <c r="E78" t="inlineStr"/>
      <c r="F78" t="inlineStr"/>
      <c r="G78" t="inlineStr">
        <is>
          <t>San Francisco, CA, US</t>
        </is>
      </c>
      <c r="H78" s="2" t="n">
        <v>45995</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in-5e610b429a5e92da</t>
        </is>
      </c>
      <c r="B79" t="inlineStr">
        <is>
          <t>Senior Embedded Software Engineer, Amazon Leo Digital RF Systems</t>
        </is>
      </c>
      <c r="C79" t="inlineStr">
        <is>
          <t>Amazon.com</t>
        </is>
      </c>
      <c r="D79" t="inlineStr">
        <is>
          <t>indeed</t>
        </is>
      </c>
      <c r="E79" t="inlineStr"/>
      <c r="F79" t="inlineStr"/>
      <c r="G79" t="inlineStr">
        <is>
          <t>Redmond, WA, US</t>
        </is>
      </c>
      <c r="H79" s="2" t="n">
        <v>45981</v>
      </c>
      <c r="I7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80">
      <c r="A80" t="inlineStr">
        <is>
          <t>in-43dc94cbe10b89b5</t>
        </is>
      </c>
      <c r="B80" t="inlineStr">
        <is>
          <t>Senior Embedded Software Engineer, Amazon Leo Digital RF Systems</t>
        </is>
      </c>
      <c r="C80" t="inlineStr">
        <is>
          <t>Amazon.com</t>
        </is>
      </c>
      <c r="D80" t="inlineStr">
        <is>
          <t>indeed</t>
        </is>
      </c>
      <c r="E80" t="inlineStr"/>
      <c r="F80" t="inlineStr"/>
      <c r="G80" t="inlineStr">
        <is>
          <t>San Diego, CA, US</t>
        </is>
      </c>
      <c r="H80" s="2" t="n">
        <v>45981</v>
      </c>
      <c r="I8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81">
      <c r="A81" t="inlineStr">
        <is>
          <t>in-465654fab731271f</t>
        </is>
      </c>
      <c r="B81" t="inlineStr">
        <is>
          <t>Senior Software Engineer - Query Optimization, Aurora DSQL</t>
        </is>
      </c>
      <c r="C81" t="inlineStr">
        <is>
          <t>Amazon Web Services</t>
        </is>
      </c>
      <c r="D81" t="inlineStr">
        <is>
          <t>indeed</t>
        </is>
      </c>
      <c r="E81" t="inlineStr"/>
      <c r="F81" t="inlineStr"/>
      <c r="G81" t="inlineStr">
        <is>
          <t>East Palo Alto, CA, US</t>
        </is>
      </c>
      <c r="H81" s="2" t="n">
        <v>45931</v>
      </c>
      <c r="I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82">
      <c r="A82" t="inlineStr">
        <is>
          <t>in-0c34a1fedb78daeb</t>
        </is>
      </c>
      <c r="B82" t="inlineStr">
        <is>
          <t>Senior Software Engineer - Query Optimization, Aurora DSQL</t>
        </is>
      </c>
      <c r="C82" t="inlineStr">
        <is>
          <t>Amazon Web Services</t>
        </is>
      </c>
      <c r="D82" t="inlineStr">
        <is>
          <t>indeed</t>
        </is>
      </c>
      <c r="E82" t="inlineStr"/>
      <c r="F82" t="inlineStr"/>
      <c r="G82" t="inlineStr">
        <is>
          <t>Seattle, WA, US</t>
        </is>
      </c>
      <c r="H82" s="2" t="n">
        <v>45931</v>
      </c>
      <c r="I8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83">
      <c r="A83" t="inlineStr">
        <is>
          <t>in-402693ca92c4f62f</t>
        </is>
      </c>
      <c r="B83" t="inlineStr">
        <is>
          <t>Software Developer Engineer - iOS, Ring</t>
        </is>
      </c>
      <c r="C83" t="inlineStr">
        <is>
          <t>Amazon.com</t>
        </is>
      </c>
      <c r="D83" t="inlineStr">
        <is>
          <t>indeed</t>
        </is>
      </c>
      <c r="E83" t="inlineStr"/>
      <c r="F83" t="inlineStr"/>
      <c r="G83" t="inlineStr">
        <is>
          <t>Austin, TX, US</t>
        </is>
      </c>
      <c r="H83" s="2" t="n">
        <v>45812</v>
      </c>
      <c r="I8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in-949d38145ac97980</t>
        </is>
      </c>
      <c r="B84" t="inlineStr">
        <is>
          <t>Software Developer Engineer - iOS, Ring</t>
        </is>
      </c>
      <c r="C84" t="inlineStr">
        <is>
          <t>Amazon.com</t>
        </is>
      </c>
      <c r="D84" t="inlineStr">
        <is>
          <t>indeed</t>
        </is>
      </c>
      <c r="E84" t="inlineStr"/>
      <c r="F84" t="inlineStr"/>
      <c r="G84" t="inlineStr">
        <is>
          <t>Hawthorne, CA, US</t>
        </is>
      </c>
      <c r="H84" s="2" t="n">
        <v>45812</v>
      </c>
      <c r="I8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in-6f449c19a615f0e9</t>
        </is>
      </c>
      <c r="B85" t="inlineStr">
        <is>
          <t>Software Developer Engineer - iOS, Ring</t>
        </is>
      </c>
      <c r="C85" t="inlineStr">
        <is>
          <t>Amazon.com</t>
        </is>
      </c>
      <c r="D85" t="inlineStr">
        <is>
          <t>indeed</t>
        </is>
      </c>
      <c r="E85" t="inlineStr"/>
      <c r="F85" t="inlineStr"/>
      <c r="G85" t="inlineStr">
        <is>
          <t>Irvine, CA, US</t>
        </is>
      </c>
      <c r="H85" s="2" t="n">
        <v>45812</v>
      </c>
      <c r="I8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in-db47659e2a088f08</t>
        </is>
      </c>
      <c r="B86" t="inlineStr">
        <is>
          <t>Senior Software Engineer - Query Processing, Aurora DSQL</t>
        </is>
      </c>
      <c r="C86" t="inlineStr">
        <is>
          <t>Amazon Web Services</t>
        </is>
      </c>
      <c r="D86" t="inlineStr">
        <is>
          <t>indeed</t>
        </is>
      </c>
      <c r="E86" t="inlineStr"/>
      <c r="F86" t="inlineStr"/>
      <c r="G86" t="inlineStr">
        <is>
          <t>East Palo Alto, CA, US</t>
        </is>
      </c>
      <c r="H86" s="2" t="n">
        <v>45796</v>
      </c>
      <c r="I8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in-f5a6d53b724ccbf9</t>
        </is>
      </c>
      <c r="B87" t="inlineStr">
        <is>
          <t>Senior Software Engineer - Query Processing, Aurora DSQL</t>
        </is>
      </c>
      <c r="C87" t="inlineStr">
        <is>
          <t>Amazon Web Services</t>
        </is>
      </c>
      <c r="D87" t="inlineStr">
        <is>
          <t>indeed</t>
        </is>
      </c>
      <c r="E87" t="inlineStr"/>
      <c r="F87" t="inlineStr"/>
      <c r="G87" t="inlineStr">
        <is>
          <t>Seattle, WA, US</t>
        </is>
      </c>
      <c r="H87" s="2" t="n">
        <v>45796</v>
      </c>
      <c r="I8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in-f89474fdcd004b72</t>
        </is>
      </c>
      <c r="B88" t="inlineStr">
        <is>
          <t>Senior Fullstack Engineer, Payments</t>
        </is>
      </c>
      <c r="C88" t="inlineStr">
        <is>
          <t>Germain Hotels</t>
        </is>
      </c>
      <c r="D88" t="inlineStr">
        <is>
          <t>indeed</t>
        </is>
      </c>
      <c r="E88">
        <f>HYPERLINK("https://www.indeed.com/viewjob?jk=f89474fdcd004b72", "https://www.indeed.com/viewjob?jk=f89474fdcd004b72")</f>
        <v/>
      </c>
      <c r="F88">
        <f>HYPERLINK("https://grnh.se/clgtfp8q3us", "https://grnh.se/clgtfp8q3us")</f>
        <v/>
      </c>
      <c r="G88" t="inlineStr">
        <is>
          <t>New York, NY, US</t>
        </is>
      </c>
      <c r="H88" s="3" t="n">
        <v>46060</v>
      </c>
      <c r="I88"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We're looking for a Senior Fullstack Engineer who wants to build the financial engine of our platform. You're not just building a checkout flow; you're **powering the liquidity** that makes this marketplace work. You'll join a high\-impact team responsible for our custom double\-entry ledger, payment provider integrations, and our core lending products.
If you have a "measure twice, cut once" mindset for backend integrity but still move with a bias toward action on the frontend, you'll thrive here.
### **What You'll Do Here:**
* **Engineer Financial Integrity:** Build and maintain our custom\-built double\-entry ledger system to ensure every cent is accounted for across the platform.
* **Own Lending Infrastructure:** Design and scale our lending products—from the logic of credit disbursements to the automated lifecycle of loan management.
* **Architect Integrations:** Design and implement robust integrations with payment gateways and banking partners, ensuring 99\.99% reliability and seamless reconciliation.
* **Own the UX of Money:** Create high\-trust user interfaces for payments and lending that make complex financial actions feel simple, transparent, and secure.
* **Balance Rigor with Speed:** Make thoughtful trade\-offs between rapid feature shipping and the uncompromising correctness required for financial systems.
* **Be a Multiplier:** Level up the team through rigorous code reviews, technical documentation, and mentorship.
### **This is a perfect fit if you…**
* **Are Obsessed with Correctness:** You understand that in payments, "mostly working" is a failure. You think deeply about idempotency, race conditions, and data consistency.
* **Think Like a Product Owner:** You don't just build a "pay button"; you understand the flow of funds and how to communicate financial status clearly to the user.
* **Love Building Infrastructure:** You're energized by the challenge of building a ledger or a lending engine from the ground up.
* **Are Pragmatic:** You know when to build a custom internal solution and when to leverage a third\-party API to get the job done.
### **What You Bring to the Table:**
* **5\+ years of experience** with a heavy focus on backend systems (Python, Postgres, AWS) and a proven ability to build modern frontends (React, TypeScript).
* **Fintech or Payments experience:** You've worked with ledgers, payment processors, or lending products and understand the complexities of moving money.
* **Database Mastery:** You are an expert in SQL and relational database design—you know how to write a transaction that won't fail under load.
* **Fullstack Ownership:** A track record of taking a complex financial feature from a technical design doc all the way to a polished UI in production.
* **Bonus:** Experience with distributed systems, credit/risk modeling, or the alternative asset space.
###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89">
      <c r="A89" t="inlineStr">
        <is>
          <t>in-3e9edcd21ad67528</t>
        </is>
      </c>
      <c r="B89" t="inlineStr">
        <is>
          <t>Software Engineer I</t>
        </is>
      </c>
      <c r="C89" t="inlineStr">
        <is>
          <t>Amazon.com</t>
        </is>
      </c>
      <c r="D89" t="inlineStr">
        <is>
          <t>indeed</t>
        </is>
      </c>
      <c r="E89">
        <f>HYPERLINK("https://www.indeed.com/viewjob?jk=3e9edcd21ad67528", "https://www.indeed.com/viewjob?jk=3e9edcd21ad67528")</f>
        <v/>
      </c>
      <c r="F89">
        <f>HYPERLINK("https://www.amazon.jobs/jobs/3144113/software-engineer-i?cmpid=DA_INAD200785B", "https://www.amazon.jobs/jobs/3144113/software-engineer-i?cmpid=DA_INAD200785B")</f>
        <v/>
      </c>
      <c r="G89" t="inlineStr">
        <is>
          <t>Irvine, CA, US</t>
        </is>
      </c>
      <c r="H89" s="3" t="n">
        <v>46006</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in-37f5aa9eafa9a1cc</t>
        </is>
      </c>
      <c r="B90" t="inlineStr">
        <is>
          <t>Software Engineer I</t>
        </is>
      </c>
      <c r="C90" t="inlineStr">
        <is>
          <t>Amazon.com</t>
        </is>
      </c>
      <c r="D90" t="inlineStr">
        <is>
          <t>indeed</t>
        </is>
      </c>
      <c r="E90">
        <f>HYPERLINK("https://www.indeed.com/viewjob?jk=37f5aa9eafa9a1cc", "https://www.indeed.com/viewjob?jk=37f5aa9eafa9a1cc")</f>
        <v/>
      </c>
      <c r="F90">
        <f>HYPERLINK("https://www.amazon.jobs/jobs/3144113/software-engineer-i?cmpid=DA_INAD200785B", "https://www.amazon.jobs/jobs/3144113/software-engineer-i?cmpid=DA_INAD200785B")</f>
        <v/>
      </c>
      <c r="G90" t="inlineStr">
        <is>
          <t>Seattle, WA, US</t>
        </is>
      </c>
      <c r="H90" s="3" t="n">
        <v>46006</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in-b37bb04cb57a3ae8</t>
        </is>
      </c>
      <c r="B91" t="inlineStr">
        <is>
          <t>Software Engineer I</t>
        </is>
      </c>
      <c r="C91" t="inlineStr">
        <is>
          <t>Amazon.com</t>
        </is>
      </c>
      <c r="D91" t="inlineStr">
        <is>
          <t>indeed</t>
        </is>
      </c>
      <c r="E91">
        <f>HYPERLINK("https://www.indeed.com/viewjob?jk=b37bb04cb57a3ae8", "https://www.indeed.com/viewjob?jk=b37bb04cb57a3ae8")</f>
        <v/>
      </c>
      <c r="F91">
        <f>HYPERLINK("https://www.amazon.jobs/jobs/3144113/software-engineer-i?cmpid=DA_INAD200785B", "https://www.amazon.jobs/jobs/3144113/software-engineer-i?cmpid=DA_INAD200785B")</f>
        <v/>
      </c>
      <c r="G91" t="inlineStr">
        <is>
          <t>San Francisco, CA, US</t>
        </is>
      </c>
      <c r="H91" s="3" t="n">
        <v>46006</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in-2f8557eb7bb52554</t>
        </is>
      </c>
      <c r="B92" t="inlineStr">
        <is>
          <t>Software Engineer I</t>
        </is>
      </c>
      <c r="C92" t="inlineStr">
        <is>
          <t>Amazon.com</t>
        </is>
      </c>
      <c r="D92" t="inlineStr">
        <is>
          <t>indeed</t>
        </is>
      </c>
      <c r="E92">
        <f>HYPERLINK("https://www.indeed.com/viewjob?jk=2f8557eb7bb52554", "https://www.indeed.com/viewjob?jk=2f8557eb7bb52554")</f>
        <v/>
      </c>
      <c r="F92">
        <f>HYPERLINK("https://www.amazon.jobs/jobs/3111761/software-engineer-i?cmpid=DA_INAD200785B", "https://www.amazon.jobs/jobs/3111761/software-engineer-i?cmpid=DA_INAD200785B")</f>
        <v/>
      </c>
      <c r="G92" t="inlineStr">
        <is>
          <t>San Francisco, CA, US</t>
        </is>
      </c>
      <c r="H92" s="3" t="n">
        <v>45946</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in-9864dcd9250f28c5</t>
        </is>
      </c>
      <c r="B93" t="inlineStr">
        <is>
          <t>Software Engineer I</t>
        </is>
      </c>
      <c r="C93" t="inlineStr">
        <is>
          <t>Amazon.com</t>
        </is>
      </c>
      <c r="D93" t="inlineStr">
        <is>
          <t>indeed</t>
        </is>
      </c>
      <c r="E93">
        <f>HYPERLINK("https://www.indeed.com/viewjob?jk=9864dcd9250f28c5", "https://www.indeed.com/viewjob?jk=9864dcd9250f28c5")</f>
        <v/>
      </c>
      <c r="F93">
        <f>HYPERLINK("https://www.amazon.jobs/jobs/3111761/software-engineer-i?cmpid=DA_INAD200785B", "https://www.amazon.jobs/jobs/3111761/software-engineer-i?cmpid=DA_INAD200785B")</f>
        <v/>
      </c>
      <c r="G93" t="inlineStr">
        <is>
          <t>Irvine, CA, US</t>
        </is>
      </c>
      <c r="H93" s="3" t="n">
        <v>45946</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in-5c16fd34687eda54</t>
        </is>
      </c>
      <c r="B94" t="inlineStr">
        <is>
          <t>Software Engineer II</t>
        </is>
      </c>
      <c r="C94" t="inlineStr">
        <is>
          <t>Amazon.com</t>
        </is>
      </c>
      <c r="D94" t="inlineStr">
        <is>
          <t>indeed</t>
        </is>
      </c>
      <c r="E94">
        <f>HYPERLINK("https://www.indeed.com/viewjob?jk=5c16fd34687eda54", "https://www.indeed.com/viewjob?jk=5c16fd34687eda54")</f>
        <v/>
      </c>
      <c r="F94">
        <f>HYPERLINK("https://www.amazon.jobs/jobs/3104730/software-engineer-ii?cmpid=DA_INAD200785B", "https://www.amazon.jobs/jobs/3104730/software-engineer-ii?cmpid=DA_INAD200785B")</f>
        <v/>
      </c>
      <c r="G94" t="inlineStr">
        <is>
          <t>Irvine, CA, US</t>
        </is>
      </c>
      <c r="H94" s="3" t="n">
        <v>45938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in-ab1b009dc4a38254</t>
        </is>
      </c>
      <c r="B95" t="inlineStr">
        <is>
          <t>Software Engineer II</t>
        </is>
      </c>
      <c r="C95" t="inlineStr">
        <is>
          <t>Amazon.com</t>
        </is>
      </c>
      <c r="D95" t="inlineStr">
        <is>
          <t>indeed</t>
        </is>
      </c>
      <c r="E95">
        <f>HYPERLINK("https://www.indeed.com/viewjob?jk=ab1b009dc4a38254", "https://www.indeed.com/viewjob?jk=ab1b009dc4a38254")</f>
        <v/>
      </c>
      <c r="F95">
        <f>HYPERLINK("https://www.amazon.jobs/jobs/3104730/software-engineer-ii?cmpid=DA_INAD200785B", "https://www.amazon.jobs/jobs/3104730/software-engineer-ii?cmpid=DA_INAD200785B")</f>
        <v/>
      </c>
      <c r="G95" t="inlineStr">
        <is>
          <t>San Francisco, CA, US</t>
        </is>
      </c>
      <c r="H95" s="3" t="n">
        <v>45938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in-dd65801b13759eca</t>
        </is>
      </c>
      <c r="B96" t="inlineStr">
        <is>
          <t>Software Engineer II</t>
        </is>
      </c>
      <c r="C96" t="inlineStr">
        <is>
          <t>Amazon.com</t>
        </is>
      </c>
      <c r="D96" t="inlineStr">
        <is>
          <t>indeed</t>
        </is>
      </c>
      <c r="E96">
        <f>HYPERLINK("https://www.indeed.com/viewjob?jk=dd65801b13759eca", "https://www.indeed.com/viewjob?jk=dd65801b13759eca")</f>
        <v/>
      </c>
      <c r="F96">
        <f>HYPERLINK("https://www.amazon.jobs/jobs/3104734/software-engineer-ii?cmpid=DA_INAD200785B", "https://www.amazon.jobs/jobs/3104734/software-engineer-ii?cmpid=DA_INAD200785B")</f>
        <v/>
      </c>
      <c r="G96" t="inlineStr">
        <is>
          <t>Irvine, CA, US</t>
        </is>
      </c>
      <c r="H96" s="3" t="n">
        <v>45938</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in-d820807bc064f827</t>
        </is>
      </c>
      <c r="B97" t="inlineStr">
        <is>
          <t>Software Engineer II</t>
        </is>
      </c>
      <c r="C97" t="inlineStr">
        <is>
          <t>Amazon.com</t>
        </is>
      </c>
      <c r="D97" t="inlineStr">
        <is>
          <t>indeed</t>
        </is>
      </c>
      <c r="E97">
        <f>HYPERLINK("https://www.indeed.com/viewjob?jk=d820807bc064f827", "https://www.indeed.com/viewjob?jk=d820807bc064f827")</f>
        <v/>
      </c>
      <c r="F97">
        <f>HYPERLINK("https://www.amazon.jobs/jobs/3104734/software-engineer-ii?cmpid=DA_INAD200785B", "https://www.amazon.jobs/jobs/3104734/software-engineer-ii?cmpid=DA_INAD200785B")</f>
        <v/>
      </c>
      <c r="G97" t="inlineStr">
        <is>
          <t>Culver City, CA, US</t>
        </is>
      </c>
      <c r="H97" s="3" t="n">
        <v>45938</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in-6e882eb36660a57a</t>
        </is>
      </c>
      <c r="B98" t="inlineStr">
        <is>
          <t>Software Engineer II</t>
        </is>
      </c>
      <c r="C98" t="inlineStr">
        <is>
          <t>Amazon.com</t>
        </is>
      </c>
      <c r="D98" t="inlineStr">
        <is>
          <t>indeed</t>
        </is>
      </c>
      <c r="E98">
        <f>HYPERLINK("https://www.indeed.com/viewjob?jk=6e882eb36660a57a", "https://www.indeed.com/viewjob?jk=6e882eb36660a57a")</f>
        <v/>
      </c>
      <c r="F98">
        <f>HYPERLINK("https://www.amazon.jobs/jobs/3104734/software-engineer-ii?cmpid=DA_INAD200785B", "https://www.amazon.jobs/jobs/3104734/software-engineer-ii?cmpid=DA_INAD200785B")</f>
        <v/>
      </c>
      <c r="G98" t="inlineStr">
        <is>
          <t>San Francisco, CA, US</t>
        </is>
      </c>
      <c r="H98" s="3" t="n">
        <v>45938</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in-eff010b895a31ac7</t>
        </is>
      </c>
      <c r="B99" t="inlineStr">
        <is>
          <t>Sr Software Engineer</t>
        </is>
      </c>
      <c r="C99" t="inlineStr">
        <is>
          <t>Amazon.com</t>
        </is>
      </c>
      <c r="D99" t="inlineStr">
        <is>
          <t>indeed</t>
        </is>
      </c>
      <c r="E99">
        <f>HYPERLINK("https://www.indeed.com/viewjob?jk=eff010b895a31ac7", "https://www.indeed.com/viewjob?jk=eff010b895a31ac7")</f>
        <v/>
      </c>
      <c r="F99">
        <f>HYPERLINK("https://www.amazon.jobs/jobs/3090674/sr-software-engineer?cmpid=DA_INAD200785B", "https://www.amazon.jobs/jobs/3090674/sr-software-engineer?cmpid=DA_INAD200785B")</f>
        <v/>
      </c>
      <c r="G99" t="inlineStr">
        <is>
          <t>San Francisco, CA, US</t>
        </is>
      </c>
      <c r="H99" s="3" t="n">
        <v>45921</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in-296bfc108f5be780</t>
        </is>
      </c>
      <c r="B100" t="inlineStr">
        <is>
          <t>Sr Software Engineer</t>
        </is>
      </c>
      <c r="C100" t="inlineStr">
        <is>
          <t>Amazon.com</t>
        </is>
      </c>
      <c r="D100" t="inlineStr">
        <is>
          <t>indeed</t>
        </is>
      </c>
      <c r="E100">
        <f>HYPERLINK("https://www.indeed.com/viewjob?jk=296bfc108f5be780", "https://www.indeed.com/viewjob?jk=296bfc108f5be780")</f>
        <v/>
      </c>
      <c r="F100">
        <f>HYPERLINK("https://www.amazon.jobs/jobs/3090674/sr-software-engineer?cmpid=DA_INAD200785B", "https://www.amazon.jobs/jobs/3090674/sr-software-engineer?cmpid=DA_INAD200785B")</f>
        <v/>
      </c>
      <c r="G100" t="inlineStr">
        <is>
          <t>Irvine, CA, US</t>
        </is>
      </c>
      <c r="H100" s="3" t="n">
        <v>45921</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in-badc2f6ee0f1ab95</t>
        </is>
      </c>
      <c r="B101" t="inlineStr">
        <is>
          <t>Software Engineer II</t>
        </is>
      </c>
      <c r="C101" t="inlineStr">
        <is>
          <t>Amazon.com</t>
        </is>
      </c>
      <c r="D101" t="inlineStr">
        <is>
          <t>indeed</t>
        </is>
      </c>
      <c r="E101">
        <f>HYPERLINK("https://www.indeed.com/viewjob?jk=badc2f6ee0f1ab95", "https://www.indeed.com/viewjob?jk=badc2f6ee0f1ab95")</f>
        <v/>
      </c>
      <c r="F101">
        <f>HYPERLINK("https://www.amazon.jobs/jobs/3090680/software-engineer-ii?cmpid=DA_INAD200785B", "https://www.amazon.jobs/jobs/3090680/software-engineer-ii?cmpid=DA_INAD200785B")</f>
        <v/>
      </c>
      <c r="G101" t="inlineStr">
        <is>
          <t>Irvine, CA, US</t>
        </is>
      </c>
      <c r="H101" s="3" t="n">
        <v>45921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in-fd8c556bee926514</t>
        </is>
      </c>
      <c r="B102" t="inlineStr">
        <is>
          <t>Software Engineer II</t>
        </is>
      </c>
      <c r="C102" t="inlineStr">
        <is>
          <t>Amazon.com</t>
        </is>
      </c>
      <c r="D102" t="inlineStr">
        <is>
          <t>indeed</t>
        </is>
      </c>
      <c r="E102">
        <f>HYPERLINK("https://www.indeed.com/viewjob?jk=fd8c556bee926514", "https://www.indeed.com/viewjob?jk=fd8c556bee926514")</f>
        <v/>
      </c>
      <c r="F102">
        <f>HYPERLINK("https://www.amazon.jobs/jobs/3090680/software-engineer-ii?cmpid=DA_INAD200785B", "https://www.amazon.jobs/jobs/3090680/software-engineer-ii?cmpid=DA_INAD200785B")</f>
        <v/>
      </c>
      <c r="G102" t="inlineStr">
        <is>
          <t>San Francisco, CA, US</t>
        </is>
      </c>
      <c r="H102" s="3" t="n">
        <v>45921</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in-eaf787d0f2901386</t>
        </is>
      </c>
      <c r="B103" t="inlineStr">
        <is>
          <t>Software Engineer I- Ad Demand</t>
        </is>
      </c>
      <c r="C103" t="inlineStr">
        <is>
          <t>Amazon.com</t>
        </is>
      </c>
      <c r="D103" t="inlineStr">
        <is>
          <t>indeed</t>
        </is>
      </c>
      <c r="E103">
        <f>HYPERLINK("https://www.indeed.com/viewjob?jk=eaf787d0f2901386", "https://www.indeed.com/viewjob?jk=eaf787d0f2901386")</f>
        <v/>
      </c>
      <c r="F103">
        <f>HYPERLINK("https://www.amazon.jobs/jobs/3082168/software-engineer-i-ad-demand?cmpid=DA_INAD200785B", "https://www.amazon.jobs/jobs/3082168/software-engineer-i-ad-demand?cmpid=DA_INAD200785B")</f>
        <v/>
      </c>
      <c r="G103" t="inlineStr">
        <is>
          <t>San Francisco, CA, US</t>
        </is>
      </c>
      <c r="H103" s="3" t="n">
        <v>45908</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in-21b06de830ec6392</t>
        </is>
      </c>
      <c r="B104" t="inlineStr">
        <is>
          <t>Software Engineer I- Ad Demand</t>
        </is>
      </c>
      <c r="C104" t="inlineStr">
        <is>
          <t>Amazon.com</t>
        </is>
      </c>
      <c r="D104" t="inlineStr">
        <is>
          <t>indeed</t>
        </is>
      </c>
      <c r="E104">
        <f>HYPERLINK("https://www.indeed.com/viewjob?jk=21b06de830ec6392", "https://www.indeed.com/viewjob?jk=21b06de830ec6392")</f>
        <v/>
      </c>
      <c r="F104">
        <f>HYPERLINK("https://www.amazon.jobs/jobs/3082168/software-engineer-i-ad-demand?cmpid=DA_INAD200785B", "https://www.amazon.jobs/jobs/3082168/software-engineer-i-ad-demand?cmpid=DA_INAD200785B")</f>
        <v/>
      </c>
      <c r="G104" t="inlineStr">
        <is>
          <t>New York, NY, US</t>
        </is>
      </c>
      <c r="H104" s="3" t="n">
        <v>45908</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in-68b3c6fa3aac2f0c</t>
        </is>
      </c>
      <c r="B105" t="inlineStr">
        <is>
          <t>Manager, Digital Software Engineering</t>
        </is>
      </c>
      <c r="C105" t="inlineStr">
        <is>
          <t>Harley-Davidson, Inc.</t>
        </is>
      </c>
      <c r="D105" t="inlineStr">
        <is>
          <t>indeed</t>
        </is>
      </c>
      <c r="E105">
        <f>HYPERLINK("https://www.indeed.com/viewjob?jk=68b3c6fa3aac2f0c", "https://www.indeed.com/viewjob?jk=68b3c6fa3aac2f0c")</f>
        <v/>
      </c>
      <c r="F105">
        <f>HYPERLINK("https://jobs.harley-davidson.com/job/Milwaukee-Manager%2C-Digital-Software-Engineering-WI-53201/1348879000/?feedId=4&amp;utm_source=Indeed", "https://jobs.harley-davidson.com/job/Milwaukee-Manager%2C-Digital-Software-Engineering-WI-53201/1348879000/?feedId=4&amp;utm_source=Indeed")</f>
        <v/>
      </c>
      <c r="G105" t="inlineStr">
        <is>
          <t>Milwaukee, WI, US</t>
        </is>
      </c>
      <c r="H105" s="3" t="n">
        <v>46060</v>
      </c>
      <c r="I105" t="inlineStr">
        <is>
          <t>**Auto req ID: 46057**  
**Title: Manager, Digital Software Engineering**  
**Job Function: Digital**  
**Location: JUNEAU**  
**Workplace Category:Onsite**  
**Company: Harley\-Davidson Motor Company**  
**Full or Part\-Time: Full Time**  
**Shift: SHIFT1**
At Harley\-Davidson, we are building more than machines. It’s our passion and commitment to continue the evolution of this storied brand, and heighten the desirability of the Harley\-Davidson experience. To keep building our legend and leading our industry through innovation, evolution, and emotion we need the best and brightest talent. We stand for the timeless pursuit of adventure. Freedom for the soul. Are you ready to join us?
Harley\-Davidson Motor Company, founded in a humble Milwaukee backyard shed in 1903, still calls the city home. Today, its Corporate Campus includes a 4\.8\-acre public park—a welcoming greenspace open to all. Join our team as a Mgr Digital Software Engineering.
Job Summary
Reporting to the Director of Software Engineering, the Manager of Digital Software Engineering will help to lead the digital software engineering team for Harley\-Davidson across our Omnichannel initiatives. The Manager of Software Engineering will hire and lead new talent into HD, including data engineers, DevOps, and other digital (Software) engineering professionals.
Job Responsibilities
* Define technical requirements and systems architecture with clarity on feasibility, time, cost, and impact
* Attract and retain a team of high\-performing engineers
* Establish an engineering culture emphasizing innovation, growth, and development
* Ensure all internal processes and external services comply with security and privacy regulations
* Define and implement a consistent and repeatable process for quality assurance across all areas of the organization and product build
* Identify opportunities and challenges in the marketplace, with constant evaluation of technological advancements and innovation to mitigate impediments and drive success.
* Understand software delivery in a startup environment, balanced with the rigor needed for sustainable and maintainable products.
Education Requirements
* Bachelor's Degree Required
Education Specifications
* A Bachelor’s degree from an accredited educational institution in a technical discipline (Computer Science, Electrical Engineering) – M.S. or other advanced degree preferred
Experience Requirements
* 10\+ years architecting \&amp; building products from pre\-launch through maturity
* 5\+ years in an Engineering Management role with experience in launching digital products.
* 5\+ years leading Software Engineering team
* Experience scaling products, overseeing their build from MVP to mass scale
* Experience with building service\-based architecture, including the use of micro services frameworks
* Good understanding of application security and regulatory compliance
* Demonstrated experience managing content within CMS platforms, ideally Contentful
* Strong knowledge of DevOps and cloud infrastructure services (Azure, AWS, etc.)
* Strong analytical and problem\-solving skills \- including requirements analysis, debugging, and risk assessment.
* Hands\-on skills in one or more object\-oriented programming languages (Java/J2EE preferred)
* Knowledge of AEM, Headless E\-commerce, Java, Node.JS, REST, JSON, HTTP, DevOps tool chains a plus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Yes**  
**Travel Required: 0 \- 10%**  
**Pay Range: 126,000\- 201,000**  
**Visa Sponsorship: This position is not eligible for visa sponsorship or visa transfer**  
**Relocation: This position is eligible for domestic relocation assistance (within posted country)**</t>
        </is>
      </c>
    </row>
    <row r="106">
      <c r="A106" t="inlineStr">
        <is>
          <t>in-1f392d6feb90dd0b</t>
        </is>
      </c>
      <c r="B106" t="inlineStr">
        <is>
          <t>Senior Software Engineer, Twitch</t>
        </is>
      </c>
      <c r="C106" t="inlineStr">
        <is>
          <t>Amazon.com</t>
        </is>
      </c>
      <c r="D106" t="inlineStr">
        <is>
          <t>indeed</t>
        </is>
      </c>
      <c r="E106">
        <f>HYPERLINK("https://www.indeed.com/viewjob?jk=1f392d6feb90dd0b", "https://www.indeed.com/viewjob?jk=1f392d6feb90dd0b")</f>
        <v/>
      </c>
      <c r="F106">
        <f>HYPERLINK("https://www.amazon.jobs/jobs/3138042/senior-software-engineer-twitch?cmpid=DA_INAD200785B", "https://www.amazon.jobs/jobs/3138042/senior-software-engineer-twitch?cmpid=DA_INAD200785B")</f>
        <v/>
      </c>
      <c r="G106" t="inlineStr">
        <is>
          <t>San Francisco, CA, US</t>
        </is>
      </c>
      <c r="H106" s="3" t="n">
        <v>45995</v>
      </c>
      <c r="I10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in-850ca38f941bef97</t>
        </is>
      </c>
      <c r="B107" t="inlineStr">
        <is>
          <t>Senior Software Engineer, Twitch</t>
        </is>
      </c>
      <c r="C107" t="inlineStr">
        <is>
          <t>Amazon.com</t>
        </is>
      </c>
      <c r="D107" t="inlineStr">
        <is>
          <t>indeed</t>
        </is>
      </c>
      <c r="E107">
        <f>HYPERLINK("https://www.indeed.com/viewjob?jk=850ca38f941bef97", "https://www.indeed.com/viewjob?jk=850ca38f941bef97")</f>
        <v/>
      </c>
      <c r="F107">
        <f>HYPERLINK("https://www.amazon.jobs/jobs/3138042/senior-software-engineer-twitch?cmpid=DA_INAD200785B", "https://www.amazon.jobs/jobs/3138042/senior-software-engineer-twitch?cmpid=DA_INAD200785B")</f>
        <v/>
      </c>
      <c r="G107" t="inlineStr">
        <is>
          <t>Seattle, WA, US</t>
        </is>
      </c>
      <c r="H107" s="3" t="n">
        <v>45995</v>
      </c>
      <c r="I10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in-ed47c2de5da04885</t>
        </is>
      </c>
      <c r="B108" t="inlineStr">
        <is>
          <t>Sr. Software Engineer, Manager</t>
        </is>
      </c>
      <c r="C108" t="inlineStr">
        <is>
          <t>Amazon.com</t>
        </is>
      </c>
      <c r="D108" t="inlineStr">
        <is>
          <t>indeed</t>
        </is>
      </c>
      <c r="E108">
        <f>HYPERLINK("https://www.indeed.com/viewjob?jk=ed47c2de5da04885", "https://www.indeed.com/viewjob?jk=ed47c2de5da04885")</f>
        <v/>
      </c>
      <c r="F108">
        <f>HYPERLINK("https://www.amazon.jobs/jobs/3144309/sr-software-engineer-manager?cmpid=DA_INAD200785B", "https://www.amazon.jobs/jobs/3144309/sr-software-engineer-manager?cmpid=DA_INAD200785B")</f>
        <v/>
      </c>
      <c r="G108" t="inlineStr">
        <is>
          <t>Irvine, CA, US</t>
        </is>
      </c>
      <c r="H108" s="3" t="n">
        <v>46006</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9">
      <c r="A109" t="inlineStr">
        <is>
          <t>in-b4fabac021242096</t>
        </is>
      </c>
      <c r="B109" t="inlineStr">
        <is>
          <t>Sr. Software Engineer, Manager</t>
        </is>
      </c>
      <c r="C109" t="inlineStr">
        <is>
          <t>Amazon.com</t>
        </is>
      </c>
      <c r="D109" t="inlineStr">
        <is>
          <t>indeed</t>
        </is>
      </c>
      <c r="E109">
        <f>HYPERLINK("https://www.indeed.com/viewjob?jk=b4fabac021242096", "https://www.indeed.com/viewjob?jk=b4fabac021242096")</f>
        <v/>
      </c>
      <c r="F109">
        <f>HYPERLINK("https://www.amazon.jobs/jobs/3144309/sr-software-engineer-manager?cmpid=DA_INAD200785B", "https://www.amazon.jobs/jobs/3144309/sr-software-engineer-manager?cmpid=DA_INAD200785B")</f>
        <v/>
      </c>
      <c r="G109" t="inlineStr">
        <is>
          <t>Culver City, CA, US</t>
        </is>
      </c>
      <c r="H109" s="3" t="n">
        <v>46006</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10">
      <c r="A110" t="inlineStr">
        <is>
          <t>in-ba14bc084a12826d</t>
        </is>
      </c>
      <c r="B110" t="inlineStr">
        <is>
          <t>Sr. Software Engineer, Manager</t>
        </is>
      </c>
      <c r="C110" t="inlineStr">
        <is>
          <t>Amazon.com</t>
        </is>
      </c>
      <c r="D110" t="inlineStr">
        <is>
          <t>indeed</t>
        </is>
      </c>
      <c r="E110">
        <f>HYPERLINK("https://www.indeed.com/viewjob?jk=ba14bc084a12826d", "https://www.indeed.com/viewjob?jk=ba14bc084a12826d")</f>
        <v/>
      </c>
      <c r="F110">
        <f>HYPERLINK("https://www.amazon.jobs/jobs/3144309/sr-software-engineer-manager?cmpid=DA_INAD200785B", "https://www.amazon.jobs/jobs/3144309/sr-software-engineer-manager?cmpid=DA_INAD200785B")</f>
        <v/>
      </c>
      <c r="G110" t="inlineStr">
        <is>
          <t>New York, NY, US</t>
        </is>
      </c>
      <c r="H110" s="3" t="n">
        <v>46006</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11">
      <c r="A111" t="inlineStr">
        <is>
          <t>in-6a60348c9a7733e7</t>
        </is>
      </c>
      <c r="B111" t="inlineStr">
        <is>
          <t>Sr. Software Engineer, Manager</t>
        </is>
      </c>
      <c r="C111" t="inlineStr">
        <is>
          <t>Amazon.com</t>
        </is>
      </c>
      <c r="D111" t="inlineStr">
        <is>
          <t>indeed</t>
        </is>
      </c>
      <c r="E111">
        <f>HYPERLINK("https://www.indeed.com/viewjob?jk=6a60348c9a7733e7", "https://www.indeed.com/viewjob?jk=6a60348c9a7733e7")</f>
        <v/>
      </c>
      <c r="F111">
        <f>HYPERLINK("https://www.amazon.jobs/jobs/3144309/sr-software-engineer-manager?cmpid=DA_INAD200785B", "https://www.amazon.jobs/jobs/3144309/sr-software-engineer-manager?cmpid=DA_INAD200785B")</f>
        <v/>
      </c>
      <c r="G111" t="inlineStr">
        <is>
          <t>Seattle, WA, US</t>
        </is>
      </c>
      <c r="H111" s="3" t="n">
        <v>46006</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12">
      <c r="A112" t="inlineStr">
        <is>
          <t>in-10f93b69d80dcd22</t>
        </is>
      </c>
      <c r="B112" t="inlineStr">
        <is>
          <t>Sr. Software Engineer, Manager</t>
        </is>
      </c>
      <c r="C112" t="inlineStr">
        <is>
          <t>Amazon.com</t>
        </is>
      </c>
      <c r="D112" t="inlineStr">
        <is>
          <t>indeed</t>
        </is>
      </c>
      <c r="E112">
        <f>HYPERLINK("https://www.indeed.com/viewjob?jk=10f93b69d80dcd22", "https://www.indeed.com/viewjob?jk=10f93b69d80dcd22")</f>
        <v/>
      </c>
      <c r="F112">
        <f>HYPERLINK("https://www.amazon.jobs/jobs/3144309/sr-software-engineer-manager?cmpid=DA_INAD200785B", "https://www.amazon.jobs/jobs/3144309/sr-software-engineer-manager?cmpid=DA_INAD200785B")</f>
        <v/>
      </c>
      <c r="G112" t="inlineStr">
        <is>
          <t>San Francisco, CA, US</t>
        </is>
      </c>
      <c r="H112" s="3" t="n">
        <v>46006</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13">
      <c r="A113" t="inlineStr">
        <is>
          <t>in-3d35448365330902</t>
        </is>
      </c>
      <c r="B113" t="inlineStr">
        <is>
          <t>Sr. Software Engineer (ML), AGI Foundations</t>
        </is>
      </c>
      <c r="C113" t="inlineStr">
        <is>
          <t>Amazon.com</t>
        </is>
      </c>
      <c r="D113" t="inlineStr">
        <is>
          <t>indeed</t>
        </is>
      </c>
      <c r="E113">
        <f>HYPERLINK("https://www.indeed.com/viewjob?jk=3d35448365330902", "https://www.indeed.com/viewjob?jk=3d35448365330902")</f>
        <v/>
      </c>
      <c r="F113">
        <f>HYPERLINK("https://www.amazon.jobs/jobs/2993074/sr-software-engineer-ml-agi-foundations?cmpid=DA_INAD200785B", "https://www.amazon.jobs/jobs/2993074/sr-software-engineer-ml-agi-foundations?cmpid=DA_INAD200785B")</f>
        <v/>
      </c>
      <c r="G113" t="inlineStr">
        <is>
          <t>Bellevue, WA, US</t>
        </is>
      </c>
      <c r="H113" s="3" t="n">
        <v>45803</v>
      </c>
      <c r="I11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14">
      <c r="A114" t="inlineStr">
        <is>
          <t>in-db5de60e6f2ff272</t>
        </is>
      </c>
      <c r="B114" t="inlineStr">
        <is>
          <t>Sr. Software Engineer (ML), AGI Foundations</t>
        </is>
      </c>
      <c r="C114" t="inlineStr">
        <is>
          <t>Amazon.com</t>
        </is>
      </c>
      <c r="D114" t="inlineStr">
        <is>
          <t>indeed</t>
        </is>
      </c>
      <c r="E114">
        <f>HYPERLINK("https://www.indeed.com/viewjob?jk=db5de60e6f2ff272", "https://www.indeed.com/viewjob?jk=db5de60e6f2ff272")</f>
        <v/>
      </c>
      <c r="F114">
        <f>HYPERLINK("https://www.amazon.jobs/jobs/2993074/sr-software-engineer-ml-agi-foundations?cmpid=DA_INAD200785B", "https://www.amazon.jobs/jobs/2993074/sr-software-engineer-ml-agi-foundations?cmpid=DA_INAD200785B")</f>
        <v/>
      </c>
      <c r="G114" t="inlineStr">
        <is>
          <t>Sunnyvale, CA, US</t>
        </is>
      </c>
      <c r="H114" s="3" t="n">
        <v>45803</v>
      </c>
      <c r="I11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15">
      <c r="A115" t="inlineStr">
        <is>
          <t>in-0c7f74e98df71871</t>
        </is>
      </c>
      <c r="B115" t="inlineStr">
        <is>
          <t>Software Engineer- AI/ML, AWS Neuron Distributed Training</t>
        </is>
      </c>
      <c r="C115" t="inlineStr">
        <is>
          <t>Amazon Web Services</t>
        </is>
      </c>
      <c r="D115" t="inlineStr">
        <is>
          <t>indeed</t>
        </is>
      </c>
      <c r="E115">
        <f>HYPERLINK("https://www.indeed.com/viewjob?jk=0c7f74e98df71871", "https://www.indeed.com/viewjob?jk=0c7f74e98df71871")</f>
        <v/>
      </c>
      <c r="F115">
        <f>HYPERLINK("https://www.amazon.jobs/jobs/2937757/software-engineer-aiml-aws-neuron-distributed-training?cmpid=DA_INAD200785B", "https://www.amazon.jobs/jobs/2937757/software-engineer-aiml-aws-neuron-distributed-training?cmpid=DA_INAD200785B")</f>
        <v/>
      </c>
      <c r="G115" t="inlineStr">
        <is>
          <t>Cupertino, CA, US</t>
        </is>
      </c>
      <c r="H115" s="3" t="n">
        <v>45727</v>
      </c>
      <c r="I11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in-27f88e722ef8afcc</t>
        </is>
      </c>
      <c r="B116" t="inlineStr">
        <is>
          <t>Software Engineer- AI/ML, AWS Neuron Distributed Training</t>
        </is>
      </c>
      <c r="C116" t="inlineStr">
        <is>
          <t>Amazon Web Services</t>
        </is>
      </c>
      <c r="D116" t="inlineStr">
        <is>
          <t>indeed</t>
        </is>
      </c>
      <c r="E116">
        <f>HYPERLINK("https://www.indeed.com/viewjob?jk=27f88e722ef8afcc", "https://www.indeed.com/viewjob?jk=27f88e722ef8afcc")</f>
        <v/>
      </c>
      <c r="F116">
        <f>HYPERLINK("https://www.amazon.jobs/jobs/2937757/software-engineer-aiml-aws-neuron-distributed-training?cmpid=DA_INAD200785B", "https://www.amazon.jobs/jobs/2937757/software-engineer-aiml-aws-neuron-distributed-training?cmpid=DA_INAD200785B")</f>
        <v/>
      </c>
      <c r="G116" t="inlineStr">
        <is>
          <t>Seattle, WA, US</t>
        </is>
      </c>
      <c r="H116" s="3" t="n">
        <v>45727</v>
      </c>
      <c r="I11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in-d49c6d477b3b916b</t>
        </is>
      </c>
      <c r="B117" t="inlineStr">
        <is>
          <t>Sr. Software Engineer- AI/ML, AWS Neuron Distributed Training</t>
        </is>
      </c>
      <c r="C117" t="inlineStr">
        <is>
          <t>Amazon Web Services</t>
        </is>
      </c>
      <c r="D117" t="inlineStr">
        <is>
          <t>indeed</t>
        </is>
      </c>
      <c r="E117">
        <f>HYPERLINK("https://www.indeed.com/viewjob?jk=d49c6d477b3b916b", "https://www.indeed.com/viewjob?jk=d49c6d477b3b916b")</f>
        <v/>
      </c>
      <c r="F117">
        <f>HYPERLINK("https://www.amazon.jobs/jobs/2912412/sr-software-engineer-aiml-aws-neuron-distributed-training?cmpid=DA_INAD200785B", "https://www.amazon.jobs/jobs/2912412/sr-software-engineer-aiml-aws-neuron-distributed-training?cmpid=DA_INAD200785B")</f>
        <v/>
      </c>
      <c r="G117" t="inlineStr">
        <is>
          <t>Seattle, WA, US</t>
        </is>
      </c>
      <c r="H117" s="3" t="n">
        <v>45713</v>
      </c>
      <c r="I1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in-87aaf05098007020</t>
        </is>
      </c>
      <c r="B118" t="inlineStr">
        <is>
          <t>Sr. Software Engineer- AI/ML, AWS Neuron Distributed Training</t>
        </is>
      </c>
      <c r="C118" t="inlineStr">
        <is>
          <t>Amazon Web Services</t>
        </is>
      </c>
      <c r="D118" t="inlineStr">
        <is>
          <t>indeed</t>
        </is>
      </c>
      <c r="E118">
        <f>HYPERLINK("https://www.indeed.com/viewjob?jk=87aaf05098007020", "https://www.indeed.com/viewjob?jk=87aaf05098007020")</f>
        <v/>
      </c>
      <c r="F118">
        <f>HYPERLINK("https://www.amazon.jobs/jobs/2912412/sr-software-engineer-aiml-aws-neuron-distributed-training?cmpid=DA_INAD200785B", "https://www.amazon.jobs/jobs/2912412/sr-software-engineer-aiml-aws-neuron-distributed-training?cmpid=DA_INAD200785B")</f>
        <v/>
      </c>
      <c r="G118" t="inlineStr">
        <is>
          <t>Cupertino, CA, US</t>
        </is>
      </c>
      <c r="H118" s="3" t="n">
        <v>45713</v>
      </c>
      <c r="I1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in-9a8304945dfbb729</t>
        </is>
      </c>
      <c r="B119" t="inlineStr">
        <is>
          <t>Software Engineer</t>
        </is>
      </c>
      <c r="C119" t="inlineStr">
        <is>
          <t>Lockheed Martin</t>
        </is>
      </c>
      <c r="D119" t="inlineStr">
        <is>
          <t>indeed</t>
        </is>
      </c>
      <c r="E119">
        <f>HYPERLINK("https://www.indeed.com/viewjob?jk=9a8304945dfbb729", "https://www.indeed.com/viewjob?jk=9a8304945dfbb729")</f>
        <v/>
      </c>
      <c r="F119">
        <f>HYPERLINK("https://click.appcast.io/t/wSyf-01Wj2mpGy4AjDkws3T1FHXbE0n2vL6xmRAoau0=", "https://click.appcast.io/t/wSyf-01Wj2mpGy4AjDkws3T1FHXbE0n2vL6xmRAoau0=")</f>
        <v/>
      </c>
      <c r="G119" t="inlineStr">
        <is>
          <t>Littleton, CO, US</t>
        </is>
      </c>
      <c r="H119" s="3" t="n">
        <v>46060</v>
      </c>
      <c r="I119" t="inlineStr">
        <is>
          <t>**Job ID:** 714248BR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programming; exposure to Python or scripting languages is a plus.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0">
      <c r="A120" t="inlineStr">
        <is>
          <t>in-3714c6a5536e6cee</t>
        </is>
      </c>
      <c r="B120" t="inlineStr">
        <is>
          <t>Software Engineer</t>
        </is>
      </c>
      <c r="C120" t="inlineStr">
        <is>
          <t>Lockheed Martin</t>
        </is>
      </c>
      <c r="D120" t="inlineStr">
        <is>
          <t>indeed</t>
        </is>
      </c>
      <c r="E120">
        <f>HYPERLINK("https://www.indeed.com/viewjob?jk=3714c6a5536e6cee", "https://www.indeed.com/viewjob?jk=3714c6a5536e6cee")</f>
        <v/>
      </c>
      <c r="F120">
        <f>HYPERLINK("https://click.appcast.io/t/l8kmkasmoSRxohe6-Qbv2hs9C4ybZumPv8JYYGQq6j4=", "https://click.appcast.io/t/l8kmkasmoSRxohe6-Qbv2hs9C4ybZumPv8JYYGQq6j4=")</f>
        <v/>
      </c>
      <c r="G120" t="inlineStr">
        <is>
          <t>Littleton, CO, US</t>
        </is>
      </c>
      <c r="H120" s="3" t="n">
        <v>46060</v>
      </c>
      <c r="I120" t="inlineStr">
        <is>
          <t>**Job ID:** 714249BR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Embedded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programming; exposure to Python or scripting languages is a plus.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1">
      <c r="A121" t="inlineStr">
        <is>
          <t>in-654dc723d142066f</t>
        </is>
      </c>
      <c r="B121" t="inlineStr">
        <is>
          <t>Software Engineer Asc</t>
        </is>
      </c>
      <c r="C121" t="inlineStr">
        <is>
          <t>Lockheed Martin</t>
        </is>
      </c>
      <c r="D121" t="inlineStr">
        <is>
          <t>indeed</t>
        </is>
      </c>
      <c r="E121">
        <f>HYPERLINK("https://www.indeed.com/viewjob?jk=654dc723d142066f", "https://www.indeed.com/viewjob?jk=654dc723d142066f")</f>
        <v/>
      </c>
      <c r="F121">
        <f>HYPERLINK("https://click.appcast.io/t/YcXJYI4qIQuR27uRW_0fQ_ao3rVzkjJauhLnJamvyfo=", "https://click.appcast.io/t/YcXJYI4qIQuR27uRW_0fQ_ao3rVzkjJauhLnJamvyfo=")</f>
        <v/>
      </c>
      <c r="G121" t="inlineStr">
        <is>
          <t>Littleton, CO, US</t>
        </is>
      </c>
      <c r="H121" s="3" t="n">
        <v>46060</v>
      </c>
      <c r="I121" t="inlineStr">
        <is>
          <t>**Job ID:** 714233BR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Entry‑Level Embedded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programming; exposure to Python or scripting languages is a plus.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2">
      <c r="A122" t="inlineStr">
        <is>
          <t>in-51ab25d25acd1c55</t>
        </is>
      </c>
      <c r="B122" t="inlineStr">
        <is>
          <t>Senior Software Engineer</t>
        </is>
      </c>
      <c r="C122" t="inlineStr">
        <is>
          <t>Lockheed Martin</t>
        </is>
      </c>
      <c r="D122" t="inlineStr">
        <is>
          <t>indeed</t>
        </is>
      </c>
      <c r="E122">
        <f>HYPERLINK("https://www.indeed.com/viewjob?jk=51ab25d25acd1c55", "https://www.indeed.com/viewjob?jk=51ab25d25acd1c55")</f>
        <v/>
      </c>
      <c r="F122">
        <f>HYPERLINK("https://click.appcast.io/t/mYIdHHyCGGhR45OB41b2kanZx_uApcl_kTsslpuaFro=", "https://click.appcast.io/t/mYIdHHyCGGhR45OB41b2kanZx_uApcl_kTsslpuaFro=")</f>
        <v/>
      </c>
      <c r="G122" t="inlineStr">
        <is>
          <t>Littleton, CO, US</t>
        </is>
      </c>
      <c r="H122" s="3" t="n">
        <v>46060</v>
      </c>
      <c r="I122" t="inlineStr">
        <is>
          <t>**Job ID:** 714251BR
**Date posted:** Feb. 08,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We are seeking a motivated and detail‑oriented Embedded Flight Software Test Engineer to join our flight software verification team. In this role you will develop and execute test plans, create automated test frameworks, and work closely with software developers, systems engineers, and hardware teams to ensure that embedded flight software meets stringent aerospace standards for performance, safety, and reliability.  
**Basic Qualifications:**  
Bachelor's degree in Electrical Engineering, Computer Engineering, Aerospace Engineering, Computer Science, or a related technical field.  
Proficiency in C/C\+\+ \&amp; Python programming
Familiarity with version‑control systems  
Strong analytical and problem‑solving skills; ability to work methodically on complex, safety‑critical systems.  
Excellent written and verbal communication skills.  
Final Top Secret Clearance required to start  
Ability to obtain a TS/SCI Clearance  
**Desired Skills:**  
Fundamentals of embedded systems and real‑time operating systems (RTOS) (e.g., VxWorks, FreeRTOS, Linux RT).  
Knowledge of model‑based development environments (MATLAB/Simulink, SCADE).  
Familiarity with continuous integration/continuous deployment (CI/CD) pipelines.  
\#LMSpaceSoftwareEng  
\#spaceembeddedsw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3">
      <c r="A123" t="inlineStr">
        <is>
          <t>in-cbb6f271186af2d4</t>
        </is>
      </c>
      <c r="B123" t="inlineStr">
        <is>
          <t>Senior Software Engineer - Java</t>
        </is>
      </c>
      <c r="C123" t="inlineStr">
        <is>
          <t>Halliburton</t>
        </is>
      </c>
      <c r="D123" t="inlineStr">
        <is>
          <t>indeed</t>
        </is>
      </c>
      <c r="E123">
        <f>HYPERLINK("https://www.indeed.com/viewjob?jk=cbb6f271186af2d4", "https://www.indeed.com/viewjob?jk=cbb6f271186af2d4")</f>
        <v/>
      </c>
      <c r="F123">
        <f>HYPERLINK("https://jobs.halliburton.com/job/Houston-Senior-Software-Engineer-Java-TX-77032/1316393300/?feedId=162400&amp;utm_source=Indeed&amp;utm_campaign=Halliburton_Indeed", "https://jobs.halliburton.com/job/Houston-Senior-Software-Engineer-Java-TX-77032/1316393300/?feedId=162400&amp;utm_source=Indeed&amp;utm_campaign=Halliburton_Indeed")</f>
        <v/>
      </c>
      <c r="G123" t="inlineStr">
        <is>
          <t>Houston, TX, US</t>
        </is>
      </c>
      <c r="H123" s="3" t="n">
        <v>46060</v>
      </c>
      <c r="I123" t="inlineStr">
        <is>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
* Design, development, testing, and documentation of scalable software systems, ensuring alignment with engineering best practices.
* Architect and implement components that integrate seamlessly within a broader ecosystem using REST APIs, database queries, and library calls.
* Apply system design patterns to build efficient, maintainable, and high\-performing solutions.
* Expertise in technical research and development efforts and ensure timely delivery of high\-quality software.
* Stay current with emerging technologies and contribute to continuous improvement across the development lifecycle.
**Qualifications**
------------------
* Bachelor’s degree in Software Engineering, Computer Science, or a related field required.
* Minimum 10\+ years of experience in Java development for complex software applications.
* Strong understanding of software design principles, best practices, and architectural considerations.
* Proficient in JDBC for database access and strong SQL skills, particularly with SQL Server and Oracle.
* Demonstrated experience in applying coding best practices, conducting code reviews, and ensuring quality.
* Familiarity with CI/CD tools and technologies, especially GitLab.
* Self\-motivated with the ability to thrive in a team\-oriented environment.
* Excellent analytical, communication, and problem\-solving skills.
* Quick learner with a passion for exploring new technologies.
* Team player with a willingness to mentor junior developers and collaborate on problem\-solving.
* Familiarity and understanding of modern cloud technologies and microservices
**Desirable Attributes**
------------------------
* Experience in drilling and drilling operational domain especially in Oil and Gas
* Objective C or other mobile technologies will be a plus
* Strong proficiency in Java SE 11 (32\-bit) with readiness to work on migration to Java 17 (64\-bit)
* Solid understanding of Java language features, concurrency, collections, Swing, SWT and exception handling
* Proficiency in Hibernate ORM for data persistence
* Hands\-on experience with Git, Maven for build automation and dependency management
* Unit testing (JUnit, Mockito), integration testing, and test\-driven development (TDD)
* Experience with RESTful API design, integration and SOAP Implementation using AXIS
* Experience working with JNI for integrating Java with nat
Candidates having qualifications that exceed the minimum job requirements will receive consideration for higher level roles given (1\) their experience, (2\) additional job requirements, and/or (3\) business needs. Depending on education, experience, and skill level, a variety of job opportunities might be available including Technical Advisor \- Software Development.
**World Class Benefits:**
-------------------------
At Halliburton, we're committed to providing you and your family with a comprehensive and affordable benefits package \- which means we offer support for your physical, emotional, financial and parental needs, both now and in the future. When you join our team, you'll have access to a wide range of resources designed to help you thrive at work and at home. By clicking here, you can review a summary of the benefits available once you join.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201552  
**Experience Level:** Experienced Hire  
**Job Family:** Engineering/Science/Technology  
**Product Service Line:** Landmark Software \&amp; Services  
**Full Time / Part Time:** Full Time
**Additional Locations for this position:**
 **Compensation Information**  
Compensation is competitive and commensurate with experience.</t>
        </is>
      </c>
    </row>
    <row r="124">
      <c r="A124" t="inlineStr">
        <is>
          <t>in-2b6373592057cb10</t>
        </is>
      </c>
      <c r="B124" t="inlineStr">
        <is>
          <t>Senior Fullstack Engineer, Auctions</t>
        </is>
      </c>
      <c r="C124" t="inlineStr">
        <is>
          <t>Germain Hotels</t>
        </is>
      </c>
      <c r="D124" t="inlineStr">
        <is>
          <t>indeed</t>
        </is>
      </c>
      <c r="E124">
        <f>HYPERLINK("https://www.indeed.com/viewjob?jk=2b6373592057cb10", "https://www.indeed.com/viewjob?jk=2b6373592057cb10")</f>
        <v/>
      </c>
      <c r="F124">
        <f>HYPERLINK("https://grnh.se/yom5d1rg3us", "https://grnh.se/yom5d1rg3us")</f>
        <v/>
      </c>
      <c r="G124" t="inlineStr">
        <is>
          <t>New York, NY, US</t>
        </is>
      </c>
      <c r="H124" s="3" t="n">
        <v>46060</v>
      </c>
      <c r="I124"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We're looking for a Senior Fullstack Engineer to build the engine behind a marketplace that moves hundreds of millions of dollars in GMV. Our Auctions team doesn't just "list items"—we build the high\-stakes, high\-concurrency environments where collectors' dreams are realized.
In this role, you'll sit at the intersection of high\-scale transaction systems and cutting\-edge AI. You'll build products that provide upfront liquidity to consignors, personalized discovery for buyers, and professional\-grade tools for power sellers. If you're energized by the idea of shipping features that millions of hobbyists and power\-users rely on, we want to talk.
### **What You'll Do Here:**
* **Architect the Auction Engine:** Build and scale the high\-concurrency bidding and listing systems that power 9\-figure annual GMV.
* **Ship AI\-Powered Liquidity:** Develop next\-gen features that leverage AI to provide instant valuations and upfront liquidity to our consignors and sellers.
* **Personalize the Hobby:** Use data and machine learning to build rich, personalized discovery experiences that match unique collectibles to the right buyers.
* **Empower Power Users:** Design and launch sophisticated management tools for everyone from high\-frequency "power sellers" to veteran hobbyists.
* **Own the Experience:** Build end\-to\-end—from the low\-latency backend logic required for live bidding to the sleek, responsive UI where the action happens.
* **Drive Technical Excellence:** Mentor the team and set the standard for code quality, system reliability, and performance.
### **This is a perfect fit if you…**
* **Love High\-Scale Challenges:** You aren't intimidated by 9\-figure transaction volumes or the "thundering herd" of bidders in the final seconds of an auction.
* **Are an AI Pragmatist:** You know how to take LLMs or computer vision models and turn them into practical, user\-facing features that solve real business problems.
* **Think in Systems \&amp; UX:** You can visualize how a data schema change on the backend will ripple out into the user experience for a power seller.
* **Have High Agency:** You thrive in an environment where you are expected to identify the highest\-leverage work and execute on it without a hand\-holding manual.
### **What You Bring to the Table:**
* **5\+ years of experience** building and scaling complex applications (Python, Postgres, AWS/Cloud infra).
* **Modern Frontend Mastery:** Deep experience with React, TypeScript, and building high\-performance, real\-time UIs.
* **Data\-Driven Mindset:** Experience working with personalization engines, recommendation systems, or AI/ML integrations is a major plus.
* **Product Instincts:** You don't just build what's on the ticket; you understand the collector mindset and build features that delight them.
* **Reliability Under Pressure:** You have a track record of building systems that stay up when the stakes (and the traffic) are highest.
###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125">
      <c r="A125" t="inlineStr">
        <is>
          <t>in-c52efa4a5c921314</t>
        </is>
      </c>
      <c r="B125" t="inlineStr">
        <is>
          <t>Software Engineer- Domain Expert Lead (Contract), AGI - Data Services</t>
        </is>
      </c>
      <c r="C125" t="inlineStr">
        <is>
          <t>Amazon.com</t>
        </is>
      </c>
      <c r="D125" t="inlineStr">
        <is>
          <t>indeed</t>
        </is>
      </c>
      <c r="E125">
        <f>HYPERLINK("https://www.indeed.com/viewjob?jk=c52efa4a5c921314", "https://www.indeed.com/viewjob?jk=c52efa4a5c921314")</f>
        <v/>
      </c>
      <c r="F125">
        <f>HYPERLINK("https://www.amazon.jobs/jobs/3163978/software-engineer-domain-expert-lead-contract-agi--data-services?cmpid=DA_INAD200785B", "https://www.amazon.jobs/jobs/3163978/software-engineer-domain-expert-lead-contract-agi--data-services?cmpid=DA_INAD200785B")</f>
        <v/>
      </c>
      <c r="G125" t="inlineStr">
        <is>
          <t>Boston, MA, US</t>
        </is>
      </c>
      <c r="H125" s="3" t="n">
        <v>46029</v>
      </c>
      <c r="I125"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in-52b07d1635d57cc8</t>
        </is>
      </c>
      <c r="B126" t="inlineStr">
        <is>
          <t>Software Engineer- Domain Expert Lead (Contract), AGI - Data Services</t>
        </is>
      </c>
      <c r="C126" t="inlineStr">
        <is>
          <t>Amazon.com</t>
        </is>
      </c>
      <c r="D126" t="inlineStr">
        <is>
          <t>indeed</t>
        </is>
      </c>
      <c r="E126">
        <f>HYPERLINK("https://www.indeed.com/viewjob?jk=52b07d1635d57cc8", "https://www.indeed.com/viewjob?jk=52b07d1635d57cc8")</f>
        <v/>
      </c>
      <c r="F126">
        <f>HYPERLINK("https://www.amazon.jobs/jobs/3163978/software-engineer-domain-expert-lead-contract-agi--data-services?cmpid=DA_INAD200785B", "https://www.amazon.jobs/jobs/3163978/software-engineer-domain-expert-lead-contract-agi--data-services?cmpid=DA_INAD200785B")</f>
        <v/>
      </c>
      <c r="G126" t="inlineStr">
        <is>
          <t>Bellevue, WA, US</t>
        </is>
      </c>
      <c r="H126" s="3" t="n">
        <v>46029</v>
      </c>
      <c r="I126"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in-7625540ccd2ddf8d</t>
        </is>
      </c>
      <c r="B127" t="inlineStr">
        <is>
          <t>Software Engineer</t>
        </is>
      </c>
      <c r="C127" t="inlineStr">
        <is>
          <t>Amazon.com</t>
        </is>
      </c>
      <c r="D127" t="inlineStr">
        <is>
          <t>indeed</t>
        </is>
      </c>
      <c r="E127">
        <f>HYPERLINK("https://www.indeed.com/viewjob?jk=7625540ccd2ddf8d", "https://www.indeed.com/viewjob?jk=7625540ccd2ddf8d")</f>
        <v/>
      </c>
      <c r="F127">
        <f>HYPERLINK("https://www.amazon.jobs/jobs/3145977/software-engineer?cmpid=DA_INAD200785B", "https://www.amazon.jobs/jobs/3145977/software-engineer?cmpid=DA_INAD200785B")</f>
        <v/>
      </c>
      <c r="G127" t="inlineStr">
        <is>
          <t>San Francisco, CA, US</t>
        </is>
      </c>
      <c r="H127" s="3" t="n">
        <v>46008</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in-3ebdd9a51720c66f</t>
        </is>
      </c>
      <c r="B128" t="inlineStr">
        <is>
          <t>Software Engineer</t>
        </is>
      </c>
      <c r="C128" t="inlineStr">
        <is>
          <t>Amazon.com</t>
        </is>
      </c>
      <c r="D128" t="inlineStr">
        <is>
          <t>indeed</t>
        </is>
      </c>
      <c r="E128">
        <f>HYPERLINK("https://www.indeed.com/viewjob?jk=3ebdd9a51720c66f", "https://www.indeed.com/viewjob?jk=3ebdd9a51720c66f")</f>
        <v/>
      </c>
      <c r="F128">
        <f>HYPERLINK("https://www.amazon.jobs/jobs/3145977/software-engineer?cmpid=DA_INAD200785B", "https://www.amazon.jobs/jobs/3145977/software-engineer?cmpid=DA_INAD200785B")</f>
        <v/>
      </c>
      <c r="G128" t="inlineStr">
        <is>
          <t>Seattle, WA, US</t>
        </is>
      </c>
      <c r="H128" s="3" t="n">
        <v>46008</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in-55376c32d4265785</t>
        </is>
      </c>
      <c r="B129" t="inlineStr">
        <is>
          <t>Sr. Embedded Software Engineer - FPGA Systems, Amazon Leo's Wireless Systems</t>
        </is>
      </c>
      <c r="C129" t="inlineStr">
        <is>
          <t>Amazon.com</t>
        </is>
      </c>
      <c r="D129" t="inlineStr">
        <is>
          <t>indeed</t>
        </is>
      </c>
      <c r="E129">
        <f>HYPERLINK("https://www.indeed.com/viewjob?jk=55376c32d4265785", "https://www.indeed.com/viewjob?jk=55376c32d4265785")</f>
        <v/>
      </c>
      <c r="F129">
        <f>HYPERLINK("https://www.amazon.jobs/jobs/3146069/sr-embedded-software-engineer--fpga-systems-amazon-leos-wireless-systems-?cmpid=DA_INAD200785B", "https://www.amazon.jobs/jobs/3146069/sr-embedded-software-engineer--fpga-systems-amazon-leos-wireless-systems-?cmpid=DA_INAD200785B")</f>
        <v/>
      </c>
      <c r="G129" t="inlineStr">
        <is>
          <t>Austin, TX, US</t>
        </is>
      </c>
      <c r="H129" s="3" t="n">
        <v>46008</v>
      </c>
      <c r="I1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30">
      <c r="A130" t="inlineStr">
        <is>
          <t>in-fdbc121397170d8e</t>
        </is>
      </c>
      <c r="B130" t="inlineStr">
        <is>
          <t>Sr. Embedded Software Engineer - FPGA Systems, Amazon Leo's Wireless Systems</t>
        </is>
      </c>
      <c r="C130" t="inlineStr">
        <is>
          <t>Amazon.com</t>
        </is>
      </c>
      <c r="D130" t="inlineStr">
        <is>
          <t>indeed</t>
        </is>
      </c>
      <c r="E130">
        <f>HYPERLINK("https://www.indeed.com/viewjob?jk=fdbc121397170d8e", "https://www.indeed.com/viewjob?jk=fdbc121397170d8e")</f>
        <v/>
      </c>
      <c r="F130">
        <f>HYPERLINK("https://www.amazon.jobs/jobs/3146069/sr-embedded-software-engineer--fpga-systems-amazon-leos-wireless-systems-?cmpid=DA_INAD200785B", "https://www.amazon.jobs/jobs/3146069/sr-embedded-software-engineer--fpga-systems-amazon-leos-wireless-systems-?cmpid=DA_INAD200785B")</f>
        <v/>
      </c>
      <c r="G130" t="inlineStr">
        <is>
          <t>San Diego, CA, US</t>
        </is>
      </c>
      <c r="H130" s="3" t="n">
        <v>46008</v>
      </c>
      <c r="I1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31">
      <c r="A131" t="inlineStr">
        <is>
          <t>in-6e54a365a00b8d72</t>
        </is>
      </c>
      <c r="B131" t="inlineStr">
        <is>
          <t>Sr. Embedded Software Engineer - FPGA Systems, Amazon Leo's Wireless Systems</t>
        </is>
      </c>
      <c r="C131" t="inlineStr">
        <is>
          <t>Amazon.com</t>
        </is>
      </c>
      <c r="D131" t="inlineStr">
        <is>
          <t>indeed</t>
        </is>
      </c>
      <c r="E131">
        <f>HYPERLINK("https://www.indeed.com/viewjob?jk=6e54a365a00b8d72", "https://www.indeed.com/viewjob?jk=6e54a365a00b8d72")</f>
        <v/>
      </c>
      <c r="F131">
        <f>HYPERLINK("https://www.amazon.jobs/jobs/3146069/sr-embedded-software-engineer--fpga-systems-amazon-leos-wireless-systems-?cmpid=DA_INAD200785B", "https://www.amazon.jobs/jobs/3146069/sr-embedded-software-engineer--fpga-systems-amazon-leos-wireless-systems-?cmpid=DA_INAD200785B")</f>
        <v/>
      </c>
      <c r="G131" t="inlineStr">
        <is>
          <t>Sunnyvale, CA, US</t>
        </is>
      </c>
      <c r="H131" s="3" t="n">
        <v>46008</v>
      </c>
      <c r="I13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132">
      <c r="A132" t="inlineStr">
        <is>
          <t>in-1a7bc6420b8f2984</t>
        </is>
      </c>
      <c r="B132" t="inlineStr">
        <is>
          <t>Sr Software Engineer, Amazon Ads Exchange</t>
        </is>
      </c>
      <c r="C132" t="inlineStr">
        <is>
          <t>Amazon.com</t>
        </is>
      </c>
      <c r="D132" t="inlineStr">
        <is>
          <t>indeed</t>
        </is>
      </c>
      <c r="E132">
        <f>HYPERLINK("https://www.indeed.com/viewjob?jk=1a7bc6420b8f2984", "https://www.indeed.com/viewjob?jk=1a7bc6420b8f2984")</f>
        <v/>
      </c>
      <c r="F132">
        <f>HYPERLINK("https://www.amazon.jobs/jobs/3146713/sr-software-engineer-amazon-ads-exchange?cmpid=DA_INAD200785B", "https://www.amazon.jobs/jobs/3146713/sr-software-engineer-amazon-ads-exchange?cmpid=DA_INAD200785B")</f>
        <v/>
      </c>
      <c r="G132" t="inlineStr">
        <is>
          <t>Palo Alto, CA, US</t>
        </is>
      </c>
      <c r="H132" s="3" t="n">
        <v>46002</v>
      </c>
      <c r="I13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in-9586fdd67ccd8496</t>
        </is>
      </c>
      <c r="B133" t="inlineStr">
        <is>
          <t>Sr Software Engineer, Amazon Ads Exchange</t>
        </is>
      </c>
      <c r="C133" t="inlineStr">
        <is>
          <t>Amazon.com</t>
        </is>
      </c>
      <c r="D133" t="inlineStr">
        <is>
          <t>indeed</t>
        </is>
      </c>
      <c r="E133">
        <f>HYPERLINK("https://www.indeed.com/viewjob?jk=9586fdd67ccd8496", "https://www.indeed.com/viewjob?jk=9586fdd67ccd8496")</f>
        <v/>
      </c>
      <c r="F133">
        <f>HYPERLINK("https://www.amazon.jobs/jobs/3146713/sr-software-engineer-amazon-ads-exchange?cmpid=DA_INAD200785B", "https://www.amazon.jobs/jobs/3146713/sr-software-engineer-amazon-ads-exchange?cmpid=DA_INAD200785B")</f>
        <v/>
      </c>
      <c r="G133" t="inlineStr">
        <is>
          <t>Arlington, VA, US</t>
        </is>
      </c>
      <c r="H133" s="3" t="n">
        <v>46002</v>
      </c>
      <c r="I13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in-9cd99edd898f60d5</t>
        </is>
      </c>
      <c r="B134" t="inlineStr">
        <is>
          <t>Sr Software Engineer, Amazon Ads Exchange</t>
        </is>
      </c>
      <c r="C134" t="inlineStr">
        <is>
          <t>Amazon.com</t>
        </is>
      </c>
      <c r="D134" t="inlineStr">
        <is>
          <t>indeed</t>
        </is>
      </c>
      <c r="E134">
        <f>HYPERLINK("https://www.indeed.com/viewjob?jk=9cd99edd898f60d5", "https://www.indeed.com/viewjob?jk=9cd99edd898f60d5")</f>
        <v/>
      </c>
      <c r="F134">
        <f>HYPERLINK("https://www.amazon.jobs/jobs/3146713/sr-software-engineer-amazon-ads-exchange?cmpid=DA_INAD200785B", "https://www.amazon.jobs/jobs/3146713/sr-software-engineer-amazon-ads-exchange?cmpid=DA_INAD200785B")</f>
        <v/>
      </c>
      <c r="G134" t="inlineStr">
        <is>
          <t>San Francisco, CA, US</t>
        </is>
      </c>
      <c r="H134" s="3" t="n">
        <v>46002</v>
      </c>
      <c r="I13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in-3777b6616816bfe8</t>
        </is>
      </c>
      <c r="B135" t="inlineStr">
        <is>
          <t>Software Engineer I</t>
        </is>
      </c>
      <c r="C135" t="inlineStr">
        <is>
          <t>Amazon.com</t>
        </is>
      </c>
      <c r="D135" t="inlineStr">
        <is>
          <t>indeed</t>
        </is>
      </c>
      <c r="E135">
        <f>HYPERLINK("https://www.indeed.com/viewjob?jk=3777b6616816bfe8", "https://www.indeed.com/viewjob?jk=3777b6616816bfe8")</f>
        <v/>
      </c>
      <c r="F135">
        <f>HYPERLINK("https://www.amazon.jobs/jobs/3141336/software-engineer-i?cmpid=DA_INAD200785B", "https://www.amazon.jobs/jobs/3141336/software-engineer-i?cmpid=DA_INAD200785B")</f>
        <v/>
      </c>
      <c r="G135" t="inlineStr">
        <is>
          <t>San Francisco, CA, US</t>
        </is>
      </c>
      <c r="H135" s="3" t="n">
        <v>46001</v>
      </c>
      <c r="I1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in-0b5723d97d77c267</t>
        </is>
      </c>
      <c r="B136" t="inlineStr">
        <is>
          <t>Software Engineer I</t>
        </is>
      </c>
      <c r="C136" t="inlineStr">
        <is>
          <t>Amazon.com</t>
        </is>
      </c>
      <c r="D136" t="inlineStr">
        <is>
          <t>indeed</t>
        </is>
      </c>
      <c r="E136">
        <f>HYPERLINK("https://www.indeed.com/viewjob?jk=0b5723d97d77c267", "https://www.indeed.com/viewjob?jk=0b5723d97d77c267")</f>
        <v/>
      </c>
      <c r="F136">
        <f>HYPERLINK("https://www.amazon.jobs/jobs/3141336/software-engineer-i?cmpid=DA_INAD200785B", "https://www.amazon.jobs/jobs/3141336/software-engineer-i?cmpid=DA_INAD200785B")</f>
        <v/>
      </c>
      <c r="G136" t="inlineStr">
        <is>
          <t>Seattle, WA, US</t>
        </is>
      </c>
      <c r="H136" s="3" t="n">
        <v>46001</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in-566b2c9d9ccfe149</t>
        </is>
      </c>
      <c r="B137" t="inlineStr">
        <is>
          <t>Software Engineer II, Twitch</t>
        </is>
      </c>
      <c r="C137" t="inlineStr">
        <is>
          <t>Amazon.com</t>
        </is>
      </c>
      <c r="D137" t="inlineStr">
        <is>
          <t>indeed</t>
        </is>
      </c>
      <c r="E137">
        <f>HYPERLINK("https://www.indeed.com/viewjob?jk=566b2c9d9ccfe149", "https://www.indeed.com/viewjob?jk=566b2c9d9ccfe149")</f>
        <v/>
      </c>
      <c r="F137">
        <f>HYPERLINK("https://www.amazon.jobs/jobs/3138052/software-engineer-ii-twitch?cmpid=DA_INAD200785B", "https://www.amazon.jobs/jobs/3138052/software-engineer-ii-twitch?cmpid=DA_INAD200785B")</f>
        <v/>
      </c>
      <c r="G137" t="inlineStr">
        <is>
          <t>San Francisco, CA, US</t>
        </is>
      </c>
      <c r="H137" s="3" t="n">
        <v>45995</v>
      </c>
      <c r="I13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in-635baddbbf4a4eec</t>
        </is>
      </c>
      <c r="B138" t="inlineStr">
        <is>
          <t>Software Engineer II, Android</t>
        </is>
      </c>
      <c r="C138" t="inlineStr">
        <is>
          <t>Amazon.com</t>
        </is>
      </c>
      <c r="D138" t="inlineStr">
        <is>
          <t>indeed</t>
        </is>
      </c>
      <c r="E138">
        <f>HYPERLINK("https://www.indeed.com/viewjob?jk=635baddbbf4a4eec", "https://www.indeed.com/viewjob?jk=635baddbbf4a4eec")</f>
        <v/>
      </c>
      <c r="F138">
        <f>HYPERLINK("https://www.amazon.jobs/jobs/3138330/software-engineer-ii-android?cmpid=DA_INAD200785B", "https://www.amazon.jobs/jobs/3138330/software-engineer-ii-android?cmpid=DA_INAD200785B")</f>
        <v/>
      </c>
      <c r="G138" t="inlineStr">
        <is>
          <t>Irvine, CA, US</t>
        </is>
      </c>
      <c r="H138" s="3" t="n">
        <v>45995</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in-1a5da6b554ac5564</t>
        </is>
      </c>
      <c r="B139" t="inlineStr">
        <is>
          <t>Software Engineer II, Android</t>
        </is>
      </c>
      <c r="C139" t="inlineStr">
        <is>
          <t>Amazon.com</t>
        </is>
      </c>
      <c r="D139" t="inlineStr">
        <is>
          <t>indeed</t>
        </is>
      </c>
      <c r="E139">
        <f>HYPERLINK("https://www.indeed.com/viewjob?jk=1a5da6b554ac5564", "https://www.indeed.com/viewjob?jk=1a5da6b554ac5564")</f>
        <v/>
      </c>
      <c r="F139">
        <f>HYPERLINK("https://www.amazon.jobs/jobs/3138330/software-engineer-ii-android?cmpid=DA_INAD200785B", "https://www.amazon.jobs/jobs/3138330/software-engineer-ii-android?cmpid=DA_INAD200785B")</f>
        <v/>
      </c>
      <c r="G139" t="inlineStr">
        <is>
          <t>Seattle, WA, US</t>
        </is>
      </c>
      <c r="H139" s="3" t="n">
        <v>45995</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in-5b1fcd5f5c7d4966</t>
        </is>
      </c>
      <c r="B140" t="inlineStr">
        <is>
          <t>Software Engineer II, Twitch</t>
        </is>
      </c>
      <c r="C140" t="inlineStr">
        <is>
          <t>Amazon.com</t>
        </is>
      </c>
      <c r="D140" t="inlineStr">
        <is>
          <t>indeed</t>
        </is>
      </c>
      <c r="E140">
        <f>HYPERLINK("https://www.indeed.com/viewjob?jk=5b1fcd5f5c7d4966", "https://www.indeed.com/viewjob?jk=5b1fcd5f5c7d4966")</f>
        <v/>
      </c>
      <c r="F140">
        <f>HYPERLINK("https://www.amazon.jobs/jobs/3138052/software-engineer-ii-twitch?cmpid=DA_INAD200785B", "https://www.amazon.jobs/jobs/3138052/software-engineer-ii-twitch?cmpid=DA_INAD200785B")</f>
        <v/>
      </c>
      <c r="G140" t="inlineStr">
        <is>
          <t>Seattle, WA, US</t>
        </is>
      </c>
      <c r="H140" s="3" t="n">
        <v>45995</v>
      </c>
      <c r="I14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in-5ede832ee9890d7b</t>
        </is>
      </c>
      <c r="B141" t="inlineStr">
        <is>
          <t>Software Engineer II, Android</t>
        </is>
      </c>
      <c r="C141" t="inlineStr">
        <is>
          <t>Amazon.com</t>
        </is>
      </c>
      <c r="D141" t="inlineStr">
        <is>
          <t>indeed</t>
        </is>
      </c>
      <c r="E141">
        <f>HYPERLINK("https://www.indeed.com/viewjob?jk=5ede832ee9890d7b", "https://www.indeed.com/viewjob?jk=5ede832ee9890d7b")</f>
        <v/>
      </c>
      <c r="F141">
        <f>HYPERLINK("https://www.amazon.jobs/jobs/3138330/software-engineer-ii-android?cmpid=DA_INAD200785B", "https://www.amazon.jobs/jobs/3138330/software-engineer-ii-android?cmpid=DA_INAD200785B")</f>
        <v/>
      </c>
      <c r="G141" t="inlineStr">
        <is>
          <t>San Francisco, CA, US</t>
        </is>
      </c>
      <c r="H141" s="3" t="n">
        <v>45995</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in-5e610b429a5e92da</t>
        </is>
      </c>
      <c r="B142" t="inlineStr">
        <is>
          <t>Senior Embedded Software Engineer, Amazon Leo Digital RF Systems</t>
        </is>
      </c>
      <c r="C142" t="inlineStr">
        <is>
          <t>Amazon.com</t>
        </is>
      </c>
      <c r="D142" t="inlineStr">
        <is>
          <t>indeed</t>
        </is>
      </c>
      <c r="E142">
        <f>HYPERLINK("https://www.indeed.com/viewjob?jk=5e610b429a5e92da", "https://www.indeed.com/viewjob?jk=5e610b429a5e92da")</f>
        <v/>
      </c>
      <c r="F142">
        <f>HYPERLINK("https://www.amazon.jobs/jobs/3130773/senior-embedded-software-engineer-amazon-leo-digital-rf-systems?cmpid=DA_INAD200785B", "https://www.amazon.jobs/jobs/3130773/senior-embedded-software-engineer-amazon-leo-digital-rf-systems?cmpid=DA_INAD200785B")</f>
        <v/>
      </c>
      <c r="G142" t="inlineStr">
        <is>
          <t>Redmond, WA, US</t>
        </is>
      </c>
      <c r="H142" s="3" t="n">
        <v>45981</v>
      </c>
      <c r="I14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43">
      <c r="A143" t="inlineStr">
        <is>
          <t>in-43dc94cbe10b89b5</t>
        </is>
      </c>
      <c r="B143" t="inlineStr">
        <is>
          <t>Senior Embedded Software Engineer, Amazon Leo Digital RF Systems</t>
        </is>
      </c>
      <c r="C143" t="inlineStr">
        <is>
          <t>Amazon.com</t>
        </is>
      </c>
      <c r="D143" t="inlineStr">
        <is>
          <t>indeed</t>
        </is>
      </c>
      <c r="E143">
        <f>HYPERLINK("https://www.indeed.com/viewjob?jk=43dc94cbe10b89b5", "https://www.indeed.com/viewjob?jk=43dc94cbe10b89b5")</f>
        <v/>
      </c>
      <c r="F143">
        <f>HYPERLINK("https://www.amazon.jobs/jobs/3130773/senior-embedded-software-engineer-amazon-leo-digital-rf-systems?cmpid=DA_INAD200785B", "https://www.amazon.jobs/jobs/3130773/senior-embedded-software-engineer-amazon-leo-digital-rf-systems?cmpid=DA_INAD200785B")</f>
        <v/>
      </c>
      <c r="G143" t="inlineStr">
        <is>
          <t>San Diego, CA, US</t>
        </is>
      </c>
      <c r="H143" s="3" t="n">
        <v>45981</v>
      </c>
      <c r="I14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44">
      <c r="A144" t="inlineStr">
        <is>
          <t>in-465654fab731271f</t>
        </is>
      </c>
      <c r="B144" t="inlineStr">
        <is>
          <t>Senior Software Engineer - Query Optimization, Aurora DSQL</t>
        </is>
      </c>
      <c r="C144" t="inlineStr">
        <is>
          <t>Amazon Web Services</t>
        </is>
      </c>
      <c r="D144" t="inlineStr">
        <is>
          <t>indeed</t>
        </is>
      </c>
      <c r="E144">
        <f>HYPERLINK("https://www.indeed.com/viewjob?jk=465654fab731271f", "https://www.indeed.com/viewjob?jk=465654fab731271f")</f>
        <v/>
      </c>
      <c r="F144">
        <f>HYPERLINK("https://www.amazon.jobs/jobs/3100177/senior-software-engineer--query-optimization-aurora-dsql?cmpid=DA_INAD200785B", "https://www.amazon.jobs/jobs/3100177/senior-software-engineer--query-optimization-aurora-dsql?cmpid=DA_INAD200785B")</f>
        <v/>
      </c>
      <c r="G144" t="inlineStr">
        <is>
          <t>East Palo Alto, CA, US</t>
        </is>
      </c>
      <c r="H144" s="3" t="n">
        <v>45931</v>
      </c>
      <c r="I14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45">
      <c r="A145" t="inlineStr">
        <is>
          <t>in-0c34a1fedb78daeb</t>
        </is>
      </c>
      <c r="B145" t="inlineStr">
        <is>
          <t>Senior Software Engineer - Query Optimization, Aurora DSQL</t>
        </is>
      </c>
      <c r="C145" t="inlineStr">
        <is>
          <t>Amazon Web Services</t>
        </is>
      </c>
      <c r="D145" t="inlineStr">
        <is>
          <t>indeed</t>
        </is>
      </c>
      <c r="E145">
        <f>HYPERLINK("https://www.indeed.com/viewjob?jk=0c34a1fedb78daeb", "https://www.indeed.com/viewjob?jk=0c34a1fedb78daeb")</f>
        <v/>
      </c>
      <c r="F145">
        <f>HYPERLINK("https://www.amazon.jobs/jobs/3100177/senior-software-engineer--query-optimization-aurora-dsql?cmpid=DA_INAD200785B", "https://www.amazon.jobs/jobs/3100177/senior-software-engineer--query-optimization-aurora-dsql?cmpid=DA_INAD200785B")</f>
        <v/>
      </c>
      <c r="G145" t="inlineStr">
        <is>
          <t>Seattle, WA, US</t>
        </is>
      </c>
      <c r="H145" s="3" t="n">
        <v>45931</v>
      </c>
      <c r="I14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46">
      <c r="A146" t="inlineStr">
        <is>
          <t>in-402693ca92c4f62f</t>
        </is>
      </c>
      <c r="B146" t="inlineStr">
        <is>
          <t>Software Developer Engineer - iOS, Ring</t>
        </is>
      </c>
      <c r="C146" t="inlineStr">
        <is>
          <t>Amazon.com</t>
        </is>
      </c>
      <c r="D146" t="inlineStr">
        <is>
          <t>indeed</t>
        </is>
      </c>
      <c r="E146">
        <f>HYPERLINK("https://www.indeed.com/viewjob?jk=402693ca92c4f62f", "https://www.indeed.com/viewjob?jk=402693ca92c4f62f")</f>
        <v/>
      </c>
      <c r="F146">
        <f>HYPERLINK("https://www.amazon.jobs/jobs/3011028/software-developer-engineer--ios-ring?cmpid=DA_INAD200785B", "https://www.amazon.jobs/jobs/3011028/software-developer-engineer--ios-ring?cmpid=DA_INAD200785B")</f>
        <v/>
      </c>
      <c r="G146" t="inlineStr">
        <is>
          <t>Austin, TX, US</t>
        </is>
      </c>
      <c r="H146" s="3" t="n">
        <v>45812</v>
      </c>
      <c r="I14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in-949d38145ac97980</t>
        </is>
      </c>
      <c r="B147" t="inlineStr">
        <is>
          <t>Software Developer Engineer - iOS, Ring</t>
        </is>
      </c>
      <c r="C147" t="inlineStr">
        <is>
          <t>Amazon.com</t>
        </is>
      </c>
      <c r="D147" t="inlineStr">
        <is>
          <t>indeed</t>
        </is>
      </c>
      <c r="E147">
        <f>HYPERLINK("https://www.indeed.com/viewjob?jk=949d38145ac97980", "https://www.indeed.com/viewjob?jk=949d38145ac97980")</f>
        <v/>
      </c>
      <c r="F147">
        <f>HYPERLINK("https://www.amazon.jobs/jobs/3011028/software-developer-engineer--ios-ring?cmpid=DA_INAD200785B", "https://www.amazon.jobs/jobs/3011028/software-developer-engineer--ios-ring?cmpid=DA_INAD200785B")</f>
        <v/>
      </c>
      <c r="G147" t="inlineStr">
        <is>
          <t>Hawthorne, CA, US</t>
        </is>
      </c>
      <c r="H147" s="3" t="n">
        <v>45812</v>
      </c>
      <c r="I14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in-6f449c19a615f0e9</t>
        </is>
      </c>
      <c r="B148" t="inlineStr">
        <is>
          <t>Software Developer Engineer - iOS, Ring</t>
        </is>
      </c>
      <c r="C148" t="inlineStr">
        <is>
          <t>Amazon.com</t>
        </is>
      </c>
      <c r="D148" t="inlineStr">
        <is>
          <t>indeed</t>
        </is>
      </c>
      <c r="E148">
        <f>HYPERLINK("https://www.indeed.com/viewjob?jk=6f449c19a615f0e9", "https://www.indeed.com/viewjob?jk=6f449c19a615f0e9")</f>
        <v/>
      </c>
      <c r="F148">
        <f>HYPERLINK("https://www.amazon.jobs/jobs/3011028/software-developer-engineer--ios-ring?cmpid=DA_INAD200785B", "https://www.amazon.jobs/jobs/3011028/software-developer-engineer--ios-ring?cmpid=DA_INAD200785B")</f>
        <v/>
      </c>
      <c r="G148" t="inlineStr">
        <is>
          <t>Irvine, CA, US</t>
        </is>
      </c>
      <c r="H148" s="3" t="n">
        <v>45812</v>
      </c>
      <c r="I14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in-db47659e2a088f08</t>
        </is>
      </c>
      <c r="B149" t="inlineStr">
        <is>
          <t>Senior Software Engineer - Query Processing, Aurora DSQL</t>
        </is>
      </c>
      <c r="C149" t="inlineStr">
        <is>
          <t>Amazon Web Services</t>
        </is>
      </c>
      <c r="D149" t="inlineStr">
        <is>
          <t>indeed</t>
        </is>
      </c>
      <c r="E149">
        <f>HYPERLINK("https://www.indeed.com/viewjob?jk=db47659e2a088f08", "https://www.indeed.com/viewjob?jk=db47659e2a088f08")</f>
        <v/>
      </c>
      <c r="F149">
        <f>HYPERLINK("https://www.amazon.jobs/jobs/2987643/senior-software-engineer--query-processing-aurora-dsql?cmpid=DA_INAD200785B", "https://www.amazon.jobs/jobs/2987643/senior-software-engineer--query-processing-aurora-dsql?cmpid=DA_INAD200785B")</f>
        <v/>
      </c>
      <c r="G149" t="inlineStr">
        <is>
          <t>East Palo Alto, CA, US</t>
        </is>
      </c>
      <c r="H149" s="3" t="n">
        <v>45796</v>
      </c>
      <c r="I14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in-f5a6d53b724ccbf9</t>
        </is>
      </c>
      <c r="B150" t="inlineStr">
        <is>
          <t>Senior Software Engineer - Query Processing, Aurora DSQL</t>
        </is>
      </c>
      <c r="C150" t="inlineStr">
        <is>
          <t>Amazon Web Services</t>
        </is>
      </c>
      <c r="D150" t="inlineStr">
        <is>
          <t>indeed</t>
        </is>
      </c>
      <c r="E150">
        <f>HYPERLINK("https://www.indeed.com/viewjob?jk=f5a6d53b724ccbf9", "https://www.indeed.com/viewjob?jk=f5a6d53b724ccbf9")</f>
        <v/>
      </c>
      <c r="F150">
        <f>HYPERLINK("https://www.amazon.jobs/jobs/2987643/senior-software-engineer--query-processing-aurora-dsql?cmpid=DA_INAD200785B", "https://www.amazon.jobs/jobs/2987643/senior-software-engineer--query-processing-aurora-dsql?cmpid=DA_INAD200785B")</f>
        <v/>
      </c>
      <c r="G150" t="inlineStr">
        <is>
          <t>Seattle, WA, US</t>
        </is>
      </c>
      <c r="H150" s="3" t="n">
        <v>45796</v>
      </c>
      <c r="I15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li-4318115239</t>
        </is>
      </c>
      <c r="B2" t="inlineStr">
        <is>
          <t>Principal Embedded Software Engineer (ONSITE)</t>
        </is>
      </c>
      <c r="C2" t="inlineStr">
        <is>
          <t>Collins Aerospace</t>
        </is>
      </c>
      <c r="D2" t="inlineStr">
        <is>
          <t>linkedin</t>
        </is>
      </c>
      <c r="E2" t="inlineStr"/>
      <c r="F2" t="inlineStr"/>
      <c r="G2" t="inlineStr">
        <is>
          <t>Richardson, TX</t>
        </is>
      </c>
      <c r="H2" t="inlineStr"/>
      <c r="I2" t="inlineStr">
        <is>
          <t>**Date Posted:**
 2026\-01\-30
**Country:**
 United States of America
**Location:**
 US\-TX\-RICHARDSON\-461 \~ 3200 E Renner Rd \~ RENNER BLDG 461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**Are you looking to make a meaningful, positive impact while advancing your career?**
 Embark on a journey where your expertise in software engineering will help shape the future of aerospace technology. At Collins Aerospace, we're not just designing software; we're crafting the backbone of mission\-critical systems within a Special Access Program (SAP) and safeguarding the lives of those who protect us. As our next Principal Embedded Software Engineer, you'll immerse yourself in Strategic Nuclear Deterrence, bringing your acumen to the forefront of innovation and ensuring the efficacy and security of systems that are vital to national defense.
 You do not need to have previous comms or nuclear experience; we will provide the training and tools to help grow the skills you will need to become a subject matter expert.
 You will learn from the best and brightest in the comms and nuclear deterrence domain working at Collins Aerospace.
 This is an onsite position based in Richardson, Texas.
**What You Will Do:** 
* You will provide direct support to stakeholders to answer questions and solve technical issues.
* You will develop design and implement software that satisfies customer and certification needs.
* You will be produce high\-quality software builds in an integrated test environment.
* You will derive software requirements, create UML design diagrams, and code solutions from UML design diagrams.
* You will communicate and collaborate with other Senior and Principal level Software Engineers, mentoring junior engineers/interns.
* You will assist in the software requirements verification and test phases.
**What You Will Learn:**
* You will have opportunity to learn and grow knowledge within the Strategic Nuclear Deterrence domain.
* You will gain valuable experience \&amp; an opportunity to lead, including roles such as Scrum Master, Product Owner, Cost Account Manager, and Software Lead.
* You will become a subject matter expert and leader in communication technologies with exposure to the variety of business and products in an ever\-evolving field. We are growing, so can you.
**Qualifications You Must Have** 
 :
* Typically requires a degree in Science, Technology, Engineering or Mathematics (STEM) and minimum 8 years prior relevant experience or an Advanced Degree in a related field and minimum 5 years of experience.
* Active and transferable SECRET U.S. government issued secret security clearance is required prior to start date.
* Minimum 5 years of professional experience in embedded software development with real\-time operating systems (RTOS).
* Experience in Agile development methods, including Scrum, automated testing, and continuous integration.
* Familiarity with Model\-Based Systems Engineering (MBSE).
**Qualifications We Prefer:**
* Experience supporting aerospace, defense, or nuclear command\-and\-control systems governed by standards such as DO\-178C, MIL\-STD\-498, or equivalent.
* Experience in Agile development methods, including Scrum, automated testing, and continuous integration preferred.
* Exposure to Earned Value Management (EVM) principles.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**Onsite:** 
 Employees who are working in Onsite roles will work primarily onsite. This includes all production and maintenance employees, as they are essential to the development of our products.
 At Collins, the paths we pave together lead to limitless possibilities.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
      <c r="A3" t="inlineStr">
        <is>
          <t>li-4308968539</t>
        </is>
      </c>
      <c r="B3" t="inlineStr">
        <is>
          <t>Sr Lead Software Engineer - Java, Cloud</t>
        </is>
      </c>
      <c r="C3" t="inlineStr">
        <is>
          <t>JPMorganChase</t>
        </is>
      </c>
      <c r="D3" t="inlineStr">
        <is>
          <t>linkedin</t>
        </is>
      </c>
      <c r="E3" t="inlineStr"/>
      <c r="F3" t="inlineStr"/>
      <c r="G3" t="inlineStr">
        <is>
          <t>Columbus, OH</t>
        </is>
      </c>
      <c r="H3" t="inlineStr"/>
      <c r="I3" t="inlineStr">
        <is>
          <t>**Job Description**
 If you are looking for a game\-changing career, working for one of the world's leading financial institutions, you’ve come to the right place.
 As a Sr Lead Software Engineer at JPMorgan Chase within the Consumer and Community Banking division, you provide expertise and engineering excellence as an integral part of an agile team to enhance, build, and deliver trusted market\-leading technology products in a secure, stable, and scalable way. You will leverage your advanced technical capabilities and collaborate with colleagues across the organization to promote best\-in\-class outcomes across various technologies to support one or more of the firm’s portfolios.
 Job responsibilities
* Formulates comprehensive reliability strategies across Corporate Technology and spearheading the implementation and execution.
* Develops and maintain systems that allow for effective monitoring, logging, and tracing of software applications. This includes choosing appropriate tools and technologies, setting up dashboards, and ensuring the scalability and reliability of the observability infrastructure.
* Participates in strategic planning for the technology roadmap, including scalability, cost\-effectiveness, and risk management considerations related to observability infrastructure.
* Creates complex and scalable coding frameworks using appropriate software design frameworks.
* Develops secure and high\-quality production code, and reviews and debugs code written by others.
* Advises cross\-functional teams on technological matters within your domain of expertise.
* Serves as the function’s go\-to subject matter expert an ability to present and effectively communicate with Senior Leaders and Executives.
* Contributes to the development of technical methods in specialized fields in line with the latest product development methodologies.
* Creates durable, reusable software frameworks that are leveraged across teams and functions.
* Influences leaders and senior stakeholders across business, product, and technology teams.
* Leads a product as a Product Owner or Product Manager.
**Required Qualifications, Capabilities, And Skills**
* Formal training or certification on software engineering concepts and 5\+ years applied experience.
* Hands\-on practical experience delivering system design, application development, testing, and operational stability.
* Extensive experience in a similar SRE or observability role and implementation of SRE principles/practices to improve system reliability and availability.
* Hands on experience with observability tooling like Dynatrace, Grafana, Prometheus, etc.
* Expert in one or more programming language(s) Ex: Java.
* Proficiency in cloud platforms (e.g., AWS, Azure, Google Cloud) and their services.
* Experience with container and container orchestration (e.g., ECS, Kubernetes, Docker, etc.).
* Proficiency in continuous integration and continuous delivery tools (e.g., Jenkins, GitLab, Terraform, etc.).
* Advanced knowledge of software application development and technical processes with considerable in\-depth knowledge in one or more technical disciplines (e.g., cloud, artificial intelligence, machine learning, mobile, etc.).
* Ability to present and effectively communicate with Senior Leaders and Executives.
* Experience leading complex projects supporting site reliability engineering design, scaling, resilience, and system performance assessments.
**Preferred Qualifications, Capabilities, And Skills**
* Knowledge of one or more infrastructure disciplines such as hardware, networking terminology, databases, deployment practices, integration, automation, scaling, resilience, and performance assessments.
* Experience troubleshooting and problem solving skills related to complex data structures and algorithms.
* Experience with IBM IMS database, and Mainframe.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
      <c r="A4" t="inlineStr">
        <is>
          <t>li-4318125085</t>
        </is>
      </c>
      <c r="B4" t="inlineStr">
        <is>
          <t>Senior Embedded Software Engineer (ONSITE)</t>
        </is>
      </c>
      <c r="C4" t="inlineStr">
        <is>
          <t>Collins Aerospace</t>
        </is>
      </c>
      <c r="D4" t="inlineStr">
        <is>
          <t>linkedin</t>
        </is>
      </c>
      <c r="E4" t="inlineStr"/>
      <c r="F4" t="inlineStr"/>
      <c r="G4" t="inlineStr">
        <is>
          <t>Richardson, TX</t>
        </is>
      </c>
      <c r="H4" t="inlineStr"/>
      <c r="I4" t="inlineStr">
        <is>
          <t>**Date Posted:**
 2026\-01\-30
**Country:**
 United States of America
**Location:**
 US\-TX\-RICHARDSON\-461 \~ 3200 E Renner Rd \~ RENNER BLDG 461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**Are you looking to make a meaningful, positive impact while advancing your career?**
 Embark on a journey where your expertise in software engineering will help shape the future of aerospace technology. At Collins Aerospace, we're not just designing software; we're crafting the backbone of mission\-critical systems within a Special Access Program (SAP) and safeguarding the lives of those who protect us. As our next Senior Embedded Software Engineer, you'll immerse yourself in Strategic Nuclear Deterrence, bringing your acumen to the forefront of innovation and ensuring the efficacy and security of systems that are vital to national defense.
 You do not need to have previous comms or nuclear experience; we will provide the training and tools to help grow the skills you will need to become a subject matter expert.
 You will learn from the best and brightest in the comms and nuclear deterrence domain working at Collins Aerospace.
 This is an onsite position based in Richardson, Texas.
**What You Will Do:** 
* You will provide direct support to stakeholders to answer questions and solve technical issues.
* You will develop design and implement software that satisfies customer and certification needs.
* You will be produce high\-quality software builds in an integrated test environment.
* You will derive software requirements, create UML design diagrams, and code solutions from UML design diagrams.
* You will communicate and collaborate with other Senior and Principal level Software Engineers, mentoring junior engineers/interns.
* You will assist in the software requirements verification and test phases.
**What You Will Learn:**
* You will have opportunity to learn and grow knowledge within the Strategic Nuclear Deterrence domain.
* You will gain valuable experience \&amp; an opportunity to lead, including roles such as Scrum Master, Product Owner, Cost Account Manager, and Software Lead.
* You will become a subject matter expert and leader in communication technologies with exposure to the variety of business and products in an ever\-evolving field. We are growing, so can you.
**Qualifications You Must Have** 
 :
* Typically requires a degree in Science, Technology, Engineering or Mathematics (STEM) and minimum 5 years prior relevant experience or an Advanced Degree in a related field and minimum 3 years of experience.
* Active and transferable SECRET U.S. government issued security clearance is required prior to start date.
* Experience in Agile development methods, including Scrum, automated testing, and continuous integration.
* Experience with Model\-Based Systems Engineering (MBSE).
**Qualifications We Prefer:**
* Experience supporting aerospace, defense, or nuclear command\-and\-control systems governed by standards such as DO\-178C, MIL\-STD\-498, or equivalent.
* Experience in Agile development methods, including Scrum, automated testing, and continuous integration preferred.
* Exposure to Earned Value Management (EVM) principles.
**What We Offer:**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**Onsite:** 
 Employees who are working in Onsite roles will work primarily onsite. This includes all production and maintenance employees, as they are essential to the development of our products.
 At Collins, the paths we pave together lead to limitless possibilities.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
      <c r="A5" t="inlineStr">
        <is>
          <t>li-4315986407</t>
        </is>
      </c>
      <c r="B5" t="inlineStr">
        <is>
          <t>Senior Software Engineer, Data Engineering</t>
        </is>
      </c>
      <c r="C5" t="inlineStr">
        <is>
          <t>Omada Health</t>
        </is>
      </c>
      <c r="D5" t="inlineStr">
        <is>
          <t>linkedin</t>
        </is>
      </c>
      <c r="E5" t="inlineStr"/>
      <c r="F5" t="inlineStr"/>
      <c r="G5" t="inlineStr"/>
      <c r="H5" t="inlineStr"/>
      <c r="I5" t="inlineStr">
        <is>
          <t>Omada Health is on a mission to inspire and engage people in lifelong health, one step at a time.  
**Job overview:** 
 We are dedicated to leveraging data to drive strategic decision\-making and operational efficiency. Our team is passionate about harnessing the power of data to solve complex problems and deliver impactful insights.
 We are seeking a highly skilled and motivated Data Engineer to join our team. The ideal candidate will be responsible for designing, building, and maintaining robust data architectures and engineering data models and pipelines. This role will play a critical part in ensuring the integrity, scalability, and performance of our data processing and products.
**Key Responsibilities:** 
* Data Architecture: Design, develop, and implement scalable, secure, and efficient data solutions that meet the needs of the organization.
* Data Modeling: Create and maintain logical and physical data models to support business intelligence, analytics, and reporting requirements.
* Pipeline Engineering: Design, build, and optimize ETL (Extract, Transform, Load) processes and data pipelines to ensure smooth and efficient data flow from various sources.
* Data Integration: Integrate diverse data sources, including APIs, databases, and third\-party data, into a unified data platform.
* Performance Optimization: Monitor and optimize the performance of data systems and pipelines to ensure low latency and high throughput.
* Data Quality and Governance: Implement data quality checks, validation processes, and governance frameworks to ensure the accuracy and reliability of data.
* Collaboration: Partner closely with data scientists, analysts, and other stakeholders to understand data requirements and deliver solutions that meet their needs.
* Documentation: Maintain comprehensive documentation of data architectures, models, and pipelines for ongoing maintenance and knowledge sharing.
* Training: You'll train and collaborate with teammates effectively in data engineering best practices
* Technical Influence/Leadership: Recommends policy changes and establishes department\-wide procedures. Uses extensive experience and knowledge to resolve complex problems.
* Monitor and manage production environment to deliver data within defined SLAs
**How you can make an impact:** 
* You’ll evaluate, benchmark, and improve the scalability, robustness, and performance of our data platform and applications
* You'll make significant contributions to the architecture and design of our data processing platform
* You’ll implement scalable, fault tolerant, and accurate ETLs frameworks.
* You’ll gather and process raw data at scale from diverse sources
* You’ll collaborate with product management, data scientists, analysts, and other engineers on technical vision, design, and planning
* You’ll implement and maintain a high level of data quality monitoring in our analytics \&amp; ML ecosystem
* You’ll train and collaborate with teammates effectively in data engineering best practices
* You will be responsible for leading, documenting, and collaborating across teams for technical projects.
**You will love this job if you:** 
* You are passionate about building data\-driven systems to enable Data Scientist, Data Analysts and AI/ML Engineers.
* You want to make a difference to empower digital healthcare through Data\-driven decision making.
* You would like to learn how to build scalable, performant and reliable data pipelines.
**What you need for this role:** 
* 5\+ years of experience building, maintaining, and orchestrating scalable data pipelines.
* 3\+ years of experience as a data engineer developing or maintaining integration with software such as Airflow or any Python\-based data pipeline codebase.
* Experience applying a variety of integration patterns for different use cases.
* Experience in backend software development to contribute to distributed computing development and data technologies, with broad experience across systems, contexts, and ideas.
* Experience implementing data pipelines and improving the performance of ETL processes and related SQL queries.
* Experience in data modeling for OLTP and OLAP applications
* Experience with Cloud platforms such as Amazon AWS
* Familiarity with workflow management tools (Airflow preferred)
* Familiarity with cloud\-based data warehouses (Amazon Redshift preferred)
* Exceptional Problem solving and analytical skills
* Experience working with sensitive data i.e. PHI / PII \&amp; security best practices
* Familiarity with data governance practices and principles
 **.**
**Technical Skills:** 
* Proficiency in SQL and experience with relational databases (e.g., MySQL, PostgreSQL).
* Proficiency in Analytical SQL (e.g. Analytics Queries, Distributed database queries) and experience working with massive parallel processing (MPP) databases (e.g., Redshift, BigQuery, Snowflake).
* Proficiency in programming languages such as Python, Java, or Scala.
* Knowledge of data modeling techniques (3NF)  and tools (e.g., ER/Studio, ERwin).
* Software Engineering Mindset: Apply best practices to write elegant, maintainable code and understand automated testing concepts.
* Familiarity with business intelligence tools and environments.
* Familiarity with big data technologies (e.g., Lambda, Hadoop, Spark)
* Software engineering mindset and an ability to write elegant, maintainable code while following engineering best practices
**Communication Skills:** 
 Excellent communication and collaboration skills, both written and verbal, with the ability to convey complex technical concepts to non\-technical stakeholders.
**Self\-Directed:** 
 Leading projects and tasks effectively with cross functional stakeholders minimal guidance. You care about writing quality software and recognize that there are often many right answers. Ability to lead tasks and projects effectively.
**Education:** 
 Bachelor’s degree in Computer Science or a similar discipline preferred.
**Technologies we use:** 
 Ruby on Rails, Redshift, Athena, Postgres, SQL, Python, Apache Airflow, Appflow, S3, SNS, SQS, Kafka, Docker, Kubernetes, AWS infrastructure, Lambda, Serverless, Tableau, Bugsnag, Datadog, GitLabCI
**Bonus Points for:** 
* Experience with big data technologies such as Hadoop, Spark, or Kafka.
* Experience building internal frameworks or development productivity tools would be a big plus.
* Experience building data infrastructure, frameworks and automation is a big plus.
* Understanding automated testing concepts and ability to consistently apply those concepts
**Benefits:** 
* Competitive salary with generous annual cash bonus
* Equity grants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6">
      <c r="A6" t="inlineStr">
        <is>
          <t>li-4274317782</t>
        </is>
      </c>
      <c r="B6" t="inlineStr">
        <is>
          <t>Software Engineer Graduate (Ads Measurement Signal and Privacy Infra Technology) - 2026 Start (BS/MS)</t>
        </is>
      </c>
      <c r="C6" t="inlineStr">
        <is>
          <t>TikTok</t>
        </is>
      </c>
      <c r="D6" t="inlineStr">
        <is>
          <t>linkedin</t>
        </is>
      </c>
      <c r="E6" t="inlineStr"/>
      <c r="F6" t="inlineStr"/>
      <c r="G6" t="inlineStr">
        <is>
          <t>San Jose, CA</t>
        </is>
      </c>
      <c r="H6" t="inlineStr"/>
      <c r="I6" t="inlineStr">
        <is>
          <t>**Responsibilities**
 Our Ads Measurement Signal and Privacy Infra team is missioned to build our security and governance infrastructure and process for the ads system end\-to\-end while making sure our platform with large volume of various signals and data are constantly compliant with regional regulations across the world. The team will be responsible for exploring and implementing cutting\-edge privacy\-enhancing technologies to protect our users while keeping TikTok a free and creative community. You will be a key player in data privacy, protection, security and managing cross\-functional programs to continuously improve the process.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 Build various products to handle signal integration, management and insights through both building in\-house TT cutting edge solution and dealing with many third\-party data partners integrations.
* Design, build and maintain scalable and future\-proof tech foundations to manage data collection and data quality.
* Work with cross\-functional teams (inc. product, data scientist, UX, compliance) to continuously improve comprehensive measurement.
* Lead and manage development of products and processes to respond to urgent business needs.
* Identify, explore and implement cutting\-edge measurement technologies.
**Qualifications**
 Minimum Qualifications:
* BS/MS Degree in Computer Science, Computer Engineering or relevant technical field.
* Strong knowledge of data structures and algorithms, proficient in at least one coding language, including but not limited to Go, JavaScript, Java, C\+\+.
* Excellent communication, teamwork skills, and strong ownership.
* Curiosity towards new technologies and solutions, and outstanding ability to analyze and solve problems.
 Preferred Qualifications
* Working experience in ad domain.
* Experience with measurement technologies, such as Web/App tracking, SKAN, PCM, MMP, Privacy Sandbox. Specific production practices are preferred.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7">
      <c r="A7" t="inlineStr">
        <is>
          <t>li-4309831113</t>
        </is>
      </c>
      <c r="B7" t="inlineStr">
        <is>
          <t>Staff Software Engineer - Data Cloud</t>
        </is>
      </c>
      <c r="C7" t="inlineStr">
        <is>
          <t>Rippling</t>
        </is>
      </c>
      <c r="D7" t="inlineStr">
        <is>
          <t>linkedin</t>
        </is>
      </c>
      <c r="E7" t="inlineStr"/>
      <c r="F7" t="inlineStr"/>
      <c r="G7" t="inlineStr">
        <is>
          <t>New York, NY</t>
        </is>
      </c>
      <c r="H7" t="inlineStr"/>
      <c r="I7"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The Data Cloud team is building an end\-to\-end analytics and business intelligence system for our customers and will replace their need for Data Lakes, Data Warehouses and data pipelines. We are building systems for ingestion, transformation, lineage, data catalogs and visualization. Most companies cobble together data pipelines from Fivetran, Airbyte, Airflow, DBT, Snowflake, DataBricks, Kafka and a host of other technologies. Rippling is in the unique position of being the source of the vast majority of this data, hence we can provide an all encompassing solution out of the box.
 In addition, we are exploring the use of ML and LLMs to provide automated insight generation and conversational experiences to allow data consumers to have a virtual data scientist as their analytics copilot.
****What You'll Do:****
* Develop high\-quality software with attention to detail using tech stacks like Python, Apache Trino, Iceberg, Temporal.
* Create Data visualization and query processing products used at large scale.
* Create data platforms, data lakes, and data ingestion systems that work at scale
* Have clear ownership of one or many products, APIs or platform spaces
* Build and grow your engineering skills in different challenging areas and solve hard technical problems
* Influence architecture, technology selections, and trends of the whole company
****Qualifications:****
* 8\+ years of experience in software development, preferably in fast\-paced, dynamic environments.
* Solid understanding of CS fundamentals, architectures, and design patterns.
* Proven track record in building large\-scale applications, APIs, and developer tools.
* Excellent at cross\-functional collaboration, able to articulate technical concepts to non\-technical partners.
* You thrive in a product\-focused environment and are passionate about making an impact on customer experience.
* Bonus Points: for contributing to open\-source projects (Apache Iceberg, Parquet, Spark, Hive, Flink, Delta Lake, Presto, Trino, Avro)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8">
      <c r="A8" t="inlineStr">
        <is>
          <t>li-4309836009</t>
        </is>
      </c>
      <c r="B8" t="inlineStr">
        <is>
          <t>Staff Software Engineer - Data Cloud</t>
        </is>
      </c>
      <c r="C8" t="inlineStr">
        <is>
          <t>Rippling</t>
        </is>
      </c>
      <c r="D8" t="inlineStr">
        <is>
          <t>linkedin</t>
        </is>
      </c>
      <c r="E8" t="inlineStr"/>
      <c r="F8" t="inlineStr"/>
      <c r="G8" t="inlineStr">
        <is>
          <t>Seattle, WA</t>
        </is>
      </c>
      <c r="H8" t="inlineStr"/>
      <c r="I8"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The Data Cloud team is building an end\-to\-end analytics and business intelligence system for our customers and will replace their need for Data Lakes, Data Warehouses and data pipelines. We are building systems for ingestion, transformation, lineage, data catalogs and visualization. Most companies cobble together data pipelines from Fivetran, Airbyte, Airflow, DBT, Snowflake, DataBricks, Kafka and a host of other technologies. Rippling is in the unique position of being the source of the vast majority of this data, hence we can provide an all encompassing solution out of the box.
 In addition, we are exploring the use of ML and LLMs to provide automated insight generation and conversational experiences to allow data consumers to have a virtual data scientist as their analytics copilot.
****What You'll Do:****
* Develop high\-quality software with attention to detail using tech stacks like Python, Apache Trino, Iceberg, Temporal.
* Create Data visualization and query processing products used at large scale.
* Create data platforms, data lakes, and data ingestion systems that work at scale
* Have clear ownership of one or many products, APIs or platform spaces
* Build and grow your engineering skills in different challenging areas and solve hard technical problems
* Influence architecture, technology selections, and trends of the whole company
****Qualifications:****
* 8\+ years of experience in software development, preferably in fast\-paced, dynamic environments.
* Solid understanding of CS fundamentals, architectures, and design patterns.
* Proven track record in building large\-scale applications, APIs, and developer tools.
* Excellent at cross\-functional collaboration, able to articulate technical concepts to non\-technical partners.
* You thrive in a product\-focused environment and are passionate about making an impact on customer experience.
* Bonus Points: for contributing to open\-source projects (Apache Iceberg, Parquet, Spark, Hive, Flink, Delta Lake, Presto, Trino, Avro)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180,000 \- 315,000 USD per year(US Tier 1\)</t>
        </is>
      </c>
    </row>
    <row r="9">
      <c r="A9" t="inlineStr">
        <is>
          <t>li-4364046871</t>
        </is>
      </c>
      <c r="B9" t="inlineStr">
        <is>
          <t>FDE Engineer - Full Stack Software Engineer</t>
        </is>
      </c>
      <c r="C9" t="inlineStr">
        <is>
          <t>Pelico</t>
        </is>
      </c>
      <c r="D9" t="inlineStr">
        <is>
          <t>linkedin</t>
        </is>
      </c>
      <c r="E9" t="inlineStr"/>
      <c r="F9" t="inlineStr"/>
      <c r="G9" t="inlineStr">
        <is>
          <t>Miami, FL</t>
        </is>
      </c>
      <c r="H9" t="inlineStr"/>
      <c r="I9" t="inlineStr">
        <is>
          <t>**About Pelico**
 We are creating the factory of the future where disruptions are avoided, processes synchronized and value captured. Our factory operations management platform enables factory teams to be more agile and resilient in a world where supply chain disruptions occur every 16 minutes. Pelico empowers users to identify bottlenecks, avoid problems, and focus on innovation instead of fire\-fighting. Since our foundation in 2019, we’ve partnered with industry leaders across aerospace, industrial equipment, and luxury watchmaking, revolutionizing factory operations in over 15 countries. Esteemed clients include Airbus, Safran, Cartier, Daikin, and Eaton.
 Our Team
 With a dynamic team of over 180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Engineering turns Product ambition into
 **scalable, reliable solutions** 
 that empower
 **on\-site operational teams** 
 .
 We design a platform that
 **handles high volumes, concurrent users, and complex workflows** 
 , while remaining modular, maintainable, and future\-proof.
 Your Missions
 Pelico is hiring its
 **first Forward Deployed Engineers (FDEs)** 
 — hands\-on builders who thrive at the intersection of data engineering, AI\-driven automation, and customer problem\-solving. This role sits between data engineering, software engineering, and solution delivery, and requires strong Python/SQL capabilities paired with an AI\-native mindset.
 As an FDE,
 **you’ll work directly with Pelico’s leadership and with our largest enterprise customers** 
 to deliver world\-class AI implementations: standing up modern data stacks, building automated workflows, and deploying AI\-powered agents that make operations teams dramatically more productive.
 This is a
 **technical role with massive ownership** 
 . You’ll write production code, design pipelines, meet customers, support go\-to\-market motions, and shape Pelico’s early product and delivery playbook. Within your first 30 days, you’ll meet customers, ship production\-grade code, and contribute directly to strategic deployments.
**What You’ll Do**
* Work hand\-in\-hand with customers to understand their systems (ERPs, MES, PLM, etc.) and translate business logic into scalable data models
* Own end\-to\-end deployments, from scoping and ingestion to modeling, pipeline design, and production rollout
* Build AI\-powered data transformations using Python, Pandas, and LLM APIs to clean, integrate, and enrich complex, messy operational datasets
* Design, optimize, and maintain end\-to\-end data infrastructure using potentially any hyperscaler, including Microsoft’s data platform (Azure Data Lake Storage, Azure SQL, Azure Kubernetes), while integrating modern AI/ML tools and LLM APIs.
* Prototype internal tools and AI agents that accelerate Pelico implementations and unlock new customer workflows
* Support sales and customer success, joining technical calls, sizing implementations, and identifying expansion opportunities
* Influence Pelico’s product roadmap, helping determine what to automate next, where to templatize, and how we scale implementations from 10 to 1,000 customers, besides building the 0 to 1 versions yourself
**Who You Are**
* 3\+ years of experience as a data engineer, software engineer, ML engineer, or FDE\-type role, ideally in a customer\-facing or consulting environment
* Full\-stack data competency — from ingestion to modeling, warehousing, and productionization
* Strong proficiency in Python, SQL, and modern data infrastructure (Snowflake, Airflow/Mage, DBT, AWS, etc.)
* Experience working with messy operational and enterprise data (ERP, supply chain, manufacturing, field ops, etc.)
* Excellent communication and business acumen — you can speak fluently with executives, engineers, and operators
* Thrive in a fast\-moving, ambiguous, early\-stage startup environment; you’re scrappy, action\-oriented, and self\-directed
* Comfortable experimenting with AI, LLMs, and automation to eliminate manual work and accelerate delivery
**Bonus Points**
* Experience in Supply Chain, Manufacturing, Logistics, or Field Operations
* Built internal data platforms, migration pipelines, or ETL/ELT frameworks
* Hands\-on experience with OpenAI, Anthropic, or other LLM APIs
* Prior experience in Forward Deployed Engineering (Palantir\-style)
**What We Offer**
 Join an exciting adventure with a lot of challenges at all levels!
* Work on a highly impactful AI\-native product that transforms how the world's leading manufacturers plan and optimize operations
* Miami office location with modern workspace and collaborative environment
* Competitive compensation including base salary, performance bonus, and equity (Stock Options for every Pelican)
* Comprehensive benefits package:
+ Premium health, dental, and vision coverage
+ 401(k) with company match
+ Generous PTO policy \+ company holidays
+ 6 weeks of Work from Anywhere
* Professional development: Budget for conferences, courses, and learning
* Flexible work arrangements with remote flexibility
* Work directly with world\-class aerospace and manufacturing customers
* Collaborative, impact\-driven culture with quarterly team events</t>
        </is>
      </c>
    </row>
    <row r="10">
      <c r="A10" t="inlineStr">
        <is>
          <t>li-4289332289</t>
        </is>
      </c>
      <c r="B10" t="inlineStr">
        <is>
          <t>Software Engineer - Platform</t>
        </is>
      </c>
      <c r="C10" t="inlineStr">
        <is>
          <t>Plaid</t>
        </is>
      </c>
      <c r="D10" t="inlineStr">
        <is>
          <t>linkedin</t>
        </is>
      </c>
      <c r="E10" t="inlineStr"/>
      <c r="F10" t="inlineStr"/>
      <c r="G10" t="inlineStr">
        <is>
          <t>New York, NY</t>
        </is>
      </c>
      <c r="H10" t="inlineStr"/>
      <c r="I10"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Platform Engineering organization comprises multiple teams focused on core infrastructure, data platforms, storage, privacy, and developer efficiency. Together, these teams ensure that Plaid’s technology platform is scalable, reliable, and secure to support our rapid growth. Our infrastructure handles millions of requests per day, and we pride ourselves on maintaining highly robust and performant systems. As a Platform Engineer, you will design, build, and maintain the foundational infrastructure and internal platforms that empower all of Plaid’s engineering teams to move quickly and safely. You’ll work cross\-functionally with product engineering squads to ship new features and ensure operational excellence throughout each product’s lifecycle.
**Responsibilities**
* Design \&amp; Develop Scalable Systems: Build and maintain core platform services with a focus on performance, reliability, and scalability. You will create and evolve distributed backend systems that serve as the bedrock for products used by millions of users.
* Infrastructure \&amp; Data Platforms: Develop and improve infrastructure for data storage and processing – for example, high\-performance databases and modern data processing frameworks – to handle Plaid’s growing data and product needs. Ensure our data infrastructure is robust and can scale effectively.
* Developer Productivity Tools: Create internal tools, frameworks, and automation to improve developer productivity and efficiency. This includes building CI/CD pipelines, observability and monitoring systems, and self\-service infrastructure platforms that enable teams to ship code quickly and safely.
* Security \&amp; Privacy by Design: Integrate security, privacy, and compliance best practices into our platforms (e.g. data encryption, access controls, audit logging) to protect sensitive financial data. Work closely with Security and Privacy teams to ensure our infrastructure and internal services meet high standards for data protection and regulatory compliance.
* Cross\-Team Collaboration: Work hand\-in\-hand with product engineers and other stakeholders to understand requirements and translate them into reliable platform capabilities. Facilitate smooth integration of platform solutions into various products, and coordinate across teams to resolve issues and deliver new features efficiently.
* Technical Excellence \&amp; Leadership: Uphold high engineering standards through code reviews, testing, and documentation. Take initiative in setting technical direction and architecture for platform systems, and mentor junior engineers to help grow their skills. You will lead by example in driving best practices and continuously improving the quality of our engineering solutions.
**Qualifications**
* Experience: 2 to 4 years of software engineering experience, with a proven track record of building and shipping complex backend systems or platforms. Experience designing and scaling distributed systems is highly desired.
* Strong Coding Skills: Proficiency in at least one general\-purpose programming language (e.g. Go, Python, Java, C\+\+). Our core services are built largely in Go, so experience with Go is a plus. You write clean, efficient, and maintainable code and have solid computer science fundamentals.
* Distributed Systems \&amp; Problem Solving: Deep understanding of system design and algorithms. Hands\-on experience with designing, building, and operating distributed systems or microservices architectures at scale. Ability to debug complex issues in a production environment and optimize system performance and reliability.
* Data and Databases: Familiarity with relational and NoSQL database technologies (for example, MySQL/TiDB, PostgreSQL, MongoDB) and data storage architectures. Experience building data pipelines or working with big data processing frameworks (Spark, Databricks, etc.) is a plus.
* Collaboration \&amp; Communication: Excellent communication and teamwork skills, with the ability to work effectively in a cross\-functional environment. You can collaborate closely with other engineers, product managers, and stakeholders, and you’re able to explain complex technical concepts in simple terms when needed.
 $163,200 \- $223,200 a year
 Target base salary for this role is between $163200 and $223200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1">
      <c r="A11" t="inlineStr">
        <is>
          <t>li-4164164423</t>
        </is>
      </c>
      <c r="B11" t="inlineStr">
        <is>
          <t>Backend Software Engineer, CloudKitchens - New York City</t>
        </is>
      </c>
      <c r="C11" t="inlineStr">
        <is>
          <t>CloudKitchens</t>
        </is>
      </c>
      <c r="D11" t="inlineStr">
        <is>
          <t>linkedin</t>
        </is>
      </c>
      <c r="E11" t="inlineStr"/>
      <c r="F11" t="inlineStr"/>
      <c r="G11" t="inlineStr">
        <is>
          <t>New York, NY</t>
        </is>
      </c>
      <c r="H11" t="inlineStr"/>
      <c r="I11"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**$176,000 \- $242,000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12">
      <c r="A12" t="inlineStr">
        <is>
          <t>li-4289334142</t>
        </is>
      </c>
      <c r="B12" t="inlineStr">
        <is>
          <t>Software Engineer - Platform</t>
        </is>
      </c>
      <c r="C12" t="inlineStr">
        <is>
          <t>Plaid</t>
        </is>
      </c>
      <c r="D12" t="inlineStr">
        <is>
          <t>linkedin</t>
        </is>
      </c>
      <c r="E12" t="inlineStr"/>
      <c r="F12" t="inlineStr"/>
      <c r="G12" t="inlineStr">
        <is>
          <t>San Francisco, CA</t>
        </is>
      </c>
      <c r="H12" t="inlineStr"/>
      <c r="I1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Platform Engineering organization comprises multiple teams focused on core infrastructure, data platforms, storage, privacy, and developer efficiency. Together, these teams ensure that Plaid’s technology platform is scalable, reliable, and secure to support our rapid growth. Our infrastructure handles millions of requests per day, and we pride ourselves on maintaining highly robust and performant systems. As a Platform Engineer, you will design, build, and maintain the foundational infrastructure and internal platforms that empower all of Plaid’s engineering teams to move quickly and safely. You’ll work cross\-functionally with product engineering squads to ship new features and ensure operational excellence throughout each product’s lifecycle.
**Responsibilities**
* Design \&amp; Develop Scalable Systems: Build and maintain core platform services with a focus on performance, reliability, and scalability. You will create and evolve distributed backend systems that serve as the bedrock for products used by millions of users.
* Infrastructure \&amp; Data Platforms: Develop and improve infrastructure for data storage and processing – for example, high\-performance databases and modern data processing frameworks – to handle Plaid’s growing data and product needs. Ensure our data infrastructure is robust and can scale effectively.
* Developer Productivity Tools: Create internal tools, frameworks, and automation to improve developer productivity and efficiency. This includes building CI/CD pipelines, observability and monitoring systems, and self\-service infrastructure platforms that enable teams to ship code quickly and safely.
* Security \&amp; Privacy by Design: Integrate security, privacy, and compliance best practices into our platforms (e.g. data encryption, access controls, audit logging) to protect sensitive financial data. Work closely with Security and Privacy teams to ensure our infrastructure and internal services meet high standards for data protection and regulatory compliance.
* Cross\-Team Collaboration: Work hand\-in\-hand with product engineers and other stakeholders to understand requirements and translate them into reliable platform capabilities. Facilitate smooth integration of platform solutions into various products, and coordinate across teams to resolve issues and deliver new features efficiently.
* Technical Excellence \&amp; Leadership: Uphold high engineering standards through code reviews, testing, and documentation. Take initiative in setting technical direction and architecture for platform systems, and mentor junior engineers to help grow their skills. You will lead by example in driving best practices and continuously improving the quality of our engineering solutions.
**Qualifications**
* Experience: 2 to 4 years of software engineering experience, with a proven track record of building and shipping complex backend systems or platforms. Experience designing and scaling distributed systems is highly desired.
* Strong Coding Skills: Proficiency in at least one general\-purpose programming language (e.g. Go, Python, Java, C\+\+). Our core services are built largely in Go, so experience with Go is a plus. You write clean, efficient, and maintainable code and have solid computer science fundamentals.
* Distributed Systems \&amp; Problem Solving: Deep understanding of system design and algorithms. Hands\-on experience with designing, building, and operating distributed systems or microservices architectures at scale. Ability to debug complex issues in a production environment and optimize system performance and reliability.
* Data and Databases: Familiarity with relational and NoSQL database technologies (for example, MySQL/TiDB, PostgreSQL, MongoDB) and data storage architectures. Experience building data pipelines or working with big data processing frameworks (Spark, Databricks, etc.) is a plus.
* Collaboration \&amp; Communication: Excellent communication and teamwork skills, with the ability to work effectively in a cross\-functional environment. You can collaborate closely with other engineers, product managers, and stakeholders, and you’re able to explain complex technical concepts in simple terms when needed.
 $163,200 \- $223,200 a year
 Target base salary for this role is between $163200 and $223200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3">
      <c r="A13" t="inlineStr">
        <is>
          <t>li-4214694436</t>
        </is>
      </c>
      <c r="B13" t="inlineStr">
        <is>
          <t>Software Engineer - Backend</t>
        </is>
      </c>
      <c r="C13" t="inlineStr">
        <is>
          <t>Snowflake</t>
        </is>
      </c>
      <c r="D13" t="inlineStr">
        <is>
          <t>linkedin</t>
        </is>
      </c>
      <c r="E13" t="inlineStr"/>
      <c r="F13" t="inlineStr"/>
      <c r="G13" t="inlineStr">
        <is>
          <t>Menlo Park, CA</t>
        </is>
      </c>
      <c r="H13" t="inlineStr"/>
      <c r="I1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started with a clear vision: develop a cloud data platform that is effective, affordable, and accessible to all data users. Data Cloud allows sharing live data in governed and secure ways so our customers can solve their business problems.
 Data Cloud allows sharing live data in governed and secure ways so our customers can solve their business problems. Come join our world\-class team as a Software Engineer to build the backend services for data cloud to help our customers to share data internally within their company or outside with external organizations.
 We are investing in initiatives across multiple engineering areas that include: Data Engineering \&amp; Open Lakehouse, Database Engineering, Engineering Systems, Product Experiences, Apps \&amp; Collaboration,Platform Engineering, and Public Sector, Security and Governance
**AS A SOFTWARE ENGINEER, YOU WILL:**
* Design and build features, and/or distributed platforms at scale.
* Drive impactful initiatives for the globally distributed infrastructure
* Collaborate with product managers, architects, other engineering teams, and business groups, to drive end\-to\-end solutions.
* Contribute to improving our engineering processes, tooling, and standards.
**OUR IDEAL CANDIDATE WILL HAVE:**
* 2\-5 years’ of industry experience designing, building, and supporting large\-scale systems in production.
* Strong fundamental computer science skills. Knowledge of algorithms and data structures.
* Fluency in Java, Python, C\+\+, or SQL
* Deep multi\-faceted appreciation in building end\-to\-end customer facing products.
* BS/MS/PhD in Computer Science or related majors, or equivalent experience.
**BONUS POINTS IF YOU HAVE:**
* Familiarity with database internals or data governance, and/or payment systems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4">
      <c r="A14" t="inlineStr">
        <is>
          <t>li-4262577338</t>
        </is>
      </c>
      <c r="B14" t="inlineStr">
        <is>
          <t>Software Engineer - Ads Product</t>
        </is>
      </c>
      <c r="C14" t="inlineStr">
        <is>
          <t>xAI</t>
        </is>
      </c>
      <c r="D14" t="inlineStr">
        <is>
          <t>linkedin</t>
        </is>
      </c>
      <c r="E14" t="inlineStr"/>
      <c r="F14" t="inlineStr"/>
      <c r="G14" t="inlineStr">
        <is>
          <t>Palo Alto, CA</t>
        </is>
      </c>
      <c r="H14" t="inlineStr"/>
      <c r="I1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ads engineers who want to join us on a new project to integrate xAI’s advanced AI infrastructure deeply into the Ads Platform. We’re looking for individuals who have built exceptional advertising products and systems at massive scale. We’re bringing and using xAI’s technology stack to transform our advertising stack.
**What You'll Do** 
* Be involved in the full array of xAI’s work, including ideation, experimentation, implementation, and maintenance of distributed systems and product features.
* Leverage all of xAI’s infra and AI stacks to dramatically enhance advertising products.
* Own and operate systems and products driving the majority of X’s revenue.
**Who You Are** 
* 3\+ years of industry experience building large scale and high\-performance advertising products.
* Strong software engineering fundamentals with expertise in full stack development.
* Proven ability to write clean, scalable, and maintainable code in a collaborative environment
* Experience with ads delivery, targeting, measurement, or optimization systems is a strong plus.
* Solid understanding of backend technologies, distributed systems, and data processing pipelines
* Excellent problem\-solving skills and a passion for performance, reliability, and product impact
* Obsessed with building great product experiences.
**Tech Stack** 
 React, Golang, Python, Rust, gRPC, Java/Scala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 Coding challenge
* Ads Domain assessment
* Meet and greet with the wider team
 Our goal is to complete the process within one week. All interviews will be conducted in person when applicable.
**Location** 
 The role is based in Palo Alto. Candidates are expected to be located near the Bay Area or open to relocation.
*xAI is an equal opportunity employer.* 
 California Consumer Privacy Act (CCPA) Notice</t>
        </is>
      </c>
    </row>
    <row r="15">
      <c r="A15" t="inlineStr">
        <is>
          <t>li-4260312449</t>
        </is>
      </c>
      <c r="B15" t="inlineStr">
        <is>
          <t>Software Engineer, Full Stack</t>
        </is>
      </c>
      <c r="C15" t="inlineStr">
        <is>
          <t>PathAI</t>
        </is>
      </c>
      <c r="D15" t="inlineStr">
        <is>
          <t>linkedin</t>
        </is>
      </c>
      <c r="E15" t="inlineStr"/>
      <c r="F15" t="inlineStr"/>
      <c r="G15" t="inlineStr">
        <is>
          <t>Boston, MA</t>
        </is>
      </c>
      <c r="H15" t="inlineStr"/>
      <c r="I15" t="inlineStr">
        <is>
          <t>Who We Are
 PathAI's mission is to improve patient outcomes with AI\-powered pathology. Our platform promises substantial improvements to the accuracy of diagnosis and the efficacy of treatment of diseases like cancer, leveraging modern approaches in machine learning. Rigorous science and careful analysis is critical to the success of everything we aspire to do. Our team, comprising of diverse employees with a wide range of backgrounds and experiences, is passionate about solving challenging problems and making a huge impact.
**Role**
 We're looking for skilled and experienced engineers to join our team and help lay the groundwork for our growing software platform. We believe in using the best tool for the job. While we’re always looking to improve, in this role, those tools currently include:
* Python/Django
* Django REST framework
* PostgreSQL
* VueJS
**What You’ll Do**
* Solve interesting problems with code.
* Build new features for internal and external users, and refactor existing ones to make them better.
* Work with a wide range of systems, processes, and technologies to solve problems in sustainable ways. Sometimes you'll be neck\-deep in low\-level systems, and other times you'll be pairing up with the front\-end team on the user interface.
* Drive the architecture of our application platform, considering the team and our future product roadmap.
* Collaborate with product, design, front\-end, machine learning, and infrastructure teams.
* Drive and uphold high engineering standards, bringing consistency to the codebases you encounter and ensuring software is adequately reviewed, tested, and integrated.
* Mentor, learn, and share knowledge with others along the way.
* Contribute to the development of software as a medical device aiming at improving patient outcomes
 What You'll Need
* Experience. You've been around the block more than a couple times, typically via 2\+ years of work in this field.
* Education. Generally, a bachelor's degree is really helpful in working with our team on this kind of work, however, equivalent years of experience can substitute.
* An insatiable intellectual curiosity and the ability to learn quickly in a complex space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on\-target commission for employees in eligible roles, and annual bonus targets for eligible positions. Certain roles may also qualify for overtime pay. In addition to cash compensation, some roles are eligible to participate in PathAI’s equity plan and may receive restricted stock units (RSUs). Individual compensation packages are tailored based on skills, experience, qualifications, and other job\-related factors.
**Annual Pay Range**
 $108,750 \- $166,750
 Not Overtime Eligible
 Eligible for RSUs</t>
        </is>
      </c>
    </row>
    <row r="16">
      <c r="A16" t="inlineStr">
        <is>
          <t>li-4190726227</t>
        </is>
      </c>
      <c r="B16" t="inlineStr">
        <is>
          <t>Fullstack Engineer - Product</t>
        </is>
      </c>
      <c r="C16" t="inlineStr">
        <is>
          <t>xAI</t>
        </is>
      </c>
      <c r="D16" t="inlineStr">
        <is>
          <t>linkedin</t>
        </is>
      </c>
      <c r="E16" t="inlineStr"/>
      <c r="F16" t="inlineStr"/>
      <c r="G16" t="inlineStr">
        <is>
          <t>Palo Alto, CA</t>
        </is>
      </c>
      <c r="H16" t="inlineStr"/>
      <c r="I1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team** 
 You will work on the team that is responsible for the backend services that power grok.com. Our team is based in Palo Alto and San Francisco. We focus on writing highly scalable and reliable services that can efficiently process tens of thousands of queries per second. The entire backend stack is written in Rust.
**About the Role** 
 Join us in building AI\-powered products that impact hundreds of millions worldwide. We’re looking for detail\-oriented, action\-driven self\-starters with a passion for AI’s potential to change lives—no prior AI experience required, just a sharp mind and relentless drive.
 As a Fullstack Engineer at xAI, you’ll own the delivery of polished, end\-to\-end features that delight users and scale our services. Working hand\-in\-hand with product and research teams, you’ll help turn cutting\-edge AI concepts into reality, directly fueling breakthroughs that redefine what’s possible.
**An ideal candidate meets at least the following requirements:** 
* Expert knowledge of TypeScript.
* Experience in designing, developing, and maintaining scalable architectures.
* Knowledge of computer science fundamentals and type systems.
* Experience in tuning production services for performance, reliability, and scalability.
**Additionally, any of the below points will help a candidate stand out:** 
* Expert knowledge of Rust or Python.
* Experience with Kubernetes and containerized applications.
* Familiarity with microservices architecture.
* Familiarity functional programming principles.
* Experience building end\-to\-end applications, including frontend, backend, CI/CD pipelines, metrics, logging, and deployments.
**Locations** 
* We hire engineers in Palo Alto, and San Francisco. Our team usually works from the office 5 days a week but allow work\-from\-home days when required. Candidates who join in San Francisco must make it to Palo Alto at least twice a week.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2 technical interviews and 1 project deep\-dive interview:
2. Practical coding assessment in a language of your choice.
4. Systems design hands\-on: Demonstrate practical skills in a live problem\-solving session.
6. Project deep\-dive: Present and answer questions about exceptional work that you’ve done.
8. Meet and greet with the wider team.
 Our goal is to finish the main process within one week. Final interviews will be conducted in person.
**Annual Salary Range** 
 $180,000 \- $440,000 USD
*xAI is an equal opportunity employer and does not unlawfully discriminate based on race, color, religion, ethnicity, ancestry, national origin, sex (including pregnancy, childbirth, or related medical conditions), sexual orientation, gender, gender identity, gender expression, age, disability, medical conditions, genetic information, marital status, military or veteran status, or any other applicable legally protected characteristics.* 
*Qualified applicants with arrest or conviction records will be considered for employment in accordance with all applicable federal, state, and local laws, including the San Francisco Fair Chance Ordinance, Los Angeles County Fair Chance Ordinance for Employers, and the California Fair Chance Act.* 
***For Los Angeles County (unincorporated) Candidates:***
*xAI reasonably believes that criminal history may have a direct, adverse and negative relationship on the following job duties, potentially resulting in the withdrawal of a conditional offer of employment:* 
* *Access to information technology systems and confidential information, including proprietary and trade secret information, and/or user data;*
* *Interacting with internal and/or external clients and colleagues; and*
* *Exercising sound judgment.*
 California Consumer Privacy Act (CCPA) Notice</t>
        </is>
      </c>
    </row>
    <row r="17">
      <c r="A17" t="inlineStr">
        <is>
          <t>li-4127688518</t>
        </is>
      </c>
      <c r="B17" t="inlineStr">
        <is>
          <t>Senior Software Engineer, Backend</t>
        </is>
      </c>
      <c r="C17" t="inlineStr">
        <is>
          <t>Oscar Health</t>
        </is>
      </c>
      <c r="D17" t="inlineStr">
        <is>
          <t>linkedin</t>
        </is>
      </c>
      <c r="E17" t="inlineStr"/>
      <c r="F17" t="inlineStr"/>
      <c r="G17" t="inlineStr">
        <is>
          <t>New York, NY</t>
        </is>
      </c>
      <c r="H17" t="inlineStr"/>
      <c r="I17"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8">
      <c r="A18" t="inlineStr">
        <is>
          <t>li-4087628442</t>
        </is>
      </c>
      <c r="B18" t="inlineStr">
        <is>
          <t>Senior/Staff Software Engineer, Data Platform</t>
        </is>
      </c>
      <c r="C18" t="inlineStr">
        <is>
          <t>Nuro</t>
        </is>
      </c>
      <c r="D18" t="inlineStr">
        <is>
          <t>linkedin</t>
        </is>
      </c>
      <c r="E18" t="inlineStr"/>
      <c r="F18" t="inlineStr"/>
      <c r="G18" t="inlineStr">
        <is>
          <t>Mountain View, CA</t>
        </is>
      </c>
      <c r="H18" t="inlineStr"/>
      <c r="I18"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Nuro takes a machine\-learning\-first approach to autonomous driving technology. In an ML\-first system, the overall system performance depends heavily on the quantity and diversity of its training and evaluation data.
 The team plays a crucial role in the advancement of autonomous driving systems by creating a scalable and reliable data infrastructure. This infrastructure is designed to produce training and evaluation data derived from both on\-road collected logs and simulation logs. Additionally, the team collaborates closely with system engineers to thoroughly validate the autonomous driving system before its deployment.
**About The Work**
* Design and develop unified, introspectable, large\-scale batch and streaming data processing systems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 Design and develop comprehensive end\-to\-end data pipelines that streamline the flow from data ingestion to final consumption.
* Develop and maintain continuous testing and monitoring systems to guarantee the integrity and resilience of our data and associated data pipelines
**About You**
* B.Sc or M.Sc. plus 4\+ years of relevant work experience
* Strong proficiency in Python, C\+\+, or similar languages
* Domain experience: Experience working with large scale data and building scalable \&amp; reliable systems / data pipelines; ability to understand and design complex systems
* Engineering leadership: Experience setting team or project product and technical vision, timelines and prioritization; formally or informally being a Tech Lead, mentoring and support junior engineers
* Technical excellence: Ability and willingness to deep dive into implementation, driving technical standards and best practices across broader software organization
* A bachelor's degree in Computer Science, Electrical Engineering, or a closely related field
**Bonus Points**
* Strong knowledge of GCP, GCS, BigQuery, or PostgreSQL
* Knowledge of data engineering, and its tooling and best practices
* Knowledge of batch and streaming data processing, warehousing, and analytics solutions
* Experience working with large scale distributed data systems
* Experience with system \&amp; framework design
* Experience with data workflow orchestration platforms
 At Nuro, your base pay is one part of your total compensation package. For this position, the reasonably expected pay range is between $193,930 and $352,290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9">
      <c r="A19" t="inlineStr">
        <is>
          <t>li-4297739861</t>
        </is>
      </c>
      <c r="B19" t="inlineStr">
        <is>
          <t>Senior Software Engineer - Backend</t>
        </is>
      </c>
      <c r="C19" t="inlineStr">
        <is>
          <t>Databricks</t>
        </is>
      </c>
      <c r="D19" t="inlineStr">
        <is>
          <t>linkedin</t>
        </is>
      </c>
      <c r="E19" t="inlineStr"/>
      <c r="F19" t="inlineStr"/>
      <c r="G19" t="inlineStr">
        <is>
          <t>San Francisco, CA</t>
        </is>
      </c>
      <c r="H19" t="inlineStr"/>
      <c r="I19" t="inlineStr">
        <is>
          <t>P\-78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a software engineer with a backend focus, you will work with your team to build infrastructure and products for the Databricks platform at scale.
****The Impact You'll Have:****
 Our backend teams span many domains, from our core compute fabric resource management infrastructure, to service platforms, to machine learning infrastructure. For instance, you might work on challenges such as:
* Resource management infrastructure powering the big data and machine learning workloads on the Databricks platform in a scalable, secure, and cloud\-agnostic way
* Develop reliable, scalable services and client libraries that work with massive amounts of data on the cloud, across geographic regions and Cloud providers
* Build tools to allow Databricks engineers to operate their services across different clouds and environments
* Build services, products and infrastructure at the intersection of machine learning and distributed systems.
****What We Look For:****
* BS (or higher) in Computer Science, or a related field
* 5\+ years of production level experience in one of: Java, Scala, C\+\+, or similar language.
* Experience developing large\-scale distributed systems.
* Experience working on a SaaS platform or with Service\-Oriented Architectures.
* Experience with cloud technologies, e.g. AWS, Azure, GCP, Docker, or Kubernetes.
* Experience with security and systems that handle sensitive data.
* Good knowledge of SQL.
****Benefits****
* Comprehensive health coverage including medical, dental, and vision
* 401(k) Plan
* Equity awards
* Flexible time off
* Paid parental leave
* Family Planning
* Gym reimbursement
* Annual personal development fund
* Work headphones reimbursement
* Employee Assistance Program (EAP)
* Business travel accident insurance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0">
      <c r="A20" t="inlineStr">
        <is>
          <t>li-4144546616</t>
        </is>
      </c>
      <c r="B20" t="inlineStr">
        <is>
          <t>Senior Software Engineer, API</t>
        </is>
      </c>
      <c r="C20" t="inlineStr">
        <is>
          <t>Headspace</t>
        </is>
      </c>
      <c r="D20" t="inlineStr">
        <is>
          <t>linkedin</t>
        </is>
      </c>
      <c r="E20" t="inlineStr"/>
      <c r="F20" t="inlineStr"/>
      <c r="G20" t="inlineStr"/>
      <c r="H20" t="inlineStr"/>
      <c r="I20" t="inlineStr">
        <is>
          <t>**About the Senior Software Engineer, API at Headspace:** 
*Headspace is seeking a talented* 
***Senior Software Engineer, API***
*to join its Native Growth Team and be responsible for building out great partner experiences and expanding access to and monetizing the audiences that Headspace can serve via D2C Channels. As part of this team, you'll be tasked with prototyping, architecting, and executing on the creation of our enterprise platform, and be integral in the platform's continued growth. We are open to both full stack or back end focused candidates.* 
*Being on the engineering team, you’ll be working on a product that impacts more than 65M users. You will help us bring new features to life to meet our mission, while also helping push our platform to newer technologies as we embrace the cutting edge. A big goal needs talented people, so come join us and give your day job a sense of purpose!* 
**What you will do:** 
* Design and develop high\-volume, low\-latency applications for mission\-critical systems
* Write well designed, testable, performant, and efficient code
* Contribute in all phases of the development lifecycle, from collaborating with product stakeholders, writing tech specs \&amp; RFCs, to feature release and operations
* Build APIs, primarily on Typescript/Node.js for our AWS\-based services
* Produce specifications and determine operational feasibility
* Work with product and engineering teams to release services that operate at our high scale
**What you will bring** 
 :
**Required Skills:** 
* At least 3\-4 years of hands\-on software development experience, building APIs, (micro)services
* Ability to work independently with minimal supervision on projects, while being comfortable collaborating with product managers, designers, and other engineers, to
* Experience defining, designing and shipping new features in a remote environment
* Experience with unit, integration, and end\-to\-end testing, as well as using CI/CD system
* Strong communication skills, both written and verbal.
* Demonstrated ability to make tough technical decisions based off of requirements, constraints, and trade\-offs
**Preferred Skills:** 
* BS/MS degree in Computer Science, with 5\+ years of software engineering experience
* Experience with Node.JS and Typescript
* Strong understanding of database management and object\-oriented programming
**Pay \&amp; Benefits** 
 :
 The base salary range for this role is determined by a number of factors, including but not limited to skills and scope required, relevant licensure and certifications, and unique relevant experience and job\-related skills. The base salary range for this role is
 ***$104,981\-$157,476***
 .
 At Headspace, cash salary is but one component of our Total Rewards package. We’re proud of our robust package inclusive of: base salary, stock awards, comprehensive healthcare coverage, monthly wellness stipend, retirement savings match, lifetime Headspace membership, unlimited, free mental health coaching, generous parental leave, and much more. Paid performance incentives are also included for those in eligible roles. Additional details about our Total Rewards package will be provided during the recruitment process.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t>
        </is>
      </c>
    </row>
    <row r="21">
      <c r="A21" t="inlineStr">
        <is>
          <t>li-4370337101</t>
        </is>
      </c>
      <c r="B21" t="inlineStr">
        <is>
          <t>Software Engineer, Platform - Surprise, USA</t>
        </is>
      </c>
      <c r="C21" t="inlineStr">
        <is>
          <t>Speechify</t>
        </is>
      </c>
      <c r="D21" t="inlineStr">
        <is>
          <t>linkedin</t>
        </is>
      </c>
      <c r="E21" t="inlineStr"/>
      <c r="F21" t="inlineStr"/>
      <c r="G21" t="inlineStr">
        <is>
          <t>Surprise, AZ</t>
        </is>
      </c>
      <c r="H21" t="inlineStr"/>
      <c r="I21"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22">
      <c r="A22" t="inlineStr">
        <is>
          <t>li-4353790116</t>
        </is>
      </c>
      <c r="B22" t="inlineStr">
        <is>
          <t>Software Engineer 5</t>
        </is>
      </c>
      <c r="C22" t="inlineStr">
        <is>
          <t>Netflix</t>
        </is>
      </c>
      <c r="D22" t="inlineStr">
        <is>
          <t>linkedin</t>
        </is>
      </c>
      <c r="E22" t="inlineStr"/>
      <c r="F22" t="inlineStr"/>
      <c r="G22" t="inlineStr"/>
      <c r="H22" t="inlineStr"/>
      <c r="I2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 ABOUT YOU**
 You are an individual who thrives on independence, has a passion for creating high\-quality products, and can form close work partnerships with engineers, product managers, and designers. You are adept at problem\-solving, enjoy a challenge, and have experience building scalable, high\-performing applications. You have excellent communication and collaboration skills, and, most importantly, you have experience with back\-end technologies, GenAI, LLMs, and possibly even applying them to enterprise problems.
 In this role, you'll help shape our strategy and vision and help us integrate AI into our enterprise employee\-facing applications. You’ll be a part of the team chartered with building company\-wide tools for the entire workforce and will partner with your peers to execute and deliver on the broader strategy and vision. You'll design, develop, and maintain products, infrastructure, and integrations with third\-party and other teams’ services. You will collaborate effectively with myriad teams and communicate technical ideas persuasively. You influence and shape team and project direction through effective partnerships across the entire company to save Netflix time and money and enhance productivity for the whole workforce.
**\| RESPONSIBILITIES**
* Design/ architect, develop, test, deploy, and operate fully integrated solutions across build/buy that provide seamless end\-to\-end product experiences.
* Influence broad AI strategy and vision for internal enterprise applications.
* Collaborate with cross\-functional teams to integrate generative AI solutions into existing workflow systems.
* Apply AI and GenAI responsibly to solve enterprise problems for the whole company.
* Design, build, and maintain infrastructure for modern integration methods between our applications, third\-party services, and other Netflix teams' services.
* Collaborate extremely effectively with product managers, designers, other engineers, stakeholders, and vendors on projects within the team and across all of Netflix.
* Communicate technical ideas and work closely with other senior members of the team.
**\| WE VALUE**
* You have strong problem\-solving skills and the ability to make data\-driven decisions.
* You are passionate about engineering principles and developing tools and applications for impact with high quality.
* You thrive in a dynamic environment where needs shift and can clearly articulate priorities and critical outcomes to your team.
**\| SKILLS AND EXPERIENCE**
* 5\+ years of experience as a software engineer, demonstrably delivering on time, at quality
* Expert knowledge of data structures, algorithms, and modern design patterns and data layers
* Expert knowledge of Python and/or Java
* Demonstrable ability to lead a project and deliver an end product on time, at quality
* Passion to build internal solutions and own development of enterprise\-wide applications
* Extensive knowledge of building quality APIs for internal and external products
* Lots of experience integrating internal and third\-party services into your solutions
* Expert knowledge of cloud computing platforms like Amazon Web Services (AWS), GCP
**You Might Have**
* Deep experience with Node, JavaScript, React, SpringBoot, NoSQL, GraphQL
* Experience automating workflows across the enterprise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3">
      <c r="A23" t="inlineStr">
        <is>
          <t>li-4370329619</t>
        </is>
      </c>
      <c r="B23" t="inlineStr">
        <is>
          <t>Software Engineer (SQL, API)</t>
        </is>
      </c>
      <c r="C23" t="inlineStr">
        <is>
          <t>Waymo</t>
        </is>
      </c>
      <c r="D23" t="inlineStr">
        <is>
          <t>linkedin</t>
        </is>
      </c>
      <c r="E23" t="inlineStr"/>
      <c r="F23" t="inlineStr"/>
      <c r="G23" t="inlineStr"/>
      <c r="H23" t="inlineStr"/>
      <c r="I23" t="inlineStr">
        <is>
          <t>**About The Company**
 Waymo is a pioneering autonomous driving technology company dedicated to transforming mobility and enhancing road safety. Originating from the Google Self\-Driving Car Project in 2009, Waymo's mission is to become the world's most trusted driver by leveraging cutting\-edge technology to improve access to transportation while saving lives. The company has developed the Waymo Driver, recognized as the world's most experienced autonomous driver, which powers Waymo's fully autonomous ride\-hail service and can be integrated into various vehicle platforms and use cases. With over ten million rider\-only trips completed and autonomous driving experience exceeding 100 million miles on public roads across more than 15 states, Waymo continues to lead innovation in the autonomous vehicle industry.
 The company's commitment to safety, reliability, and technological excellence positions it at the forefront of autonomous driving solutions, aiming to create a safer and more accessible transportation ecosystem for all.
**About The Role**
 Waymo is seeking a highly skilled and experienced Infrastructure Team Lead to join our Mapping team. In this role, you will be responsible for overseeing the development and scaling of our mapping infrastructure, which is vital for creating high\-resolution, accurate maps that support autonomous driving. You will lead a team of talented software engineers, driving initiatives to improve system efficiency, automate map generation processes, and evolve our mapping schemas to facilitate greater automation. Your expertise will be instrumental in building backend infrastructure capable of handling vast amounts of map data, ensuring the system can support mapping the entire world.
 This position offers an exciting opportunity to work on state\-of\-the\-art machine learning models, collaborate cross\-functionally with onboard teams, and contribute to the future of autonomous mobility. You will own critical components of our mapping infrastructure, from resource planning and acquisition to deployment and monitoring, ensuring our systems are robust, scalable, and efficient.
**Qualifications**
* 7\+ years of industry experience in software engineering or related fields
* Proven leadership experience managing or leading engineering teams
* Strong background in large\-scale data processing frameworks such as Google Data Flow or Apache Beam
* Experience with designing and scaling backend infrastructure for data storage and processing
* Demonstrated ability to own problems end\-to\-end and work across various system components
* Passion for software engineering best practices and system optimization
* Preferred: M.S. or Ph.D. in Computer Science or a related technical discipline
* Experience in mapping, localization, or autonomous vehicle data processing is a plus
**Responsibilities**
* Lead and mentor a team of software engineers to enhance and scale mapping infrastructure
* Evaluate, deploy, and optimize machine learning models for automated map generation from raw data
* Collaborate with onboard teams to evolve and improve Waymo's mapping schemas, making them more automation\-friendly
* Design and build backend systems for storing, processing, and distributing various forms of map data
* Scale infrastructure to support comprehensive mapping of the entire world
* Manage resource planning, infrastructure monitoring, and system performance to ensure reliability and efficiency
* Work cross\-functionally with data scientists, hardware teams, and product managers to align mapping initiatives with company goals
**Benefits**
* Competitive salary range of $238,000 to $302,000 USD, commensurate with experience and location
* Participation in Waymo's discretionary annual bonus program and equity incentive plan
* Comprehensive health, dental, and vision insurance coverage
* Generous paid time off and flexible work arrangements
* Opportunities for professional development and career growth within a pioneering technology company
* Access to innovative projects shaping the future of autonomous mobility
 Equal Opportunity
 Waymo is an equal opportunity employer committed to fostering an inclusive environment for all employees. We celebrate diversity and are dedicated to creating a workplace that respects and values individual differences. All qualified applicants will receive consideration for employment without regard to race, color, religion, gender, gender identity or expression, sexual orientation, national origin, age, disability, or any other protected status under applicable law.</t>
        </is>
      </c>
    </row>
    <row r="24">
      <c r="A24" t="inlineStr">
        <is>
          <t>li-4307235811</t>
        </is>
      </c>
      <c r="B24" t="inlineStr">
        <is>
          <t>Software Engineer II (Backend, Platform)</t>
        </is>
      </c>
      <c r="C24" t="inlineStr">
        <is>
          <t>WHOOP</t>
        </is>
      </c>
      <c r="D24" t="inlineStr">
        <is>
          <t>linkedin</t>
        </is>
      </c>
      <c r="E24" t="inlineStr"/>
      <c r="F24" t="inlineStr"/>
      <c r="G24" t="inlineStr">
        <is>
          <t>Boston, MA</t>
        </is>
      </c>
      <c r="H24" t="inlineStr"/>
      <c r="I24" t="inlineStr">
        <is>
          <t>At WHOOP, we're on a mission to unlock human performance and healthspan. WHOOP empowers members to perform at a higher level and live longer through a deeper understanding of their bodies and daily lives. Protecting our members’ data and ensuring our systems scale securely and reliably is core to this mission.
 WHOOP is hiring a Software Engineer II focused on backend development to build and enhance systems that power our platform. This role will directly contribute to delivering scalable and secure services that support millions of members worldwide. While backend development expertise is the primary focus, familiarity with cybersecurity concepts (data privacy, AuthN/AuthZ, etc) or cloud infrastructure concepts (AWS, IaC, Kubernetes, etc) will be considered a strong plus.
 This is a top\-funnel role: depending on your background and interests, you may align more closely with our
 **Product Security team** 
 (focused on secure\-by\-default guardrails, compliance, and data privacy) or our
 **Application Infrastructure team** 
 (focused on scalability, reliability, and developer enablement). Either way, you’ll have the opportunity to shape core platform practices and help WHOOP grow to the next level.
**Responsibilities**
* Design, develop, and maintain robust, scalable backend systems that power WHOOP’s core infrastructure and member experience.
* Collaborate with product managers, data engineers, frontend developers, and other cross\-functional partners to deliver features that enhance member engagement.
* Build and maintain APIs to enable seamless integration with frontend applications and third\-party services.
* Ensure system reliability, scalability, and performance through effective testing, monitoring, and optimization.
* Implement secure coding practices and contribute to designing systems that safeguard member data.
* Stay current with backend technologies and contribute to improving team engineering standards and best practices.
**Qualifications**
* 2\-4 years of backend software development experience, ideally in languages like Java, Python, or C\#.
* Experience designing and building RESTful APIs and microservices.
* Exposure to event\-driven architecture (messaging/streaming tech such as Kafka, RabbitMQ).
* Familiarity with database design and management (e.g., PostgreSQL, MySQL, or NoSQL databases).
* Understanding of cloud infrastructure (AWS, GCP, or Azure).
* Familiarity with cybersecurity principles (data privacy, authentication, and authorization) is a plus but not required.
* Strong problem\-solving skills and ability to work in a fast\-paced environment.
* Good communication skills and ability to collaborate across teams.
**Bonus Qualifications**
* Experience working with infrastructure as code and developer enablement platforms.
* Familiarity with containers and orchestration (e.g., Docker, Kubernetes).
* Background in cloud security or incident response.
* Exposure to building translation or localization platforms to support multi\-language content delivery.
* Hands\-on experience with observability tools (logging, monitoring, alerting) in production environments.
**About You**
* You thrive on ownership and want to shape the foundation of WHOOP’s platform.
* You automate everything you can, always seeking to replace manual work with scalable tooling.
* You enjoy working cross\-functionally and can communicate complex infrastructure and security topics clearly.
* You believe reliability, security, and visibility are just as important as speed and scale.
*Learn more about our engineering teams and how to be successful in your engineering career at WHOOP via our* 
*Career Framework .*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25">
      <c r="A25" t="inlineStr">
        <is>
          <t>li-4286308098</t>
        </is>
      </c>
      <c r="B25" t="inlineStr">
        <is>
          <t>Software Engineer, Infrastructure</t>
        </is>
      </c>
      <c r="C25" t="inlineStr">
        <is>
          <t>Meta</t>
        </is>
      </c>
      <c r="D25" t="inlineStr">
        <is>
          <t>linkedin</t>
        </is>
      </c>
      <c r="E25" t="inlineStr"/>
      <c r="F25" t="inlineStr"/>
      <c r="G25" t="inlineStr">
        <is>
          <t>New York, NY</t>
        </is>
      </c>
      <c r="H25" t="inlineStr"/>
      <c r="I2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6">
      <c r="A26" t="inlineStr">
        <is>
          <t>li-4302883846</t>
        </is>
      </c>
      <c r="B26" t="inlineStr">
        <is>
          <t>Software Engineer – New College Graduate</t>
        </is>
      </c>
      <c r="C26" t="inlineStr">
        <is>
          <t>Sift</t>
        </is>
      </c>
      <c r="D26" t="inlineStr">
        <is>
          <t>linkedin</t>
        </is>
      </c>
      <c r="E26" t="inlineStr"/>
      <c r="F26" t="inlineStr"/>
      <c r="G26" t="inlineStr">
        <is>
          <t>El Segundo, CA</t>
        </is>
      </c>
      <c r="H26" t="inlineStr"/>
      <c r="I26" t="inlineStr">
        <is>
          <t>At Sift, we’re redefining how modern machines are built, tested, and operated. Our platform gives engineers real\-time observability into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
 **New College Graduate Software Engineer** 
 , you’ll join a small, fast\-moving team building foundational systems for the future of engineering. You’ll have the opportunity to learn from experienced engineers, contribute to production code, and help design scalable solutions from the ground up.
**In This Role, You’ll**
* Contribute to the design and development of high\-performance, scalable systems for data processing and visualization
* Build features for engineers to explore and act on millions of sensor data points
* Work closely with senior engineers in code reviews, design discussions, and product planning
* Learn best practices in distributed systems, DevOps, and frontend/backend development
* Help shape engineering culture, standards, and processes at an early\-stage startup
**The Skillset You’ll Bring**
* Bachelor’s degree in Computer Science, Engineering, Math, Physics, or another STEM discipline
* Strong coursework or project experience in data structures, algorithms, or data analysis
* Eagerness to learn large\-scale distributed systems and real\-time data platforms
* Collaborative mindset and strong communication skills
* Ability to thrive in a fast\-paced, ambiguous environment
**Bonus Points**
* Experience with streaming or data tools (Kafka, Flink, Spark, Beam)
* Familiarity with databases (PostgreSQL, Timescale, Druid, or similar)
* Exposure to frontend frameworks (React, TypeScript)
* Experience with DevOps practices (Git, CI/CD, testing, monitoring)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Rust, Arrow, DataFusion, Kafka, Flink, Parquet
* Infrastructure: Docker, AWS, Kubernetes, Linux, Grafana
**Location:**
 Sift’s headquarters is in
 **El Segundo, CA** 
 . We collaborate
 **in person** 
 twice a week—on
 **Mondays and Thursdays** 
 —and come together for a full week every two months. We’re open to
 **relocating candidates to LA** 
 for the right candidate.
 Salary range: $100,000 \- $140,000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27">
      <c r="A27" t="inlineStr">
        <is>
          <t>li-4278342578</t>
        </is>
      </c>
      <c r="B27" t="inlineStr">
        <is>
          <t>Software Developer</t>
        </is>
      </c>
      <c r="C27" t="inlineStr">
        <is>
          <t>Orange Barrel Media</t>
        </is>
      </c>
      <c r="D27" t="inlineStr">
        <is>
          <t>linkedin</t>
        </is>
      </c>
      <c r="E27" t="inlineStr"/>
      <c r="F27" t="inlineStr"/>
      <c r="G27" t="inlineStr">
        <is>
          <t>Columbus, OH</t>
        </is>
      </c>
      <c r="H27" t="inlineStr"/>
      <c r="I27" t="inlineStr">
        <is>
          <t>Columbus, OH (in office)
 ***Must be located in Columbus. If you are not located in Columbus your application will not be considered.***
**Company Overview**
 Orange Barrel Media creates and operates iconic urban media displays that advertisers ask for by name in the top markets in the U.S. Our commitment to innovation has differentiated OBM as a leader in the Out\-of\-Home industry and driven the development of our subsidiary, IKE Smart City, a company that is blazing the way in smart city initiatives with our interactive digital kiosk, IKE. We are widely known as a place where people are inspired to achieve success and have endless opportunities to grow. We value our associates and have created an environment of inclusion, respect, and fun. We hire and reward top\-notch talent who contribute to our unique culture and shared vision. OBM and IKE Smart City are experiencing momentous growth, almost tripling in size over the past two years, and we start and end each day excited about the work we do together and the new challenges ahead. Learn more at www.ikesmartcity.com and www.orangebarrelmedia.com.
**Position Overview**
 The Software Developer will manage and oversee a range of tasks, with a focus on leading small to medium\-sized projects and mentoring junior developers. This position requires a candidate with a strong understanding of React and Ruby on Rails, the ability to work independently, and a commitment to delivering high\-quality, scalable solutions. The ideal candidate will possess strong communication skills and be adept at collaborating with team members and addressing user needs directly.
**What You’ll Do**
* Lead the design, development, and deployment of small to medium\-sized features and projects using React and Rails.
* Perform in\-depth code reviews, ensuring adherence to best practices, coding standards, and system design principles.
* Mentor junior developers by providing guidance on coding techniques, tools, and problem\-solving approaches.
* Implement automated testing strategies to maintain high\-quality code and reduce regressions.
* Continuously evaluate and improve development workflows, tools, and processes for the team.
* Respond to and resolve user\-reported issues directly, ensuring timely fixes and a high\-quality experience for our users.
**About You**
* At least 3 years of professional experience in software development, with expertise in React and Ruby on Rails.
* Proven ability to design, implement, and maintain scalable, maintainable, and well\-tested software solutions.
* Experience leading small to medium\-sized projects and mentoring other developers.
* Strong problem\-solving skills and a user\-focused mindset, with the ability to troubleshoot and resolve issues effectively.
* Excellent communication skills and a commitment to continuous learning and process improvement.
**Desired Skills**
* Deep understanding of React and Ruby on Rails, including component\-based design and API development.
* Strong knowledge of caching strategies and their implementation to improve application performance.
* Strong knowledge of automated testing frameworks and best practices for maintaining high\-quality code.
* Familiarity with software lifecycle management, including version control, CI/CD pipelines, and deployment processes.
* Ability to balance technical debt with feature delivery, ensuring long\-term maintainability.
*OBM is an equal\-opportunity employer, and provides competitive salary/incentive compensation and benefits, generous PTO, 401k match, a beautiful office stocked with snacks, and daily lunch.*</t>
        </is>
      </c>
    </row>
    <row r="28">
      <c r="A28" t="inlineStr">
        <is>
          <t>li-4308214992</t>
        </is>
      </c>
      <c r="B28" t="inlineStr">
        <is>
          <t>Senior Software Engineer II (NYC)</t>
        </is>
      </c>
      <c r="C28" t="inlineStr">
        <is>
          <t>BlinkRx</t>
        </is>
      </c>
      <c r="D28" t="inlineStr">
        <is>
          <t>linkedin</t>
        </is>
      </c>
      <c r="E28" t="inlineStr"/>
      <c r="F28" t="inlineStr"/>
      <c r="G28" t="inlineStr">
        <is>
          <t>New York, NY</t>
        </is>
      </c>
      <c r="H28" t="inlineStr"/>
      <c r="I28"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**About the Role** 
 As a
 **Senior Software Engineer II** 
 at Blink, you’ll take on some of our most critical technical challenges and deliver high\-impact solutions that shape the future of our products and platforms. You’ll lead the design and execution of initiatives that often span multiple teams, ensuring millions of customers have seamless, affordable access to prescription medications.
 You’ll work hands\-on to build scalable, reliable systems while also influencing technical strategy, mentoring engineers across the team, and partnering closely with product, design, data, and operations to accelerate Blink’s growth.
 We believe in pragmatic engineering using trusted tools like AWS, Python, JavaScript, MySQL/Postgres, and Linux. We value simplicity, bias for action, and a deep focus on customer impact. As a Senior Software Engineer II, you’ll be both a builder and a leader raising the bar for technical excellence and helping drive Blink forward.
**Role Success** 
 You are an engineer who thrives on solving some of the most complex and meaningful challenges in healthcare. You have a track record of delivering technical solutions that span multiple teams and systems, and you’re excited to build products that give our customers the best possible experience purchasing prescription medications.
 We believe in using a small number of well\-known tools like AWS, Python, Javascript, MySQL, and Linux. We are looking for Senior Engineer II candidates who value simplicity, pragmatism, and impact — engineers who not only write code, but also
 **take on broad ownership, drive cross\-team initiatives, and mentor others to raise the bar.** 
 Senior Engineers II at Blink take ownership of our hardest, most strategic problems. Your job is to envision and refine solutions that scale across teams, set high standards for engineering excellence, and execute with autonomy and accountability.
 You will collaborate closely with talented cross\-functional teams — designers, product managers, data scientists, marketers, and operators — as well as across multiple engineering groups. Through these partnerships, you’ll shape technical direction, grow our business, and above all, ensure that our customers have access to the least expensive and highest satisfaction pharmacy experience on earth.
 At Blink, we determine the specific focus of engineering roles through the interview process. Key potential areas of ownership include: our telemedicine platform; our home delivery experience; our growth systems; our core pharmacy platform; and new product line development. We’ll work with you to find the right fit.
**Key Focus Areas:** 
 You’ll own one or more strategic initiatives, which may include:
* Our telemedicine platform
* The home delivery experience
* Growth experimentation and personalization
* Core pharmacy infrastructure
* Development of entirely new product lines
**What You’ll Do** 
**Technical Leadership \&amp; Execution** 
* Design and evolve backend and frontend architecture for scalable, high\-performance systems
* Write clean, efficient, and maintainable code
* Lead code reviews and promote engineering best practices
* Investigate and resolve complex performance or reliability issues
* Drive the release of new features end\-to\-end with testing, documentation, and monitoring
**Team Development \&amp; Mentorship** 
* Provide technical guidance and coaching to senior and junior engineers
* Help shape our engineering culture by modeling ownership, curiosity, and high standards
* Foster strong cross\-functional collaboration to ensure alignment between engineering, product, and business
**Innovation \&amp; Learning** 
* Stay ahead of industry trends, tools, and technologies—and bring them back to the team
* Rapidly prototype, test, and iterate on ideas with a learning mindset
* Champion experimentation and data\-driven decision making
**Communication \&amp; Feedback** 
* Communicate complex technical topics clearly to technical and non\-technical audiences
* Give and receive feedback with empathy and honesty
* Build trust within and across teams to unlock high\-impact collaboration
**What We Are Looking For** 
* Minimum of 7\+ years in a software engineering role, with significant experience driving initiatives that span multiple teams or systems.
* Strong system design and architecture expertise, especially in distributed or large\-scale platforms.
* Experience owning projects or domains from design through delivery and ongoing evolution.
* Proven ability to mentor other engineers and improve team performance.
* Comfortable influencing technical direction and building consensus among multiple stakeholders.
* Collaborative and communicative — a Class\-A communicator who simplifies complexity, builds alignment, and drives clarity.
* BA/BS degree in Computer Science or related field; advanced degree preferred but not required.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29">
      <c r="A29" t="inlineStr">
        <is>
          <t>li-4308513056</t>
        </is>
      </c>
      <c r="B29" t="inlineStr">
        <is>
          <t>Sr. Full Stack Engineer</t>
        </is>
      </c>
      <c r="C29" t="inlineStr">
        <is>
          <t>Adobe</t>
        </is>
      </c>
      <c r="D29" t="inlineStr">
        <is>
          <t>linkedin</t>
        </is>
      </c>
      <c r="E29" t="inlineStr"/>
      <c r="F29" t="inlineStr"/>
      <c r="G29" t="inlineStr">
        <is>
          <t>San Jose, CA</t>
        </is>
      </c>
      <c r="H29" t="inlineStr"/>
      <c r="I2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Our fast\-paced team operates at the forefront of Adobe’s Generative AI strategy, with high autonomy, high impact, and high visibility with executives. We create cutting\-edge Generative AI products and platform services. Join us as we invent new ways for millions of people to express themselves and transform their businesses with Generative AI.
**Responsibilities**
* Collaborate with Adobe Generative AI research, design, platform, security, engineering, product, and leadership teams to quickly and reliably deliver breakthrough innovations to customers.
* Rapidly spin up prototypes that explore the commercial viability of capabilities invented by Adobe research teams.
* Design, build, and maintain scalable backend services, APIs, and data pipelines.
* Design and develop intuitive, responsive, and performant frontend applications.
* Improve prototypes and products by empathetically listening to feedback from customers and colleagues.
* Own prototypes, products, and features end\-to\-end, from conception and design through deployment and monitoring.
* Shape engineering culture to support a rapidly scaling organization.
**Core Requirements**
* Deep understanding of how large language models and diffusion models are trained and operate, including trade\-offs made during training and inference.
* Significant professional experience designing, developing, and deploying delightful, high\-traffic web applications with AWS, Azure, or Google Cloud on high\-performing, high\-trust teams.
* Expert proficiency in JavaScript backend and frontend development with modern frameworks such as Node, React, Vue, or Vite.
* Enjoys rapidly learning new technical and non\-technical skills.
* Ability to excel independently in a hybrid or remote\-first work environment.
* Exceptional communicator and collaborator.
**Bonus Qualifications**
* Experience training and/or fine\-tuning generative AI models.
* Experience designing complex user interfaces and workflows.
* Experience using Adobe Creative Cloud applications.
 Our compensation reflects the cost of labor across several  U.S. geographic markets, and we pay differently based on those defined markets. The U.S. pay range for this position is $159,200 \-\- $301,600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$208,300 \- $301,600 In New York, the pay range for this position is $208,300 \- $301,600 In Washington, the pay range for this position is $190,200 \- $275,400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0">
      <c r="A30" t="inlineStr">
        <is>
          <t>li-4340691774</t>
        </is>
      </c>
      <c r="B30" t="inlineStr">
        <is>
          <t>Software Engineer, ML</t>
        </is>
      </c>
      <c r="C30" t="inlineStr">
        <is>
          <t>Twitch</t>
        </is>
      </c>
      <c r="D30" t="inlineStr">
        <is>
          <t>linkedin</t>
        </is>
      </c>
      <c r="E30" t="inlineStr"/>
      <c r="F30" t="inlineStr"/>
      <c r="G30" t="inlineStr">
        <is>
          <t>New York, NY</t>
        </is>
      </c>
      <c r="H30" t="inlineStr"/>
      <c r="I3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**You Have:**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 Bachelor's degree in Computer Science, Engineering, or equivalent real\-world experience
**Bonus Points**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**Perks**
* Medical, Dental, Vision \&amp; Disability Insurance
* 401(k)
* Maternity \&amp; Parental Leave
* Flexible PTO
* Amazon Employee Discount
 Job ID: TW8973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1">
      <c r="A31" t="inlineStr">
        <is>
          <t>li-4205346015</t>
        </is>
      </c>
      <c r="B31" t="inlineStr">
        <is>
          <t>Fullstack Software Engineer - Product Experiences</t>
        </is>
      </c>
      <c r="C31" t="inlineStr">
        <is>
          <t>Snowflake</t>
        </is>
      </c>
      <c r="D31" t="inlineStr">
        <is>
          <t>linkedin</t>
        </is>
      </c>
      <c r="E31" t="inlineStr"/>
      <c r="F31" t="inlineStr"/>
      <c r="G31" t="inlineStr">
        <is>
          <t>Bellevue, WA</t>
        </is>
      </c>
      <c r="H31" t="inlineStr"/>
      <c r="I31"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The Product Experience team in Bellevue/Menlo Park is looking for fullstack engineers to help us bring the best\-in class experiences to Snowflake customers. Using the best–of\-breed tech stack (React, Typescript, NodeJS, Java, SpringBoot), you will join a dynamic team, and collaborate with other talented engineers, designers, architects, and product managers to deliver impactful features, services, and tooling.
 AS A FULL STACK ENGINEER, YOU WILL:
* Contribute and drive high impact initiatives that span our product areas and tech stack including TypeScript, React, NodeJS, Java, SpringBoot
* Collaborate with engineers, product managers, solution architects, and designers to deliver cross\-functional initiatives.
* Be a strong contributor to the product vision.
* Build for scale and high performance systems.
* Work in a team oriented environment.
 OUR IDEAL SOFTWARE ENGINEER WILL HAVE:
* 2\+ years of industry experience designing and building scalable web applications with great user experience.
* Significant frontend experience and proficiency with TypeScript, React, and NodeJS.
* Industry experience and strong foundation in Java, and SpringBoot.
* Hands\-on experience with GO, and Python.
* Extremely strong fundamental computer science skills.
* Deep understanding of modern web applications architecture, good design patterns, security, performance and scalability.
* Passionate about building the best customer\-facing products.
* Strong written, verbal, and technical communication skills.
* BS/MS in Computer Science or related majors.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32">
      <c r="A32" t="inlineStr">
        <is>
          <t>li-4370324784</t>
        </is>
      </c>
      <c r="B32" t="inlineStr">
        <is>
          <t>Software Engineer, Platform - Cary, USA</t>
        </is>
      </c>
      <c r="C32" t="inlineStr">
        <is>
          <t>Speechify</t>
        </is>
      </c>
      <c r="D32" t="inlineStr">
        <is>
          <t>linkedin</t>
        </is>
      </c>
      <c r="E32" t="inlineStr"/>
      <c r="F32" t="inlineStr"/>
      <c r="G32" t="inlineStr">
        <is>
          <t>Cary, NC</t>
        </is>
      </c>
      <c r="H32" t="inlineStr"/>
      <c r="I32"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33">
      <c r="A33" t="inlineStr">
        <is>
          <t>li-4370329621</t>
        </is>
      </c>
      <c r="B33" t="inlineStr">
        <is>
          <t>Software Engineer (API, SQL)</t>
        </is>
      </c>
      <c r="C33" t="inlineStr">
        <is>
          <t>Shippo</t>
        </is>
      </c>
      <c r="D33" t="inlineStr">
        <is>
          <t>linkedin</t>
        </is>
      </c>
      <c r="E33" t="inlineStr"/>
      <c r="F33" t="inlineStr"/>
      <c r="G33" t="inlineStr"/>
      <c r="H33" t="inlineStr"/>
      <c r="I33" t="inlineStr">
        <is>
          <t>**About The Company**
 Shippo is a pioneering technology company dedicated to transforming the global shipping infrastructure. Our vision is to be the shipping layer of the internet, enabling seamless and efficient logistics solutions for merchants worldwide. We strive to empower businesses of all sizes by providing world\-class logistics technology and infrastructure, connecting merchants to carriers through a unified API and intuitive dashboard. As a remote\-first and globally distributed team, Shippo values flexibility, trust, autonomy, and diverse perspectives that drive innovation and excellence. Our commitment to modern, scalable technology allows our teams to build, ship, and iterate confidently, ensuring that we remain at the forefront of the e\-commerce and logistics industry. Our mission is to make shipping simpler and more accessible for businesses everywhere, contributing to the growth of global commerce.
**About The Role**
 We are seeking a highly experienced Principal Software Engineer to lead our Platform Enablement organization. This strategic role encompasses overseeing Site Reliability Engineering (SRE), Engineering Enablement (Developer Experience), and Security teams. As a key leader, you will shape the technical strategy, architecture, and standards for our platform capabilities, ensuring consistency across our infrastructure while enabling rapid product development. You will have a direct impact on how hundreds of engineers build, deploy, and operate software at Shippo. Your responsibilities will include designing complex systems involving cloud infrastructure, deployment pipelines, and security tooling, as well as establishing governance frameworks and engineering standards that promote security, reliability, and developer productivity. This role requires a blend of deep technical expertise and organizational influence, mentoring senior engineers, and driving company\-wide initiatives to optimize costs, security, and velocity. Reporting to the Director of Engineering, you will be instrumental in fostering a strong engineering culture and advancing our technical vision.
**Qualifications**
* 12\+ years of software engineering experience with expertise in platform engineering, distributed systems, or infrastructure
* Strong hands\-on skills in software development, including building production\-quality code, prototypes, and internal tooling
* Proven experience leading multi\-year, organization\-wide technical initiatives in high\-growth technology companies
* Experience with cloud cost optimization, infrastructure as code, CI/CD pipelines, and container orchestration (Kubernetes)
* Background in developing developer tooling, internal platforms, or enhancing engineering productivity at scale
* Ability to define and execute technical strategies aligned with business objectives
* Experience building consensus on complex architectural decisions across engineering leadership
* Knowledge of establishing scalable engineering standards and governance frameworks
* Proven mentoring skills for senior technical talent and influencing career development
* Excellent judgment in balancing trade\-offs between cost, security, and velocity
* Strong communication skills, capable of translating technical concepts for diverse audiences
* Comfortable working in ambiguous environments, with a data\-driven decision\-making approach
* Experience collaborating effectively with product, security, and engineering teams
* Bachelor’s or Master’s degree in Computer Science or equivalent experience
**Responsibilities**
* Define and drive the multi\-year technical strategy for Shippo’s platform capabilities, including cloud infrastructure, developer experience, and security
* Establish architectural guardrails and governance frameworks that enable fast, secure, and reliable development
* Design high\-level systems addressing complex challenges in cloud infrastructure, deployment pipelines, and security tooling
* Partner with Staff Engineers to ensure clear system ownership, boundaries, and operational health
* Set engineering standards for infrastructure, deployment practices, and security by default
* Create organizational mechanisms such as templates, service catalogs, and automated guardrails to maintain excellence
* Develop self\-service tooling and golden paths to improve application standards and reduce platform fragmentation
* Identify and eliminate systemic organizational barriers that hinder engineering velocity or create toil
* Design and implement solutions that maximize impact, including cost optimization, security automation, and developer productivity
* Conduct early investigations, prototyping, and experimentation to validate approaches before scaling
* Mentor and influence the career growth of senior and staff engineers within platform teams
* Navigate complex trade\-offs involving cost, security, and velocity with company\-wide implications
* Partner with Security teams to embed automation and secure\-by\-default practices into workflows
* Drive ownership and transparent cost management for platform services used by product teams
* Maintain close feedback loops with product teams to ensure platform capabilities meet their needs
* Lead proactive reviews of operational and system health across platform services
* Produce comprehensive documentation, frameworks, and talks that serve as organizational force multipliers
* Balance time between coding, prototyping, building libraries, and driving standards in reviews
**Benefits**
* Comprehensive healthcare coverage for medical, dental, and vision, with 90% covered by the company, including dependents
* Flexible take\-as\-much\-as\-you\-need vacation policy and flexible working arrangements
* One\-week company\-wide winter slowdown to promote work\-life balance
* Home office setup stipend to support remote work
* Charity donation matching up to $100
* Dedicated programs, coaching, tools, and resources for professional growth and learning stipends
* Opportunities for in\-person team events and company off\-sites through our Shippos Everywhere program
 Equal Opportunity
 We are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34">
      <c r="A34" t="inlineStr">
        <is>
          <t>li-4079649328</t>
        </is>
      </c>
      <c r="B34" t="inlineStr">
        <is>
          <t>Senior Software Engineer, Backend | Product Engineering</t>
        </is>
      </c>
      <c r="C34" t="inlineStr">
        <is>
          <t>TRM Labs</t>
        </is>
      </c>
      <c r="D34" t="inlineStr">
        <is>
          <t>linkedin</t>
        </is>
      </c>
      <c r="E34" t="inlineStr"/>
      <c r="F34" t="inlineStr"/>
      <c r="G34" t="inlineStr"/>
      <c r="H34" t="inlineStr"/>
      <c r="I34"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The Product Engineering team is responsible for building a comprehensive set of features, frameworks, and functionalities for both end customers and internal\-facing teams to successfully execute and scale TRM’s business. We are looking for a pragmatic backend engineer who can build reliable and scalable software that will be used by all TRM customers. You’ll also design backend APIs with a deep understanding of the customer experience and performance.
 As an early member of the team, you will be deeply involved in the technical details along with our operational processes to champion the velocity, quality, and overall impact of TRM, ultimately building a safer financial system for billions of people.
**The impact you’ll have here:**
* Work on complex engineering problems that help you build and hone not only technical skills but also project management and human/soft skills
* Develop and maintain public APIs that are part of the API Product suite
* Collaborate with stakeholders on transforming a functional vision into a tangible roadmap with clear outcomes
* Support and enable internal business units through shared engineering services and functionalities
* Develop cross\-functional relationships with stakeholders across the organization to understand and empower their mission from end to end
* Experience designing and building scalable systems, web applications, APIs, and services (our backend is built in Node.js but prior experience in Node.js is not required; we believe tools and languages can be learned on the job)
**What we’re looking for:**
* Experience designing and building scalable systems, web applications, APIs, and services.
* An understanding of storage systems such as relational databases (e.g., Postgres) and analytical databases.
* Demonstrated experience in understanding customer pain points and bridging their needs to technical \&amp; product requirements.
* A high degree of initiative and ownership, combined with the ability to navigate ambiguity and adapt quickly to change.
* Exceptional ability to structure problems and identify the most critical issues to prioritize.
* Ability to communicate complex ideas effectively to both technical and non\-technical audiences, verbally and in writing.
* Experience working collaboratively in a cross\-functional environment with a diverse group of people at all levels in an organization.
**About the Team:**
* The team operates on a weekly sprint schedule. Individuals on the team are tasked to lead projects as technical anchors, and given a chance to grow and take ownership according to their level and goals. We work closely with our internal stakeholders to deliver impactful features to our internal customers and the company.
* The team’s culture is built on psychological safety wherein team members build rapport and trust\-based relationships with teammates, hold each other accountable and to a high bar, collaborate extensively, and have lots of fun along the way.
* The team’s timezone is a mix of EST and PST with at least 6 hours of overlap with PST (8 am to 2 pm PST)
* On\-Call: We have an on\-call rotation that is specific to internal tools. In this role, the internal tools engineer is responsible for triaging customer support requests from specific Slack channels pertaining to internal tools.
**Learn about TRM Speed in this position:**
* Ruthless Prioritization \&amp; Adaptability: We adapt quickly when faced with new information. For example, an engineer may message the PM or EM to prioritize Task A vs. Task B in the middle of the sprint – we don’t let inertia guide our decisions. Instead we focus on ruthless prioritization and pivot quickly as needed.
* Challenging Timelines (Execution Pressure): An engineer questions a teammate’s proposed 3\-week timeline, and constructively argues for condensing it to 2 weeks—backed by rationale, tradeoffs, and a plan to reduce scope or increase velocity. They show ownership of delivery speed and willingness to push for urgency.
* Time\-Boxed Spiking (Rapid Learning \&amp; Decision\-Making): An engineer proposes a 1\-week spike with a clear time\-box and success criteria to explore implementation options or validate feasibility through a proof of concept. They demonstrate speed not just in execution, but in de\-risking decisions early.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$200,000 \- $220,000\.
* Additionally, this role may be eligible to participate in TRM’s equity plan.
* Please note – we factor in the different costs for geographies outside the United States.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35">
      <c r="A35" t="inlineStr">
        <is>
          <t>li-4336234304</t>
        </is>
      </c>
      <c r="B35" t="inlineStr">
        <is>
          <t>Senior Full Stack Engineer - Platform Enablement</t>
        </is>
      </c>
      <c r="C35" t="inlineStr">
        <is>
          <t>SoundCloud</t>
        </is>
      </c>
      <c r="D35" t="inlineStr">
        <is>
          <t>linkedin</t>
        </is>
      </c>
      <c r="E35" t="inlineStr"/>
      <c r="F35" t="inlineStr"/>
      <c r="G35" t="inlineStr">
        <is>
          <t>New York, United States</t>
        </is>
      </c>
      <c r="H35" t="inlineStr"/>
      <c r="I35"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We're looking for a Senior Full Stack Engineer to join our growing Platform Enablement team. This is a central engineering team that supports various initiatives around SoundCloud, including marketing technology, privacy \&amp; consent and observability, across web and mobile devices. As an engineer on this team, you can expect a fast\-paced environment and a variety of types of projects. Great communication skills are a must!
**Key Responsibilities**
* Work cross\-functionally with product managers, data engineers, and designers to translate business needs into scalable technical solutions.
* Design, build, and maintain backend services, APIs, and data integrations to support core company initiatives across device platforms
* Collaborate with the other SoundCloud engineers to integrate core initiatives into various code bases.
* Ensure the frontend experience is responsive, performant, and consistent with design standards.
* Contribute to architecture decisions around data models, caching, messaging queues, and service communication patterns.
* Participate in design and code reviews, ensuring engineering excellence and maintainability.
* Troubleshoot production issues and drive continuous improvement in reliability and performance
* Mentor junior engineers, advocate for best practices and promote a positive team culture
**Experience And Background**
* 7\+ years of professional experience in full stack web development, with a strong emphasis on backend systems.
* Strong proficiency in one or more backend languages (e.g., Node.js, Python, Go).
* Proven experience designing and building GraphQL APIs and/or RESTful APIs.
* Proven experience with frontend frameworks such as React, Next.js, or Vue.js.
* Experience deploying and managing services in cloud environments, preferably GCP, AWS, Terraform
* Experience with relational and NoSQL databases (e.g., PostgreSQL, MySQL, DynamoDB, MongoDB).
* Exposure to analytics and data visualization tools (e.g., Looker, Tableau, or custom dashboards).
* Excellent communication skills and a collaborative mindset.
* Experience in either iOS or Android development is a bonus!
*The salary range for this role is $140,000 \- $210,000 annually. The final salary offered will be determined based on relative experience, skills, internal equity, and location. We also offer a generous total rewards program \- read more about additional benefits and perks below!*
**About Us**
* We are a multinational company with offices in the US (New York and Los Angeles), Germany (Berlin), and the UK (London)
* We provide a flexible work culture that offers the opportunity to collaborate and connect in person at our offices as well as accommodating work from home
* We are deeply committed to ensuring diversity, equity and inclusion at all levels of our organization and fostering a community where everyone’s voice, perspective and experience is respected and heard
* We believe a strong team is made by investing in employees through mentorship, workshops and enrichment opportunities
**Benefits**
* Comprehensive health benefits including medical, dental, and vision plans, as well as mental health resources
* Robust 401k program
* Employee Equity Plan
* Generous professional development allowance
* Interested in a gym membership, photography course or book? We have a Creativity and Wellness benefit!
* Flexible vacation and public holiday policy where you can take up to 35 days of PTO annually
* 16 paid weeks for all parents (birthing and non\-birthing), regardless of gender, to welcome newborns, adopted and foster children
* Various snacks, goodies, and 2 free lunches weekly when at the office
**Diversity, Equity and Inclusion at SoundCloud**
*SoundCloud is for everyone. Diversity and open expression are fundamental to our organization; they help us lead what’s next in music by understanding and empowering our creators and fans, no matter their identity. We acknowledge the challenges in the music industry, and strive to influence an inclusive culture where everyone can contribute respectfully and thrive, especially the historically marginalized communities that many of our creators, fans and SoundClouders identify with. We are dedicated to creating an inclusive environment at SoundCloud for everyone, regardless of gender identity, sexual orientation, race, ethnicity, migration background, national origin, age, disability status, or care\-giver status.*
*At SoundCloud you can find your community or elevate your allyship by joining a Diversity Resource Group. Diversity Resource Groups are employee\-organized groups focused on supporting and promoting the interests of a particular underrepresented community in order to build a more inclusive culture at SoundCloud. Anyone can join, whether you share the identity or strive to be an ally.*</t>
        </is>
      </c>
    </row>
    <row r="36">
      <c r="A36" t="inlineStr">
        <is>
          <t>li-4297737983</t>
        </is>
      </c>
      <c r="B36" t="inlineStr">
        <is>
          <t>Senior Backend Software Engineer- (AI Platform)</t>
        </is>
      </c>
      <c r="C36" t="inlineStr">
        <is>
          <t>Databricks</t>
        </is>
      </c>
      <c r="D36" t="inlineStr">
        <is>
          <t>linkedin</t>
        </is>
      </c>
      <c r="E36" t="inlineStr"/>
      <c r="F36" t="inlineStr"/>
      <c r="G36" t="inlineStr">
        <is>
          <t>Mountain View, CA</t>
        </is>
      </c>
      <c r="H36" t="inlineStr"/>
      <c r="I36" t="inlineStr">
        <is>
          <t>P\-1428
 At Databricks, we are passionate about enabling data and AI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part of the AI Platform team, you’ll build the substrate that powers everything from data apps, AI agents, model training, model serving, and vector search. You’ll be joining a
 **high\-agency, high\-visibility team** 
 operating at the frontier of AI infrastructure — with deep ties to research, product, and real\-world enterprise use cases. Databricks Mosaic AI is one of our fastest\-growing businesses helping thousands of our customers democratize AI within their organizations. We’re building the infrastructure that powers the next generation of AI.
 We’re hiring across multiple teams in our AI Engineering org including:
**The Impact You Will Have**
* Build infrastructure that powers our flagship offerings like MLflow, AI Gateway, Databricks Apps, Agent Framework, Agent Bricks, and Foundation Model APIs, to state a few.
* Improve reliability, latency, and efficiency of distributed AI workloads
* Collaborate with platform, infra, and ML teams to deliver seamless end\-to\-end experiences
* Shape how developers and data scientists build and interact with AI on Databricks
**What We Look For**
* 5\+ years of experience in backend or infrastructure engineering
* Strong programming skills in Scala, Go, or Python
* Experience with distributed systems, scalable APIs, or cloud\-native infrastructure
* Familiarity with service\-oriented architecture, deployment pipelines, and system observability
* Strong product and ownership mindset — you care about building the right solution, not just any solution
**Bonus Points For**
* Experience with real\-time serving, ML infrastructure, or GPU orchestration
* Exposure to platforms like SageMaker, Vertex AI, or Azure ML
* Contributions to OSS projects like MLflow, PyTorch, or Ray
* Built developer platforms or internal tools supporting AI workflows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7">
      <c r="A37" t="inlineStr">
        <is>
          <t>li-4264273093</t>
        </is>
      </c>
      <c r="B37" t="inlineStr">
        <is>
          <t>Software Engineer - Big Data Backend</t>
        </is>
      </c>
      <c r="C37" t="inlineStr">
        <is>
          <t>LiveRamp</t>
        </is>
      </c>
      <c r="D37" t="inlineStr">
        <is>
          <t>linkedin</t>
        </is>
      </c>
      <c r="E37" t="inlineStr"/>
      <c r="F37" t="inlineStr"/>
      <c r="G37" t="inlineStr">
        <is>
          <t>San Francisco, CA</t>
        </is>
      </c>
      <c r="H37" t="inlineStr"/>
      <c r="I37"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 Collaborate with a team of supportive and passionate software engineers, product, infrastructure and other internal partners to tackle challenging problems, execute on development projects that build, enhance and customize our high\-performance data ingest, partitioning, graph and edge building systems.
* Foster a positive environment of integrity, operational excellence to achieve a high level of technical productivity, reliability, and simplicity by developing in Java and leveraging tools/frameworks like Docker, Kubernetes, Terraform, Java, Gradle, Jenkins, GCP, Hadoop and Spark, SQL and err on the side of shipping fast and iterating.
******Your Team Will:******
* Find feedback to be important in helping us grow as individuals and as a team; we’re always looking for chances to kindly share positive and constructive feedback and we aim to accept feedback with grace.
* Follow a Scrum\-based devops model with a few guiding principles:
+ Support, trust and motivate the people involved
+ Continuous software delivery and process improvement
+ Minimize barriers to development and leverage automation
* Work on:
+ Edge Ingestion and Partitioning Framework: We could never process all trillion edges at once and luckily we don’t have to. Instead we process subgraphs that contain specific types of edges.
+ Path Computation as a Service: We provide a service to other LiveRamp engineering teams for finding specific types of paths within our massive graph. It services 80,000 requests, 10PB data per day and this is possible due to its use of highly scalable Spark jobs/ SingleStore DB procedures and intelligent caching mechanism.
+ Project categories: besides product requests and enhancements, we work on projects in performance and cost optimization, security and legal compliance, reliability and quality initiatives, as well as architectural refreshes such as POC in restructuring our data to be more streaming/real time friendly, new REST API for relevant services, migration of apps to Spark, Parquet, and other new technologies that could make our processing faster, more scalable, maintainable and cost effective.
******About You:******
* 2\+ years of experience writing and deploying object oriented production code.
* 2\+ years of experience writing and optimizing large\-scale batch processing pipelines in Java, Spark/Hadoop and/or SQL.
* 2\+ years of experience using cloud based platforms such as GCP, AWS, Azure or similar technologies.
* Have a passion for building large\-scale distributed systems and are comfortable writing maintainable and high performance code.
* Comfortable learning and adapting to the latest tools and technologies.
* You love helping a team build and deploy software that conforms to best practices.
* Startup personality and enjoy working as part of a team: smart, ethical, friendly, hard\-working, and productive.
******Bonus Points:******
* Experience with GCP products such as BigTable, BigQuery, Dataproc, PubSub or other data tools like Kafka, Hive, or Apache Beam
* Experience with development tools such as Terraform, Kubernetes, Helm, or Gradle
* Experience with designing and implementing interfaces and infrastructure for large scale systems and/or RESTful APIs
******Benefits:******
* People: work with talented, collaborative, and friendly people who love what they do.
* In\-Office Food: enjoy catered meals, boundless snacks.
* Fun: we host in\-person and virtual events such as game nights, happy hours,
* Work/Life Harmony: flexible paid time off, options for working from home, and paid parental leave.
* Whole Health Package: Medical, dental, vision, life, disability, long term care, accident and critical illness insurance, pre\-tax accounts (health, dependent and commuter), and a family forming benefit through Carrot. Plus Milk Stork, backup child and elder care, and discount on pet insurance, mental health support (via Talkspace)
* FlexPerks reimbursement program to provide flexibility and choice ($375/quarter) for fitness, emotional, financial, family, travel and entertainment, convenience and security expenses. (U.S. LiveRampers)
* Learning perks : Learning and tuition reimbursements
* Savings: Our 401K matching plan—1:1 match up to 6% of salary—helps you plan ahead. Also Employee Stock Purchase Plan \- 15% discount off purchase price of LiveRamp stock (U.S. LiveRampers)
* RampRemote: a comprehensive program to assist you in setting up a home office that works for you
* Location: Work from SF office and from home (Hybrid)
*The approximate annual base compensation range is $131,500 to $155,000\..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38">
      <c r="A38" t="inlineStr">
        <is>
          <t>li-4370334246</t>
        </is>
      </c>
      <c r="B38" t="inlineStr">
        <is>
          <t>Software Engineer, Networking</t>
        </is>
      </c>
      <c r="C38" t="inlineStr">
        <is>
          <t>Anza</t>
        </is>
      </c>
      <c r="D38" t="inlineStr">
        <is>
          <t>linkedin</t>
        </is>
      </c>
      <c r="E38" t="inlineStr"/>
      <c r="F38" t="inlineStr"/>
      <c r="G38" t="inlineStr"/>
      <c r="H38" t="inlineStr"/>
      <c r="I38" t="inlineStr">
        <is>
          <t>Software Engineer, Networking \- Anza
**Who We Are**
 Anza is a Solana R\&amp;D lab pushing the boundaries of blockchain performance and scalability. Anza was founded by experienced executives and core engineers solving the toughest problems in Web3\. Crypto ecosystems rely on robust protocols, and we believe those are best built out in the open, with multiple contributors. We pioneer advanced solutions to meet the evolving demands of decentralized applications.
**The Role**
 As a Software Engineer specializing in the networking stack, you will play a critical role in fortifying Anza's Agave client and the broader Solana network. Your work will directly contribute to the efficiency and reliability of our blockchain infrastructure, ensuring seamless communication and data propagation across the network. You will focus on the gossip protocol and block delivery mechanisms, ensuring they are optimized for performance, secure against potential threats, and scalable to accommodate future growth.
**Responsibilities**
* Develop and Optimize Networking Protocols: Design, implement, and optimize the gossip and block delivery protocols to enhance the overall performance of the Solana network
* Ensure Network Security: Identify and mitigate potential security vulnerabilities within the networking stack, ensuring robust protection against emerging threats
* Scalability and Performance: Work on improving the scalability of the network to handle increasing transaction volumes and node participation without compromising on performance
* Testing and Validation: Create and execute comprehensive tests to validate the reliability and efficiency of the networking stack, including stress tests, fault injection, and performance benchmarking
* Collaboration: Collaborate with cross\-functional teams, including core protocol engineers, security experts, and infrastructure teams, to ensure the seamless integration and functioning of the networking components
* Documentation and Code Review: Maintain thorough documentation of the networking protocols and conduct peer code reviews to uphold high standards of code quality and consistency
**Requirements**
**What You'll Bring**
* Experience: A Bachelor's degree in Computer Science, Engineering, or equivalent practical experience and 3\+ years of hands\-on experience with core infrastructure software and distributed systems
* Technical Expertise: Strong proficiency in systems programming languages such as Rust or C\+\+. Experience with networking protocols and distributed systems. Deep understanding of TCP/IP networking, architecture, and principles underlying distributed systems
* Problem\-Solving Skills: Ability to analyze complex systems, identify potential issues, and develop effective solutions
* Security Mindset: Knowledge of common security threats and best practices in network security
* Performance Optimization: Experience with performance profiling and optimization techniques
* Collaboration and Communication: Excellent teamwork and communication skills, with the ability to work effectively in a collaborative environment
**Preferred Qualifications**
* Familiarity with Linux, systems automation tools, and systems architecture
* A knack for designing secure protocols, software, and algorithms that minimize trust requirements
* Active participation in Bitcoin/Ethereum/Blockchain projects or the open\-source community is highly desirable
**Benefits**
**Why Join Anza?**
 We offer a dynamic, fast\-paced environment where innovation and problem\-solving are at the heart of everything we do. Here, your work will have a direct impact on the security and scalability of blockchain technology, contributing to the foundation of decentralized applications worldwide.
 We're excited to welcome individuals who share our passion for pushing the boundaries of blockchain technology. If you're ready to take on the challenge and contribute to the next generation of blockchain infrastructure, we'd love to hear from you.
 The salary range for US\-based candidates will be determined throughout the interview process depending on experience, skill, and location. Candidates should anticipate an annual base salary (not including incentive compensation or other benefits) of $150,000 USD to $275,000 USD.</t>
        </is>
      </c>
    </row>
    <row r="39">
      <c r="A39" t="inlineStr">
        <is>
          <t>li-4370351193</t>
        </is>
      </c>
      <c r="B39" t="inlineStr">
        <is>
          <t>Senior Full Stack Engineer</t>
        </is>
      </c>
      <c r="C39" t="inlineStr">
        <is>
          <t>Paper</t>
        </is>
      </c>
      <c r="D39" t="inlineStr">
        <is>
          <t>linkedin</t>
        </is>
      </c>
      <c r="E39" t="inlineStr"/>
      <c r="F39" t="inlineStr"/>
      <c r="G39" t="inlineStr"/>
      <c r="H39" t="inlineStr"/>
      <c r="I39"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40">
      <c r="A40" t="inlineStr">
        <is>
          <t>li-4336214873</t>
        </is>
      </c>
      <c r="B40" t="inlineStr">
        <is>
          <t>Software Engineer Backend/Platform Systems I (Full Time) – United States</t>
        </is>
      </c>
      <c r="C40" t="inlineStr">
        <is>
          <t>Cisco</t>
        </is>
      </c>
      <c r="D40" t="inlineStr">
        <is>
          <t>linkedin</t>
        </is>
      </c>
      <c r="E40" t="inlineStr"/>
      <c r="F40" t="inlineStr"/>
      <c r="G40" t="inlineStr">
        <is>
          <t>Austin, TX</t>
        </is>
      </c>
      <c r="H40" t="inlineStr"/>
      <c r="I40"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Explore the opportunities at the intersection of backend engineering and AI, helping to transform how Cisco and its customers harness information and intelligent automation.
**Your Impact**
 As a passionate software engineer, you bring expertise in developing scalable backend systems, designing robust analytics platforms, and building infrastructure to support modern cloud and distributed computing initiatives. Your strong background in programming, distributed systems, and cloud platforms enables you to solve complex challenges with innovation and precision. By building and maintaining key software tools and backend infrastructure, you empower Cisco’s business groups to leverage AI and data\-driven insights for operational excellence and strategic growth. Your contributions ensure high\-quality, reliable platforms that support Cisco’s leadership in intelligent, scalable technology solutions.
**Minimum Qualifications**
* Completion within the past 3 years, or current enrollment with expected completion within 12 months, of a relevant degree or certification program (e.g., Associate's, Apprenticeship, Boot Camp, specialized certification \+ 1 year relevant experience, High School Diploma \+ 2 years relevant experience), or Bachelor's degree \+ 0 years experience.
* Proficiency in at least one backend programming language: C/C\+\+, Java, or Go.
* Experience designing and developing microservices and APIs.
* Strong understanding of Linux and fundamental networking concepts (TCP/IP, DNS, DHCP).
* Familiarity with cloud platforms such as AWS, Azure, or GCP.
**Preferred Qualifications**
* Conceptual understanding of AI/ML.
* Experience with automation and software testing (e.g., pyTest).
* Familiarity with CI/CD pipelines.
* Knowledge of networking protocols such as BGP and VLANs.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1">
      <c r="A41" t="inlineStr">
        <is>
          <t>li-4363897350</t>
        </is>
      </c>
      <c r="B41" t="inlineStr">
        <is>
          <t>Software Engineer</t>
        </is>
      </c>
      <c r="C41" t="inlineStr">
        <is>
          <t>Cisco</t>
        </is>
      </c>
      <c r="D41" t="inlineStr">
        <is>
          <t>linkedin</t>
        </is>
      </c>
      <c r="E41" t="inlineStr"/>
      <c r="F41" t="inlineStr"/>
      <c r="G41" t="inlineStr">
        <is>
          <t>Durham, NC</t>
        </is>
      </c>
      <c r="H41" t="inlineStr"/>
      <c r="I41" t="inlineStr">
        <is>
          <t>The application window is expected to close on: 02/15/2026
**Job posting may be removed earlier if the position is filled or if a sufficient number of applications are received** 
 .
 The application is expected to close by 2/15/2026
**Meet The Team**
 You will join Cisco's IT Supply Chain team, dedicated to delivering exceptional services, tools, platforms, and data to power a world\-class Supply Chain. Our focus is on innovation, optimizing business processes, leveraging cloud services, and developing in\-house solutions. You'll collaborate with Product Owners, Architects, Tech Leads, Analysts, and global delivery teams, contributing to a dynamic, diverse, and inclusive environment focused on building and enhancing an end\-to\-end Orchestrator system.
**Your Impact**
 The Data \&amp; AI Engineer is responsible for building the data foundations and production\-grade AI solutions that power analytics, automation, and intelligent applications. The role combines modern data engineering, MLOps, and software engineering practices to deliver reliable, scalable AI capabilities. Join our diverse and inclusive Supply Chain team and be a part of one of the top Supply Chains in the world! You'll have the incredible opportunity to join us in Supply Chain IT and play a key role in designing and developing next\-generation capabilities. You will interface with the Supply Chain Business operations teams, design and develop data foundations, GenAI capabilities and deliver them.
**Responsibilities**
* Design, build, and maintain or support scalable data pipelines and batch/streaming workflows to power analytics and AI/ML use cases.
* Develop and operationalize machine learning and GenAI solutions, including feature pipelines, model training, evaluation, and deployment into production.
* Implement and manage data and AI infrastructure (e.g., data lakes/warehouses, feature stores, model registries, vector stores, orchestration) following best practices for reliability and security.
* Partner with Business Teams to translate business problems into data and AI solutions with clear success metrics.
* Ensure data quality, lineage, observability, and governance across AI workloads, including monitoring for data drift and model performance degradation.
* Automate CI/CD and MLOps workflows for data pipelines and models, including testing, versioning, and rollout/rollback strategies.
* Optimize data and model performance and cost across cloud platforms and storage/compute layers.
* Contribute to standards, documentation, and best practices for data and AI engineering across the organization.
* Stay current with emerging data and AI technologies (LLMs, vector databases, orchestration tools, etc.) and recommend practical adoption paths.
**Minimum Qualifications**
* Bachelor’s or Master’s degree in Computer Science, Engineering, Data Science, or related field, or equivalent with 8\+ years of practical experience.
* Strong experience with data engineering tools and concepts: SQL, data warehousing, ETL/ELT, batch and streaming data processing.
* Proficiency in Python (preferred) or similar languages for building data and ML/AI solutions.
* Hands\-on experience with cloud platforms (AWS, Azure, or GCP) and modern data platforms (e.g., Snowflake, BigQuery, Databricks, or similar).
* Experience building, deploying, and maintaining ML/AI solutions using frameworks such as TensorFlow, PyTorch, scikit\-learn, or cloud ML services.
**Preferred Qualifications**
* Familiarity with MLOps practices and tools (e.g., MLflow, Kubeflow, SageMaker, Vertex AI, CI/CD pipelines, containers).
* Experience with large language models (LLMs), prompt engineering, RAG pipelines, and vector databases.
* Background in statistics or ML (feature engineering, model evaluation, A/B testing).
* Experience implementing data governance, security, and privacy controls for analytical and AI workloads.
* Exposure to domain\-specific data (e.g., Supply Chain) and associated regulatory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2">
      <c r="A42" t="inlineStr">
        <is>
          <t>li-4289169382</t>
        </is>
      </c>
      <c r="B42" t="inlineStr">
        <is>
          <t>Software Engineer, Enterprise AI</t>
        </is>
      </c>
      <c r="C42" t="inlineStr">
        <is>
          <t>Scale AI</t>
        </is>
      </c>
      <c r="D42" t="inlineStr">
        <is>
          <t>linkedin</t>
        </is>
      </c>
      <c r="E42" t="inlineStr"/>
      <c r="F42" t="inlineStr"/>
      <c r="G42" t="inlineStr"/>
      <c r="H42" t="inlineStr"/>
      <c r="I42" t="inlineStr">
        <is>
          <t>Scale GP (Scale Generative AI Platform) is an enterprise\-grade Generative AI platform that provides APIs for knowledge retrieval, inference, evaluation, and more. We are looking for a strong engineer to join our team and help us build and scale our product in a fast\-paced environment. The ideal candidate will have a strong understanding of software engineering principles and practices, as well as experience with large\-scale distributed systems. You will be responsible for owning large new areas within our product, working across backend, frontend, and interacting with LLMs and ML models. You will solve hard engineering problems in scalability and reliability.
**You will:**
* Own large new areas within our product
* Work across backend, frontend, and interacting with LLMs and ML models
* Deliver experiments at a high velocity and level of quality to engage our customers
* Work across the entire product lifecycle from conceptualization through production
* Be able, and willing, to multi\-task and learn new technologies quickly
**Ideally you'd have:**
* 4\+ years of full\-time engineering experience, post\-graduation
* Experience scaling products at hyper growth startups
* Experience tinkering with or productizing LLMs, vector databases, and the other latest AI technologies
* Proficient in Python or Javascript/Typescript, and SQL
* Experience with Kubernetes
* Experience with major cloud providers (AWS, Azure, GCP)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43">
      <c r="A43" t="inlineStr">
        <is>
          <t>li-4360270035</t>
        </is>
      </c>
      <c r="B43" t="inlineStr">
        <is>
          <t>Robotics Software Engineer</t>
        </is>
      </c>
      <c r="C43" t="inlineStr">
        <is>
          <t>Gorbel</t>
        </is>
      </c>
      <c r="D43" t="inlineStr">
        <is>
          <t>linkedin</t>
        </is>
      </c>
      <c r="E43" t="inlineStr"/>
      <c r="F43" t="inlineStr"/>
      <c r="G43" t="inlineStr">
        <is>
          <t>Victor, NY</t>
        </is>
      </c>
      <c r="H43" t="inlineStr"/>
      <c r="I43" t="inlineStr">
        <is>
          <t>Gorbel’s mission is simple: We improve people’s lives.
 That mission guides everything we do, from the products and service we provide to our outside customers to the work environment we foster for our employees. We are a manufacturer of material handling and fall protection products for the production and warehouse/distribution sectors. We’re on the cutting edge of manufacturing and distribution; a thriving, growing company that is constantly seeking out new ways to innovate and elevate our products and our processes – and we’re looking for people like you to join us in that mission.
 We’re currently hiring for open positions in the US and Canada. We operate in Canada as Engineered Lifting Systems and Equipment (ELS)/DBA Gorbel® Canada, and subsequent communication related to Canadian positions may show the ELS name. You may be contacted by phone by recruitment personnel based in either Canada or New York.
**Work Shift**
**Job Description:**
**General Responsibilities**
 Apply embedded control system principles to develop intelligent robotic and automated material handling equipment. Contribute to the development of real\-time motion control algorithms, embedded firmware, and communication protocols for advanced automation systems. Integrate embedded systems with robotic actuators, sensors, and automation networks. Ensure product reliability and performance through testing and validation activities in industrial automation environments.
**Primary Duties \- Embedded Systems/Controls Specific**
* Design and implement control algorithms including feedback controllers and state machines for servo\-driven automation systems
* Develop embedded firmware for microcontrollers running safety\-critical motion control applications
* Create communication protocols using industry\-standard frameworks for distributed embedded systems
* Implement industrial communication protocols for servo drive control and data exchange
* Develop sensor processing and calibration systems for precision measurement applications
* Design safety\-critical firmware including fault detection and protection systems
**Primary Duties**
* Develop embedded firmware for microcontroller\-based motion controllers in industrial applications
* Work with distributed embedded systems and communication between multiple processors
* Implement control algorithms and positioning systems
* Create communication protocols for inter\-device messaging
* Design I/O systems and sensor interfaces
* Develop parameter management systems and configuration frameworks
* Implement safety\-critical systems including fault detection and emergency handling
* Utilize debugging tools and develop diagnostic systems
**Secondary Duties**
* Conduct hardware testing through test fixture development and validation activities
* Collaborate with engineering teams on system integration projects
* Develop calibration procedures and test software
* Provide troubleshooting support and field service activities
* Participate in safety analysis and documentation activities
* Create technical documentation and interface specifications
* Support customer applications and custom system configurations
* Program embedded C/C\+\+ for microcontrollers with real\-time requirements
* Object\-Oriented Programming expertise
* Implement sensor interfaces including analog and digital signal processing
* Design state machines for motion control applications
* Create modular firmware architectures supporting multiple product configurations
* Implement firmware update mechanisms and debugging tool development
* Develop testing frameworks and continuous integration processes
* Design power management and fault recovery systems for industrial applications
**Job Qualifications**
* Bachelor's Degree in Electrical Engineering, Computer Engineering, Computer Science, or Aerospace Engineering
* Intermediate knowledge of C/C\+\+ programming
* Intermediate knowledge of Python Programming
* Willingness to learn embedded systems and real\-time programming concepts
* Basic understanding of control theory or willingness to learn feedback control systems
* Strong problem\-solving aptitude and debugging mindset
* Project and task management skills
* Customer\-oriented focus
* Excellent communication skills and ability to work in team environments
**Preferred Requirements**
* Master’s Degree in Electrical Engineering, Computer Engineering, Computer Science, or Aerospace Engineering
* Background in control systems, robotics, or automation
* Experience with any microcontroller platforms or development environments
* Basic knowledge of communication protocols or networking concepts
* Familiarity with debugging tools and hardware analysis equipment
* Experience with sensor interfacing or signal processing
* Experience with version control systems and software development practices
**Work Environment**
 ADA Physical/Mental/Workplace Requirements
* Occasional lifting up to 25 lbs.
* Sitting, working at desk/personal computer for extended periods of time
* Primary work environment is professional corporate office
 Gorbel® is an Equal Opportunity Employer that does not discriminate on the basis of actual or perceived race, creed, color, religion, alienage or national origin, ancestry, citizenship status, age, disability or handicap, gender, gender identity, marital status, veteran status, sexual orientation, genetic information, arrest record, or any other characteristic protected by applicable federal, state or local laws. Gorbel® is also committed to providing reasonable accommodations to qualified individuals so that an individual can perform their job\-related duties. If you are interested in applying for an employment opportunity and require special assistance or an accommodation to apply due to a disability, please contact us at 585\-924\-6204\.
*The wage range for this role takes into account the wide range of factors that are considered in making compensation decisions including but not limited to skill sets; experience and training; licensure and certifications; and other business and organizational needs. At Gorbel, it is not typical for an individual to be hired at or near the top of the range for their role and compensation decisions are dependent on the facts and circumstances of each case.*
**A Reasonable Estimate Of The Current Range Is**
*Robotics Software Engineer: Min. $* 
*86,319 \- Max $129,471*
*Robotics Software Engineer II: Min. $* 
*94,945 \- Max $142,418*
*Robotics Software Engineer, Sr: Min. $* 
*104,440 \- Max $156,660*</t>
        </is>
      </c>
    </row>
    <row r="44">
      <c r="A44" t="inlineStr">
        <is>
          <t>li-4370322802</t>
        </is>
      </c>
      <c r="B44" t="inlineStr">
        <is>
          <t>Software Engineer, Platform - Clovis, USA</t>
        </is>
      </c>
      <c r="C44" t="inlineStr">
        <is>
          <t>Speechify</t>
        </is>
      </c>
      <c r="D44" t="inlineStr">
        <is>
          <t>linkedin</t>
        </is>
      </c>
      <c r="E44" t="inlineStr"/>
      <c r="F44" t="inlineStr"/>
      <c r="G44" t="inlineStr">
        <is>
          <t>Clovis, CA</t>
        </is>
      </c>
      <c r="H44" t="inlineStr"/>
      <c r="I44"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 
**u'** 
**ll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45">
      <c r="A45" t="inlineStr">
        <is>
          <t>li-4370069725</t>
        </is>
      </c>
      <c r="B45" t="inlineStr">
        <is>
          <t>AI/ML Software Developer- JCC2-JCO</t>
        </is>
      </c>
      <c r="C45" t="inlineStr">
        <is>
          <t>Semper Valens Solutions</t>
        </is>
      </c>
      <c r="D45" t="inlineStr">
        <is>
          <t>linkedin</t>
        </is>
      </c>
      <c r="E45" t="inlineStr"/>
      <c r="F45" t="inlineStr"/>
      <c r="G45" t="inlineStr">
        <is>
          <t>Lackland Air Force Base, TX</t>
        </is>
      </c>
      <c r="H45" t="inlineStr"/>
      <c r="I45" t="inlineStr">
        <is>
          <t>**AI/ML Software Developer**
**Full Time Remote**
**Top Secret/SCI Clearance**
**Job Description**
**Job Responsibilities:**
* Design, develop, train, evaluate, and integrate AI/ML models and algorithms for Government systems in accordance with approved requirements and architectures.
* Support data preparation, model lifecycle management, and performance monitoring activities, ensuring traceability, reproducibility, and documentation of AI/ML artifacts.
* Implement AI/ML solutions in compliance with DoD cybersecurity, RMF, data protection, and responsible AI policies, and support accreditation and security assessment activities.
* Collaborate with Government and contractor personnel to support DevSecOps processes, testing and evaluation, system integration, documentation, and required deliverables.
**Required Qualifications**
* 5 years of overall experience in the functional area. A bachelor's degree in related field required. A master's degree may substitute for 2 years of experience.
* 3 years of demonstrated experience designing, developing, training, and evaluating machine learning models using industry\-standard frameworks (e.g., TensorFlow, PyTorch, scikit\-learn).
* 3 years of experience with programming languages commonly used in AI/ML development, such as Python, and supporting languages (e.g., SQL, Java, C\+\+).
* 3 years demonstrated experience of machine learning concepts, including supervised and unsupervised learning, model evaluation techniques, and feature engineering.
* Demonstrated experience in preparing, conducting, and documenting various systems tests and results to verify system operability and compliance with project standards and requirements.
* 3 years of experience testing web\-based applications.
* 3 years of experience participating in software development programs or projects.
* Demonstrated experience with relational databases, RESTful API development and communication, and system integrations.
* 5 years of experience with Jenkins and GitLab.
* Experience structuring data so it can be integrated into machine learning technologies or AI capabilities
**Desired Qualifications**
* Experience using Agile Test\-Driven development.
* Experience integrating into DoW DevSecOps environments.
* 5 years of experience with CI/CD software development.
* Practical experience developing in a cloud environment.
* Experience with integrating data from unclassified to classified application deployments.
**About Semper Valens Solutions**
 Semper Valens Solutions, Inc. (SVS) is a Service\-Disabled Veteran Owned Small Business (SDVOSB) providing Cost Effective Software and Systems Engineering, Field Support, Training and Full Life cycle Support Management to the DOD and VA community.
 At Semper Valens, our vision is to remain a creative, cutting edge and cost\-effective solutions provider where our shared intellect, industry experience, and technology excellence, make a positive difference in our customer's success. Our solutions help bridge the gap between IT and business prioritizations to optimize budgets, risks and operational processes.
 We search for outstanding technical professionals, hiring at all levels of the experience spectrum; intermediate, journeyman and senior. Consider us for your career plan.
 Semper Valens Solutions is an Equal Opportunity Employer
 Semper Valens Solutions proactively fulfills its role as an equal opportunity employer. We do not discriminate against any employee or applicant for employment because of race, color, sex, religion, age, sexual orientation, gender identity and expression, national origin, marital/parental status, pregnancy/childbirth, or related conditions, physical or mental disability, genetic information, status as a Disabled Veteran, Recently Separated Veteran, Active\-Duty Wartime or Campaign Badge Veteran, Armed Forces Services Medal, or any other characteristic protected by law.
 If you require a reasonable accommodation to apply for a position with Semper Valens Solutions through its online applicant system, please contact Semper Valens Solutions Human Resources Department at (830\) 899\-6870\.
 Semper Valens Solutions is an affirmative action/equal opportunity employer \- minorities, females, disabled, and protected veterans are urged to apply. Applicants have rights under Federal Employment Laws.
 All Jobs at Semper Valens Solutions: https://sempervalens.com/careers</t>
        </is>
      </c>
    </row>
    <row r="46">
      <c r="A46" t="inlineStr">
        <is>
          <t>li-4311164535</t>
        </is>
      </c>
      <c r="B46" t="inlineStr">
        <is>
          <t>Software Engineer - Machine Learning Feature Store</t>
        </is>
      </c>
      <c r="C46" t="inlineStr">
        <is>
          <t>Snowflake</t>
        </is>
      </c>
      <c r="D46" t="inlineStr">
        <is>
          <t>linkedin</t>
        </is>
      </c>
      <c r="E46" t="inlineStr"/>
      <c r="F46" t="inlineStr"/>
      <c r="G46" t="inlineStr">
        <is>
          <t>Bellevue, WA</t>
        </is>
      </c>
      <c r="H46" t="inlineStr"/>
      <c r="I46"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Join our ML Feature Store team where we're building cutting\-edge product capabilities that power complex feature transformations and low latency feature serving. We're revolutionizing machine learning feature management and serving capabilities as part of the Snowflake ML suite of products. In the era of GenAI and agents, our team delivers high\-quality, fresh feature solutions that make a real difference for our customers.
**IN THIS ROLE AT SNOWFLAKE, YOU WILL:**
* Design and build new features for the Snowflake Feature Store in collaboration with senior engineers.
* Write, test, and deploy high\-quality, scalable code in Java and Python.
* Help incorporate new advances in machine learning into our platform.
* Contribute to the operational excellence of our services by improving reliability and performance.
* Collaborate with engineers on partner teams to build integrated and seamless ML solutions for customers.
**WE WOULD LOVE TO HEAR FROM YOU IF YOU HAVE:**
* 2\+ years of industry experience (or equivalent internship/project experience) designing and building data\-intensive systems or software.
* Strong programming skills in Python or Java.
* A solid understanding of computer science fundamentals (data structures, algorithms, operating systems).
* A passion for building scalable, high\-performance systems.
* A growth mindset and an eagerness to learn and solve complex problems.
* BS in Computer Science or a related degree; MS/PhD is a plus.
* Bonus Points: Experience with ML data management and/or streaming , low latency data serving infrastructure.
**WHY JOIN OUR TEAM AT SNOWFLAKE?**
 You'll be at the forefront of innovation in machine learning infrastructure, working with cutting\-edge technologies and solving complex challenges. Our team is driving the future of feature management and serving capabilities, making a direct impact on how organizations leverage machine learning. You'll have the opportunity to learn from talented engineers and contribute to products that are reshaping the industry.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47">
      <c r="A47" t="inlineStr">
        <is>
          <t>li-4261934146</t>
        </is>
      </c>
      <c r="B47" t="inlineStr">
        <is>
          <t>Software Engineer - Product (Technical Leadership)</t>
        </is>
      </c>
      <c r="C47" t="inlineStr">
        <is>
          <t>Meta</t>
        </is>
      </c>
      <c r="D47" t="inlineStr">
        <is>
          <t>linkedin</t>
        </is>
      </c>
      <c r="E47" t="inlineStr"/>
      <c r="F47" t="inlineStr"/>
      <c r="G47" t="inlineStr"/>
      <c r="H47" t="inlineStr"/>
      <c r="I47"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 Product (Technical Leadership)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Java, Swift, or Kotlin, and scripting languages such as Python, Javascript, or Hack
* 8\+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8">
      <c r="A48" t="inlineStr">
        <is>
          <t>li-4336177152</t>
        </is>
      </c>
      <c r="B48" t="inlineStr">
        <is>
          <t>Senior Software Engineer, Backend - HR Product</t>
        </is>
      </c>
      <c r="C48" t="inlineStr">
        <is>
          <t>Rippling</t>
        </is>
      </c>
      <c r="D48" t="inlineStr">
        <is>
          <t>linkedin</t>
        </is>
      </c>
      <c r="E48" t="inlineStr"/>
      <c r="F48" t="inlineStr"/>
      <c r="G48" t="inlineStr">
        <is>
          <t>San Francisco, CA</t>
        </is>
      </c>
      <c r="H48" t="inlineStr"/>
      <c r="I48"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Own the design and implementation of core backend services and APIs that power critical product capabilities and complex business logic.
* Ensure all systems are built for high\-volume scale, reliability, and security, making strategic decisions about infrastructure and data integrity.
* Work seamlessly with product, frontend, and platform teams to translate feature goals into robust, high\-performance technical solutions.
* Elevate the team's technical standards, lead code and design reviews, and mentor engineers on backend best practices.
**What You Will Need**
* 5\+ years of experience in a production environment using Python, Go, or a similar high\-scale backend language.
* Deep expertise in distributed systems architecture, data modeling, and performance optimization of relational databases.
* You have seen and contributed to systems operating at a significant technical and organizational scale.
* Strong understanding of CS/algorithms fundamentals and experience with complex project delivery.
* Exceptional communication skills with technical and cross\-functional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49">
      <c r="A49" t="inlineStr">
        <is>
          <t>li-3986111789</t>
        </is>
      </c>
      <c r="B49" t="inlineStr">
        <is>
          <t>Software Engineer</t>
        </is>
      </c>
      <c r="C49" t="inlineStr">
        <is>
          <t>Epic</t>
        </is>
      </c>
      <c r="D49" t="inlineStr">
        <is>
          <t>linkedin</t>
        </is>
      </c>
      <c r="E49" t="inlineStr"/>
      <c r="F49" t="inlineStr"/>
      <c r="G49" t="inlineStr">
        <is>
          <t>Fremont, CA</t>
        </is>
      </c>
      <c r="H49" t="inlineStr"/>
      <c r="I4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0">
      <c r="A50" t="inlineStr">
        <is>
          <t>li-4361018183</t>
        </is>
      </c>
      <c r="B50" t="inlineStr">
        <is>
          <t>Software Engineer in Test</t>
        </is>
      </c>
      <c r="C50" t="inlineStr">
        <is>
          <t>BeaconFire Inc.</t>
        </is>
      </c>
      <c r="D50" t="inlineStr">
        <is>
          <t>linkedin</t>
        </is>
      </c>
      <c r="E50" t="inlineStr"/>
      <c r="F50" t="inlineStr"/>
      <c r="G50" t="inlineStr"/>
      <c r="H50" t="inlineStr"/>
      <c r="I50"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51">
      <c r="A51" t="inlineStr">
        <is>
          <t>li-4289157425</t>
        </is>
      </c>
      <c r="B51" t="inlineStr">
        <is>
          <t>Senior Software Engineer</t>
        </is>
      </c>
      <c r="C51" t="inlineStr">
        <is>
          <t>General Motors</t>
        </is>
      </c>
      <c r="D51" t="inlineStr">
        <is>
          <t>linkedin</t>
        </is>
      </c>
      <c r="E51" t="inlineStr"/>
      <c r="F51" t="inlineStr"/>
      <c r="G51" t="inlineStr">
        <is>
          <t>Warren, MI</t>
        </is>
      </c>
      <c r="H51" t="inlineStr"/>
      <c r="I51" t="inlineStr">
        <is>
          <t>**Job Description**
 This role is categorized as hybrid. This means the successful candidate is expected to report to
 **Warren, MI** 
 three times per week, at minimum \[or other frequency dictated by the business if more than 3 days].
**The Role:**
 Join our Connected Camera team and help shape the future of GM’s connected vehicles. As a Senior Software Engineer, you will be responsible for design and development of Connected Camera applications for GM’s in\-vehicle Infotainment system. You will execute software tasks across the full software development lifecycle, including planning, requirements analysis, design, coding, testing, defect resolution, and production release. You will work in a highly collaborative, cross\-functional, and Agile environment, playing a pivotal role in delivering best\-in\-class, fully connected vehicle applications to our customers.
**What You'll Do:**
* Design and develop HMI applications for GM’s in\-vehicle Infotainment system.
* Write efficient, well\-structured, optimized, and thoroughly documented source code.
* Participate in architecture, requirements, design, code, and test case reviews.
* Take ownership of tasks and coordinate with multiple stakeholders to ensure successful end\-to\-end completion.
* Provide clear and complete documentation based on the definition of the software development process.
* Support cross\-functional teams in resolving issues related to software integration within vehicle systems.
* Promote and implement improvements in programming best practices and coding standards.
* Work closely with team members in an Agile/Scrum environment to deliver high\-quality software solutions.
* Utilize Agile development processes, including Sprint Planning, Daily Stand\-Ups, and Retrospectives.
* Adhere to GM’s software development processes, prioritizing quality and ensuring that designed solutions conform to architectural requirements.
**Your Skills \&amp; Abilities (Qualifications):**
* Bachelor’s degree in Computer Science, Electrical Engineering or equivalent experience.
* 5\+ years of experience in developing Android based Infotainment applications.
* Excellent programming and debugging skills in Kotlin, Java and/or C\+\+.
* Proven experience with object\-oriented design and implementation of design patterns.
* Experience with testable software architectures and frameworks, including JUnit, Espresso, TDD, MVVM, Clean Architecture.
* Experience with SCM and development tools such as: Git, Gerrit, GitHub, Parasoft, Jenkins, OpenGrok, JIRA.
* Working knowledge of Scrum/Agile software development processes.
* Strong analytical ability to solve unusual and complex problems.
* Work in an agile environment with team members distributed across multiple time zones.
* Creative, adaptable, with a strong sense of responsibility, delivery focus, and commitment to schedules.
* Perform software optimization analysis to improve system performance.
* Perform peer reviews on software design and source code to ensure quality and compliance with requirements.
* Excellent verbal and written communication skills.
**What Will Give You a Competitive Edge (Preferred Qualifications):**
* Prior experience in media player application development.
* Experience developing multi\-threaded applications on Android platforms.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2">
      <c r="A52" t="inlineStr">
        <is>
          <t>li-4290207916</t>
        </is>
      </c>
      <c r="B52" t="inlineStr">
        <is>
          <t>Senior Backend Engineer - Alarms</t>
        </is>
      </c>
      <c r="C52" t="inlineStr">
        <is>
          <t>Verkada</t>
        </is>
      </c>
      <c r="D52" t="inlineStr">
        <is>
          <t>linkedin</t>
        </is>
      </c>
      <c r="E52" t="inlineStr"/>
      <c r="F52" t="inlineStr"/>
      <c r="G52" t="inlineStr">
        <is>
          <t>San Mateo, CA</t>
        </is>
      </c>
      <c r="H52" t="inlineStr"/>
      <c r="I52"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Team**
 As a member of the Alarms engineering team, you will be responsible for building compelling user experiences for one of Verkada’s major new product categories. This is an opportunity to take ownership over software products which keep our customers protected in times of critical need.
 You’ll be working alongside a small, dynamic team of frontend, backend and firmware engineers to develop these experiences. Our team operates as a startup within a startup, so you can expect a lot of autonomy and impact on the direction of the Alarms product category.
 If you are an experienced, Backend Engineer who is excited about building new ways to keep people safe and secure, then we want to hear from you.
**About The Role**
 Verkada’s Alarms team builds the intelligent systems that detect, verify, and respond to real\-world security threats—whether it's a break\-in or suspicious activity caught on video. We combine intrusion sensors, cameras, and AI to create a fast, reliable, and modern security experience.
 As a Senior Backend Engineer, you’ll play a key role in designing and scaling our AI\-driven detection and response workflows. These systems power automated threat identification, customer notifications, video verification, and emergency dispatch—all in real time. You’ll be joining a small, high\-impact team working across Verkada’s hardware and cloud platforms to keep people and property safe.
**What You'll Do**
* Design and build low\-latency, high\-availability backend services that orchestrate alarm detection and response
* Create flexible and extensible AI\-powered workflows for intrusion and video monitoring use cases
* Build distributed systems that integrate internal products and third\-party services (e.g., notifications, transcription, dispatch)
* Collaborate closely with product managers, designers, frontend, and firmware engineers to shape end\-to\-end customer experiences
* Operate with autonomy and take ownership of systems from design through production
* Champion best practices in testing, observability, and continuous deployment
**What You Bring**
* 5\+ years of backend engineering experience in a production environment
* Strong programming skills—Go preferred
* Solid grasp of distributed system design, API architecture, and event\-driven workflows
* Experience with cloud infrastructure, preferably AWS
* Background working with databases (e.g. Postgres) and scalable data systems (e.g. Kafka, Redis)
* Track record of delivering robust, maintainable software in fast\-paced teams
* Must be willing and able to work onsite five days per week
**Bonus Points**
* Familiarity with Temporal or other workflow engines
* Interest in building AI\-integrated, real\-time systems
* Experience with Kubernetes, monitoring tools, and performance optimization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53">
      <c r="A53" t="inlineStr">
        <is>
          <t>li-4237944103</t>
        </is>
      </c>
      <c r="B53" t="inlineStr">
        <is>
          <t>Backend Software Engineer, City Storage Systems - San Francisco/Bay Area, CA</t>
        </is>
      </c>
      <c r="C53" t="inlineStr">
        <is>
          <t>City Storage Systems</t>
        </is>
      </c>
      <c r="D53" t="inlineStr">
        <is>
          <t>linkedin</t>
        </is>
      </c>
      <c r="E53" t="inlineStr"/>
      <c r="F53" t="inlineStr"/>
      <c r="G53" t="inlineStr"/>
      <c r="H53" t="inlineStr"/>
      <c r="I53" t="inlineStr">
        <is>
          <t>**Who We Are**
 At City Storage Systems, we're building Infrastructure for Better Food. We help restaurateurs around the world succeed in online food delivery. Our goal is to make food more affordable, higher quality and convenient for everyone.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**$176,000 \- $242,000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54">
      <c r="A54" t="inlineStr">
        <is>
          <t>li-4318539942</t>
        </is>
      </c>
      <c r="B54" t="inlineStr">
        <is>
          <t>Software Engineer, iOS</t>
        </is>
      </c>
      <c r="C54" t="inlineStr">
        <is>
          <t>Freed</t>
        </is>
      </c>
      <c r="D54" t="inlineStr">
        <is>
          <t>linkedin</t>
        </is>
      </c>
      <c r="E54" t="inlineStr"/>
      <c r="F54" t="inlineStr"/>
      <c r="G54" t="inlineStr">
        <is>
          <t>San Francisco, CA</t>
        </is>
      </c>
      <c r="H54" t="inlineStr"/>
      <c r="I54" t="inlineStr">
        <is>
          <t>**ABOUT FREED:**
 Doctors are overworked, burnt out, and are quitting in masses.
 At Freed, we combine clinician love with the latest AI tech and intense execution to create products that make clinicians happier.
 Our first product is an AI scribe that automates medical documentation.
 Since May of 2023, we have:
* Acquired 26,000 paying and loving clinicians
* Generated 100,000 patient notes daily and over 3 million monthly
* Made thousands of clinicians happier
 With the backing of Sequoia Capital and other world\-class VC’s, we are rapidly expanding our product offering. Patient\-facing assistants, patient insights, EHR integrations, and other products are being built and used by thousands of clinicians every day.
 We are looking for entrepreneurs. Fast, ambitious, and smart individuals who want to take care of the people who care for our health. Expect intense, clinician\-focused, and interesting co\-workers who want to win.
 With an office in San Francisco, we embrace a hybrid schedule that brings out the best in teamwork and innovation. Our teams come together in person
 **three days a week** 
 to collaborate, connect, and have a little fun along the way.
**About the Role:**
 We're on the hunt for talented, high\-caliber individuals to join our elite team of engineers. As part of our team, you'll play a pivotal role in restoring joy to medicine while pushing the boundaries of what's possible with AI technology. Our engineering culture emphasizes speed, end\-to\-end ownership, responsibility, and independence, attracting top\-tier talent and promoting exceptional performance.
**How You’ll Have Impact:**
* Work with product managers and designers to define the scope of mobile\-first functionality for clinicians.
* Work with other product teams to bring features to our native mobile app and provide a consumer\-quality experience.
**What You’ll Bring:**
* 2\+ years of experience with Swift \&amp; SwiftUI.
* 5\+ years of product engineering experience.
* A history of consistent top performance and a desire for a mission\-driven work culture.
**Nice to Haves:**
* Experience using TypeScript, NodeJS and React.
* Experience with mobile CI practices and observability infrastructure.
**What We’ll Bring:**
* Competitive salary and equity in a high\-growth company
* Opportunity to make an immediate impact
* Medical, dental, and vision coverage
* Unlimited paid time off
* Company\-sponsored annual retreats
* 401(k) plan to support your long\-term financial goals
* Commuter stipend for our San Francisco based employees
 Compensation Range: $160K \- $280K</t>
        </is>
      </c>
    </row>
    <row r="55">
      <c r="A55" t="inlineStr">
        <is>
          <t>li-4342285340</t>
        </is>
      </c>
      <c r="B55" t="inlineStr">
        <is>
          <t>Senior Software Engineer</t>
        </is>
      </c>
      <c r="C55" t="inlineStr">
        <is>
          <t>Mercury Insurance</t>
        </is>
      </c>
      <c r="D55" t="inlineStr">
        <is>
          <t>linkedin</t>
        </is>
      </c>
      <c r="E55" t="inlineStr"/>
      <c r="F55" t="inlineStr"/>
      <c r="G55" t="inlineStr"/>
      <c r="H55" t="inlineStr"/>
      <c r="I55" t="inlineStr">
        <is>
          <t>Join an amazing team that is consistently recognized for our achievements and culture, including our most recent Forbes award of being one of America's Best Midsize Employers for 2025!
****Position Summary:****
 As a Senior Software Engineer, you will play a crucial role in designing, developing, and maintaining complex software systems. This position involves leading agile teams or projects, mentoring junior engineers, and ensuring the delivery of high\-quality software solutions.
**Geo\-Salary Information**
**An in\-person interview may be required during the hiring process**
 State specific pay scales for this role are as follows:
 $92,154 to $174,681 (CA, NJ, NY, WA, HI, AK, MD, CT, RI, MA)
 $83,776 to $158,801 (NV, OR, AZ, CO, WY, TX, ND, MN, MO, IL, WI, FL, GA, MI, OH, VA, PA, DE, VT, NH, ME)
 $75,399 to $142,921 (UT, ID, MT, NM, SD, NE, KS, OK, IA, AR, LA, MS, AL, TN, KY, IN, SC, NC, WV)
 The expected base salary for this position will vary depending on a number of factors, including relevant experience, skills and location.
****Responsibilities****
**Essential Job Functions:**
* Write high\-quality code for complex scenarios with good test coverage.
* Review and translate product requirements into robust designs to ensure high\-quality distributed application systems that are modular, configurable, reusable, fast, effective, user\-friendly, secure, compliant, scalable, and maintainable.
* Lead design and code reviews of multiple applications to ensure best practices, adherence to Mercury standards, and high quality.
* Lead the sprint team to deliver new or improved features, addressing any impediments to delivering high\-quality solutions in the sprint backlog.
* Collaborate with other teams and stakeholders to ensure successful delivery of intended functionality.
* Mentor and provide technical guidance to other engineers on the team, fostering a culture of innovation and excellence within Mercury engineering.
****Qualifications****
**Education:**
**Minimum:**
* Bachelor’s Degree in Computer Science, Information Systems or other related fields OR equivalent combination of education and experience
**Preferred:**
* Master’s Degree in Computer Science.
****Experience:****
 Minimum:
* 5\+ years software programming experience with 2\+ years experience in Technologies used at Mercury, more than one years experience leading and mentoring engineering teams
**Preferred:**
* 5 or more years of backend development experience with Java and Python
* 4 or more years of experience utilizing AWS technologies such as Lambda, CloudWatch, S3, etc.
* 3 or more years of experience with Database technologies such as Casandra, DynamoDB, MongoDB
* 1 or more years of experience with generative AI or Machine Learning
* 1 or more years of experience with front end technologies like React.
****Skills:****
* Proficient in programming in one or more industry\-standard languages (e.g., Java, Python, Go, C\+\+, JavaScript).
* Experienced in leveraging various data structures, algorithms, and design patterns. Skilled in relational databases, NoSQL, and caching solutions.
* Experienced in APIs using modern protocols like REST and gRPC. Proficient in message queuing, data streaming, workflow, and integration frameworks (such as Apache Kafka, Apache NiFi, Amazon SQS, MS MQ, Apache Camel, etc.).
* Knowledgeable in microservices architecture.
* Experienced in containerization technologies like Docker and Kubernetes.
* Proficient in leveraging DevSecOps to improve engineering efficiency.
* Experienced in designing and implementing high\-quality distributed application systems that are modular, configurable, maximize reuse, and are fast, effective, user\-friendly, secure, compliant, scalable, and maintainable. Skilled in leveraging analytics data and experimentation to design and improve systems for speed, scalability, and effectiveness. Strong problem\-solving skills.
* Excellent communication abilities. Strong ability to collaborate and influence cross\-functional teams and stakeholders to address impediments and deliver desired results. Demonstrated leadership skills through mentoring and providing technical guidance to team members.
* Experienced in driving technical strategy and vision for a team.
* Preferred: Experience in cloud platforms such as AWS, Google Cloud, or Azure.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$92,153\.73 \- USD $174,681\.00 /Yr.</t>
        </is>
      </c>
    </row>
    <row r="56">
      <c r="A56" t="inlineStr">
        <is>
          <t>li-3986113610</t>
        </is>
      </c>
      <c r="B56" t="inlineStr">
        <is>
          <t>Software Engineer</t>
        </is>
      </c>
      <c r="C56" t="inlineStr">
        <is>
          <t>Epic</t>
        </is>
      </c>
      <c r="D56" t="inlineStr">
        <is>
          <t>linkedin</t>
        </is>
      </c>
      <c r="E56" t="inlineStr"/>
      <c r="F56" t="inlineStr"/>
      <c r="G56" t="inlineStr">
        <is>
          <t>Santa Ana, CA</t>
        </is>
      </c>
      <c r="H56" t="inlineStr"/>
      <c r="I5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57">
      <c r="A57" t="inlineStr">
        <is>
          <t>li-4336177154</t>
        </is>
      </c>
      <c r="B57" t="inlineStr">
        <is>
          <t>Senior Software Engineer, Backend Full Stack - HR Product</t>
        </is>
      </c>
      <c r="C57" t="inlineStr">
        <is>
          <t>Rippling</t>
        </is>
      </c>
      <c r="D57" t="inlineStr">
        <is>
          <t>linkedin</t>
        </is>
      </c>
      <c r="E57" t="inlineStr"/>
      <c r="F57" t="inlineStr"/>
      <c r="G57" t="inlineStr">
        <is>
          <t>New York, NY</t>
        </is>
      </c>
      <c r="H57" t="inlineStr"/>
      <c r="I57"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Develop and improve both product backend capabilities and user\-facing features, working across the stack to make them shine
* Collaborate closely with PMs and designers to translate complex product requirements and visual designs into responsive, high\-quality code.
* Move quickly and confidently, making smart decisions to fill in the gaps where product details aren’t fully defined—always learning from user feedback.
* Play an active role in building a culture of excellence within our product and engineering teams.
**What You Will Need**
* 5\+ years of experience in a production environment using Python, Django, or related technologies.
* Familiarity in frontend development with React or typescript.
* Exposure and hands on experience with systems operating at a significant technical and organizational scale
* Strong product intuition: you care about design and user experience and are quick to identify how these could be improved.
* Experience shipping complex projects
* Deep understanding of CS/algorithms fundamentals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58">
      <c r="A58" t="inlineStr">
        <is>
          <t>li-4370348114</t>
        </is>
      </c>
      <c r="B58" t="inlineStr">
        <is>
          <t>Senior Full Stack Engineer ( Python and Node. js/ TypeScript)</t>
        </is>
      </c>
      <c r="C58" t="inlineStr">
        <is>
          <t>Grid Dynamics</t>
        </is>
      </c>
      <c r="D58" t="inlineStr">
        <is>
          <t>linkedin</t>
        </is>
      </c>
      <c r="E58" t="inlineStr"/>
      <c r="F58" t="inlineStr"/>
      <c r="G58" t="inlineStr">
        <is>
          <t>Sunnyvale, CA</t>
        </is>
      </c>
      <c r="H58" t="inlineStr"/>
      <c r="I58"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59">
      <c r="A59" t="inlineStr">
        <is>
          <t>li-3986116418</t>
        </is>
      </c>
      <c r="B59" t="inlineStr">
        <is>
          <t>Software Engineer</t>
        </is>
      </c>
      <c r="C59" t="inlineStr">
        <is>
          <t>Epic</t>
        </is>
      </c>
      <c r="D59" t="inlineStr">
        <is>
          <t>linkedin</t>
        </is>
      </c>
      <c r="E59" t="inlineStr"/>
      <c r="F59" t="inlineStr"/>
      <c r="G59" t="inlineStr">
        <is>
          <t>Charlotte, NC</t>
        </is>
      </c>
      <c r="H59" t="inlineStr"/>
      <c r="I5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0">
      <c r="A60" t="inlineStr">
        <is>
          <t>li-4353185360</t>
        </is>
      </c>
      <c r="B60" t="inlineStr">
        <is>
          <t>Software Engineer–Developer (Development)</t>
        </is>
      </c>
      <c r="C60" t="inlineStr">
        <is>
          <t>Boeing</t>
        </is>
      </c>
      <c r="D60" t="inlineStr">
        <is>
          <t>linkedin</t>
        </is>
      </c>
      <c r="E60" t="inlineStr"/>
      <c r="F60" t="inlineStr"/>
      <c r="G60" t="inlineStr">
        <is>
          <t>Berkeley, MO</t>
        </is>
      </c>
      <c r="H60" t="inlineStr"/>
      <c r="I60"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**Software Engineers–Developers** 
 (Associate, Experienced or Senior) to support our
 **Air Proprietary 2 (AP2\) Mission Systems** 
 team located in
 **Berkeley, Missouri.** 
 This position will focus on supporting the Boeing Defense, Space \&amp; Security (BDS) business organization.
 The Boeing Air Dominance (AP2\) team is dedicated to developing Mission Systems innovative solutions that enhance the quality, safety, and efficiency of our product’s capabilities. As a member of this dynamic and collaborative environment, your initiative and contributions will be vital to our success. The ideal candidate will be able to work independently and as part of a cross\-functional team, collaborating effectively with various disciplines throughout the Software Development Lifecycle.
 In this role, you will be responsible for supporting the development and enhancement of software solutions within the Air Proprietary 2 team leveraging C\+\+, C, and/or scripting languages. Your primary responsibility will be to engage in all aspects of software development (requirements gathering, design, coding, and testing), and our agile development approach will allow you to quickly become an impactful contributor and make a significant difference to our success. This position will involve collaborating with cross\-functional teams to ensure the effective integration of testing tools within the program. You will be tasked with designing, developing, and documenting Mission Systems software that meet the program's requirements while adhering to best practices in software engineering.
 Our teams are currently hiring for a broad range of experience levels including;
 **Associate, Experienced and Senior Software Engineers.**
**Position Responsibilities:**
* Create and maintain software systems that meet quality, safety, and security standards required by the industry and customers.
* Check and review code to make sure it meets the necessary requirements and standards.
* Develop testing procedures and verify the results to confirm that the software meets its requirements.
* Monitor feature\- and story\-level test progress, verify results, and resolve any issues that arise in the supported software subsystems.
* Work under general guidance and supervision.
* Analyze and implement software processes and tools, and document best practices for future use and improvement.
* Collaborate with different engineering teams and support functions like Supply Chain and Cyber Security to ensure effective collaboration across the organization.
**Basic Qualifications (Required Skills/ Experience):**
* 2\+ years of Professional experience with C, C\+\+, C\#, Python, Java, or Ada
* 2\+ years of experience with requirements, design, development, and test of software systems products
**Preferred Qualifications (Desired Skills/Experience):**
* Active Secret Clearance
* Experience with instituting and maintaining DevSecOps practices and processes
* Experience with Python and experience with ML frameworks (e.g., TensorFlow, PyTorch)
* Experience developing embedded real\-time software
* Experience developing models and simulation
* Experience working with Real\-time Operating Systems (RTOS)
* Experience with object\-oriented analysis and design (OOAD) methodologies
* Experience with Agile software development
* Experience with DevSecOps and/or complex software build plans
* Experience with application DevOps tools, such as GitLab (CI/CD), Git Bash, Gradle, Maven, Jenkins, and Artifactory.
* Experience with Continuous Integration / Continuous Deployment practices.
* Experience with end\-to\-end ML workflows (data pipelines, training, evaluation, and deployment/MLOps).
* Experience with open architecture constructs like Open Mission Systems (OMS), Open Communication Standard (OCS); utilizing the Universal Command and Control Interface (UCI)
* Experience developing and documenting software architecture using Cameo, or similar Model Based Systems Engineering tools
* Experience with configuration management and collaboration tools such as (or similar to) Git, JIRA, Collaborator, Beyond Compare and VersionOne
* Ability to work effectively in a team environment and communicate with stakeholders of different backgrounds and skill levels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(Level 2\): $96,050\-$129,950
 Summary pay range for Experienced Level (Level 3\): $119,000\-$161,000
 Summary pay range for Senior Level (Level 4\): $146,200\-$197,800
 Applications for this position will be accepted until
 **Feb. 11,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This position requires ability to obtain program access, for which the U.S. Government requires U.S. Citizenship only.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61">
      <c r="A61" t="inlineStr">
        <is>
          <t>li-3986116458</t>
        </is>
      </c>
      <c r="B61" t="inlineStr">
        <is>
          <t>Software Engineer</t>
        </is>
      </c>
      <c r="C61" t="inlineStr">
        <is>
          <t>Epic</t>
        </is>
      </c>
      <c r="D61" t="inlineStr">
        <is>
          <t>linkedin</t>
        </is>
      </c>
      <c r="E61" t="inlineStr"/>
      <c r="F61" t="inlineStr"/>
      <c r="G61" t="inlineStr">
        <is>
          <t>Chula Vista, CA</t>
        </is>
      </c>
      <c r="H61" t="inlineStr"/>
      <c r="I6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2">
      <c r="A62" t="inlineStr">
        <is>
          <t>li-4342125746</t>
        </is>
      </c>
      <c r="B62" t="inlineStr">
        <is>
          <t>Senior Software Engineer</t>
        </is>
      </c>
      <c r="C62" t="inlineStr">
        <is>
          <t>Mercury Insurance</t>
        </is>
      </c>
      <c r="D62" t="inlineStr">
        <is>
          <t>linkedin</t>
        </is>
      </c>
      <c r="E62" t="inlineStr"/>
      <c r="F62" t="inlineStr"/>
      <c r="G62" t="inlineStr"/>
      <c r="H62" t="inlineStr"/>
      <c r="I62" t="inlineStr">
        <is>
          <t>Join an amazing team that is consistently recognized for our achievements and culture, including our most recent Forbes award of being one of America's Best Midsize Employers for 2025!
****Position Summary:****
 As a Senior Software Engineer, you will play a crucial role in designing, developing, and maintaining complex software systems. This position involves leading agile teams or projects, mentoring junior engineers, and ensuring the delivery of high\-quality software solutions.
**Geo\-Salary Information**
**An in\-person interview may be required during the hiring process**
 State specific pay scales for this role are as follows:
 $92,154 to $174,681 (CA, NJ, NY, WA, HI, AK, MD, CT, RI, MA)
 $83,776 to $158,801 (NV, OR, AZ, CO, WY, TX, ND, MN, MO, IL, WI, FL, GA, MI, OH, VA, PA, DE, VT, NH, ME)
 $75,399 to $142,921 (UT, ID, MT, NM, SD, NE, KS, OK, IA, AR, LA, MS, AL, TN, KY, IN, SC, NC, WV)
 The expected base salary for this position will vary depending on a number of factors, including relevant experience, skills and location.
****Responsibilities****
**Essential Job Functions:**
* Write high\-quality code for complex scenarios with good test coverage.
* Review and translate product requirements into robust designs to ensure high\-quality distributed application systems that are modular, configurable, reusable, fast, effective, user\-friendly, secure, compliant, scalable, and maintainable.
* Lead design and code reviews of multiple applications to ensure best practices, adherence to Mercury standards, and high quality.
* Lead the sprint team to deliver new or improved features, addressing any impediments to delivering high\-quality solutions in the sprint backlog.
* Collaborate with other teams and stakeholders to ensure successful delivery of intended functionality.
* Mentor and provide technical guidance to other engineers on the team, fostering a culture of innovation and excellence within Mercury engineering.
****Qualifications****
**Education:**
**Minimum:**
* Bachelor’s Degree in Computer Science, Information Systems or other related fields OR equivalent combination of education and experience
**Preferred:**
* Master’s Degree in Computer Science.
****Experience:****
 Minimum:
* 5\+ years software programming experience with 2\+ years experience in Technologies used at Mercury, more than one years experience leading and mentoring engineering teams
**Preferred:**
* 5 or more years of experience with Salesforce integrations and APIs
* 3 or more years of experience with Java or Python
****Skills:****
* Proficient in programming in one or more industry\-standard languages (e.g., Java, Python, Go, C\+\+, JavaScript).
* Experienced in leveraging various data structures, algorithms, and design patterns. Skilled in relational databases, NoSQL, and caching solutions.
* Experienced in APIs using modern protocols like REST and gRPC. Proficient in message queuing, data streaming, workflow, and integration frameworks (such as Apache Kafka, Apache NiFi, Amazon SQS, MS MQ, Apache Camel, etc.).
* Knowledgeable in microservices architecture.
* Experienced in containerization technologies like Docker and Kubernetes.
* Proficient in leveraging DevSecOps to improve engineering efficiency.
* Experienced in designing and implementing high\-quality distributed application systems that are modular, configurable, maximize reuse, and are fast, effective, user\-friendly, secure, compliant, scalable, and maintainable. Skilled in leveraging analytics data and experimentation to design and improve systems for speed, scalability, and effectiveness. Strong problem\-solving skills.
* Excellent communication abilities. Strong ability to collaborate and influence cross\-functional teams and stakeholders to address impediments and deliver desired results. Demonstrated leadership skills through mentoring and providing technical guidance to team members.
* Experienced in driving technical strategy and vision for a team.
* Preferred: Experience in cloud platforms such as AWS, Google Cloud, or Azure.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$92,153\.73 \- USD $174,681\.00 /Yr.</t>
        </is>
      </c>
    </row>
    <row r="63">
      <c r="A63" t="inlineStr">
        <is>
          <t>li-4370335230</t>
        </is>
      </c>
      <c r="B63" t="inlineStr">
        <is>
          <t>Senior Software Engineer, Windows/Desktop Applications - Miami, USA</t>
        </is>
      </c>
      <c r="C63" t="inlineStr">
        <is>
          <t>Speechify</t>
        </is>
      </c>
      <c r="D63" t="inlineStr">
        <is>
          <t>linkedin</t>
        </is>
      </c>
      <c r="E63" t="inlineStr"/>
      <c r="F63" t="inlineStr"/>
      <c r="G63" t="inlineStr">
        <is>
          <t>Miami, FL</t>
        </is>
      </c>
      <c r="H63" t="inlineStr"/>
      <c r="I63" t="inlineStr">
        <is>
          <t>**Mission**
 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Apple named Speechify its 2025 Design Award winner for Inclusivity.
 Today, nearly 200 people around the globe work on Speechify in a 100% distributed setting – Speechify has no office. These include frontend and backend engineers, AI research scientists, and others from Amazon, Microsoft, and Google, leading PhD programs like Stanford, high growth startups like Stripe, Vercel, Bolt, and many founders of their own companies
**What You'll Do**
* Lead the design, architecture, and development of native Windows desktop applications using Windows App SDK, WinUI (or related UI frameworks), C\#, XAML, and — when needed — C\+\+.
* Define and enforce best\-practices for Windows desktop development across the codebase: code architecture, performance, memory usage, responsive UI, cross\-version compatibility (Windows 10/11\+), and maintainability.
* Drive accessibility efforts: integrate and validate support for accessibility APIs (e.g. Microsoft UI Automation or other relevant Windows accessibility frameworks), ensure UI controls, focus management, keyboard navigation, screen\-reader support, and usability for users with disabilities.
* Collaborate closely with product designers, UX researchers, QA, and other stakeholders to shape feature planning, UI/UX architecture, and long\-term roadmap for the Windows platform.
* Take ownership of full lifecycle of features: conception → design → implementation → testing → release → maintenance. Ensure quality, reliability, and consistency across releases.
* Identify, diagnose, and resolve complex bugs, performance bottlenecks, memory leaks, rendering issues, or compatibility problems — and propose robust architectural or design solutions.
**An ideal candidate should have**
**Required:**
* 3\+ in Windows desktop application development using Windows App SDK, WinUI (or similar), C\#, XAML — and ideally additional experience with native Windows code (C\+\+, Win32/WinRT/COM).
* Deep understanding of Windows application architecture, including interop between managed code (.NET) and native code.
* Proven track record of designing, building, and shipping production\-quality desktop applications, with an emphasis on reliability, performance, scalability, and maintainability.
* Strong experience with accessibility APIs on Windows (e.g. Microsoft UI Automation or similar), and a dedication to building accessible and inclusive software.
* Excellent software engineering fundamentals: OOP, design patterns, data structures, algorithms, memory management, multi\-threading or asynchronous programming (where relevant).
* Experience leading technical design, mentoring other engineers, conducting code reviews, and making architecture\-level decisions.
* Strong communication skills; ability to articulate tradeoffs, collaborate with cross\-functional teams, and drive consensus.
* A user\-centric mindset: focus on building polished, intuitive, and accessible experiences for end users.
**Preferred / Bonus:**
* Experience with writing automated tests for UI — unit tests, integration tests, UI automation tests; familiarity with relevant testing frameworks.
* Experience with performance optimization for desktop apps (memory usage, startup time, rendering performance, high\-DPI support, responsiveness under load).
* Experience with localization/globalization, right\-to\-left UI support, internationalization, accessibility for multiple regions.
* Familiarity with telemetry, analytics, crash reporting, logging, and error monitoring in desktop applications.
* Previous experience in shaping CI/CD workflows, release pipelines, and deployment strategies for desktop applications.
* Demonstrated ability to take ownership of feature areas or modules and drive them long\-term, including maintenance, refactoring, and technical debt management.
**What we offer**
* A high\-impact role: you will define architecture, shape the future of our Windows product, and directly influence what millions of users see and experience.
* A collaborative, flat\-structure engineering culture — you are not just a coder, but a builder and a decision\-maker.
* Opportunities to lead — mentor others, steer technical direction, and grow into broader technical leadership (e.g. Tech Lead, Architect).
* Flexibility, autonomy, and responsibility: you define how to solve problems, own features end\-to\-end, and contribute to long\-term product vision.
* A purpose\-driven mission: building software that's reliable, accessible, and user\-centered — making a real difference for people.
**The United States Based** 
 Salary range for this role is: 140,000\-200,000 USD/Year \+ Bonus \+ Stock depending on experience
**Think you're a good fit for this job?**
 Tell us more about yourself and why you're interested in the role when you apply.
 And don't forget to include links to your portfolio and LinkedIn.
**Not looking but know someone who would make a great fit?**
 Refer them!
**Speechify is committed to a diverse and inclusive workplace.**
 Speechify does not discriminate on the basis of race, national origin, gender, gender identity, sexual orientation, protected veteran status, disability, age, or other legally protected status.</t>
        </is>
      </c>
    </row>
    <row r="64">
      <c r="A64" t="inlineStr">
        <is>
          <t>li-4245610273</t>
        </is>
      </c>
      <c r="B64" t="inlineStr">
        <is>
          <t>Senior Backend Software Engineer, GRC</t>
        </is>
      </c>
      <c r="C64" t="inlineStr">
        <is>
          <t>Vanta</t>
        </is>
      </c>
      <c r="D64" t="inlineStr">
        <is>
          <t>linkedin</t>
        </is>
      </c>
      <c r="E64" t="inlineStr"/>
      <c r="F64" t="inlineStr"/>
      <c r="G64" t="inlineStr"/>
      <c r="H64" t="inlineStr"/>
      <c r="I64"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Our Senior Software Engineers lead and mentor engineers, delivering high\-value products for our customers and infrastructure that enables our business to scale. As a Senior Software Engineer at Vanta, you’ll be responsible for setting technical direction to provide a strong foundation for our infrastructure to scale with our business. You will also drive complex projects across our technical stack and mentor our talented engineering team. Your past experience will be leveraged to enable and accelerate Vanta’s growth.
 The GRC Policies team sits at the heart of Vanta’s product, powering the creation, management, and tracking of compliance policies throughout their lifecycle. This team is at the forefront of innovation, incorporating AI to enhance policy workflows and elevate our customers’ overall compliance programs.
 This is a unique opportunity to blend impactful software engineering with cutting\-edge applied AI.
**What you’ll do as a Senior Backend Software Engineer at Vanta:**
* Design APIs from first principles, ensuring they are intuitive and usable by both code and AI agents.
* Make thoughtful trade\-offs that balance business objectives, user experience, and long\-term technical sustainability.
* Mentor and guide fellow engineers, promoting best practices across the team.
* Lead initiatives that strengthen operational excellence and raise the bar on engineering quality across the organization.
**How to be successful in this role:**
* Have at least 8 years of industry experience with backend development.
* Proven ability to design clean, effective internal APIs and services.
* Hands\-on experience with TypeScript, GraphQL, and MongoDB.
* Demonstrated leadership of significant technical projects from inception through delivery.
* A pragmatic approach to problem solving, with the ability to assess when to build versus buy, identify true customer needs, and execute with iteration in mind.
* A product\-minded engineer who empathizes with users and is driven to solve their problems.
* Experience in building both early\-stage (0 to 1\) and scaling (1 to 10\) systems with strong execution skills.
* Previous experience applying AI in products, or a strong interest in exploring this space.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65">
      <c r="A65" t="inlineStr">
        <is>
          <t>li-4365367109</t>
        </is>
      </c>
      <c r="B65" t="inlineStr">
        <is>
          <t>Sr. Software Engineer I, AVP</t>
        </is>
      </c>
      <c r="C65" t="inlineStr">
        <is>
          <t>State Street</t>
        </is>
      </c>
      <c r="D65" t="inlineStr">
        <is>
          <t>linkedin</t>
        </is>
      </c>
      <c r="E65" t="inlineStr"/>
      <c r="F65" t="inlineStr"/>
      <c r="G65" t="inlineStr">
        <is>
          <t>Burlington, MA</t>
        </is>
      </c>
      <c r="H65" t="inlineStr"/>
      <c r="I65"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**Responsibilities**
* Work under minimal supervision to analyze, design, develop, test, and debug small to medium software enhancements and solutions within Charles River’s business and technical problem domains including modifications to core frameworks and other primary facilities critical to system operation.
* Collaborate with Business Analysts and Product Managers to turn business requirements of moderate complexity into working and sustainable software
* Contribute as a Sr. Individual Contributor within a team of top engineers using Agile methodology.
* Participate in the design of product architecture within the team’s scope of responsibility pertaining to new development.
* Direct problem solving for projects or major phases of projects to resolve software technical issues.
* Develop, test, debug, and implement software programs, applications and projects using Java, JavaScript (React), SQL or other related software engineering languages as well as keeping abreast of emerging technologies impactful to CRDs business.
* Identify ways of improving development test methodologies contribute to and related test methodology frameworks.
* Provide thoughtful insight and suggestions in code reviews
* Write unit and automation tests to ensure a high\-quality product
* Conduct manual tests (if necessary) to ensure a high\-quality product
* Provide troubleshooting on large, mission\-critical client implementations.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Very good written and verbal communication skills
**Qualifications**
**Education:**
 B.S. degree (or foreign education equivalent) in Computer Science, Engineering, Mathematics, and Physics or other technical course of study required. MS degree strongly preferred.
**Experience**
* 4\-8 years of experience in development \- preferably in FinTech (financial markets).
* Experience with developing applications/microservices using Java \&amp; Spring Boot
* Experience in front\-end web development, ideally using React
* Experience in the development of cloud\-native services (Azure experience a bonus)
* Knowledge of SQL and experience with RBDMS.
* Able to contribute to design specs with some assistance from senior staff
* Experience with Kafka \&amp; Snowflake will be a strong asset.
* A minimum of 3 years working with an Agile development methodology strongly desired
**Salary Range**
 $90,000 \- $142,500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R\-779729</t>
        </is>
      </c>
    </row>
    <row r="66">
      <c r="A66" t="inlineStr">
        <is>
          <t>li-3986114485</t>
        </is>
      </c>
      <c r="B66" t="inlineStr">
        <is>
          <t>Software Engineer</t>
        </is>
      </c>
      <c r="C66" t="inlineStr">
        <is>
          <t>Epic</t>
        </is>
      </c>
      <c r="D66" t="inlineStr">
        <is>
          <t>linkedin</t>
        </is>
      </c>
      <c r="E66" t="inlineStr"/>
      <c r="F66" t="inlineStr"/>
      <c r="G66" t="inlineStr">
        <is>
          <t>Murfreesboro, TN</t>
        </is>
      </c>
      <c r="H66" t="inlineStr"/>
      <c r="I6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67">
      <c r="A67" t="inlineStr">
        <is>
          <t>li-4348485779</t>
        </is>
      </c>
      <c r="B67" t="inlineStr">
        <is>
          <t>Software Developer 4</t>
        </is>
      </c>
      <c r="C67" t="inlineStr">
        <is>
          <t>Oracle</t>
        </is>
      </c>
      <c r="D67" t="inlineStr">
        <is>
          <t>linkedin</t>
        </is>
      </c>
      <c r="E67" t="inlineStr"/>
      <c r="F67" t="inlineStr"/>
      <c r="G67" t="inlineStr">
        <is>
          <t>Nashville, TN</t>
        </is>
      </c>
      <c r="H67" t="inlineStr"/>
      <c r="I67" t="inlineStr">
        <is>
          <t>**Job Description**
 Join our dynamic team as an Identity Management Software Engineer and never have a dull moment! Here, you’ll tackle new and exciting challenges daily, designing and maintaining secure, scalable microservices that power authentication, authorization, and user management for Oracle’s premier Identity Management platforms. Collaborate with diverse teams, ensure seamless integration, and make a real impact on how global customers solve critical business problems—all in a fast\-paced, supportive environment. If you love problem\-solving and want to work where your solutions matter, we want to hear from you!
 Oracle Identity Management is a suite of products that builds security for Oracle Public Cloud and Oracle Fusion Middle\-ware. Oracle is the acknowledged leader in Identity Management with an enviable collection of best of breed products, including highly scalable LDAP directory servers with virtualization and synchronization capabilities, Access Management services, Identity and User provisioning services.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The Key Responsibilities are as follows:
* Develop, deploy, and maintain microservices products supporting identity and access management (IAM).
* Integrate identity solutions with internal and external systems using APIs and industry standards (e.g., OAuth, SAML, OpenID Connect).
* Ensure best practices for security, scalability, and reliability in all service components.
* Collaborate with security, DevOps, and product teams on solution design and delivery.
* Monitor, troubleshoot, and optimize service performance.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8">
      <c r="A68" t="inlineStr">
        <is>
          <t>li-4281934559</t>
        </is>
      </c>
      <c r="B68" t="inlineStr">
        <is>
          <t>Staff Backend Engineer</t>
        </is>
      </c>
      <c r="C68" t="inlineStr">
        <is>
          <t>Sift</t>
        </is>
      </c>
      <c r="D68" t="inlineStr">
        <is>
          <t>linkedin</t>
        </is>
      </c>
      <c r="E68" t="inlineStr"/>
      <c r="F68" t="inlineStr"/>
      <c r="G68" t="inlineStr">
        <is>
          <t>San Francisco, CA</t>
        </is>
      </c>
      <c r="H68" t="inlineStr"/>
      <c r="I68"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focused on our data infrastructure, you won’t just write code—you’ll define core architecture and help scale a real\-time telemetry platform from the ground up. You’ll work on complex backend systems designed to ingest, store, and serve millions of high\-frequency data points per second, enabling faster iteration cycles for some of the most advanced engineering teams in the world.
**In This Role, You'll**
* Design and build a horizontally scalable platform for ingesting millions of hardware sensor data points per second
* Develop durable, efficient database solutions to support real\-time reads and large\-scale analytics workloads
* Pioneer data architecture by integrating recent innovations in streaming and storage, including cloud\-native and diskless designs
* Help define engineering culture, standards, and processes
* Collaborate closely with peers on architecture, design, code reviews, and scaling strategies
**The Skillset You'll Bring**
* Bachelor's degree in Computer Science, Engineering, Physics, or another STEM discipline
* 7\+ years of experience in backend, infrastructure, or data engineering roles
* Hands\-on experience with event\-time\-based stream processing or streaming SQL systems using tools like Apache Flink, Kafka Streams, Beam, or similar
* Proficiency with relational and time\-series databases like PostgreSQL, Druid, Pinot, TimescaleDB, or equivalent
* Experience with large\-scale distributed systems or low\-latency backend services, ideally written in Go, Rust, or Python
* Familiarity with DevOps and cloud infrastructure tools such as Kubernetes, Prometheus, ArgoCD, and Terraform
* Strong communication skills and a collaborative approach to problem\-solving
**Bonus Points**
* Familiarity with telemetry data from hardware systems, high\-throughput ingest pipelines, or columnar storage formats like Apache Arrow and Parquet
* Experience building resilient, performant systems that scale to billions of records
* Curiosity about new data paradigms and eagerness to evaluate and integrate emerging tools and techniques
**Engineering At Sift**
 You’ll join a tight\-knit team of world\-class engineers building foundational systems for next\-gen machines. Technologies you'll work with may include:
* Frontend \&amp; Backend: Go, gRPC, PostgreSQL, Protobuf, React, TypeScript
* Data Infrastructure: Apache Arrow, DataFusion, Flink, Kafka, Parquet, Rust
* Ops \&amp; Tooling: AWS, Kubernetes, Docker, GitHub Actions, Prometheus, Argo CD, Grafana, Linux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$200,000 \- $250,000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69">
      <c r="A69" t="inlineStr">
        <is>
          <t>li-3986115547</t>
        </is>
      </c>
      <c r="B69" t="inlineStr">
        <is>
          <t>Software Engineer</t>
        </is>
      </c>
      <c r="C69" t="inlineStr">
        <is>
          <t>Epic</t>
        </is>
      </c>
      <c r="D69" t="inlineStr">
        <is>
          <t>linkedin</t>
        </is>
      </c>
      <c r="E69" t="inlineStr"/>
      <c r="F69" t="inlineStr"/>
      <c r="G69" t="inlineStr">
        <is>
          <t>Port St Lucie, FL</t>
        </is>
      </c>
      <c r="H69" t="inlineStr"/>
      <c r="I6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0">
      <c r="A70" t="inlineStr">
        <is>
          <t>li-4317231686</t>
        </is>
      </c>
      <c r="B70" t="inlineStr">
        <is>
          <t>Senior Software Engineer, Backend</t>
        </is>
      </c>
      <c r="C70" t="inlineStr">
        <is>
          <t>Cloudflare</t>
        </is>
      </c>
      <c r="D70" t="inlineStr">
        <is>
          <t>linkedin</t>
        </is>
      </c>
      <c r="E70" t="inlineStr"/>
      <c r="F70" t="inlineStr"/>
      <c r="G70" t="inlineStr">
        <is>
          <t>Austin, TX</t>
        </is>
      </c>
      <c r="H70" t="inlineStr"/>
      <c r="I70"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Hybrid \- Austin, TX \| London, UK \| Lisbon, Portugal
****About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****What You'll Do****
**This role may require flexibility to be on\-call outside of standard working hours to address technical issues as needed.**
 Cloudflare is looking for a backend engineer on our control plane product platform to help us build our customer APIs and our internal service APIs. This is a role for engineers that are familiar with standard backend architecture, and capable in database design and interaction. Our API platform is under constant load and scrutiny, so experience and commitment to easily understood and tested code is also a key part of the role. Your ability to visualize the flow of data through a complex application is critical to your success, and to the team’s. You will be working closely with the product team to understand and document the functional needs of their product requirements, developing new code to solve new problems, as well as maintaining existing code to squash bugs. Our tech stack includes services built using Go, Redis, Postgres, and Cloudflare products (e.g. Workers). We are looking for proficiency in RESTful API design, OpenAPI, Terraform, relational databases (SQL), and modern containerized deployment practices.
****Examples Of Desirable Skills, Knowledge And Experience****
* 7\-10 years of professional experience building and managing software applications at large scale.
* Has managed or maintained Terraform providers (not just used them).
* Strong OpenAPI experience.
* Strong API design principles.
* Deep knowledge of Go with strong computer science fundamentals is a must.
* Experience in designing and architecting large\-scale distributed systems.
* Experience designing, implementing, and documenting customer\-facing APIs.
* Experience debugging, optimizing and identifying possible failures in a large\-scale distributed system.
* Experience with containers (Docker \&amp; Kubernetes)
****Compensation****
 Compensation may be adjusted depending on work location.
* For Colorado\-based hires: Estimated annual salary of $168,000 \- $196,000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71">
      <c r="A71" t="inlineStr">
        <is>
          <t>li-4353840163</t>
        </is>
      </c>
      <c r="B71" t="inlineStr">
        <is>
          <t>Software Engineer II, Performance and Analytics</t>
        </is>
      </c>
      <c r="C71" t="inlineStr">
        <is>
          <t>Ridgeline</t>
        </is>
      </c>
      <c r="D71" t="inlineStr">
        <is>
          <t>linkedin</t>
        </is>
      </c>
      <c r="E71" t="inlineStr"/>
      <c r="F71" t="inlineStr"/>
      <c r="G71" t="inlineStr">
        <is>
          <t>Reno, NV</t>
        </is>
      </c>
      <c r="H71" t="inlineStr"/>
      <c r="I71" t="inlineStr">
        <is>
          <t>The Performance \&amp; Analytics team works on calculating, reporting, and effectively presenting performance and attribution metrics across investments leveraging modern OLAP and Columnar technologies. This includes analysis of returns, benchmark comparisons, and the factors contributing to performance.
 We are in search of a passionate engineer to take on a critical role in evolving our next generation performance \&amp; analytics platform, aiming to set a new industry standard in this domain. Our team is committed to creating a lasting impact on the investment management industry, leveraging AI and leading development practices to bring transformative change.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the Ridgeline Way excites you, we’d love to meet you.
**The Impact You Will Make**
* Contribute design skills and technical expertise to a team where design, strategy, and engineering collaborate closely
* Be involved in the entire software development process, from requirements and design reviews through implementation
* Impact a developing tech stack based on AWS back\-end services
* Participate in the creation and construction of developer\-based automation that leads to scalable, high\-quality applications customers will depend on to run their businesses
* Think creatively, own problems, seek solutions, and communicate clearly along the way
* Contribute to a collaborative environment deeply rooted in learning, teaching, and transparency
**What We Look For**
* 3\+ years in a software engineering position with a history of architecting and designing new products and technologies
* Experience with Kotlin or similar programming languages
* Familiarity working with OLAP or Columnar databases, with the capability to optimize queries
* Understanding of data modeling for analytical use cases
* Interest in running complex analytics over a large scale of data quickly
* Experience building cloud native applications on AWS/Azure/Google Cloud
* A degree in Computer Science, Information Science, or a related discipline
* Willingness to learn about new technologies while simultaneously developing expertise in a business domain/problem space
* Understand the value of automated tests at all levels
* Ability to focus on short\-term deliverables while maintaining a big\-picture long term perspective
* An aptitude for complex problem\-solving
* Ability to communicate with colleagues at all levels
* Serious interest in having fun at work
**Bonus**
* Buy\-side technology experience
* Experience with GitHub Copilot or ChatGPT
* Experience with ETL Pipelines that move data into OLAP systems
* Familiar with performance concepts and methodologies: TWR, Brinson Attribution, Profit and Loss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The typical starting salary range for this role is: $120,000\-$140,000\.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72">
      <c r="A72" t="inlineStr">
        <is>
          <t>li-4370091069</t>
        </is>
      </c>
      <c r="B72" t="inlineStr">
        <is>
          <t>Full Stack Engineer</t>
        </is>
      </c>
      <c r="C72" t="inlineStr">
        <is>
          <t>Haystack</t>
        </is>
      </c>
      <c r="D72" t="inlineStr">
        <is>
          <t>linkedin</t>
        </is>
      </c>
      <c r="E72" t="inlineStr"/>
      <c r="F72" t="inlineStr"/>
      <c r="G72" t="inlineStr"/>
      <c r="H72" t="inlineStr"/>
      <c r="I72" t="inlineStr">
        <is>
          <t>**Full Stack Engineer \| Fremont, CA \| Remote\-Friendly \| $125,000 \- $140,000** 
 We're working with EOS IT Solutions on this exciting opportunity.
 Join a dynamic team as a Full Stack Engineer, building innovative collaboration tools that power seamless communication across a global organization. Leverage your expertise in Python, JavaScript, and modern frameworks like React to design, develop, and deploy scalable applications, integrating cutting\-edge technologies including LLaMA models for advanced features.
**The Role** 
 • Design, develop, and maintain robust full\-stack applications with a focus on reliability and scalability
 • Collaborate with cross\-functional teams to deliver high\-quality software products and features
 • Implement automated testing and CI/CD pipelines to ensure smooth release cycles
 • Integrate LLaMA models to enable advanced AI\-driven features like speech recognition and text summarization
 • Ensure optimal performance of video telephony systems and contribute to best practices
**What You'll Need** 
 • 8\+ years of experience in full\-stack software development with a strong focus on Python, JavaScript, and C\+\+
 • Proficiency with front\-end frameworks: React, Angular, or Vue.js
 • Strong understanding of back\-end technologies: Node.js, Django, or Flask
 • Experience with databases including MySQL, PostgreSQL, MongoDB, and distributed query engines like Presto
 • Hands\-on experience with cloud platforms (AWS, Azure, Google Cloud) and containerization (Docker, Kubernetes)
**What's On Offer** 
 • Opportunity to work with cutting\-edge AI technologies, including LLaMA models
 • A collaborative and supportive environment focused on continuous learning and growth
 • Contribute to critical internal tools that impact global communication and productivity
 • Competitive salary range of $125,000 \- $140,000 USD
**Apply via Haystack today!**</t>
        </is>
      </c>
    </row>
    <row r="73">
      <c r="A73" t="inlineStr">
        <is>
          <t>li-4370079607</t>
        </is>
      </c>
      <c r="B73" t="inlineStr">
        <is>
          <t>Software Engineer</t>
        </is>
      </c>
      <c r="C73" t="inlineStr">
        <is>
          <t>Haystack</t>
        </is>
      </c>
      <c r="D73" t="inlineStr">
        <is>
          <t>linkedin</t>
        </is>
      </c>
      <c r="E73" t="inlineStr"/>
      <c r="F73" t="inlineStr"/>
      <c r="G73" t="inlineStr"/>
      <c r="H73" t="inlineStr"/>
      <c r="I73" t="inlineStr">
        <is>
          <t>**Full Stack Engineer \| Fremont, CA \| Remote\-Friendly \| $125,000 \- $140,000** 
 We're working with EOS IT Solutions on this exciting opportunity.
 Join a dynamic team as a Full Stack Engineer, building innovative collaboration tools that power seamless communication across a global organization. Leverage your expertise in Python, JavaScript, and modern frameworks like React to design, develop, and deploy scalable applications, integrating cutting\-edge technologies including LLaMA models for advanced features.
**The Role** 
 • Design, develop, and maintain robust full\-stack applications with a focus on reliability and scalability
 • Collaborate with cross\-functional teams to deliver high\-quality software products and features
 • Implement automated testing and CI/CD pipelines to ensure smooth release cycles
 • Integrate LLaMA models to enable advanced AI\-driven features like speech recognition and text summarization
 • Ensure optimal performance of video telephony systems and contribute to best practices
**What You'll Need** 
 • 8\+ years of experience in full\-stack software development with a strong focus on Python, JavaScript, and C\+\+
 • Proficiency with front\-end frameworks: React, Angular, or Vue.js
 • Strong understanding of back\-end technologies: Node.js, Django, or Flask
 • Experience with databases including MySQL, PostgreSQL, MongoDB, and distributed query engines like Presto
 • Hands\-on experience with cloud platforms (AWS, Azure, Google Cloud) and containerization (Docker, Kubernetes)
**What's On Offer** 
 • Opportunity to work with cutting\-edge AI technologies, including LLaMA models
 • A collaborative and supportive environment focused on continuous learning and growth
 • Contribute to critical internal tools that impact global communication and productivity
 • Competitive salary range of $125,000 \- $140,000 USD
**Apply via Haystack today!**</t>
        </is>
      </c>
    </row>
    <row r="74">
      <c r="A74" t="inlineStr">
        <is>
          <t>li-4336226784</t>
        </is>
      </c>
      <c r="B74" t="inlineStr">
        <is>
          <t>Senior Software Engineer, Platform - HR Product</t>
        </is>
      </c>
      <c r="C74" t="inlineStr">
        <is>
          <t>Rippling</t>
        </is>
      </c>
      <c r="D74" t="inlineStr">
        <is>
          <t>linkedin</t>
        </is>
      </c>
      <c r="E74" t="inlineStr"/>
      <c r="F74" t="inlineStr"/>
      <c r="G74" t="inlineStr">
        <is>
          <t>San Francisco, CA</t>
        </is>
      </c>
      <c r="H74" t="inlineStr"/>
      <c r="I74"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Drive the design, implementation, and evolution of core platform infrastructure and shared services.
* Lead mission critical projects to build and scale core platform capabilities
* Work closely with engineers across the organization to adopt these components to evolve existing products and bring new products to market
* Influence architecture, technology selections, and trends of the whole company
* Build and grow your engineering skills in different challenging areas and solve hard technical problems
**What You Will Need**
* 5\+ years of hands\-on experience building core product infrastructure and distributed systems that directly support and empower product\-facing engineering teams.
* You have seen and contributed to systems operating at a significant technical and organizational scale.
* Exceptional ability to communicate complex technical concepts to a diverse audience, not just engineers but cross functional groups like product and design, and an amplitude of end users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75">
      <c r="A75" t="inlineStr">
        <is>
          <t>li-4307255029</t>
        </is>
      </c>
      <c r="B75" t="inlineStr">
        <is>
          <t>Software Engineer, Server Efficiency</t>
        </is>
      </c>
      <c r="C75" t="inlineStr">
        <is>
          <t>Meta</t>
        </is>
      </c>
      <c r="D75" t="inlineStr">
        <is>
          <t>linkedin</t>
        </is>
      </c>
      <c r="E75" t="inlineStr"/>
      <c r="F75" t="inlineStr"/>
      <c r="G75" t="inlineStr">
        <is>
          <t>Bellevue, WA</t>
        </is>
      </c>
      <c r="H75" t="inlineStr"/>
      <c r="I75" t="inlineStr">
        <is>
          <t>Our team is responsible for increasing the efficiency of the entire software stack running in our data centers. Our work contributes to one of Meta’s top priorities: we save the company billions of dollars in operating expenses every year, ensure that we have the computational resources necessary for our growth, and improve business metrics by advancing system software.We seek software engineers for roles focusing on performance engineering to support the majority of Meta’s server\-side software. At Meta we have a particular opportunity to optimize software execution, as we have full knowledge of what we run and the data patterns that we see. This guides our design and implementation of data structures, libraries, and performance optimizations to increase efficiency across our varied workloads and allows us to contribute beyond Meta's services through our open\-source software. As a member of our team, you will contribute to high\-impact efficiency improvements that benefit all of Meta's server developers and users. You’ll be working alongside industry\-leading library and compiler experts and collaborate with the open\-source community.
 Software Engineer, Server Efficiency Responsibilities:
* Develop and optimize C/C\+\+ libraries for Meta services–memory allocation, thread pools and work scheduling, thread synchronization and lockless data structures, highly performant collections, async processing and I/O, RPC, etc
* Analyze resource utilization in server applications (CPU, GPU, memory, network, etc.), identify bottlenecks, scope out opportunities for improved resource utilization, and implement improvements, such as modifying core libraries to optimize Meta server workloads, implementing efficiency improvements in production code (e.g., change core data structures), or improving server utilization
* Work with internal customers and partners to define requirements
* Reflect requirements in the team roadmap and plan out execution
 Minimum Qualifications:
* Bachelor's degree in Computer Science, Computer Engineering, relevant technical field, or equivalent practical experience
* 6\+ years of professional C/C\+\+ experience
* Knowledge of computer architecture, CPU and memory subsystem, and OS\-level resource management
* Experience using performance\-profiling tools and optimizing native applications for execution\-time and memory efficiency
 Preferred Qualifications:
* Experience implementing and optimizing low\-level libraries, such as memory management, threading, data compression, or string processing
* Knowledge of modern ISAs, such as x86 and ARM
* Experience hand\-tuning code, e.g., with loop optimizations, vectorization, parallelization, HW\-architecture\-specific optimizations
* Experience developing operating\-system kernels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6">
      <c r="A76" t="inlineStr">
        <is>
          <t>li-3986113583</t>
        </is>
      </c>
      <c r="B76" t="inlineStr">
        <is>
          <t>Software Engineer</t>
        </is>
      </c>
      <c r="C76" t="inlineStr">
        <is>
          <t>Epic</t>
        </is>
      </c>
      <c r="D76" t="inlineStr">
        <is>
          <t>linkedin</t>
        </is>
      </c>
      <c r="E76" t="inlineStr"/>
      <c r="F76" t="inlineStr"/>
      <c r="G76" t="inlineStr">
        <is>
          <t>Manchester, NH</t>
        </is>
      </c>
      <c r="H76" t="inlineStr"/>
      <c r="I7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7">
      <c r="A77" t="inlineStr">
        <is>
          <t>li-4307261676</t>
        </is>
      </c>
      <c r="B77" t="inlineStr">
        <is>
          <t>Staff Software Engineer</t>
        </is>
      </c>
      <c r="C77" t="inlineStr">
        <is>
          <t>Fanatics</t>
        </is>
      </c>
      <c r="D77" t="inlineStr">
        <is>
          <t>linkedin</t>
        </is>
      </c>
      <c r="E77" t="inlineStr"/>
      <c r="F77" t="inlineStr"/>
      <c r="G77" t="inlineStr"/>
      <c r="H77" t="inlineStr"/>
      <c r="I77" t="inlineStr">
        <is>
          <t>**Overview**
**JOB DESCRIPTION**
 As Fanatics Betting \&amp; Gaming propels Fanatics' mission to create the ultimate digital sports platform, the Staff Engineer role stands at the forefront of this transformative journey. Within the OddsFactory team, you'll assume a pivotal position, blending technical prowess with strategic vision to lead our risk and trading domain. This role is not just about leading projects; it's about pioneering solutions that redefine how fans engage with sports, making every aspect of their passion more accessible and engaging.
 Your leadership extends beyond traditional boundaries, influencing multiple teams and shaping the systems that drive both FBG's products and the wider Fanatics ecosystem. With a focus on our real\-time decision\-making platform, your work ensures that we're not only meeting but setting new standards for fan engagement and product excellence. Your role is a unique blend of strategy and hands\-on innovation, inspiring teams to push the envelope and create groundbreaking technologies.
 In fostering a culture of innovation, you'll navigate teams through the complexities of modern software development, championing a learning\-oriented environment that bolsters both personal and collective growth. Your mentorship will cultivate the next generation of tech leaders, ensuring that FBG's engineering practices continue to evolve and surpass industry benchmarks.
 Embrace the opportunity to make an indelible mark on the sports industry as a Staff Engineer at FBG. Your leadership will catalyze our ongoing quest to revolutionize sports fan engagement, leaving a lasting legacy of innovation and a fan\-centric approach that echoes across the sports world.
**Responsibilities**
* Strategically lead and mentor engineering teams, ensuring the development of extensible, scalable, and high\-quality software solutions.
* Define clear requirements, provide accurate estimates, and make critical decisions to enhance team efficiency and product delivery.
* Navigate and resolve complex technical challenges, making informed decisions that balance immediate needs against long\-term goals and technical vision.
* Drive architectural excellence, making crucial decisions that influence software structure, dependencies, and overall performance.
* Champion improvements in operational processes and documentation. Proactively address code complexity and architectural improvements to enhance system performance and maintainability.
* Serve as a key advisor on technology and product strategy, contributing insights that drive FBG's growth and innovation.
* Cultivate a learning environment, reducing onboarding times and fostering professional development across the team.
* Contribute to team planning and design discussions, building more expertise around design approaches, driving best practices and improving the speed of delivery
* Lead code reviews to provide constructive direction and actionable feedback.
* Proactively simplify code and resolve team architecture deficiencies.
* Uphold engineering best practices, influencing your team's approach to software development and ensuring adherence to FBG's strategic principles.
* Develop a deep understanding of the sports betting industry, FBG's product ecosystem, and future technological trends, leveraging this knowledge to drive innovation and seize opportunities.
* Collaborate seamlessly with Product, Quants and Engineering teams to ensure timely delivery of stable and reliable applications aligned with our product vision.
* Demonstrate mastery in .NET technologies, adhering to and advocating for industry\-leading practices, patterns, and standards.
* Provide mentorship, inspiring team members through knowledge sharing and encouraging professional growth and continuous improvement.
* Support critical operations through participation in an on\-call rotation
* Be willing to travel occasionally for special events and for essential offsite meetings and team collaboration sessions.
**Required Qualifications**
* 7\+ years real\-world demonstrable experience building \&amp; deploying scalable, high\-performance applications
* Strong technical experience with C\#, cloud platforms (Azure a plus), and SQL/NoSQL.
* Strong communication skills, capable of demystifying complex technical topics for diverse audiences.
* Excellent analytical and problem solving skills.
* Team\-first mentality, with a willingness to do what it takes to get the job done and a desire to strive for better..
* Deep understanding of software design, development, and testing principles including SOLID, DRY, TDD, BDD
* A genuine passion for software engineering and a desire to share knowledge and innovate within a highly collaborative team.
**Preferred Qualifications**
* Familiarity with sports betting or a keen interest in sports is desirable.
* Experience of building software using Domain Driven Design (DDD)
* Ability to translate business needs into technical solutions.
* Experience in partnering with cross\-functional teams.
* Experience working in a start\-up environment
* Passionate about working in a highly collaborative team environment
*If you possess some of these qualifications but not all of them, we still encourage you to apply!*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$144,000 \- $282,000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78">
      <c r="A78" t="inlineStr">
        <is>
          <t>li-4300138482</t>
        </is>
      </c>
      <c r="B78" t="inlineStr">
        <is>
          <t>Orbital Software Engineer, Space</t>
        </is>
      </c>
      <c r="C78" t="inlineStr">
        <is>
          <t>Anduril Industries</t>
        </is>
      </c>
      <c r="D78" t="inlineStr">
        <is>
          <t>linkedin</t>
        </is>
      </c>
      <c r="E78" t="inlineStr"/>
      <c r="F78" t="inlineStr"/>
      <c r="G78" t="inlineStr">
        <is>
          <t>Costa Mesa, CA</t>
        </is>
      </c>
      <c r="H78" t="inlineStr"/>
      <c r="I7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Space team is dedicated to expanding our AI\-powered capabilities into the final frontier, enhancing Space Domain Awareness, Space Control, and Command and Control for U.S. military and allied partners. We're developing fully integrated hardware and software systems, including Lattice for Space Missions and modular payloads, to address growing threats in space and ensure our Guardians maintain a decisive advantage in this contested warfighting domain.
**About The Job**
 As an Orbital Software Engineer on Space, you will contribute to the architecture and deployment of software solutions that support specific customer missions for on\-orbit spacecraft operations and mission management. As a software engineer, you will provide guidance and oversight to a team developing modular capabilities to support the DoD and IC customers across the space domain. This will involve architecture of an orbital software system in coordination with the Anduril Lattice software platform team, algorithms, techniques and coding development to support orbital systems and their interfacing with multi\-domain systems. The Anduril orbital software capability development will ensure integration with legacy systems that have been part of our nation’s critical defense for decades as well as new space systems being added to the cache of orbital and ground\-based capabilities. The role will also be responsible for the interfaces to multi\-modal payload platforms, bus platforms and networking solutions in proliferated satellite constellations
 We work with mission partners and operators to deploy reliable and robust capabilities on operationally\-relevant fielding timelines to meet complex challenges across the DOD and IC.
**What You’ll Do**
* Contribute to software solutions that are deployed to customers.
* Contribute to development of on\-orbit software capabilities to enable delivery of end\-to\-end mission systems.
* Integrate with legacy systems to unlock 21st\-century capabilities.
* Write code to improve products and scale the mission capability to different users and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Ideally 3\+ years professional experience working with a variety of programming languages such as Python, C\+\+, Rust, or Go
* Experience with spacecraft software systems and spacecraft operations.
* Experience with satellite mission autonomy to include fault isolation and recovery systems.
* Eligible to obtain and maintain an active U.S. Secret security clearance.
**Preferred Qualifications**
* Advanced expertise with Python, Go, Rust, or C\+\+.
* Experience with deployment tooling like Kubernetes, OpenShift, or Helm.
* A desire to work on critical software in the space domain.
* Experience with OMS/UCI standards and modular software services development.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79">
      <c r="A79" t="inlineStr">
        <is>
          <t>li-4264271985</t>
        </is>
      </c>
      <c r="B79" t="inlineStr">
        <is>
          <t>Lead Software Engineer</t>
        </is>
      </c>
      <c r="C79" t="inlineStr">
        <is>
          <t>Sidley Austin LLP</t>
        </is>
      </c>
      <c r="D79" t="inlineStr">
        <is>
          <t>linkedin</t>
        </is>
      </c>
      <c r="E79" t="inlineStr"/>
      <c r="F79" t="inlineStr"/>
      <c r="G79" t="inlineStr">
        <is>
          <t>Los Angeles, CA</t>
        </is>
      </c>
      <c r="H79" t="inlineStr"/>
      <c r="I79" t="inlineStr">
        <is>
          <t>**Summary**
 We are seeking a highly skilled Lead Software Engineer with expertise in building full\-stack applications using React, .NET, Next.js, and Azure. This role will be responsible for leading technical development, conducting code reviews, and ensuring high\-quality software delivery. The ideal candidate is a hands\-on leader who can guide a team while also contributing directly to the codebase.
**Duties And Responsibilities**
* Architect, develop, and maintain scalable full\-stack applications using .NET, Python, React/Next.js on Azure.
* Lead technical decision\-making, providing expertise on best practices, architecture, and modern software development methodologies.
* Conduct code reviews, ensuring high code quality, security, and performance optimization.
* Collaborate with cross\-functional teams, including product managers and designers, to define, design, and ship new features.
* Mentor and coach junior and mid\-level engineers, fostering a culture of growth and technical excellence.
* Monitor and improve application performance, optimizing database queries, front\-end rendering, and API interactions.
* Ensure security best practices in web applications, including authentication, authorization, and data protection.
* Work with DevOps teams to implement CI/CD pipelines and automate deployments on Azure.
* Stay up to date with emerging technologies and advocate for their adoption where appropriate.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
**Target Salary Range**
 $147,700 \- $191,580 if located in Boston, California, New York, Illinois, Washington, D.C., or reporting to a supervisor in Illinois.
**Qualifications**
 To perform this job successfully, an individual must be able to perform each Essential Duty and Responsibility (the “Essential Duties”) satisfactorily. The requirements listed below are representative of the minimum knowledge, skill, and/or ability required. Reasonable accommodations may be made to enable individuals with disabilities to perform the Essential Duties. If you need such an accommodation, please email staffrecruiting@sidley.com (current employees should contact Human Resources).
**Required**
 Education and/or Experience:
* Bachelor’s degree in Computer Science, Software Engineering, or a related field (or equivalent experience).
* A minimum of 5 years of experience in full\-stack software development.
* Expertise in React, .NET, Next.js, Python, and Azure.
* Strong experience in code reviews, software design patterns, and scalable application architecture.
* Proficiency in RESTful APIs and microservices architectures.
* Hands\-on experience with databases, such as SQL Server, PostgreSQL, or NoSQL solutions.
* Experience with version control systems (Git) and Agile development methodologies.
**Preferred**
* Experience with containerization (Docker, Kubernetes, Azure Container Apps) on Azure.
* Knowledge of serverless computing and cloud\-native applications.
* Familiarity with unit testing frameworks and automated testing best practices.
* Certifications in Azure or relevant technologies.
**Other Skills And Abilities**
 The following will also be required of the successful candidate:
* Strong organizational skills
* Strong attention to detail
* Good judgment
* Strong interpersonal communication skills
* Strong analytical and problem solving skills
* Able to work harmoniously and effectively with others
* Able to preserve confidentiality and exercise discretion
* Able to work under pressure
* Able to manage multiple projects with competing deadlines and priorities
* A self\-starter who desires to show ownership and commitment to the job
* Strong customer service skills
 Sidley Austin LLP is an Equal Opportunity Employer</t>
        </is>
      </c>
    </row>
    <row r="80">
      <c r="A80" t="inlineStr">
        <is>
          <t>li-4264275590</t>
        </is>
      </c>
      <c r="B80" t="inlineStr">
        <is>
          <t>Lead Software Engineer</t>
        </is>
      </c>
      <c r="C80" t="inlineStr">
        <is>
          <t>Sidley Austin LLP</t>
        </is>
      </c>
      <c r="D80" t="inlineStr">
        <is>
          <t>linkedin</t>
        </is>
      </c>
      <c r="E80" t="inlineStr"/>
      <c r="F80" t="inlineStr"/>
      <c r="G80" t="inlineStr">
        <is>
          <t>San Francisco, CA</t>
        </is>
      </c>
      <c r="H80" t="inlineStr"/>
      <c r="I80" t="inlineStr">
        <is>
          <t>**Summary**
 We are seeking a highly skilled Lead Software Engineer with expertise in building full\-stack applications using React, .NET, Next.js, and Azure. This role will be responsible for leading technical development, conducting code reviews, and ensuring high\-quality software delivery. The ideal candidate is a hands\-on leader who can guide a team while also contributing directly to the codebase.
**Duties And Responsibilities**
* Architect, develop, and maintain scalable full\-stack applications using .NET, Python, React/Next.js on Azure.
* Lead technical decision\-making, providing expertise on best practices, architecture, and modern software development methodologies.
* Conduct code reviews, ensuring high code quality, security, and performance optimization.
* Collaborate with cross\-functional teams, including product managers and designers, to define, design, and ship new features.
* Mentor and coach junior and mid\-level engineers, fostering a culture of growth and technical excellence.
* Monitor and improve application performance, optimizing database queries, front\-end rendering, and API interactions.
* Ensure security best practices in web applications, including authentication, authorization, and data protection.
* Work with DevOps teams to implement CI/CD pipelines and automate deployments on Azure.
* Stay up to date with emerging technologies and advocate for their adoption where appropriate.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
**Target Salary Range**
 $147,700 \- $191,580 if located in Boston, California, New York, Illinois, Washington, D.C., or reporting to a supervisor in Illinois.
**Qualifications**
 To perform this job successfully, an individual must be able to perform each Essential Duty and Responsibility (the “Essential Duties”) satisfactorily. The requirements listed below are representative of the minimum knowledge, skill, and/or ability required. Reasonable accommodations may be made to enable individuals with disabilities to perform the Essential Duties. If you need such an accommodation, please email staffrecruiting@sidley.com (current employees should contact Human Resources).
**Required**
 Education and/or Experience:
* Bachelor’s degree in Computer Science, Software Engineering, or a related field (or equivalent experience).
* A minimum of 5 years of experience in full\-stack software development.
* Expertise in React, .NET, Next.js, Python, and Azure.
* Strong experience in code reviews, software design patterns, and scalable application architecture.
* Proficiency in RESTful APIs and microservices architectures.
* Hands\-on experience with databases, such as SQL Server, PostgreSQL, or NoSQL solutions.
* Experience with version control systems (Git) and Agile development methodologies.
**Preferred**
* Experience with containerization (Docker, Kubernetes, Azure Container Apps) on Azure.
* Knowledge of serverless computing and cloud\-native applications.
* Familiarity with unit testing frameworks and automated testing best practices.
* Certifications in Azure or relevant technologies.
**Other Skills And Abilities**
 The following will also be required of the successful candidate:
* Strong organizational skills
* Strong attention to detail
* Good judgment
* Strong interpersonal communication skills
* Strong analytical and problem solving skills
* Able to work harmoniously and effectively with others
* Able to preserve confidentiality and exercise discretion
* Able to work under pressure
* Able to manage multiple projects with competing deadlines and priorities
* A self\-starter who desires to show ownership and commitment to the job
* Strong customer service skills
 Sidley Austin LLP is an Equal Opportunity Employer</t>
        </is>
      </c>
    </row>
    <row r="81">
      <c r="A81" t="inlineStr">
        <is>
          <t>li-4309059420</t>
        </is>
      </c>
      <c r="B81" t="inlineStr">
        <is>
          <t>Senior Robotics Software Engineer, Vehicle Software</t>
        </is>
      </c>
      <c r="C81" t="inlineStr">
        <is>
          <t>Anduril Industries</t>
        </is>
      </c>
      <c r="D81" t="inlineStr">
        <is>
          <t>linkedin</t>
        </is>
      </c>
      <c r="E81" t="inlineStr"/>
      <c r="F81" t="inlineStr"/>
      <c r="G81" t="inlineStr">
        <is>
          <t>Costa Mesa, CA</t>
        </is>
      </c>
      <c r="H81" t="inlineStr"/>
      <c r="I8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senior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**What You'll Do**
* Write and maintain core libraries and services that perform critical functions for collaborative teams of robots \- for example, motion deconfliction and contingency management of fast mover air vehicles.
* Own major feature development and rollout of large, complex features for our products \- recent examples include developing terminal\-phase autonomy for various air vehicles and developing a test plan on live surrogates.
* Work closely with Anduril and 3rd party vehicle hardware teams, as well as operational subject matter experts (fighter pilots, UAV operators, etc.) to align on requirements during product development and iterate towards a final design.
**Required Qualifications**
* Eligible to obtain and maintain an active U.S. Top Secret security clearance
* BS in Robotics, Computer Science, Mechatronics, Electrical Engineering, Mechanical Engineering, or related field
* Proven understanding of data structures, algorithms, concurrency, and code optimization
* Experience troubleshooting and analyzing remotely deployed software systems
* Experience working with and testing electrical and mechanical systems
* 5\+ Years experience with C\+\+ or Rust experience in a Linux development environment
**Preferred Qualifications**
* MS or PhD
* Experience in one or more of the following: motion planning, perception, localization, mapping, controls, and related system performance metrics.
* Python, Rust, and/or Go experience
* Experience programming for embedded and physical devices
* Multi\-agent coordination of UAVs
* Complex frame transformation problems, such as target localization or multi degree of freedom robotic arms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2">
      <c r="A82" t="inlineStr">
        <is>
          <t>li-4363878070</t>
        </is>
      </c>
      <c r="B82" t="inlineStr">
        <is>
          <t>Full Stack Engineer (NodeJS + React)</t>
        </is>
      </c>
      <c r="C82" t="inlineStr">
        <is>
          <t>Monks</t>
        </is>
      </c>
      <c r="D82" t="inlineStr">
        <is>
          <t>linkedin</t>
        </is>
      </c>
      <c r="E82" t="inlineStr"/>
      <c r="F82" t="inlineStr"/>
      <c r="G82" t="inlineStr"/>
      <c r="H82" t="inlineStr"/>
      <c r="I82"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We are seeking an experienced Senior Full\-Stack Developer to join our cross\-functional team. This is a key individual contributor role for a developer with a passion for building high\-quality software in a balanced 80/20 split of frontend and backend technologies.
 You will take ownership of features from conception to deployment, working on a mix of greenfield and brownfield projects. You will be responsible for building and maintaining new NodeJS\-based microservices and APIs while also building and enhancing our modern React\-based single\-page applications.
 In this role, you will be expected to contribute to component and feature design, write comprehensive tests, and occasionally set up deployment pipelines for new services. You'll thrive in our environment if you have a high degree of autonomy, strong collaborative skills, and an eagerness to adapt and learn.
**Key Responsibilities**
* Frontend Development: Develop new user\-facing features and complex UIs using React.
* Backend Development: Design, build, and maintain efficient, reusable, and reliable NodeJS code for our backend services and APIs.
* Testing: Write comprehensive unit and integration tests to ensure code quality and stability.
* Collaboration: Collaborate regularly with product managers, designers, and other engineers in an agile environment.
* Technical Design: Contribute to technical design discussions and decisions for new features and components.
* DevOps/Lifecycle: Take ownership of the full development lifecycle, including occasional setup of CI/CD pipelines for new services.
* Problem Solving: Identify bottlenecks and bugs, and devise solutions to these problems.
**Must\-Have Qualifications**
* Experience: 8\+ years of professional software development experience (10\+ years preferred).
* Frontend Skills: Strong proficiency in frontend development using React and its ecosystem.
* Core Backend Skills: Deep expertise in backend development using NodeJS (or similar technologies), including experience building and maintaining services outside of a monolithic framework.
* API Design: Proven experience designing, building, and maintaining RESTful APIs.
* Database: Strong experience with PostgreSQL, including basic ORM and query knowledge.
* Infrastructure: Required experience with Docker for containerization and orchestration.
* Testing Mindset: A strong belief in automated testing and experience writing comprehensive unit and integration tests.
* Soft Skills: Demonstrated autonomy, high ownership, and excellent communication and collaboration skills.
**Nice\-to\-Have Skills**
* Proficiency with SQL.
* Experience with unit testing frameworks such as Jest
* Experience with other backend languages such as Python
*At.Monks,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$90,936\.00 — $99,936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$90,936—$99,936 USD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
 Monks was named a Contender in The Forrester Wave™: Global Marketing Services. It has remained a constant presence on Adweek’s Fastest Growing lists (2019\-23\), ranks among Cannes Lions' Top 10 Creative Companies (2022\-23\) and is the only partner to have been placed in AdExchanger’s Programmatic Power Players list every year (2020\-24\). In addition to being named Adweek’s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83">
      <c r="A83" t="inlineStr">
        <is>
          <t>li-4297743094</t>
        </is>
      </c>
      <c r="B83" t="inlineStr">
        <is>
          <t>Staff Software Engineer - Money Team</t>
        </is>
      </c>
      <c r="C83" t="inlineStr">
        <is>
          <t>Databricks</t>
        </is>
      </c>
      <c r="D83" t="inlineStr">
        <is>
          <t>linkedin</t>
        </is>
      </c>
      <c r="E83" t="inlineStr"/>
      <c r="F83" t="inlineStr"/>
      <c r="G83" t="inlineStr">
        <is>
          <t>Bellevue, WA</t>
        </is>
      </c>
      <c r="H83" t="inlineStr"/>
      <c r="I83" t="inlineStr">
        <is>
          <t>P\-940
 At Databricks, we are obsessed with Data \+ AI to solve the world's toughest problems, from security threat detection to cancer drug development. We do this by building and running the world's best data and AI infrastructure platform, so our customers can focus on the high\-value challenges that are central to their missions.
 Founded in 2013 by the original creators of Apache Spark™, Databricks has grown from a tiny corner office in Berkeley, CA to a global organization with over 6500 employees. Thousands of organizations, from small to Fortune 100, trust Databricks with their mission\-critical workloads, making us one of the fastest\-growing SaaS companies in the world.
 The Money team's mission at Databricks is to maximize the value that our customers derive from their investments in data projects. We accomplish this through innovative commercialization strategies and cutting\-edge engineering. Our team ensures timely, accurate, and customizable billing and usage data, alongside budgeting, forecasting, and cost optimization tools. We provide a seamless and consistent billing experience for all our customers, whether they are large enterprises or individual developers, across different pricing plans and cloud providers (AWS, GCP \&amp; Azure).
 As a software engineer on the Money team, you will be closely involved in the entire billing process, including usage ingestion, metering, pricing, credits, promotions, payments, usage reporting, and cost center and budgeting. Your role is crucial in democratizing data by bringing Databricks products to market. By collaborating with marketing, product teams, commercialization experts, data scientists, IT, and customer support, you will standardize billing experiences across major cloud providers, offering our customers a unified "sky computation" experience. This role involves utilizing the latest Databricks products and tools within the ecosystem.
**The Impact You Will Have**
* Design and manage the Money systems and services, commercializing all Databricks products and offerings.
* Develop innovative primitives that enable and support various pricing strategies such as Pay\-As\-You\-Go, commissions, credits, trials, and promotions.
* Enhance engineering and infrastructure efficiency, reliability, accuracy, and response times, including CI/CD processes, test frameworks, data quality assurance, end\-to\-end reconciliation, and anomaly detection.
* Collaborate with commercialization experts to develop and implement innovative pricing strategies and plans.
* Use AI and LLMs to innovate in cost insight, prediction, and optimization across various cloud providers.
* You will become an expert at using the Databricks Data \+ AI tools
* Provide leadership in long\-term vision and requirements development for Databricks products, in partnership with our engineering teams.
* Represent Databricks at academic and industrial conferences \&amp; events.
**What We Look For**
* BS or higher degree in Computer Science or a related field.
* Technical leadership experience in large projects similar to those described, including near real\-time large data processing and distributed service infrastructure management.
* Proven track record of building, shipping, and managing reliable, distributed services and data pipelines at scale.
* Demonstrated leadership skills and the ability to lead across functional and organizational boundaries.
* A proactive approach and a passion for delivering high\-quality solutions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$182,400—$247,000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84">
      <c r="A84" t="inlineStr">
        <is>
          <t>li-4336304587</t>
        </is>
      </c>
      <c r="B84" t="inlineStr">
        <is>
          <t>Software Engineer Embedded/Network Systems I (Full Time) - United States</t>
        </is>
      </c>
      <c r="C84" t="inlineStr">
        <is>
          <t>Cisco</t>
        </is>
      </c>
      <c r="D84" t="inlineStr">
        <is>
          <t>linkedin</t>
        </is>
      </c>
      <c r="E84" t="inlineStr"/>
      <c r="F84" t="inlineStr"/>
      <c r="G84" t="inlineStr">
        <is>
          <t>Atlanta, GA</t>
        </is>
      </c>
      <c r="H84" t="inlineStr"/>
      <c r="I8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engineering the foundation of Cisco’s core technologies across the globe, including teams in Engineering like Common Hardware Group, Network Product Eng, Infrastructure \&amp; Security. You will be an essential contributor to the development of next\-generation innovations in operating systems, firmware, networking stacks, and security infrastructure. Working on these teams, you will gain hands\-on experience with hardware\-software integration and low\-level networking technologies that power Cisco’s critical products. Discover the possibilities when deep technical expertise meets creativity and help build solutions that transform how the world connects and communicates.
**Your Impact**
 You are a passionate engineer skilled in low\-level programming, networking protocols, and hardware\-software integration, with strong communication and collaboration abilities. You thrive in solving complex challenges through innovation and precision, while being highly organized and process\-driven. Your work develops and maintains critical software and tools that ensure hardware compatibility, network performance, and security for Cisco’s core products like operating systems, firmware, and networking stacks. By effectively managing your time and streamlining processes, you deliver high\-quality solutions that embed resilience and efficiency into global communications infrastructure, directly contributing to Cisco’s leadership in trusted, scalable networking technologies.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C programming and experience with embedded Linux, including a solid understanding of operating system fundamentals.
* Familiarity with network principles \&amp; concepts, routing protocols, and general networking concepts.
* Hands\-on experience with automation tools and scripting languages (such as Python or Bash), along with knowledge of CI/CD pipelines (e.g., Jenkins, GitHub Actions).
* Understanding of DevSecOps practices and their application in software development workflows.
**Preferred Quals**
* Conceptual understanding or hands\-on experience with AI/ML.
* Understanding of cybersecurity principles and security protocols.
* Experience with FPGA development.
* Knowledge of signal and power integrity, and PCB design.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5">
      <c r="A85" t="inlineStr">
        <is>
          <t>li-4316276818</t>
        </is>
      </c>
      <c r="B85" t="inlineStr">
        <is>
          <t>Staff Software Engineer, Foundational Model Serving</t>
        </is>
      </c>
      <c r="C85" t="inlineStr">
        <is>
          <t>Databricks</t>
        </is>
      </c>
      <c r="D85" t="inlineStr">
        <is>
          <t>linkedin</t>
        </is>
      </c>
      <c r="E85" t="inlineStr"/>
      <c r="F85" t="inlineStr"/>
      <c r="G85" t="inlineStr">
        <is>
          <t>San Francisco, CA</t>
        </is>
      </c>
      <c r="H85" t="inlineStr"/>
      <c r="I85" t="inlineStr">
        <is>
          <t>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Foundation Model Serving is the API Product for hosting and serving frontier AI model inference for open source models like Llama, Qwen, and GPT OSS as well as proprietary models like Claude and OpenAI GPT. For this role, no prior ML or AI experience is necessary. We’re looking for engineers who have owned high scale operational sensitive systems like customer facing APIs, Edge Gateways, ML Inference, or similar services and have an interest in getting deep building LLM APIs and runtimes at scale.
 As a Staff Engineer, you’ll play a critical role in shaping both the product experience and core infrastructure. You will design and build systems that enable high\-throughput, low\-latency inference on GPU workloads with frontier models, influence architectural direction, and collaborate closely across platform, product, infrastructure, and research teams to deliver a world\-class foundation model API product.
**The Impact You Will Have**
* Design and implement core systems and APIs that power Databricks Foundation Model Serving, ensuring scalability, reliability, and operational excellence.
* Partner with product and engineering leadership to define the technical roadmap and long\-term architecture for serving workloads.
* Drive architectural decisions and trade\-offs to optimize performance, throughput, autoscaling, and operational efficiency for GPU serving workloads.
* Contribute directly to key components across the serving infrastructure — from working in systems like vLLM and SGLang to creating token based rate limiters and optimizers — ensuring smooth and efficient operations at scale.
* Collaborate cross\-functionally with product, platform, and research teams to translate customer needs into reliable and performant systems.
* Establish best practices for code quality, testing, and operational readiness, and mentor other engineers through design reviews and technical guidance.
* Represent the team in cross\-organizational technical discussions and influence Databricks’ broader AI platform strategy.
**What We Look For**
* 10\+ years of experience building and operating large\-scale distributed systems.
* Experience leading high\-scale operationally sensitive backend systems.
* A track record of up\-leveling teams engineering excellence.
* Strong foundation in algorithms, data structures, and system design as applied to large\-scale, low\-latency serving systems.
* Proven ability to deliver technically complex, high\-impact initiatives that create measurable customer or business value.
* Strong communication skills and ability to collaborate across teams in fast\-moving environments.
* Strategic and product\-oriented mindset with the ability to align technical execution with long\-term vision.
* Passion for mentoring, growing engineers, and fostering technical excellence.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$192,000—$260,000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86">
      <c r="A86" t="inlineStr">
        <is>
          <t>li-4308827119</t>
        </is>
      </c>
      <c r="B86" t="inlineStr">
        <is>
          <t>Staff Software Engineer - Flink SQL</t>
        </is>
      </c>
      <c r="C86" t="inlineStr">
        <is>
          <t>Confluent</t>
        </is>
      </c>
      <c r="D86" t="inlineStr">
        <is>
          <t>linkedin</t>
        </is>
      </c>
      <c r="E86" t="inlineStr"/>
      <c r="F86" t="inlineStr"/>
      <c r="G86" t="inlineStr"/>
      <c r="H86" t="inlineStr"/>
      <c r="I86"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Confluent is seeking an innovative and executing Staff Engineer to help make stream processing feel like using a database with SQL. In this role, you will be instrumental in developing the core building blocks that will allow users a true just\-in time, consumption based experience, making it the most efficient and fast cloud native Apache Flink experience on the market. You will be working in a team with other known Flink experts iterating on an already existing implementation based on actual usage data and product requirements. With the team you will also be working on relevant components of open source Apache Flink that will benefit both the Open Source community as well as Confluent.
**What You Will Do**
* Work on the next iterations of Flink SQL components such as logical query planner, parser, optimizer and SQL runtime on Confluent Cloud to deliver an efficient and unified experience for batch and streaming workloads.
* Following a holistic development approach you will be responsible for the code quality, test coverage, documentation and maintainability of the components you and your team work on.
* Designing Components: You will not only implement aspects of Flink SQL but also draft designs, discuss them and curate and moderate a decision with involved stakeholders.
* Open Source contribution: As part of the Flink SQL team you will contribute to relevant changes and features to Open Source Apache Flink and help the community to maintain a high quality project by participating in relevant mailing list discussions, reviewing PRs affecting deployment and coordination components.
* Open Source visibility: You will also write blog posts and give talks at meetups and conferences to strengthen the position of Confluent Cloud as industry experts for stream processing and Apache Flink in particular.
* Team: As part of the team you will help to follow and maintain processes, by being an active part of the team, leading meetings and taking initiatives where feasible and participating in on\-call rotations.
* Mentoring: You will mentor other engineers with less experience in Apache Flink to get started in the community and more junior developers to get into the area of serverless Apache Flink.
**What You Will Bring**
* 10\+ years of relevant software development experience.
* Technical Expertise: Deep knowledge of database internals, especially around query planning and optimization. Extensive experience in software development, including hands\-on experience in designing and development of complex distributed systems.
* Problem Solving: Strong problem\-solving skills, capable of translating complex requirements into effective solutions.
* Communication: Excellent communication skills, both written and verbal, with the ability to collaborate across teams.
* Industry Engagement: Active involvement in stream processing communities, conferences, and a strong network within the industry.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$230\.8K \- $271\.2K</t>
        </is>
      </c>
    </row>
    <row r="87">
      <c r="A87" t="inlineStr">
        <is>
          <t>li-4300122259</t>
        </is>
      </c>
      <c r="B87" t="inlineStr">
        <is>
          <t>Sr. Software Engineer, Data &amp; Analytics</t>
        </is>
      </c>
      <c r="C87" t="inlineStr">
        <is>
          <t>Anduril Industries</t>
        </is>
      </c>
      <c r="D87" t="inlineStr">
        <is>
          <t>linkedin</t>
        </is>
      </c>
      <c r="E87" t="inlineStr"/>
      <c r="F87" t="inlineStr"/>
      <c r="G87" t="inlineStr">
        <is>
          <t>Costa Mesa, CA</t>
        </is>
      </c>
      <c r="H87" t="inlineStr"/>
      <c r="I8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Data \&amp; Analytics team builds the core data infrastructure that powers Anduril's operations. We design and implement scalable data architectures that model how Anduril functions across the organization. You will develop high\-performance data systems that serve as the digital twin of our operations, creating both the backend services and internal\-facing applications that drive mission\-critical decision\-making. If you are invested in Anduril's mission and interested in building mission\-critical data systems, you're in the right place.
**About The Job**
 We're looking for people who excel at building robust data systems. Designing schemas, optimizing performance, and writing the code that powers data\-intensive applications. You prioritize engineering excellence and are interested in pushing the boundaries of what data systems can achieve within an organization \- never settling for pipelines to dashboards and always pushing the bounds of what is possible . As a Senior Software Engineer, you should be a technical all\-star who can take complicated or opaque asks and turn them into business value.
**What You'll Do**
* Design and implement scalable database schemas and data models that serve Anduril's core operational needs
* Build performant data processing pipelines that transform raw data for dozens of use cases
* Architect end\-to\-end data solutions \- from database design through service layers to integration points to frontend applications
* Collaborate with cross\-functional stakeholders to understand complex business requirements and translate them into technical solutions
* Contribute to the technical roadmap for our data systems and help make critical architecture decisions
* Implement and enforce best practices for data integrity, security, and performance optimization
* Build domain expertise in areas such as Finance, Supply Chain, Manufacturing, People, and Sustainment to better design data models
* Be a force multiplier for the Data \&amp; Analytics team \- embody our principle of Velocity.
* Palantir Foundry is our central hub for data driven applications, visualizations and large scale data analysis across the Anduril org. We manage a large user base and provide true data self service at scale.
* We use SQLMesh for data transformations, giving our engineers the ability to work with SQL while enjoying software engineering best practices like version control, testing, and CI/CD for data pipelines.
* For querying data, we utilize Athena, an aws serverless solution that allows our team to run analytics directly on our data lake without managing infrastructure.
* We've implemented Apache Iceberg as our table format, providing advanced data management capabilities like schema evolution and time travel queries.
* We use Flyte for orchestration. It is a highly scalable, kubernetes native modern orchestration platform similar to Airflow or Dagster.
**Required Qualifications**
* 5\+ years of professional software engineering experience with a focus on data\-intensive applications
* Strong experience in database design and optimization
* Proficiency in Python \&amp; SQL
* Experience with cloud infrastructure and distributed systems
* Understanding of data modeling concepts and best practices
* Experience implementing security controls for sensitive data
* Ability to drive technical projects from conception to completion in a fast\-paced environment
* Excellent communication skills and ability to collaborate with cross\-functional teams
* Eligible to obtain and maintain an active U.S. Secret security clearance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8">
      <c r="A88" t="inlineStr">
        <is>
          <t>li-4289173112</t>
        </is>
      </c>
      <c r="B88" t="inlineStr">
        <is>
          <t>Staff Infrastructure Software Engineer, Enterprise AI</t>
        </is>
      </c>
      <c r="C88" t="inlineStr">
        <is>
          <t>Scale AI</t>
        </is>
      </c>
      <c r="D88" t="inlineStr">
        <is>
          <t>linkedin</t>
        </is>
      </c>
      <c r="E88" t="inlineStr"/>
      <c r="F88" t="inlineStr"/>
      <c r="G88" t="inlineStr"/>
      <c r="H88" t="inlineStr"/>
      <c r="I88" t="inlineStr">
        <is>
          <t>Scale GP is building the next generation of enterprise\-grade Generative AI products. Our platform provides APIs for knowledge retrieval, inference, and evaluation, enabling customers to build and deploy powerful
 **Agentic workflows** 
 for Enterprise use cases. We're looking for a
 **Senior Infrastructure Software Engineer** 
 to build and scale our core infrastructure in a fast\-paced environment. This team is key to our mission, directly enabling the deployment of these agentic flows for our customers.This is a unique opportunity for an infrastructure leader who is passionate about defining the future of AI deployments. You will be at the forefront of the industry, solving complex, bleeding\-edge problems in scalability, security, and developer efficiency. You will architect and implement solutions across multiple cloud providers (GCP, Azure, AWS) for customers in diverse, highly\-regulated industries like healthcare, telecom, finance, and retail.
**What You'll Do:**
* Define the architectural patterns for our multi\-cloud infrastructure to support secure, reliable, and scalable Agentic workflows for enterprise customers.
* Lead the infrastructure roadmap with a strong focus on compliance, privacy, and security standards, including designing change management and data isolation strategies.
* Own the development and maintenance of our best\-in\-class Agentic observability platform (logging, metrics, tracing, and analytics) to proactively ensure system health and enable rapid incident response.
* Drive developer efficiency by building automated tooling and championing Infrastructure\-as\-Code (IaC) paradigms throughout the engineering organization.
* Solve the toughest engineering problems related to multi\-tenancy, data isolation, and high\-performance inference at a massive scale, taking end\-to\-end ownership across the full product lifecycle.
**What We're Looking For:**
* Proven experience in a senior role, with 5\+ years of full\-time software engineering experience.
* Deep understanding of modern infrastructure practices, including CI/CD, IaC (e.g., Terraform, Helm Charts), container orchestration (e.g., Kubernetes) and observability platforms (e.g., Datadog, Prometheus, Grafana).
* Extensive experience with at least one major cloud provider (AWS, Azure, or GCP).
* Strong knowledge of security and compliance in enterprise environments, with a focus on access management, data isolation, and customer\-specific VPC setups.
* Proficiency in Python or JavaScript/TypeScript, and SQL.
* Bonus points: Hands\-on experience and a passion for working with Agents, LLMs, vector databases, and other emerging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89">
      <c r="A89" t="inlineStr">
        <is>
          <t>li-4310436940</t>
        </is>
      </c>
      <c r="B89" t="inlineStr">
        <is>
          <t>Software Engineer II</t>
        </is>
      </c>
      <c r="C89" t="inlineStr">
        <is>
          <t>Collins Aerospace</t>
        </is>
      </c>
      <c r="D89" t="inlineStr">
        <is>
          <t>linkedin</t>
        </is>
      </c>
      <c r="E89" t="inlineStr"/>
      <c r="F89" t="inlineStr"/>
      <c r="G89" t="inlineStr">
        <is>
          <t>Annapolis Junction, MD</t>
        </is>
      </c>
      <c r="H89" t="inlineStr"/>
      <c r="I89" t="inlineStr">
        <is>
          <t>**Date Posted:**
 2026\-01\-29
**Country:**
 United States of America
**Location:**
 US\-MD\-ANNAPOLIS JUNCTION\-339 \~ 306 Sentinel Dr \~ 339 BLDG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TS/SCI \- Current
**Security Clearance Status:**
 Active and existing security clearance required on day 1
**Applied Signal Technology (AST** 
 ) is seeking a
 **Software Engineer II** 
 who strives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dynamic, highly collaborative and provides engineers the freedom to strengthen and expand their skills, explore new and creative ideas, and work closely with our nation’s finest service members all while embracing integrity, innovation and work\-life balance.
 This is an
 **ONSITE** 
 position located at our
 **Annapolis Junction, MD** 
 location. To find out more about
 **AST** 
 please, click the link below: Applied Signal Technology: WHO WE ARE
**What You Will Do:**
* Participate in the requirements, design, development and testing of software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Follow established development practices and processes to maintain the configuration management of software products
* Travel up to 25%
**Qualifications You Must Have:**
* Typically requires a degree in Science, Technology, Engineering or Mathematics (STEM) and minimum 2 years of prior relevant experience or an Advanced Degree in a related field
* Typically requires a minimum of 2 years of experience developing in C/C\+\+
* Experience with system\-level integration and testing, specifically, the integration of advanced, custom processing systems, testbeds, and software
* Experience with scripting languages such as Bash, Python, Perl and JavaScript
* Experience with XML
* Experience developing, coding, testing, and debugging complex algorithms
* Active and transferable Top\-Secret SCI (TS/SCI) U.S. government issued security clearance is required prior to start date.
* U.S. citizenship is required, as only U.S. citizens are eligible for a security clearance
**Qualifications We Prefer:**
* Experience developing in C/C\+\+ within a Linux environment
* Experience with User Interface development
* Experience with Qt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Experience with GPU architectures and TensorFlow scripting
* Existing TS/SCI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\#AST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0">
      <c r="A90" t="inlineStr">
        <is>
          <t>li-4287419258</t>
        </is>
      </c>
      <c r="B90" t="inlineStr">
        <is>
          <t>Software Engineer Graduate (Applied Machine Learning - MLDev) - 2026 Start (BS/MS)</t>
        </is>
      </c>
      <c r="C90" t="inlineStr">
        <is>
          <t>ByteDance</t>
        </is>
      </c>
      <c r="D90" t="inlineStr">
        <is>
          <t>linkedin</t>
        </is>
      </c>
      <c r="E90" t="inlineStr"/>
      <c r="F90" t="inlineStr"/>
      <c r="G90" t="inlineStr">
        <is>
          <t>San Jose, CA</t>
        </is>
      </c>
      <c r="H90" t="inlineStr"/>
      <c r="I90" t="inlineStr">
        <is>
          <t>**Responsibilities**
 About the team:
 The mission of our AML team is to push the next\-generation AI infrastructure and recommendation platform for the ads ranking, search ranking, live \&amp; ecom ranking in our company. We also drive substantial impact on core businesses of the company. We are looking for Software Engineer New Grads to join our team to support and advance that mission.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Responsible for the design and implementation of a global\-scale machine learning system for feeds, ads and search ranking models.
* Responsible for improving use\-ability and flexibility of the machine learning infrastructure.
* Responsible for improving the efficiency of model training and serving.
**Qualifications**
 Minimum Qualifications:
* Currently pursuing a MS in Software Development, Computer Science, Computer Engineering, or a related technical discipline
* Have distributed system or other infrastructure system experience
* CUDA, Compiler, AND/OR C\+\+ experience
* Computer architecture (CPUs, Memory Storage, microarchitecture, etc.), or hardware infrastructure experience
* ML/Deep learning Frameworks: GPUs/TPUs along with Tensorflow/Pytorch
**Preferred Qualifications:**
* Experience contributing to an open sourced machine learning framework (TensorFlow/PyTorch), experience on improving core machine learning infrastructure.
* Strong background in one of the following fields: Hardware\-Software Co\-Design, High Performance Computing, ML Hardware Acceleration (e.g., GPU/TPU/RDMA) or ML for Systems.
* Experience in developing and deploying large\-scale systems (e.g. Monitoring, Analyzing, Troubleshooting, and Notification systems), strong understanding of code optimizing, routine task automation and failure self\-healing, familiar with IaC technologies like Terraform/Ansible.
 By submitting an application for this role, you accept and agree to our global applicant privacy policy, which may be accessed here: https://jobs.bytedance.com/en/legal/privacy
 If you have any questions, please reach out to us at apac\-earlycareers@bytedance.com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91">
      <c r="A91" t="inlineStr">
        <is>
          <t>li-4250755977</t>
        </is>
      </c>
      <c r="B91" t="inlineStr">
        <is>
          <t>Senior Software Engineer, Robotics, Surface Maritime</t>
        </is>
      </c>
      <c r="C91" t="inlineStr">
        <is>
          <t>Anduril Industries</t>
        </is>
      </c>
      <c r="D91" t="inlineStr">
        <is>
          <t>linkedin</t>
        </is>
      </c>
      <c r="E91" t="inlineStr"/>
      <c r="F91" t="inlineStr"/>
      <c r="G91" t="inlineStr">
        <is>
          <t>Costa Mesa, CA</t>
        </is>
      </c>
      <c r="H91" t="inlineStr"/>
      <c r="I9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 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
**About The Job**
 Senior Robotics Engineers independently drive delivery of vehicle perception and planning capability integrated in to our products. This includes systems analysis, sensor selection and integration, perception architecture and implementation, motion planning, health management, behavior analysis, simulation and test infrastructure, and interfaces with lower\- and higher\-level systems. We expect Senior Robotics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
**What You'll Do**
* Design and implement trusted safe navigation, collision avoidance, and situational awareness systems that balance constraints, restrictions and requirements in a multi\-stakeholder environment
* Design and implement scalable sub\-systems including sensor processing, perception, tracking, motion planning, health management, anomaly detection, simulation, testing fixtures, and vehicle interfaces
* Contribute to the design and development of existing software components across Anduril, with the aim of developing components that are re\-usable across multiple Anduril product lines
* Utilize advanced techniques in computer vision, sensor fusion, and machine learning to enhance perception and planning capabilities of Anduril vehicles
* Conduct thorough testing and validation of perception and planning algorithms through development and use of simulation and analysis of data from real\-world experiments, including evolving the data analysis tooling.
* Collaborate with cross\-functional teams, including software engineers, mechanical engineers, and systems engineers, to ensure effective system integration and testing
* Travel to co\-locate with end\-users and/or other teams up to 20% of the time
**Required Qualifications**
* Bachelor’s degree in Robotics, Mechatronics, Computer Science, Engineering, a relevant field, or equivalent experience
* Experienced and proficient in C\+\+ and/or Python software development
* Familiarity with autonomous vehicle hardware and sensors such as radar, sonar, LIDAR, and cameras
* Demonstrated knowledge of at least one of: computer vision, sensor fusion, SLAM, motion planning, machine learning
* Experience in a senior perception or planning role for the delivery of a robotic system
* Capacity to act as the technical owner for a sysem, including stakeholder engagement, requirements definition, roadmap management, team co\-ordination, design, implementation, sustainment and evolution
* Ability to collaborate with stakeholders to define and implement robust validation and verification strategies for perception and planning modules
* Capacity to learn and grow individually, while mentoring junior team members effectively, building team cohesion and capacity
* Eligible to obtain and maintain an active U.S. Secret security clearance
**Preferred Qualifications**
* Experience with autonomous systems in the ground, air, maritime or space domains
* Experience with simulation tools and frameworks, such as Gazebo, Unity, or Unreal Engine, for algorithm validation and testing
* Knowledge of safety standards and certification processes for autonomous systems
* Familiarity with System Engineering concepts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2">
      <c r="A92" t="inlineStr">
        <is>
          <t>li-4239101009</t>
        </is>
      </c>
      <c r="B92" t="inlineStr">
        <is>
          <t>Staff Software Engineer, Local Environments Team</t>
        </is>
      </c>
      <c r="C92" t="inlineStr">
        <is>
          <t>Gusto</t>
        </is>
      </c>
      <c r="D92" t="inlineStr">
        <is>
          <t>linkedin</t>
        </is>
      </c>
      <c r="E92" t="inlineStr"/>
      <c r="F92" t="inlineStr"/>
      <c r="G92" t="inlineStr"/>
      <c r="H92" t="inlineStr"/>
      <c r="I92"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Staff Software Engineer on the Developer Productivity \- Local Environments team, you will be a key player in defining, maintaining and enhancing the local development experience for our software engineering team. You will be responsible for ensuring environments are consistently working, troubleshooting issues, streamlining initial setups, and driving improvements to our tooling and processes. Crucially, you will also be exploring and implementing innovative ways to leverage Artificial Intelligence (AI) to further optimize our development environments and accelerate local development. You will collaborate closely with engineers across various teams to understand their needs and provide effective solutions, with a forward\-thinking approach towards incorporating intelligent automation.
**About The Team**
 The Local Environments team, part of the Developer Productivity organization, is responsible for empowering our software engineers through consistent, reliable, and delightful local development experiences that maximizes engineering velocity and minimizes friction to shipping. We understand that a well\-functioning local environment is crucial for productivity, innovation, and overall developer happiness. We proactively work to ensure environments are stable, easy to set up, and continuously improved, allowing our engineers to focus on building amazing software.
**Here’s What You’ll Do Day\-to\-day**
* Identify opportunities for improvement and drive initiatives to enhance the efficiency and reliability of development environments with a focus on building faster developer feedback loops leveraging emerging AI technologies balanced with established practices and tool chains.
* Contribute to the development and improvement of internal platforms and tools related to development environments.
* Work closely with software engineers to understand their pain points and requirements related to local development.
* Collaborate with other infrastructure and platform teams to ensure seamless integration of development environments with other systems.
* Proactively monitor and maintain the health and stability of standard development environments.
* Diagnose and resolve issues related to local setups, including operating system configurations, networking, dependencies, and tooling.
**Here’s What We're Looking For**
* 10\+ years of software development experience
* Curiosity and ability to operate in an AI\-native environment — integrating intelligence, automation, and experimentation to increase developer productivity through tooling and infrastructure enhancements.
* Systems thinker with a strong ability to communicate effectively.
* Comfortable with architectural thinking and delivering solutions through code.
* Experience with Rails and Ruby, including developer tooling for large engineering teams.
* Ability to work with colleagues as both customers and partners.
* Active working knowledge and architecture experience with Ruby.
* Experience with asynchronous processing using Sidekiq and/or Kafka.
 Our cash compensation amount for this role is targeted at $190,000/yr to $210,000/yr in Denver \&amp; most remote locations, and $220,000/yr to $250,000/yr in New York, Seattle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93">
      <c r="A93" t="inlineStr">
        <is>
          <t>li-4363877505</t>
        </is>
      </c>
      <c r="B93" t="inlineStr">
        <is>
          <t>Lead Software Engineer - Java/Spring-Boot</t>
        </is>
      </c>
      <c r="C93" t="inlineStr">
        <is>
          <t>JPMorganChase</t>
        </is>
      </c>
      <c r="D93" t="inlineStr">
        <is>
          <t>linkedin</t>
        </is>
      </c>
      <c r="E93" t="inlineStr"/>
      <c r="F93" t="inlineStr"/>
      <c r="G93" t="inlineStr">
        <is>
          <t>Plano, TX</t>
        </is>
      </c>
      <c r="H93" t="inlineStr"/>
      <c r="I93" t="inlineStr">
        <is>
          <t>**Job Description**
 We have an opportunity to impact your career and provide an adventure where you can push the limits of what's possible.
 As a Lead Software Engineer at JPMorganChase within the Payments Technology group,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Participates in, design and develop scalable and resilient systems using Java to contribute to continual, iterative improvements for product teams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Proficient in coding in Java and in particular Spring\-Boot
* Hands\-on practical experience delivering system design, application development, testing, and operational stability
* Experience in developing, debugging, and maintaining code in a large corporate environment with one or more modern programming languages and database querying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Familiarity with modern front\-end technologies (React)
* Prefer experience with Kubernetes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4">
      <c r="A94" t="inlineStr">
        <is>
          <t>li-4273281553</t>
        </is>
      </c>
      <c r="B94" t="inlineStr">
        <is>
          <t>Software Engineer Graduate (Ads ML Infrastructure) - 2026 Start (BS/MS)</t>
        </is>
      </c>
      <c r="C94" t="inlineStr">
        <is>
          <t>TikTok</t>
        </is>
      </c>
      <c r="D94" t="inlineStr">
        <is>
          <t>linkedin</t>
        </is>
      </c>
      <c r="E94" t="inlineStr"/>
      <c r="F94" t="inlineStr"/>
      <c r="G94" t="inlineStr">
        <is>
          <t>San Jose, CA</t>
        </is>
      </c>
      <c r="H94" t="inlineStr"/>
      <c r="I94" t="inlineStr">
        <is>
          <t>**Responsibilities**
 About the team
 The ads system at TikTok operates on a massive scale and serves millions of advertisers, clients and influencers across the world. The quality of the ads system highly depends on the ability to handle massive data, and machine learning is widely used to improve the quality of our ads. The Ads machine learning data platform team is responsible for building highly efficient and stable infrastructure to collect and process data for the usage of machine learning training, serving, and privacy enforcement, including feature engineering, feature store, training data generation, etc.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**Responsibilities**
* Lead projects committed to building and operating scalable and reliable Ads ranking infrastructure systems.
* Provide technical leadership and guidance to team members and project peers.
* Communicate cross\-functionally across various teams, organizations and internal and external stakeholders to drive engineering efforts.
* Lead the innovation efforts, and bring in new ideas and technologies.
**Qualifications**
 Minimum Qualifications
* Bachelor's degree in computer science or related technical disciplines.
* Strong Computer Science fundamentals (algorithms, data structures, software design) and problem\-solving skills.
* Solid coding skills and a good understanding of algorithms, especially causal inference, uplift model, and deep learning.
* Experience in managing projects.
 Preferred Qualifications
* Experience in Ads domain.
* Experience with building large\-scale ranking infrastructure.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95">
      <c r="A95" t="inlineStr">
        <is>
          <t>li-4308847515</t>
        </is>
      </c>
      <c r="B95" t="inlineStr">
        <is>
          <t>Staff Software Engineer (embedded)</t>
        </is>
      </c>
      <c r="C95" t="inlineStr">
        <is>
          <t>DZYNE Technologies</t>
        </is>
      </c>
      <c r="D95" t="inlineStr">
        <is>
          <t>linkedin</t>
        </is>
      </c>
      <c r="E95" t="inlineStr"/>
      <c r="F95" t="inlineStr"/>
      <c r="G95" t="inlineStr">
        <is>
          <t>Portland, OR</t>
        </is>
      </c>
      <c r="H95" t="inlineStr"/>
      <c r="I95" t="inlineStr">
        <is>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Staff Embedded Software Engineer**
**Location:** 
 Portland, OR
**Position Description**
 We are looking for a motivated and skilled Software team member that will be responsible for working with a cross\-disciplinary team of engineers developing and maturing our rapidly growing family of counter drone technologies. This role will involve designing, developing, testing, and maintaining firmware and low\-level software for embedded systems. This role will work in a software development and manufacturing environment where projects are realized with the highest degree of commitment to quality and efficiency.
**Required Skills/Qualifications**
* Excellent written and oral communication skills
* Adaptable, eager to learn, and create, with a proactive attitude towards continuous improvement
* Ability to work in a small team to rapidly prototype and develop new products
* 7\+ years relevant experience working with embedded Software
* Familiarity with hardware debugging tools (JTAG/SWD debuggers)
* Understanding of embedded system architectures
* Experience with Jira, and GitLab or Github and continuous integration tools
**Preferred Skills/Qualifications**
* Advanced degree preferred
* Understanding of automated build environments along with automated test and deployment
* Experience using Video 4 Linux for Nvidia SoMs
* Experience with embedded Linux (device trees, kernel modules, build systems like Yocto)
* Knowledge of Real\-time operating systems (RTOS)
* Understanding of serial data protocols (RS\-232/485, I2C, SPI)
* Use of application Containers (Docker, rkt, podman)
* Familiarity with wireless protocols (Bluetooth, Wi\-Fi, LoRa,)
**Education**
 Bachelor’s Degree in STEM field.
**Clearance Level Required:** 
 US Person Required; No Security Clearance Required
**Travel:** 
 Up to 10%
**Working Conditions**
 The diversity of work conditions may range from an environment where there is little or no physical discomfort, such as a general office environment or warehouse.
**Physical Demands**
 The physical demands described here are representative of those that must be met by an employee to successfully perform the essential functions of this job.
* Must have the ability to stand, climb, occasionally lift a minimum of 25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**Other Requirements**
 It is an essential requirement for the person in this role to have a legal right to work in the United States and be eligible to obtain any required Export Authorization and DoD Clearance.
 S
 **alary** 
 : $140,000 \- $170,000 annually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**Benefits**
 Our benefits are DZYNE’ed for your overall health and financial wellness. DZYNE provides comprehensive medical, dental, and vision plans, employee life and accidental death, and disability.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t>
        </is>
      </c>
    </row>
    <row r="96">
      <c r="A96" t="inlineStr">
        <is>
          <t>li-4280399737</t>
        </is>
      </c>
      <c r="B96" t="inlineStr">
        <is>
          <t>Software Engineer Graduate (Data Arch - Data Ecosystem ) - 2026 Start (BS/MS)</t>
        </is>
      </c>
      <c r="C96" t="inlineStr">
        <is>
          <t>TikTok</t>
        </is>
      </c>
      <c r="D96" t="inlineStr">
        <is>
          <t>linkedin</t>
        </is>
      </c>
      <c r="E96" t="inlineStr"/>
      <c r="F96" t="inlineStr"/>
      <c r="G96" t="inlineStr">
        <is>
          <t>San Jose, CA</t>
        </is>
      </c>
      <c r="H96" t="inlineStr"/>
      <c r="I96" t="inlineStr">
        <is>
          <t>**Responsibilities**
 About the team:
 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for a maximum of TWO positions and will be considered for jobs in the order you applied for. The application limit is applicable to TikTok and its affiliates' jobs globally. Applications will be reviewed on a rolling basis \- we encourage you to apply early.
**Responsibilities:**
* Design and implement real\-time and offline data architecture for large\-scale recommendation systems.
* Build scalable and high\-performance streaming Lakehouse systems that power feature pipelines, model training, and real\-time inference.
* Collaborate with ML platform teams to support PyTorch\-based model training workflows and design efficient data formats and access patterns for large\-scale samples and features.
* Own core components of our distributed storage and processing stack, from file format to stream compaction to metadata management.
**Qualifications**
 Minimum Qualifications:
* Bachelor's degree or above (or expected by 2026\) in Computer Science or related technical field.
* Experience building large\-scale distributed systems, preferably in storage, stream processing, or ML infrastructure.
* Familiarity with modern Lakehouse technologies such as Apache Paimon, Iceberg, Delta Lake, or Hudi, especially around incremental ingestion, schema evolution, and snapshot isolation.
**Preferred Qualifications:**
* Understanding of Apache Flink internals, with hands\-on experience in state management, connectors, or UDFs.
* Experience in designing and optimizing Flink \+ Paimon architectures for unified batch/stream processing.
* Familiarity with feature storage and training data pipelines, and their integration with PyTorch, especially for large\-scale model training.
* Knowledge of columnar file formats (Parquet, ORC, Lance) and how they are used in feature engineering or ML data loading.
* Proficiency in Java/Scala/C\+\+, and strong debugging/performance tuning ability.
* Previous experience in Lakehouse metadata management, compaction scheduling, or data versioning is a plus.
* Knowledge of legacy data stores like HBase/Kudu is a bonus but not required.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97">
      <c r="A97" t="inlineStr">
        <is>
          <t>li-4297749054</t>
        </is>
      </c>
      <c r="B97" t="inlineStr">
        <is>
          <t>Staff Software Engineer - Customer Engagement &amp; Docs Platform</t>
        </is>
      </c>
      <c r="C97" t="inlineStr">
        <is>
          <t>Databricks</t>
        </is>
      </c>
      <c r="D97" t="inlineStr">
        <is>
          <t>linkedin</t>
        </is>
      </c>
      <c r="E97" t="inlineStr"/>
      <c r="F97" t="inlineStr"/>
      <c r="G97" t="inlineStr">
        <is>
          <t>San Francisco, CA</t>
        </is>
      </c>
      <c r="H97" t="inlineStr"/>
      <c r="I97" t="inlineStr">
        <is>
          <t>**Who We Are**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Our AI\-powered Assistant serves as the initial point of contact for customers seeking assistance on how to use our platform effectively. The Customer Engagement and Docs platform team's objective is to help customers resolve their problems faster using AI / LLMs. We provide customers with precise and comprehensive solutions to their problems or build experiences to facilitate a seamless escalation to a support agent when necessary.
 As a Staff Engineer, you will operate at the intersection of Product development and Machine Learning. Responsibilities include gaining a deep understanding of user behavior; identifying factors contributing to problems; leveraging Product, Machine Learning (ML) and Large Language Models (LLMs) to analyze intricate technical use cases within a secure enterprise environment and eventually providing a path to resolving them.
**The Impact You Will Have**
* Lead design, development, and deployment of systems for Evaluation, Answer retrieval and Quality improvement for helping customers.
* Lead architectural decisions to ensure performance, reliability, and accuracy of the knowledge systems.
* Drive best practices for engineering excellence, including design reviews, code quality, testing strategies, and performance optimizations.
* Deliver high\-quality, production\-ready code and services end\-to\-end — including performance tuning, resiliency improvements, and debugging in live environments.
* Contribute to longer\-term technical planning and support strategic initiatives in Assistant and Support organizations.
**What We Look For**
* 6\+ years of industry experience building and operating large\-scale distributed systems.
* Demonstrated technical proficiency in machine learning and software engineering, coupled with a strong product\-oriented approach.
* The capacity to define and structure solutions in ambiguous problem domains.
* Ability to mentor and guide junior engineers, as well as to effectively collaborate across various team boundaries.
* Track record of driving high\-impact, technically complex initiatives that delivered clear customer or business value.
* Prior experience with retrieval systems and search technologies is a plus.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$190,000—$260,000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98">
      <c r="A98" t="inlineStr">
        <is>
          <t>li-4340563769</t>
        </is>
      </c>
      <c r="B98" t="inlineStr">
        <is>
          <t>Principal Frontend Engineer</t>
        </is>
      </c>
      <c r="C98" t="inlineStr">
        <is>
          <t>CarGurus</t>
        </is>
      </c>
      <c r="D98" t="inlineStr">
        <is>
          <t>linkedin</t>
        </is>
      </c>
      <c r="E98" t="inlineStr"/>
      <c r="F98" t="inlineStr"/>
      <c r="G98" t="inlineStr">
        <is>
          <t>Boston, MA</t>
        </is>
      </c>
      <c r="H98" t="inlineStr"/>
      <c r="I98" t="inlineStr">
        <is>
          <t>**Who We Are**
 At CarGurus (NASDAQ: CARG), our mission is to give people the power to reach their destination. We started as a small team of developers determined to bring trust and transparency to car shopping. Since then, our history of innovation and go\-to\-market acceleration has driven industry\-leading growth. In fact, we’re the largest and fastest\-growing automotive marketplace, and we’ve been profitable for over 15 years.
**What We Do**
 The market is evolving, and we are too, moving the entire automotive journey online and guiding our customers through every step. That includes everything from the sale of an old car to the financing, purchase, and delivery of a new one. Today, tens of millions of consumers visit CarGurus.com each month, and \~30,000 dealerships use our products. But they're not the only ones who love CarGurus—our employees do, too. We have a people\-first culture that fosters kindness, collaboration, and innovation, and empowers our Gurus with tools to fuel their career growth. Disrupting a trillion\-dollar industry requires fresh and diverse perspectives. Come join us for the ride!
**Role Overview**
 CarGurus' Dealer Engagement Platform group is seeking a highly skilled and motivated Principal Frontend Engineer to help drive the next generation of analytics, data products, and dealer\-facing experiences.
 In this impactful role, work closely with teams in the Dealer organization, Product, Data Science, Product Data Analytics, Sales, Marketing, and Customer Success teams to deliver scalable, insightful, and intuitive market intelligence solutions. If you're a strategic thinker and executor who thrives on transforming complex data into impactful, easy\-to\-understand insights, we’d love to hear from you!
**What You'll Do**
* Collaborate with engineers, designers, product managers, and data scientists to turn ideas into fully implemented features, from design through implementation, testing and measurement.
* Build and ship new frontend features that deliver a polished, high\-quality user experience.
* Take ownership of architecture and design decisions for new capabilities, particularly for systems that handle large\-scale data and present it intuitively to users.
* Ensure systems are performant, reliable, and scalable, while maintaining security and best practices.
* Elevate the team's code and practices by writing efficient, maintainable, and well\-tested code, and by conducting code reviews and mentoring others.
* Continuously learn, adopt, and advocate for new technologies and methodologies to improve team effectiveness and product quality.
**What You'll Bring**
* 8\+ years of professional software development experience with modern web applications using JavaScript (ES6\+) frameworks, preferably React.
* Experience with TypeScript and React
* Experience working in Platform teams , working across internal and external stakeholders
* Experience with AI tools to ideate quickly
* Able to provide technical guidance and mentor engineers across the organization
* Experience working in cross\-functional teams with technical and non\-technical partners
* The ability to iterate and ship ideas quickly
* Bachelor’s degree in Computer Science or Computer Engineering
 The displayed range represents the expected annual base salary / On\-Target Earnings (OTE) for this position. On\-Target Earnings (OTE) is inclusive of base salary and on\-target commission earnings, which applies exclusively to sales roles.
 Individual pay within this range is determined by work location and other factors such as job\-related skills, experience, and relevant education or training.
 This annual base salary forms part of a comprehensive Total Rewards Package. In addition to benefits, this role may qualify for discretionary bonuses/incentives and Restricted Stock Units (RSUs).
 Position Pay Range
 $168,000—$210,000 USD
**Working at CarGurus**
 We reward our Gurus’ curiosity and passion with best\-in\-class benefits and compensation, including equity for all employees, both when they start and as they continue to grow with us. Our career development and corporate giving programs, as well as our employee resource groups (ERGs) and communities, help people build connections while making an impact in personally meaningful ways. A flexible hybrid model and robust time off policies encourage work\-life balance and individual well\-being. Thoughtful perks like daily free lunch, a new car discount, meditation and fitness apps, commuting cost coverage, and more help our people create space for what matters most in their personal and professional lives.
**We welcome all**
 CarGurus strives to be a place to which people can bring the ultimate expression of themselves and their potential—starting with our hiring process. We do not discriminate based on race, color, religion, national origin, age, sex, marital status, ancestry, physical or mental disability, veteran status, gender identity, or sexual orientation. We foster an inclusive environment that values people for their skills, experiences, and unique perspectives. That’s why we hope you’ll apply even if you don’t check every box listed in the job description. We also encourage you to tell your recruiter if you require accommodations to participate in our hiring process due to a disability so we can provide the appropriate support. We want to know what only you can bring to CarGurus.</t>
        </is>
      </c>
    </row>
    <row r="99">
      <c r="A99" t="inlineStr">
        <is>
          <t>li-4236276390</t>
        </is>
      </c>
      <c r="B99" t="inlineStr">
        <is>
          <t>Engineering &amp; Quality - Software Engineer, Associate Director</t>
        </is>
      </c>
      <c r="C99" t="inlineStr">
        <is>
          <t>Fitch Group, Inc.</t>
        </is>
      </c>
      <c r="D99" t="inlineStr">
        <is>
          <t>linkedin</t>
        </is>
      </c>
      <c r="E99" t="inlineStr"/>
      <c r="F99" t="inlineStr"/>
      <c r="G99" t="inlineStr">
        <is>
          <t>Chicago, IL</t>
        </is>
      </c>
      <c r="H99" t="inlineStr"/>
      <c r="I99" t="inlineStr">
        <is>
          <t>**Fitch Tec hnology is currently seeking a QA Engineer, Associate Director based out of our Chicago office.**
**About Fitch Group:** 
 As a leading, global financial information services provider, Fitch Group delivers vital credit and risk insights, robust data, and dynamic tools to champion more efficient, transparent financial markets. With over 100 years of experience and colleagues in over 30 countries, Fitch Group’s culture of credibility, independence, and transparency is embedded throughout its structure, which includes Fitch Ratings, one of the world’s top three credit ratings agencies, and Fitch Solutions, a leading provider of insights, data and analytics. With dual headquarters in London and New York, Fitch Group is owned by Hearst.
**About The Team**
 We are in search of an Engineer to elevate the quality assurance processes for our Fitch Ratings Workflow Analytical applications. This role entails close collaboration with the systems supporting the Fitch Ratings operations and analytical communities. The position offers a unique opportunity to gain a profound understanding of the business domain and to ensure the highest standards of system and data quality for Fitch Ratings.
**How You’ll Make An Impact**
* Serve as a Testing Engineer on an agile squad, Mentor other engineers
* Contribute to and develop sophisticated automation frameworks that are efficient, flexible, and reusable in Selenium
* Integrate test case execution and reporting within the CI/CD pipeline to align with the DevOps strategy, criteria, requirements, and user stories
* Work with cross\-functional teams including business analysts, developers, and users to build and refine test strategies for your team as well as to ensure integrity of dependent systems
* Influence the team to design and build for testability
* Implement BDD practices and frameworks to enhance test automation and acceptance criteria
* Work in the SDET capacity to automate early in conjunction with other engineer’s efforts to build systems.
**You May Be a Good Fit If**
* 8\+ years of experience with automation testing, recent experience with Selenium and translating requirements into test cases using Selenium Java
* 4\+ years integrating automated testing with DevOps tools (Bamboo/Jenkins, Git/Bitbucket) and working in Scrum\-based Agile teams
* 4\+ years of visual/UI testing and Rest Assured / Open API testing
* Hands\-on building reusable test components to validate AI\-generated outputs against business logic, factual accuracy, and explainability standards is a plus.
* Experience in leveraging code assistants like Amazon Q or Microsoft Copilot to accelerate test case creation, code suggestions and documentation to improve efficiency and accuracy
* Experience testing event\-driven services, message queues, and event brokers (Kafka)
* Proficient in performance testing tools (JMeter, K6, Neoload, LoadRunner)
* Skilled in writing SQL/NoSQL queries for data verification
* In\-depth knowledge of Selenium WebDriver and DB testing with SQL
* Solid understanding of BDD concepts, acceptance criteria and testing
* Excellent analytical, problem\-solving, and communication skills
* Ability to deliver high quality results in a complex environment by driving initiatives forward.
**What Would Make You Stand Out**
* Python code for testing and use of Python frameworks (Pandas, Numpy, Requests)
* Experience in UFT automation tool
* Exposure to Code quality metrics, and shift\-left principles
* Experience testing container resiliency (Docker/Kubernetes)
* Experience designing large end to end performance scenarios
* Experience adding performance validation to CI pipelines
* Exposure to the financial industry domain and data platforms (data warehouses, data lakes)
**Why Choose Fitch**
* Hybrid Work Environment: 2 to 3 days a week in office required based on your line of business and location
* A Culture of Learning \&amp; Mobility: Dedicated trainings, leadership development and mentorship programs designed to ensure that your time at Fitch will be a continuous learning opportunity
* Investing in Your Future: Retirement planning and tuition reimbursement programs that empower you to achieve your short and long\-term goals
* Promoting Health \&amp; Wellbeing: Comprehensive healthcare offerings that enable physical, mental, financial, social, and occupational wellbeing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Fitch is committed to providing global securities markets with objective, timely, independent and forward\-looking credit opinions. To protect Fitch’s credibility and reputation, our employees must take every precaution to avoid conflicts of interest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evaluatequalified applicants without regard to race, color, national origin, religion, sex, sexual orientation, gender identity, disability, protected veteran status, and other statuses protected by law.
**FOR CHICAGO ROLES ONLY:** 
 Expected base pay rates for the role will be between $140,000 and $150,000 per year. Actual salaries will be determined on an individualized basis and may vary based on factors including but not limited to education, training, experience, past performance, and other job\-related factors. Base pay is one part of Fitch’s total compensation package, which, depending on the position, may also include commission earnings, discretionary bonuses, long\-term incentives, and other benefits sponsored by Fitch.</t>
        </is>
      </c>
    </row>
    <row r="100">
      <c r="A100" t="inlineStr">
        <is>
          <t>li-4312419726</t>
        </is>
      </c>
      <c r="B100" t="inlineStr">
        <is>
          <t>Sr Research and Development Software Engineer - AI &amp; ML</t>
        </is>
      </c>
      <c r="C100" t="inlineStr">
        <is>
          <t>Charles Schwab</t>
        </is>
      </c>
      <c r="D100" t="inlineStr">
        <is>
          <t>linkedin</t>
        </is>
      </c>
      <c r="E100" t="inlineStr"/>
      <c r="F100" t="inlineStr"/>
      <c r="G100" t="inlineStr">
        <is>
          <t>Austin, TX</t>
        </is>
      </c>
      <c r="H100" t="inlineStr"/>
      <c r="I100" t="inlineStr">
        <is>
          <t>Your opportunity
 The R\&amp;D Software Engineer will be part of a small development team to conduct research on emerging technology and user trends, create innovative concepts to improve Schwab's customer experience, implement prototypes and present them to Schwab Leadership teams.
 Are you a type of person who welcomes the challenge and the passion for cutting edge technology to achieve something extraordinary? Do you like the idea of turning a “sketch on a napkin” into something your users can see, touch and feel?
 Our team is responsible for conducting experiments that yield learnings to the business and technology teams, inspiring them to take successful concepts to production. The R\&amp;D team, by design, works in sandbox environments and develops proofs\-of\-concept (PoC) to advise and catalyze production product backlogs.
**What You Are Good At**
* Collaborate with and mentor a small group of engineers working on R\&amp;D initiatives, exploratory technologies, and PoCs.
* Present functional prototypes and concepts to Schwab executives and stakeholders.
* Work cross\-functionally with Schwab Technology and product teams to coordinate demos, discussions, ideation sessions, and strategic planning.
* Anticipate emerging technology advancements that could impact Schwab’s products or customer experience.
* Stay current on technology and industry trends; contribute to team knowledge growth.
* Analyze consumer, business, and technical trends to inform R\&amp;D plans and experiments.
* Experiment independently to discover new insights, solve challenges, and explore new technology directions.
* Think creatively and push boundaries while leading others to do the same.
 What you have
**Minimum Years Of Experience**
* 6–8 years in software/computer engineering or similar technical roles.
* 2–4 years working specifically in Artificial Intelligence, with an emphasis on Generative AI.
**Required Skills \&amp; Qualifications**
* Experience with Gen\-AI and associated technologies (LLMs, PyTorch/TensorFlow, Transformer models).
* Strong understanding and passion for data analysis.
* Demonstrated success working in diverse team environments.
* Ability to quickly prototype, innovate, and find new ways to solve complex problems.
* Clear and confident communication skills for both small and large audiences.
* Ability to articulate direction, decisions, and technology recommendations.
* Experience mentoring junior engineers on frameworks, best practices, and solution design.
* Passion for high\-quality engineering; intolerance for poor design or execution.
* Strong desire to “wow” customers and create visible business impact.
**Preferred Skills \&amp; Additional Experience**
* Experience developing industry prototypes, PoCs, and sandbox experiments.
* Strategic thinking with the ability to translate trends into actionable project direction.
* Experience facilitating demos, ideation sessions, and planning workshops with senior leaders.
* Background integrating market research, technical insights, and consumer behavior into R\&amp;D strategies.
* Financial services or fintech industry experience (highly desirable).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01">
      <c r="A101" t="inlineStr">
        <is>
          <t>li-4297742139</t>
        </is>
      </c>
      <c r="B101" t="inlineStr">
        <is>
          <t>Staff Software Engineer - Security Infrastructure</t>
        </is>
      </c>
      <c r="C101" t="inlineStr">
        <is>
          <t>Databricks</t>
        </is>
      </c>
      <c r="D101" t="inlineStr">
        <is>
          <t>linkedin</t>
        </is>
      </c>
      <c r="E101" t="inlineStr"/>
      <c r="F101" t="inlineStr"/>
      <c r="G101" t="inlineStr">
        <is>
          <t>Bellevue, WA</t>
        </is>
      </c>
      <c r="H101" t="inlineStr"/>
      <c r="I101" t="inlineStr">
        <is>
          <t>P\-1124
**Summary**
 At Databricks, we are obsessed with enabling data teams to solve the world's toughest problems, from security threat detection to cancer drug development. We do this by building and running the world's best data and AI infrastructure platform, so our customers can focus on the high\-value challenges that are central to their missions.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Customers trust Databricks with their most valuable data and Trust \&amp; Safety has the mission to build the most trusted data analytics and ML platform in the world. Security Engineering is an integral part of Trust \&amp; Safety and has a critical role to play in keeping customer data from bad actors. We are looking for senior leaders such as yourselves to create the vision and define the strategy for this space.
**The Impact You Will Have**
* Make Databricks safer for our customers by identifying and plugging key gaps in our infrastructure and services
* Attract top talent from across the industry.
* Represent the security engineering discipline throughout the organization, having a powerful voice to make us more data\-driven
* Represent Databricks at academic and industry conferences \&amp; events
**What We Look For**
* 7\+ years of experience in Data Security or related areas and expertise in two or more of the following\-\-Cryptography, Kubernetes Security, Web Security, Governance, Privacy, Trust, Safety, Authentication, Identity Management, Access Control, Key Management, Inter\-Service Authentication, Secure Application Frameworks, Detection and Response. Experience building systems at large scale internet companies is a huge plus.
* 10\+ years of experience building large scale distributed systems with high availability
* Leadership skills and experience to lead across functional and organizational lines
* Strong communication skills to explain and evangelize Data Security to senior leaders across the company
* Bias to action and passion for delivering high\-quality solutions
* MS or Ph.D. in Computer Science or related fields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$221,200—$241,100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02">
      <c r="A102" t="inlineStr">
        <is>
          <t>li-4364027389</t>
        </is>
      </c>
      <c r="B102" t="inlineStr">
        <is>
          <t>Sr. Lead Software Engineer</t>
        </is>
      </c>
      <c r="C102" t="inlineStr">
        <is>
          <t>JPMorganChase</t>
        </is>
      </c>
      <c r="D102" t="inlineStr">
        <is>
          <t>linkedin</t>
        </is>
      </c>
      <c r="E102" t="inlineStr"/>
      <c r="F102" t="inlineStr"/>
      <c r="G102" t="inlineStr">
        <is>
          <t>Wilmington, DE</t>
        </is>
      </c>
      <c r="H102" t="inlineStr"/>
      <c r="I102" t="inlineStr">
        <is>
          <t>**Job Description**
 Be an integral part of an agile team that's constantly pushing the envelope to enhance, build, and deliver top\-notch technology products.
 As a Senior Lead Software Engineer at JPMorganChase within the Consumer and Community Banking Home Lending line of business,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 specifically Java, Python, SQL, Springboot, React and other Java stack tools in an AWS environment
* Advanced knowledge of software applications and technical processes with considerable in\-depth knowledge in one or more technical disciplines (e.g., cloud, artificial intelligence, machine learning, mobile, etc.)
* Ability to tackle design and functionality problems independently with little to no oversight
* Practical cloud native experience
* Experience in Computer Science, Computer Engineering, Mathematics, or a related technical field
**Preferred Qualifications, Capabilities, And Skills**
* Agentic AI skills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3">
      <c r="A103" t="inlineStr">
        <is>
          <t>li-4335664230</t>
        </is>
      </c>
      <c r="B103" t="inlineStr">
        <is>
          <t>Product Engineering | PxE Talent | Full Stack Engineer</t>
        </is>
      </c>
      <c r="C103" t="inlineStr">
        <is>
          <t>Deloitte</t>
        </is>
      </c>
      <c r="D103" t="inlineStr">
        <is>
          <t>linkedin</t>
        </is>
      </c>
      <c r="E103" t="inlineStr"/>
      <c r="F103" t="inlineStr"/>
      <c r="G103" t="inlineStr"/>
      <c r="H103" t="inlineStr"/>
      <c r="I103"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04">
      <c r="A104" t="inlineStr">
        <is>
          <t>li-4335634234</t>
        </is>
      </c>
      <c r="B104" t="inlineStr">
        <is>
          <t>Product Engineering | PxE Talent | Full Stack Engineer</t>
        </is>
      </c>
      <c r="C104" t="inlineStr">
        <is>
          <t>Deloitte</t>
        </is>
      </c>
      <c r="D104" t="inlineStr">
        <is>
          <t>linkedin</t>
        </is>
      </c>
      <c r="E104" t="inlineStr"/>
      <c r="F104" t="inlineStr"/>
      <c r="G104" t="inlineStr">
        <is>
          <t>Jacksonville, FL</t>
        </is>
      </c>
      <c r="H104" t="inlineStr"/>
      <c r="I104"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05">
      <c r="A105" t="inlineStr">
        <is>
          <t>li-4335813996</t>
        </is>
      </c>
      <c r="B105" t="inlineStr">
        <is>
          <t>Product Engineering | PxE Talent | Full Stack Engineer</t>
        </is>
      </c>
      <c r="C105" t="inlineStr">
        <is>
          <t>Deloitte</t>
        </is>
      </c>
      <c r="D105" t="inlineStr">
        <is>
          <t>linkedin</t>
        </is>
      </c>
      <c r="E105" t="inlineStr"/>
      <c r="F105" t="inlineStr"/>
      <c r="G105" t="inlineStr">
        <is>
          <t>Colorado Springs, CO</t>
        </is>
      </c>
      <c r="H105" t="inlineStr"/>
      <c r="I105"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06">
      <c r="A106" t="inlineStr">
        <is>
          <t>li-4335823976</t>
        </is>
      </c>
      <c r="B106" t="inlineStr">
        <is>
          <t>Product Engineering | PxE Talent | Full Stack Engineer</t>
        </is>
      </c>
      <c r="C106" t="inlineStr">
        <is>
          <t>Deloitte</t>
        </is>
      </c>
      <c r="D106" t="inlineStr">
        <is>
          <t>linkedin</t>
        </is>
      </c>
      <c r="E106" t="inlineStr"/>
      <c r="F106" t="inlineStr"/>
      <c r="G106" t="inlineStr">
        <is>
          <t>Philadelphia, PA</t>
        </is>
      </c>
      <c r="H106" t="inlineStr"/>
      <c r="I106"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07">
      <c r="A107" t="inlineStr">
        <is>
          <t>li-4370083520</t>
        </is>
      </c>
      <c r="B107" t="inlineStr">
        <is>
          <t>Software Engineer</t>
        </is>
      </c>
      <c r="C107" t="inlineStr">
        <is>
          <t>Jobs via Dice</t>
        </is>
      </c>
      <c r="D107" t="inlineStr">
        <is>
          <t>linkedin</t>
        </is>
      </c>
      <c r="E107" t="inlineStr"/>
      <c r="F107" t="inlineStr"/>
      <c r="G107" t="inlineStr">
        <is>
          <t>Fort Worth, TX</t>
        </is>
      </c>
      <c r="H107" t="inlineStr"/>
      <c r="I107" t="inlineStr">
        <is>
          <t>**Job Description**
**We are Lockheed Martin**
 Lockheed Martin Aeronautics Company's F\-35 program seeks an experienced and motivated Full Stack Software Engineer to join the Signature Integration Team for Supportable Low Observables (SLO). This role focuses on developing sophisticated software analysis tools using modern web development technologies. The successful candidate will be part of the F\-35 SLO division building and maintaining advanced sustainment software tools. They will implement responsive, data\-driven user interfaces and robust backend services while ensuring seamless integration between components. The position involves containerized deployment in cloud\-native environments, maintaining high code quality through comprehensive testing and automated pipelines. The role requires working both independently and collaboratively in cross\-functional teams, with an ability to take full ownership of features and deliver high\-quality solutions from concept to production. The ideal candidate will combine strong technical implementation skills with an aptitude for understanding complex domain requirements in the aerospace environment.
 Typical responsibilities may include:
 Develop and maintain web\-based software tools for tracking and analysis of defects on air vehicles
 Create and implement algorithms and metrics for data processing in LM owned applications
 Provide responsive technical support to end users operating the developed solutions
 Collaborate with cross\-functional team members to develop integrated technical solutions addressing both tactical and strategic program risks and issues
 A level 2 employee
 **Typically has 2 \- 5 years** 
 of professional experience.
 This position is located at a facility that requires special access.\*\*
 EngineeringAeronautics
**What's In It For You**
 Our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**Basic Qualifications**
 Learn more about Lockheed Martin's comprehensive benefits package here.
 Bachelor's degree or above in one of the following fields: Software Engineering, Mechanical Engineering, Electrical Engineering or another other technical discipline.
 Experience developing frontend or backend services
**Desired Skills**
 Proficient with React, including modern patterns and hooks
 Strong TypeScript experience in production environments
 Skilled in utility\-first CSS frameworks like Tailwind CSS
 Familiarity with data visualization libraries such as visx, D3\.js, or equivalents
 Experience with state management tools (e.g., React Query, Redux)
 Exposure to browser\-based 3D rendering libraries like three.js is a plus
 Experience developing backend services in Go or similar statically typed languages
 Knowledge of API\-first design and OpenAPI specification
 Familiarity with GraphQL (queries, mutations, schema design)
 Proficient with relational databases, especially PostgreSQL
 Understanding of authentication and authorization mechanisms (OAuth, JWT, sessions)
 Hands\-on experience with Docker for development and deployment
 Familiarity with Kubernetes or OpenShift, including Helm for deployment management
 Experience with CI/CD pipelines using tools like GitLab CI or GitHub Actions
 Strong proficiency with Git and collaborative version control workflows
 Skilled in debugging, testing, and conducting thorough code reviews
 Familiarity with code quality tools and linters (ESLint, Prettier, Go linters)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08">
      <c r="A108" t="inlineStr">
        <is>
          <t>li-4360132531</t>
        </is>
      </c>
      <c r="B108" t="inlineStr">
        <is>
          <t>Angular Frontend Engineer</t>
        </is>
      </c>
      <c r="C108" t="inlineStr">
        <is>
          <t>Tata Consultancy Services</t>
        </is>
      </c>
      <c r="D108" t="inlineStr">
        <is>
          <t>linkedin</t>
        </is>
      </c>
      <c r="E108" t="inlineStr"/>
      <c r="F108" t="inlineStr"/>
      <c r="G108" t="inlineStr">
        <is>
          <t>Irving, TX</t>
        </is>
      </c>
      <c r="H108" t="inlineStr"/>
      <c r="I108" t="inlineStr">
        <is>
          <t>**Job Description**
 Must Have Technical/Functional Skills
* 6 –8 yrs years of relevant experience in Apps Development or systems analysis role
* Extensive experience system analysis and in UI programming of software applications
* Experience in managing and implementing successful projects
* Ability to adjust priorities quickly as circumstances dictate
* Demonstrated leadership and project management skills
* Consistently demonstrates clear and concise written and verbal communication
* Bachelors degree/University degree or equivalent experience
* Must have expert level (hands\-on) knowledge and understanding in Angular based UI development
* Good understanding of Kafka is highly desirable
* Python development is highly desirable.
* Must have basic SQL/Oracle Database understanding and NOSql DB knowledge.
* Must have experience in SCMs like GIT; And tools like JIRA
* Good understanding of OpenShift \&amp; Docker.
* Good to have basic knowledge of cloud technologies including AWS and S3\.
* Good to have knowledge of LLM, Agentic AI and AI enabled development tools like copilot.
* Agile/Scrum methodology experience is required.
* Strong systems analysis, design and architecture fundamentals, Unit Testing and other SDLC activities
* Ability to contribute in high\- and low\-level system design (Sequence diagram, class diagrams)
* Strong communication skills, should be able to communicate effectively with business and other stakeholders
 Roles \&amp; Responsibilities
* As a global team member, analyze and collaborate technical solutions and strategies with the team
 and provide the optimum solution for our clients.
* Own success – Takes responsibility for successful delivery of the solutions. Mentoring other developer
 on their implementation while needed, and organize review activities like design review, code review and technical
 document review etc. to make sure the success deliverable.
* Explore existing application systems, determines areas of complexity, potential risks to successful implementation
* Communicate continually with the client and project teams – Clarify client’s needs, present tech team ideas and explains
 progress on the development efforts.
* Contributes to continual improvement by suggesting improvements to software architecture, software development
 process and new technologies etc.
* Strictly follow Client’s engineering standards and ensure these are followed across all modules in the project.
* Perform code \&amp; design reviews consistently.
* Ensure essential procedures are followed and help define operating standards and processes
 Has the ability to operate with a limited level of direct supervision.
 Salary Range: $115,000 to $135,000 per year
**Qualifications:** 
 BACHELOR OF COMPUTER SCIENCE</t>
        </is>
      </c>
    </row>
    <row r="109">
      <c r="A109" t="inlineStr">
        <is>
          <t>li-4335818231</t>
        </is>
      </c>
      <c r="B109" t="inlineStr">
        <is>
          <t>Principal Software Engineer (Onsite)</t>
        </is>
      </c>
      <c r="C109" t="inlineStr">
        <is>
          <t>Collins Aerospace</t>
        </is>
      </c>
      <c r="D109" t="inlineStr">
        <is>
          <t>linkedin</t>
        </is>
      </c>
      <c r="E109" t="inlineStr"/>
      <c r="F109" t="inlineStr"/>
      <c r="G109" t="inlineStr">
        <is>
          <t>Windsor Locks, CT</t>
        </is>
      </c>
      <c r="H109" t="inlineStr"/>
      <c r="I109" t="inlineStr">
        <is>
          <t>**Date Posted:**
 2026\-02\-05
**Country:**
 United States of America
**Location:**
 US\-CT\-WINDSOR LOCKS\-B1A \~ 1 Hamilton Rd \~ BLDG 1A
**Position Role Type:**
 Onsite
**U.S. Citizen, U.S. Person, or Immigration Status Requirements:**
 Must be authorized to work in the U.S. without the company’s immigration sponsorship now or in the future. The company will not offer immigration sponsorship for this position. The company will not seek an export authorization for this role.
**Security Clearance Type:**
 None/Not Required
**Security Clearance Status:**
 Not Required
 Do you like to fly? Would you like to better understand how the embedded software controls the engine? Would you like to understand the rigorous certification requirements that must be met before an aircraft takes flight? As a Principal Software Engineer, you will be on a mission to develop, test, and prove compliance to the certification authorities that our products are safe, reliable, and airworthy!
 We are seeking a highly skilled Principal Embedded Software Engineer to join our dynamic team. In this role, you will design, develop, and verify real\-time embedded software for cutting\-edge flight\-critical aviation applications. Your work will shape the future of aerospace technology through innovative software solutions. As a key technical leader, you will drive software architecture creation, lead verification activities in compliance with DO\-178B/C, and work in collaboration with multidisciplinary teams to ensure the delivery of high\-quality, reliable software. This is an opportunity to contribute to state\-of\-the\-art aerospace applications while mentoring and guiding other engineers in best practices.
 Ideally, this will be a fully onsite role based in Windsor Locks, CT. Will consider candidates for a hybrid position (combination of onsite and remote work \- weekly onsite presence will be required).
**What You Will Do**
* Requirements Engineering, Implementation, and Verification
* Translate customer requirements into actionable software requirements.
* Design and implement software solutions that meet performance, safety, and reliability standards.
* Conduct low\-level verification activities to ensure compliance with DO\-178B/C.
* Review software design and code to confirm alignment with software requirements.
* Generate, execute, and review test scripts and data for software verification.
* Create documentation to support aerospace certification processes.
* Propose enhancements to improve the cost, quality, and efficiency of software products.
* Develop and execute build procedures for hardware and software integration.
* Establish and maintain software configuration management and quality standards.
* Mentor and train software engineers in tools, processes, and industry best practices.
**Qualifications You Must Have**
* Typically requires a degree in Science, Technology, Engineering or Mathematics (STEM) unless prohibited by local laws/regulations and minimum 8 years prior relevant experience or an Advanced Degree in a related field and minimum 5 years of experience.
**Qualifications We Prefer**
* Degree in Computer Engineering, Electrical Engineering, Software Engineering, or a related technical field.
* Experience with aerospace or other safety\-critical embedded systems.
* Expertise in designing and developing embedded software architectures for real\-time systems.
* Hands\-on experience with DO\-178B/C processes, including software verification and compliance.
* Proven ability to lead projects across functional teams and geographic locations.
* Proficiency in software debugging, instrumentation, and performance analysis.
* Programming experience in C, Assembly, and/or Python.
* Familiarity with tools such as logic analyzers and other lab test equipment.
* Experience with software verification testing.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Eligible for relocation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Role type definition: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0">
      <c r="A110" t="inlineStr">
        <is>
          <t>li-4335604268</t>
        </is>
      </c>
      <c r="B110" t="inlineStr">
        <is>
          <t>Product Engineering | PxE Talent | Full Stack Engineer</t>
        </is>
      </c>
      <c r="C110" t="inlineStr">
        <is>
          <t>Deloitte</t>
        </is>
      </c>
      <c r="D110" t="inlineStr">
        <is>
          <t>linkedin</t>
        </is>
      </c>
      <c r="E110" t="inlineStr"/>
      <c r="F110" t="inlineStr"/>
      <c r="G110" t="inlineStr">
        <is>
          <t>Hartford, CT</t>
        </is>
      </c>
      <c r="H110" t="inlineStr"/>
      <c r="I110"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11">
      <c r="A111" t="inlineStr">
        <is>
          <t>li-4307695533</t>
        </is>
      </c>
      <c r="B111" t="inlineStr">
        <is>
          <t>Senior Software Engineer, Backend (Merchant Interfaces)</t>
        </is>
      </c>
      <c r="C111" t="inlineStr">
        <is>
          <t>Affirm</t>
        </is>
      </c>
      <c r="D111" t="inlineStr">
        <is>
          <t>linkedin</t>
        </is>
      </c>
      <c r="E111" t="inlineStr"/>
      <c r="F111" t="inlineStr"/>
      <c r="G111" t="inlineStr">
        <is>
          <t>Sioux Falls, SD</t>
        </is>
      </c>
      <c r="H111" t="inlineStr"/>
      <c r="I111"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2">
      <c r="A112" t="inlineStr">
        <is>
          <t>li-4335823967</t>
        </is>
      </c>
      <c r="B112" t="inlineStr">
        <is>
          <t>Product Engineering | PxE Talent | Full Stack Engineer</t>
        </is>
      </c>
      <c r="C112" t="inlineStr">
        <is>
          <t>Deloitte</t>
        </is>
      </c>
      <c r="D112" t="inlineStr">
        <is>
          <t>linkedin</t>
        </is>
      </c>
      <c r="E112" t="inlineStr"/>
      <c r="F112" t="inlineStr"/>
      <c r="G112" t="inlineStr">
        <is>
          <t>Fresno, CA</t>
        </is>
      </c>
      <c r="H112" t="inlineStr"/>
      <c r="I112" t="inlineStr">
        <is>
          <t>**Full\-Stack Software Engineer \- CL4**
**Role Overview:** 
 As a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3/31/2026\.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Deeply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learning\-forward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will possess:**
* Strong software engineering foundation with the understanding of OOPs, data\-structure, algorithms, code instrumentations, beautiful coding practices, etc.
* Excellent interpersonal and organizational skills, with the ability to handle diverse situations, complex projects, and changing priorities, behaving with passion, empathy, and care.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or a related discipline.
* 5\+ years proven experience with most of the following: Angular, React, NodeJS, Python, C\#, .NET Core, Java, Golang, SQL/NoSQL.
* 5\+ years of experience with cloud\-native engineering, using FaaS/PaaS/micro\-services on cloud hyper\-scalers like Azure (mandatory), AWS, and GCP.
* Prior experience using methodologies \&amp; tools like, XP, Lean, SAFe, DevSecOps, SRE, ADO, GitHub, SonarQube, etc. to deliver high quality products rapidly.
* Prior experience in AI/ML and GenAI.
* Limited immigration sponsorship may be available
* Ability to travel 10%, on average, based on the work you do and the clients and industries/sectors you serve
 Information for applicants with a need for accommodation: https://www2\.deloitte.com/us/en/pages/careers/articles/join\-deloitte\-assistance\-for\-disabled\-applicants.html
**Preferred:**
* A master's degree in computer science, software engineering, or a related discipline.
* 3\+ years proven experience with most of the following: Angular, React, NodeJS, Python, C\#, .NET Core, Java, Golang, SQL/NoSQL.
* 3\+ years of experience with cloud\-native engineering, using FaaS/PaaS/micro\-services on cloud hyper\-scalers like Azure (mandatory), AWS, and GCP.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13">
      <c r="A113" t="inlineStr">
        <is>
          <t>li-4363866492</t>
        </is>
      </c>
      <c r="B113" t="inlineStr">
        <is>
          <t>Lead ServiceNow Software Engineer</t>
        </is>
      </c>
      <c r="C113" t="inlineStr">
        <is>
          <t>Deloitte</t>
        </is>
      </c>
      <c r="D113" t="inlineStr">
        <is>
          <t>linkedin</t>
        </is>
      </c>
      <c r="E113" t="inlineStr"/>
      <c r="F113" t="inlineStr"/>
      <c r="G113" t="inlineStr">
        <is>
          <t>St Louis, MO</t>
        </is>
      </c>
      <c r="H113" t="inlineStr"/>
      <c r="I113"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4">
      <c r="A114" t="inlineStr">
        <is>
          <t>li-4364026323</t>
        </is>
      </c>
      <c r="B114" t="inlineStr">
        <is>
          <t>Lead ServiceNow Software Engineer</t>
        </is>
      </c>
      <c r="C114" t="inlineStr">
        <is>
          <t>Deloitte</t>
        </is>
      </c>
      <c r="D114" t="inlineStr">
        <is>
          <t>linkedin</t>
        </is>
      </c>
      <c r="E114" t="inlineStr"/>
      <c r="F114" t="inlineStr"/>
      <c r="G114" t="inlineStr">
        <is>
          <t>Houston, TX</t>
        </is>
      </c>
      <c r="H114" t="inlineStr"/>
      <c r="I114"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5">
      <c r="A115" t="inlineStr">
        <is>
          <t>li-4363746377</t>
        </is>
      </c>
      <c r="B115" t="inlineStr">
        <is>
          <t>Lead ServiceNow Software Engineer</t>
        </is>
      </c>
      <c r="C115" t="inlineStr">
        <is>
          <t>Deloitte</t>
        </is>
      </c>
      <c r="D115" t="inlineStr">
        <is>
          <t>linkedin</t>
        </is>
      </c>
      <c r="E115" t="inlineStr"/>
      <c r="F115" t="inlineStr"/>
      <c r="G115" t="inlineStr">
        <is>
          <t>Detroit, MI</t>
        </is>
      </c>
      <c r="H115" t="inlineStr"/>
      <c r="I115"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6">
      <c r="A116" t="inlineStr">
        <is>
          <t>li-4363856565</t>
        </is>
      </c>
      <c r="B116" t="inlineStr">
        <is>
          <t>Lead ServiceNow Software Engineer</t>
        </is>
      </c>
      <c r="C116" t="inlineStr">
        <is>
          <t>Deloitte</t>
        </is>
      </c>
      <c r="D116" t="inlineStr">
        <is>
          <t>linkedin</t>
        </is>
      </c>
      <c r="E116" t="inlineStr"/>
      <c r="F116" t="inlineStr"/>
      <c r="G116" t="inlineStr">
        <is>
          <t>Richmond, VA</t>
        </is>
      </c>
      <c r="H116" t="inlineStr"/>
      <c r="I116"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7">
      <c r="A117" t="inlineStr">
        <is>
          <t>li-4364046359</t>
        </is>
      </c>
      <c r="B117" t="inlineStr">
        <is>
          <t>Lead ServiceNow Software Engineer</t>
        </is>
      </c>
      <c r="C117" t="inlineStr">
        <is>
          <t>Deloitte</t>
        </is>
      </c>
      <c r="D117" t="inlineStr">
        <is>
          <t>linkedin</t>
        </is>
      </c>
      <c r="E117" t="inlineStr"/>
      <c r="F117" t="inlineStr"/>
      <c r="G117" t="inlineStr">
        <is>
          <t>Milwaukee, WI</t>
        </is>
      </c>
      <c r="H117" t="inlineStr"/>
      <c r="I117"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8">
      <c r="A118" t="inlineStr">
        <is>
          <t>li-4363806289</t>
        </is>
      </c>
      <c r="B118" t="inlineStr">
        <is>
          <t>Lead ServiceNow Software Engineer</t>
        </is>
      </c>
      <c r="C118" t="inlineStr">
        <is>
          <t>Deloitte</t>
        </is>
      </c>
      <c r="D118" t="inlineStr">
        <is>
          <t>linkedin</t>
        </is>
      </c>
      <c r="E118" t="inlineStr"/>
      <c r="F118" t="inlineStr"/>
      <c r="G118" t="inlineStr">
        <is>
          <t>San Antonio, TX</t>
        </is>
      </c>
      <c r="H118" t="inlineStr"/>
      <c r="I118"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19">
      <c r="A119" t="inlineStr">
        <is>
          <t>li-4363766344</t>
        </is>
      </c>
      <c r="B119" t="inlineStr">
        <is>
          <t>Lead ServiceNow Software Engineer</t>
        </is>
      </c>
      <c r="C119" t="inlineStr">
        <is>
          <t>Deloitte</t>
        </is>
      </c>
      <c r="D119" t="inlineStr">
        <is>
          <t>linkedin</t>
        </is>
      </c>
      <c r="E119" t="inlineStr"/>
      <c r="F119" t="inlineStr"/>
      <c r="G119" t="inlineStr">
        <is>
          <t>Pittsburgh, PA</t>
        </is>
      </c>
      <c r="H119" t="inlineStr"/>
      <c r="I119"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20">
      <c r="A120" t="inlineStr">
        <is>
          <t>li-4363736504</t>
        </is>
      </c>
      <c r="B120" t="inlineStr">
        <is>
          <t>Lead ServiceNow Software Engineer</t>
        </is>
      </c>
      <c r="C120" t="inlineStr">
        <is>
          <t>Deloitte</t>
        </is>
      </c>
      <c r="D120" t="inlineStr">
        <is>
          <t>linkedin</t>
        </is>
      </c>
      <c r="E120" t="inlineStr"/>
      <c r="F120" t="inlineStr"/>
      <c r="G120" t="inlineStr">
        <is>
          <t>Tempe, AZ</t>
        </is>
      </c>
      <c r="H120" t="inlineStr"/>
      <c r="I120"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21">
      <c r="A121" t="inlineStr">
        <is>
          <t>li-4364016398</t>
        </is>
      </c>
      <c r="B121" t="inlineStr">
        <is>
          <t>Lead ServiceNow Software Engineer</t>
        </is>
      </c>
      <c r="C121" t="inlineStr">
        <is>
          <t>Deloitte</t>
        </is>
      </c>
      <c r="D121" t="inlineStr">
        <is>
          <t>linkedin</t>
        </is>
      </c>
      <c r="E121" t="inlineStr"/>
      <c r="F121" t="inlineStr"/>
      <c r="G121" t="inlineStr">
        <is>
          <t>Gilbert, AZ</t>
        </is>
      </c>
      <c r="H121" t="inlineStr"/>
      <c r="I121" t="inlineStr">
        <is>
          <t>As a Lead ServiceNow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12/13/2025\.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Minimum 5 years of hands\-on experience with ServiceNow development, including JavaScript, Business Rules, Script Includes, UI Actions, Client Scripts, Flow Designer, ServiceNow APIs, and GlideRecord queries.
* Minimum 5 years of experience with ServiceNow cloud\-native platform capabilities such as ITSM, ITOM, CMDB, ITBM, HRSD, CSM, and ServiceNow integration.
* Minimum 1 year of experience with ServiceNow AI/ML and GenAI features such as Predictive Intelligence, Virtual Agent, and Now Intelligence.
* Prior experience with cloud\-native engineering, using FaaS/PaaS/micro\-services on cloud hyper\-scalers such as Azure, AWS, or GCP.
* Prior software engineering experience with an understanding of Business Context Diagrams (BCDs), sequence, activity, state, entity relationship, and data flow diagrams, as well as OOP/OOD, data structures, algorithms, and code instrumentation.
* Prior experience using methodologies and tools such as XP, Lean, DevSecOps, SRE, ADO, GitHub, and SonarQube to rapidly deliver high\-quality solutions, as well as familiarity with ServiceNow\-specific tools like ServiceNow Studio, Automated Test Framework (ATF), and ServiceNow CI/CD practices.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$97,600\-$200,600\.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RITM9581685</t>
        </is>
      </c>
    </row>
    <row r="122">
      <c r="A122" t="inlineStr">
        <is>
          <t>li-4361850075</t>
        </is>
      </c>
      <c r="B122" t="inlineStr">
        <is>
          <t>Senior Software Engineer, Foundational Data Engineering - NYC / Houston, TX- Systematic Quant Fund</t>
        </is>
      </c>
      <c r="C122" t="inlineStr">
        <is>
          <t>Jobs via eFinancialCareers</t>
        </is>
      </c>
      <c r="D122" t="inlineStr">
        <is>
          <t>linkedin</t>
        </is>
      </c>
      <c r="E122" t="inlineStr"/>
      <c r="F122" t="inlineStr"/>
      <c r="G122" t="inlineStr"/>
      <c r="H122" t="inlineStr"/>
      <c r="I122"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123">
      <c r="A123" t="inlineStr">
        <is>
          <t>li-4361469101</t>
        </is>
      </c>
      <c r="B123" t="inlineStr">
        <is>
          <t>Senior Software Engineer, Foundational Data Engineering - NYC / Houston, TX- Systematic Quant Fund</t>
        </is>
      </c>
      <c r="C123" t="inlineStr">
        <is>
          <t>Jobs via eFinancialCareers</t>
        </is>
      </c>
      <c r="D123" t="inlineStr">
        <is>
          <t>linkedin</t>
        </is>
      </c>
      <c r="E123" t="inlineStr"/>
      <c r="F123" t="inlineStr"/>
      <c r="G123" t="inlineStr">
        <is>
          <t>New York, NY</t>
        </is>
      </c>
      <c r="H123" t="inlineStr"/>
      <c r="I123"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124">
      <c r="A124" t="inlineStr">
        <is>
          <t>li-4370350321</t>
        </is>
      </c>
      <c r="B124" t="inlineStr">
        <is>
          <t>Backend Software Engineer</t>
        </is>
      </c>
      <c r="C124" t="inlineStr">
        <is>
          <t>Airbnb</t>
        </is>
      </c>
      <c r="D124" t="inlineStr">
        <is>
          <t>linkedin</t>
        </is>
      </c>
      <c r="E124" t="inlineStr"/>
      <c r="F124" t="inlineStr"/>
      <c r="G124" t="inlineStr"/>
      <c r="H124" t="inlineStr"/>
      <c r="I124" t="inlineStr">
        <is>
          <t>**About The Company** 
 Airbnb was founded in 2007 when two hosts welcomed three guests to their San Francisco home. Since then, it has grown into a global community with over 5 million hosts who have welcomed more than 2 billion guest arrivals across nearly every country worldwide. Airbnb offers unique stays and experiences that enable guests to connect with local communities in authentic ways, fostering a sense of belonging and discovery. The company’s platform is dedicated to creating memorable travel experiences by providing diverse lodging options and innovative services that cater to travelers seeking more personalized and meaningful adventures.
**About The Role** 
 We are seeking a talented Software Engineer to join Airbnb’s Storefronts team, which is responsible for the front\-door experience of Airbnb’s guest product platform. In this role, you will play a critical part in developing and delivering features that enhance user navigation, discovery, and engagement on Airbnb’s homepage and search pages. You will collaborate with cross\-functional teams including design, product management, data science, and other engineering groups to create scalable, high\-performance solutions that serve millions of users worldwide. Your contributions will directly impact how guests explore and connect with Airbnb’s offerings, supporting the company's mission to help people belong anywhere.
**Qualifications** 
* 4\+ years of professional software engineering experience
* Proficiency in developing backend applications and APIs using Java
* Experience with service monitoring and alerting techniques
* Strong product sense with the ability to balance technical and user experience requirements
* Excellent collaboration skills with cross\-functional and non\-technical partners
* Willingness to embrace challenges and adapt to changing priorities with a positive attitude
* Experience with AI tools and developing new features for guest and team tools (preferred)
* Nice to have: Experience with GraphQL, Kotlin, Thrift IDL, server\-driven architectures
**Responsibilities** 
* Develop new APIs to power interfaces that enable users to navigate and discover Airbnb’s products effectively
* Improve the performance and robustness of backend services and architecture supporting Airbnb’s homepage and search functionalities
* Contribute to the development of innovative product features and experiences in collaboration with a cross\-disciplinary team of engineers
* Leverage AI tools to create new features for enhancing guest experiences and streamlining team workflows
* Work closely with design, product, marketing, and data science teams to bring new features from concept to production
* Participate in technical improvements to increase product quality and team velocity
* Support and maintain scalable, reliable, and secure backend systems
**Benefits** 
* Competitive salary and performance\-based bonuses
* Health, dental, and vision insurance plans
* Flexible work arrangements including remote work options
* Paid time off and holidays
* Professional development opportunities and training programs
* Employee travel credits and discounts
* Inclusive and diverse work environment that fosters growth and innovation
 Equal Opportunity
 Airbnb is an equal opportunity employer committed to fostering an inclusive environment for all employees. We value diversity and believe that varied perspectives drive innovation and better solutions. All qualified individuals are encouraged to apply regardless of race, color, religion, gender, sexual orientation, gender identity or expression, national origin, age, disability, or veteran status.</t>
        </is>
      </c>
    </row>
    <row r="125">
      <c r="A125" t="inlineStr">
        <is>
          <t>li-4370347867</t>
        </is>
      </c>
      <c r="B125" t="inlineStr">
        <is>
          <t>Software Engineer, Backend</t>
        </is>
      </c>
      <c r="C125" t="inlineStr">
        <is>
          <t>Mirage</t>
        </is>
      </c>
      <c r="D125" t="inlineStr">
        <is>
          <t>linkedin</t>
        </is>
      </c>
      <c r="E125" t="inlineStr"/>
      <c r="F125" t="inlineStr"/>
      <c r="G125" t="inlineStr">
        <is>
          <t>New York, NY</t>
        </is>
      </c>
      <c r="H125" t="inlineStr"/>
      <c r="I125"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26">
      <c r="A126" t="inlineStr">
        <is>
          <t>li-4370356523</t>
        </is>
      </c>
      <c r="B126" t="inlineStr">
        <is>
          <t>Full-Stack Software Engineer</t>
        </is>
      </c>
      <c r="C126" t="inlineStr">
        <is>
          <t>PrairieLearn</t>
        </is>
      </c>
      <c r="D126" t="inlineStr">
        <is>
          <t>linkedin</t>
        </is>
      </c>
      <c r="E126" t="inlineStr"/>
      <c r="F126" t="inlineStr"/>
      <c r="G126" t="inlineStr"/>
      <c r="H126" t="inlineStr"/>
      <c r="I126" t="inlineStr">
        <is>
          <t>Are you passionate about building innovative web applications and using AI to address real\-world learning challenges? Do you want to help shape the future of education?
 PrairieLearn is an early\-stage EdTech startup. We are hiring talented Full\-Stack Software Engineers.
**Location:** 
 Fully remote (anywhere in the US)
**Position Type:** 
 Full\-time
**Visa Sponsorship:** 
 Unfortunately, we cannot sponsor visas at this time.
**About Us**
 PrairieLearn is an open\-source assessment platform, originally developed at the University of Illinois and now used at top universities across the US, including Berkeley, Princeton, Michigan, and UIUC. We empower mastery\-based learning, interactive question generation, and large\-scale assessment with an emphasis on reliability and innovation. We are like a "power\-user" version of Gradescope/Canvas/Moodle. We have extremely high retention and currently don't need to do any marketing.
**About The Role**
 We are a small, profitable, open\-source, bootstrapped company growing quickly. As an early\-stage hire, you’ll work across the stack and enjoy meaningful ownership from day one. You’ll help deliver practical, user\-facing features with clear guardrails and authentic educational impact.
**Responsibilities**
* Build and maintain systems across the stack: Node.js/TypeScript backend, Postgres, and React. We use tRPC, TanStack, and AWS.
* Design features end\-to\-end, from conception to rollout, working in a small team to architect and iterate on these features
* Collaborate directly with educators and TAs to translate academic needs into high\-quality features
 You Might Be a Fit If You…
* Have experience with full\-stack web development
* Enjoy engaging directly with users—especially instructors and TAs
* Love owning projects from initial idea through to production
* Love using the cutting edge of AI development tools (Claude, Cursor)
* Even if you don’t meet every requirement: If you’re a quick learner and passionate about education and engineering, we encourage you to apply!
 Our Tech Stack
* Node.js / TypeScript backend
* Postgres, Redis, AWS, Docker
* React / tRPC / TanStack
* Open source: PrairieLearn on GitHub
 Why Join PrairieLearn?
* Bootstrapped \&amp; Profitable: We’re growing quickly and sustainably
* Open Source: Collaborate with a global community of developers and educators
* Stock Options: As an early hire, you’ll receive stock options with your offer
* Remote Culture: Work from anywhere in the US with a flexible schedule
* Unlimited PTO \&amp; Flexible Hours: Take time when you need it and work when you perform best
* Career Growth: Early\-stage team members have outsized opportunities for impact and learning
 Details
**Location:** 
 Remote (US only)
**Salary:** 
 $100k\+ depending on experience
**Benefits:** 
 Stock options, unlimited PTO, flexible hours
**Type:** 
 Full\-time
**Visa sponsorship:** 
 Not available
 PrairieLearn is an equal opportunity employer. We celebrate diversity and are committed to creating an inclusive environment for all employees.
 Thank you for applying to PrairieLearn!
 Compensation Range: $100K \- $110K</t>
        </is>
      </c>
    </row>
    <row r="127">
      <c r="A127" t="inlineStr">
        <is>
          <t>li-4370099288</t>
        </is>
      </c>
      <c r="B127" t="inlineStr">
        <is>
          <t>Senior Software Engineer</t>
        </is>
      </c>
      <c r="C127" t="inlineStr">
        <is>
          <t>Wealthbox</t>
        </is>
      </c>
      <c r="D127" t="inlineStr">
        <is>
          <t>linkedin</t>
        </is>
      </c>
      <c r="E127" t="inlineStr"/>
      <c r="F127" t="inlineStr"/>
      <c r="G127" t="inlineStr"/>
      <c r="H127" t="inlineStr"/>
      <c r="I127"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28">
      <c r="A128" t="inlineStr">
        <is>
          <t>li-4370094165</t>
        </is>
      </c>
      <c r="B128" t="inlineStr">
        <is>
          <t>Software Engineer – Full-Stack Systems (Robotics &amp; Infrastructure)</t>
        </is>
      </c>
      <c r="C128" t="inlineStr">
        <is>
          <t>EV Safe Charge Inc.</t>
        </is>
      </c>
      <c r="D128" t="inlineStr">
        <is>
          <t>linkedin</t>
        </is>
      </c>
      <c r="E128" t="inlineStr"/>
      <c r="F128" t="inlineStr"/>
      <c r="G128" t="inlineStr">
        <is>
          <t>Los Angeles, CA</t>
        </is>
      </c>
      <c r="H128" t="inlineStr"/>
      <c r="I128" t="inlineStr">
        <is>
          <t>Role Overview
 Owns the full ZiGGY software stack, spanning onboard compute, communications, cloud services, mobile applications, payments, and safety logic.
 Key Responsibilities
 * Develop software running on ZiGGY internal computers
* Implement control logic, state machines, and safety interlocks
* Build communications between ZiGGY units, cloud, and apps
* Develop backend services for fleet monitoring and management
* Support mobile app functionality and user interaction
* Implement payment flows and transaction handling
* Support logging, diagnostics, and remote updates
 Qualifications
 * Degree in Computer Science, Software Engineering, or equivalent
* Experience with embedded systems and backend software
* Comfort working with physical hardware and real\-world constraints
* Strong systems thinking and debugging skills
* Experience with networking, APIs, and secure communications
* Robotics, automotive, and/or aerospace experience preferred
 You will be joining not just a company but a culture of innovation towards a greener future.</t>
        </is>
      </c>
    </row>
    <row r="129">
      <c r="A129" t="inlineStr">
        <is>
          <t>li-4370363248</t>
        </is>
      </c>
      <c r="B129" t="inlineStr">
        <is>
          <t>Software Engineer</t>
        </is>
      </c>
      <c r="C129" t="inlineStr">
        <is>
          <t>Stelvio Inc.</t>
        </is>
      </c>
      <c r="D129" t="inlineStr">
        <is>
          <t>linkedin</t>
        </is>
      </c>
      <c r="E129" t="inlineStr"/>
      <c r="F129" t="inlineStr"/>
      <c r="G129" t="inlineStr">
        <is>
          <t>Austin, TX</t>
        </is>
      </c>
      <c r="H129" t="inlineStr"/>
      <c r="I129" t="inlineStr">
        <is>
          <t>**Software Engineer** 
**Austin, TX** 
 We’re looking for a highly capable Software Engineer to help build cutting\-edge AI systems used in real industrial environments. Our technology runs 24/7 in high\-volume production settings, solving complex problems at the intersection of software engineering, physics, chemistry, and manufacturing.
 If you enjoy fast iteration, hands\-on problem solving, and working closely with users, you’ll thrive here. We move quickly, collaborate constantly, and ship to production every day, often directly from customer sites.
**What You’ll Do:** 
* Build and iterate on prototypes, then turn them into robust, maintainable software
* Work across the stack on real\-world challenges in manufacturing and industrial AI
* Improve deployment pipelines, infrastructure, and observability
* Collaborate closely with engineers, designers, and onsite teams
* Develop solutions that work reliably at the edge, even in tough environments
**What We’re Looking For:** 
* Exceptional ability demonstrated through work, projects, or achievements
* Strong engineering background (Computer Science, Physics, Maths, Engineering, etc.)
* Fluency in Python, C/C\+\+, Go, Typescript, or Java
* Experience with CI/CD, DevOps, Docker/Kubernetes, and observability tools
* Clear communication and a love of solving real problems with real users
* Comfortable working fully in\-office and in dynamic, fast\-moving environments
 If you want to build impactful AI systems and love working closely with your team and your users, we’d love to hear from you.</t>
        </is>
      </c>
    </row>
    <row r="130">
      <c r="A130" t="inlineStr">
        <is>
          <t>li-4370351335</t>
        </is>
      </c>
      <c r="B130" t="inlineStr">
        <is>
          <t>Software Engineer (Java, Python)</t>
        </is>
      </c>
      <c r="C130" t="inlineStr">
        <is>
          <t>Cloudera</t>
        </is>
      </c>
      <c r="D130" t="inlineStr">
        <is>
          <t>linkedin</t>
        </is>
      </c>
      <c r="E130" t="inlineStr"/>
      <c r="F130" t="inlineStr"/>
      <c r="G130" t="inlineStr"/>
      <c r="H130" t="inlineStr"/>
      <c r="I130" t="inlineStr">
        <is>
          <t>**About The Company**
 Cloudera is a leading provider in the data management and analytics industry, empowering organizations to transform complex data into clear, actionable insights. With a robust platform that manages vast amounts of data comparable to hyperscalers, Cloudera has established itself as the preferred data partner for top\-tier companies across various industries. Driven by relentless innovation from the open source community, Cloudera advances digital transformation initiatives for some of the world's largest enterprises. The company's core focus lies in developing a comprehensive data platform that offers unmatched scalability, security, and performance, enabling clients to harness the full potential of their data assets.
**About The Role**
 We are seeking passionate and talented Senior Software Engineers to join our Cloudera Manager Software Engineering team. In this pivotal role, you will contribute to designing, developing, and enhancing the software that powers our hybrid and multi\-cloud data management platform. Your expertise will help create scalable, secure, and high\-performance services that facilitate seamless deployment and operation across various cloud infrastructures including public clouds like AWS, GCP, and Azure, as well as private data centers. As a Staff Software Engineer, you will take ownership of complex projects, lead high\-impact initiatives, and mentor junior team members, ensuring the delivery of innovative solutions that meet the evolving needs of our enterprise clients.
**Qualifications**
* Bachelor’s degree in Computer Science, Engineering, or a related field
* 6\+ years of professional experience in software development
* Strong understanding of systems architecture, multi\-threading, databases, networks, and distributed computing
* Experience with web technologies including JSON, RESTful web services, and client\-server interactions
* Hands\-on experience with data\-center scale computing and microservices architecture
* Proficiency in Java, Python, Go, Hibernate, Spring, CXF, and Swagger
* Expert knowledge of JVM internals, garbage collection, and multi\-threading
* Proven track record of leading initiatives from inception to production, collaborating effectively with cross\-functional teams
**Responsibilities**
* Design, architect, and develop proof\-of\-concept solutions to address complex data management challenges
* Lead the roadmap planning, component design, and scoping discussions in collaboration with product management
* Drive high\-impact product initiatives, recommend improvements, and mentor team members on best practices
* Participate in code reviews, establish engineering standards, and promote a culture of quality and innovation
* Manage multiple projects across on\-premise and cloud platforms, ensuring timely delivery and high performance
* Collaborate with cross\-functional teams including engineers, architects, and product managers to deliver robust solutions
* Take end\-to\-end ownership of project phases from design and estimation to implementation, documentation, and deployment
* Architect and implement features for managing both private and public cloud environments, supporting enterprise\-scale customers
* Coach junior engineers, sharing expertise and fostering professional growth within the team
**Benefits**
* Generous paid time off and support for work\-life balance through unplugged days
* Flexible work\-from\-home policies
* Mental and physical wellness programs
* Reimbursement for phone and internet expenses
* Access to ongoing career development and training opportunities
* Comprehensive benefits package including health, dental, and vision insurance
* Paid volunteer time to support community engagement
* Participation in Employee Resource Groups to foster diversity and inclusion
 Equal Opportunities
 Cloudera is an equal opportunity employer. We celebrate diversity and are committed to creating an inclusive environment for all employees. We do not discriminate based on race, religion, color, national origin, gender, sexual orientation, age, disability, or any other protected status. All qualified applicants will receive consideration for employment without regard to these factors.</t>
        </is>
      </c>
    </row>
    <row r="131">
      <c r="A131" t="inlineStr">
        <is>
          <t>li-4361812866</t>
        </is>
      </c>
      <c r="B131" t="inlineStr">
        <is>
          <t>Software Engineer - NY</t>
        </is>
      </c>
      <c r="C131" t="inlineStr">
        <is>
          <t>Chalk</t>
        </is>
      </c>
      <c r="D131" t="inlineStr">
        <is>
          <t>linkedin</t>
        </is>
      </c>
      <c r="E131" t="inlineStr"/>
      <c r="F131" t="inlineStr"/>
      <c r="G131" t="inlineStr"/>
      <c r="H131" t="inlineStr"/>
      <c r="I131"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32">
      <c r="A132" t="inlineStr">
        <is>
          <t>li-4361489148</t>
        </is>
      </c>
      <c r="B132" t="inlineStr">
        <is>
          <t>Software Developer 2</t>
        </is>
      </c>
      <c r="C132" t="inlineStr">
        <is>
          <t>Oracle</t>
        </is>
      </c>
      <c r="D132" t="inlineStr">
        <is>
          <t>linkedin</t>
        </is>
      </c>
      <c r="E132" t="inlineStr"/>
      <c r="F132" t="inlineStr"/>
      <c r="G132" t="inlineStr"/>
      <c r="H132" t="inlineStr"/>
      <c r="I132" t="inlineStr">
        <is>
          <t>**Job Description**
 At Oracle we are building a premier health data platform with intelligent services, tackling many interesting technical challenges along the way. As part of this team, your work will accelerate several architectural efforts: increasing data processing by orders of magnitude; decreasing end\-to\-end latency; powering the creation of comprehensive patient health records that can scale to populations of entire nations; creating a health data lake at massive scale to enable a host of intelligent health services. Healthcare applications are mission critical: our systems are held to the highest standards of availability and disaster recovery capability. We will leverage the strengths of Oracle Cloud and build software that leverages OCI services.
 We’re looking for a skilled and ambitious engineer to help build and maintain high\-scale, cloud\-based data processing systems that can handle massive amounts of data with low latency. This role will support critical data ingestion systems, strengthening and maintaining data processing pipelines that feed critical health applications. You will implement, test, optimize, and deliver software for our customers and continue supporting the software in production.
**Qualifications:**
* Bachelor’s Degree required
* Hands on experience writing code with modern procedural programming languages such as Java, C\#, C/C\+\+, or Ruby.
* Familiarity with distributed systems.
* Experience with production operations and good practices for releasing quality troubleshooting issues when they arise.
* Effective communication of technical ideas verbally and in writing, including technical proposals, design specs, architecture diagrams, and presentations.
* Ability to collaborate effectively with the team and other stakeholders.
* Production experience with high volume data applications preferred.
* 1\-5 years of relevant experience
**Responsibilities**
* Participate in the entire software lifecycle, from design to development, quality assurance, deployment, and support.
* Maintain best engineering and operational practices to ensure our software quality bar is high.
* Participate and contribute to design discussions to build distributed, scalable, and fault\-tolerant software systems.
* Implement and build cloud services using OCI infrastructure.
* Optimize data processing pipelines to increase throughput and decrease latency.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3">
      <c r="A133" t="inlineStr">
        <is>
          <t>li-4370348694</t>
        </is>
      </c>
      <c r="B133" t="inlineStr">
        <is>
          <t>Lead Full Stack Engineer, Partner Ecosystem</t>
        </is>
      </c>
      <c r="C133" t="inlineStr">
        <is>
          <t>Alloy</t>
        </is>
      </c>
      <c r="D133" t="inlineStr">
        <is>
          <t>linkedin</t>
        </is>
      </c>
      <c r="E133" t="inlineStr"/>
      <c r="F133" t="inlineStr"/>
      <c r="G133" t="inlineStr">
        <is>
          <t>New York, NY</t>
        </is>
      </c>
      <c r="H133" t="inlineStr"/>
      <c r="I133" t="inlineStr">
        <is>
          <t>Alloy is where you belong!
 Alloy helps solve the identity risk problem for companies that offer financial products by enabling them to outpace fraud and confidently serve more people around the world. Over 800 of the world’s largest financial institutions and fintechs turn to Alloy to take control of fraud, credit, and compliance risk, and grow with the clearest picture of their customers.
 Through our values: Be Bold, Get Scrappy, Collaborate, and Celebrate Our Differences, we are creating a workplace where you can grow, thrive, and belong. See how we’ve been continuously recognized and named one of Inc. Magazine’s Best Workplaces, Forbes America’s Best Startup Employers, Best Fintech to Work for by American Banker, year after year.
 Check out our investors and read more about us here.
**About The Team**
 Alloy is actively hiring experienced full stack engineers to join the Partner Ecosystem Platform Engineering team to design and build a future data provider integration platform. Alloy partners with hundreds of data vendors that perform work across identity verification, fraud mitigation and many others. To scale this out Alloy is building the next generation integration platform, which will make it easy to build, operate and maintain data integrations. Alloy is hiring experienced engineers who can lead this effort, creating a new platform that enables the new stage of Alloy’s growth.
 Alloy operates in a hybrid\-work environment. We look to foster collaboration and community by having our local employees onsite twice a week.
**What You'll Be Doing**
 Reporting to the Head of Engineering, you will:
* Design and build a scalable platform that simplifies the creation/operation of hundreds of data partner integrations.
* Collaborate with engineers, designers, and product managers to translate our product and technical vision into a concrete roadmap, guiding the team towards success.
* Partner with third\-party vendors \&amp; our clients to gather requirements and co\-create solutions, ensuring seamless integration of their data within the core product and the evolving marketplace experience.
* Architect, develop, test, and deploy significant customer\-facing features and projects using cutting\-edge tools and technologies. Our tech stack includes TypeScript, JavaScript (ES6/React), Python (Django), Node.js, PostgreSQL, Elasticsearch, and AWS.
* Craft high\-quality, thoroughly\-tested code that meets the unique requirements of our clients, ensuring robustness and reliability.
* Provide technical mentorship and guidance to fellow engineers, fostering a culture of learning and growth within our rapidly expanding team.
 In summary, you will play a pivotal role in building out the next generation of partner ecosystem platform at Alloy, driving the development of integrations with our data partner APIs and SDKs, leveraging your technical expertise to build solutions that have a significant market impact while fostering a collaborative and high\-performance team environment.
**Who We're Looking For**
* 10\+ years of hands\-on experience in developing production\-ready software, demonstrating a proven track record of delivering robust and scalable solutions.
* Experience maintaining and working with data integrations / external API sources
* Expertise in steering technical projects (fullstack or backend), adept at prioritizing tasks, defining requirements, and facilitating productive discussions within the team to drive informed technical decisions.
* Collaborative mindset, experience leading engineering teams in collective pursuits, fostering an environment of cooperation and shared success.
* Remarkable ability to adapt swiftly to the evolving needs of our growing organization and dynamic product landscape, ensuring alignment with strategic objectives.
* Proficiency in client\-side technologies such as TypeScript, JavaScript (ES6/React), HTML/CSS, as well as server\-side proficiency in Python (Django), enabling seamless development across the entire stack.
* Practical experience in managing relational databases, with a strong command over PostgreSQL and its intricacies, ensuring efficient data management and retrieval.
**Nice To Have**
* Experience working in developer productivity domain and/or SDKs
* Experience working in Fintech or the financial services industry.
 We're a lean team, so your impact will be felt immediately, and opportunities will grow as the company scales up. If this all sounds like a good fit for you, why not join us?
 Alloy is committed to fair and equitable compensation practices. In addition to a competitive base salary, this position is also eligible for equity awards in the form of stock options (ISOs) as well as a competitive total benefits package. Your recruiter will be happy to walk you through the details and what compensation could look like for you specifically!
*This position has a salary range of $198,000 to $250,000\. Offers are determined by experience, skills, and interview performance as indicators of expected contribution, with movement through the range tied to demonstrated impact in the role.*
 Benefits and Perks
* Unlimited PTO and flexible work policy
* Employee stock options
* Medical, dental, vision plans with HSA (monthly employer contribution) and FSA options
* 401k with 100% match up to 4% of annual employee compensation
* Eligible new parents receive 16 weeks of paid parental leave
* Home office stipend for new employees
* Annual Learning \&amp; Development annual stipend
* Well\-being benefits include access to ClassPass, OneMedical, UrbanSitter, and Spring Health
* Hybrid work environment: employees are expected to work Tuesdays and Thursdays from our HQ in Union Square, Manhattan. Tasty lunches catered from a variety of local restaurants and frequent employee\-organized cultural events contribute to our positive office energy. On Monday/Wednesday/Friday most employees Zoom into work from home while some take advantage of the quieter office.
 How to apply
 Apply right here! You've found the application!
 Alloy is proud to be an equal\-opportunity workplace and employer. We’re committed to equal opportunity regardless of race, color, ancestry, religion, gender, gender identity, parental or pregnancy status, national origin, sexual orientation, age, citizenship, marital status, disability, or veteran status. We are committed to an inclusive interview experience and provide reasonable accommodations to applicants with visible and invisible disabilities. We encourage applicants to share needed accommodations with their recruiter.
 All Alloy jobs are listed on our careers page. Any communication during the recruitment process, including interview requests or job offers, will come directly from a recruiting team member with an alloy.com email address. We do not use outside applications or automated text messaging in our recruiting process. We will not ask for any sensitive financial or identification information during the recruiting process. If you’re ever unsure, please contact us directly via our website before sharing personal information.</t>
        </is>
      </c>
    </row>
    <row r="134">
      <c r="A134" t="inlineStr">
        <is>
          <t>li-4370352600</t>
        </is>
      </c>
      <c r="B134" t="inlineStr">
        <is>
          <t>FLEX Senior Software Engineer - Full Stack</t>
        </is>
      </c>
      <c r="C134" t="inlineStr">
        <is>
          <t>Hotels AI</t>
        </is>
      </c>
      <c r="D134" t="inlineStr">
        <is>
          <t>linkedin</t>
        </is>
      </c>
      <c r="E134" t="inlineStr"/>
      <c r="F134" t="inlineStr"/>
      <c r="G134" t="inlineStr">
        <is>
          <t>Bethesda, MD</t>
        </is>
      </c>
      <c r="H134" t="inlineStr"/>
      <c r="I134" t="inlineStr">
        <is>
          <t>**Description**
 This is a temporary position.
**Job Overview**
 As a Senior Full Stack Software Engineer at Marriott, you will be working on a state\-of\-the\-art React\-based micro\-frontend architecture. You will collaborate with new GenAI tools to create components and workflows used by our Application Engineers. You will help build the next\-generation hospitality web portal to assist our customers in traveling the world for work and pleasure. You will work with product owners, UX designers, back\-end/front\-end engineers, and QA teams to build scalable web software that performs well on all modern web browsers and devices.
 In addition to front\-end development, you will contribute to the design and implementation of microservices that power our platform, ensuring modular, maintainable, and high\-performance backend systems.
 Key Responsibilities
* Develop and maintain Typescript libraries and platform tools for our React / Next.JS applications.
* Deep understanding of the cloud\-native solution, microservices\-architecture, and at least one or more of the following areas: API orchestration architecture, mobile\-front end architecture
* Collaborate with cross\-functional teams to design and implement user\-friendly features for all form factors.
* Optimize applications and services for maximum speed, scalability, and reliability.
* Ensure the technical feasibility of UI/UX designs and propose alternative solutions when needed.
* Participate in code reviews to maintain code quality and consistency.
* Troubleshoot and debug issues across the stack as they arise.
* Stay up to date with the latest front\-end and microservice technologies and best practices.
* Mentor and provide guidance to junior developers.
* Communicate effectively with team members, stakeholders, and clients.
**Qualifications**
* 7\+ years’ experience in software design and development with expert\-level expertise in multiple programming languages like JavaScript, TypeScript, NodeJS, Next.js, React.js.
* Strong experience in designing and developing scalable microservices using modern backend frameworks and cloud\-native architectures.
* Knowledge of backend technologies – Node.JS, Java, SQL, NoSQL, Spring boot, Kafka
* Experience using GraphQL and REST for building robust APIs and service integrations.
* Experience with Automation, CI/CD, Release Management processes and Application Deployments
* Exposure to agentic GenAI development tools like Claude, ChatGPT, or other tools.
* Experience in building enterprise\-scale web applications using micro front\-end architecture.
* Experience in developing software using front\-end libraries/frameworks—primarily React.
* Experience in customizing webpack configurations and writing custom plugins to bundle code as UMD bundle for isomorphic consumption.
* Strong knowledge in performance optimization techniques across both front\-end and microservice layers.
* Experience in using Jest, Jasmine, Mocha, and JUnit with Mockito for unit and integration testing.
**Preferred Qualifications**
* Experience in agentic GenAI development tools like Claude, ChatGPT or other tools
* Experience with Figma, Adobe Experience Manager or Headless CMS platforms.
* Familiarity with DevOps \&amp; Monitoring tools such as Git, JIRA, Jenkins, Harness, and Dynatrace
* Demonstrated UI implementation skills, supported by a portfolio showcasing attention to typography, color, imagery, motion, and graphic elements
* Proficiency in developing custom reusable components using Atomic Design principles
* Experience integrating Adobe Experience Manager (AEM) with React components in both headful and headless architectures
* Background in working with multi\-repository code bases
* Ability to write deployment configurations
* Awareness of industry developments, best practices, and environments in web application design and development
* Strong verbal and written communication skills, with the ability to present complex technical ideas in clear business terms
 Why Marriott
* Opportunity to work on innovative projects and technologies.
* Collaborative and inclusive work environment.
* Professional growth and development opportunities.
* Flexible work schedule and remote work options.
* Travel and hospitality tech is fun, and it's a good mission.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135">
      <c r="A135" t="inlineStr">
        <is>
          <t>li-4370344499</t>
        </is>
      </c>
      <c r="B135" t="inlineStr">
        <is>
          <t>Software Engineer, AI</t>
        </is>
      </c>
      <c r="C135" t="inlineStr">
        <is>
          <t>Grow Therapy</t>
        </is>
      </c>
      <c r="D135" t="inlineStr">
        <is>
          <t>linkedin</t>
        </is>
      </c>
      <c r="E135" t="inlineStr"/>
      <c r="F135" t="inlineStr"/>
      <c r="G135" t="inlineStr"/>
      <c r="H135" t="inlineStr"/>
      <c r="I135" t="inlineStr">
        <is>
          <t>**About Us** 
 Grow Therapy is dedicated to transforming mental health care by serving as a trusted partner for therapists seeking to expand their practices and for patients accessing high\-quality mental health services. Leveraging innovative technology, we operate a dynamic three\-sided marketplace that connects providers, enhances insurance payor capabilities, and ensures patients receive personalized care. Since our inception in February 2021, we have rapidly grown to empower over ten thousand therapists and serve hundreds of thousands of clients across the United States, navigating complex insurance landscapes. Our success has been recognized through significant funding rounds, raising over $178 million from prominent investors such as Sequoia Capital, Transformation Capital, TCV, SignalFire, and others. Our mission is rooted in making mental health care accessible, effective, and scalable through cutting\-edge technology and a passionate team committed to excellence.
**About The Role** 
 We are seeking a highly skilled and product\-focused Staff Software Engineer to join our Match Success team. In this senior engineering leadership position, you will define and drive the technical vision for our marketplace and provider experience systems. Your role involves building scalable backend systems, workflows, and intelligent features that facilitate seamless connections between clients and providers, fostering long\-term therapeutic relationships. You will be responsible for architecting next\-generation marketplace matching solutions that utilize personalization, semantic search, applied AI, and scalable service design. This role sits at the intersection of product development, engineering, provider success, and quality assurance, requiring a strategic mindset, clarity in ambiguous situations, and a commitment to technical excellence. As a key leader, you will influence the company's technical direction, mentor engineering teams, and contribute to building a high\-performance culture with an entrepreneurial spirit. This is a unique opportunity to help shape the future of healthcare access at a national scale, akin to building the "Uber" or "Airbnb" of healthcare services.
**Qualifications** 
* 8\+ years of professional software engineering experience
* Minimum of 2 years leading engineering teams or technical initiatives
* At least 2 years of building backend systems at scale, preferably in high\-throughput or marketplace environments
* Experience with P2P or multi\-sided marketplaces, including matching, ranking, pricing, fraud detection, or fulfillment domains
* Strong understanding of product engineering with a focus on user needs and high\-quality experiences
* Exceptional architectural and technical vision, with the ability to influence and drive execution
* Proven track record of delivering complex projects involving multiple teams and stakeholders
* Highly data\-driven, comfortable with experimentation, measurement, and optimization
* Excellent communication skills and cross\-functional leadership abilities
* Experience mentoring and developing engineering talent
* Founder’s mindset with ownership, agility, resilience, and bias toward action
* Ability to establish frameworks and philosophies for technical leadership and scalable execution
**Responsibilities** 
* Define and own the long\-term technical vision for core marketplace, scheduling, booking, and provider operations systems
* Architect scalable backend systems supporting high\-volume matching, transactions, availability management, and operational workflows
* Design and enhance matching, search, and personalization features, including semantic search, recommendation systems, and applied AI patterns
* Continuously improve key marketplace flows such as appointment management, provider discovery, cancellations, and practice setup
* Develop operational frameworks for planning, prioritization, incident management, and delivery excellence
* Leverage data by instrumenting systems, measuring impact, and optimizing marketplace performance and matching success
* Lead and mentor a high\-performance engineering team, fostering a culture of technical excellence and innovation
* Create comprehensive documentation, playbooks, and architectural guardrails to ensure quality and consistency
* Advocate for client and provider experience needs, translating insights into technical strategies and roadmaps
**Benefits** 
* Comprehensive health coverage including medical, dental, and vision insurance, along with life and disability benefits
* Parental leave of up to 18 weeks paid leave, plus a stipend for new children
* Financial wellness programs including a 401(k) plan and equity
* options for home office setup and ongoing meal allowances, tailored for remote and in\-office employees
* Flexible paid time off, 12 paid holidays, and a full week off during winter break
* Annual stipends for personal and professional development
* No\-cost access to therapy through the Grow platform, with flexible hours dedicated to self\-care
* Memberships to wellness apps such as One Medical, Headspace, and Talkspace
* Additional perks including pet insurance discounts, commuter benefits, and global travel assistance
 Equal Opportunity
 Grow Therapy is an equal opportunity employer committed to fostering an inclusive and diverse workplace. We provide equal employment opportunities regardless of race, color, religion, sex, sexual orientation, gender identity, national origin, age, disability, veteran status, or any other protected characteristic.</t>
        </is>
      </c>
    </row>
    <row r="136">
      <c r="A136" t="inlineStr">
        <is>
          <t>li-4370351927</t>
        </is>
      </c>
      <c r="B136" t="inlineStr">
        <is>
          <t>Staff Software Engineer - Rider Incentives</t>
        </is>
      </c>
      <c r="C136" t="inlineStr">
        <is>
          <t>Uber</t>
        </is>
      </c>
      <c r="D136" t="inlineStr">
        <is>
          <t>linkedin</t>
        </is>
      </c>
      <c r="E136" t="inlineStr"/>
      <c r="F136" t="inlineStr"/>
      <c r="G136" t="inlineStr">
        <is>
          <t>San Francisco, CA</t>
        </is>
      </c>
      <c r="H136" t="inlineStr"/>
      <c r="I136" t="inlineStr">
        <is>
          <t>**About The Role**
 This role sits within the Rider Pricing \&amp; Incentives team, which focuses on providing algorithmically computing rider prices in real\-time, and growing demand on the Uber platform with Rider promotions. This team plays a critical role in Uber's business and directly impacts its success.
 The role is focused on backend work in collaboration with machine learning engineers, applied scientists, and product managers across teams and orgs. You'll work on some of Uber's most strategic marketplace challenges at a global scale. This is an exciting opportunity to shape the future of Uber's Rides marketplace and make a direct impact on the business.
 **\-\-\-\- Basic Qualifications \-\-\-\-** 
**\-\-\-\- Preferred Qualifications \-\-\-\-**
* What You Will Do \-\-\-\-
* Design, develop, and improve systems and products used by millions of members, in collaboration with a team of talented engineers, Product Managers, and Designers.
* Write high\-quality code and uphold standards for testing and coverage.
* Align the team on solutions to ambiguous problems and analyze the tradeoffs of different technical solutions
* Contribute to engineering cultivation in terms of quality, monitoring, and on\-call practices.
* Mentor and coach other engineers.
* Find opportunities to improve how our team operates and promote standard processes
* 7\+ years of experience delivering, scaling, and owning highly successful and innovative software products with your fingerprints all over them \- you're extremely proud of what you've accomplished.
* Proven record of engineering and coding skills. Ability to write high\-performance production\-quality code. Experience in Go, Python, Java, or other equivalent languages.
* Perseverance to get things done with a focus on shipping online production systems. Roadblocks don't get in your way \- they get you excited for the challenge.
* A deep love of building elegant, maintainable, well\-documented code. Abstracting and refactoring should be a passion, not a chore.
* Drive to always learn new things and go above and beyond the call of duty.
* Strong communication skills and a collaborative approach to problem\-solving. Always working to improve yourself and constructively support the team around you.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 Strong communication skills, both written and verbal, to articulate complex ideas to various stakeholders.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7">
      <c r="A137" t="inlineStr">
        <is>
          <t>li-4370344802</t>
        </is>
      </c>
      <c r="B137" t="inlineStr">
        <is>
          <t>Software Developer JM</t>
        </is>
      </c>
      <c r="C137" t="inlineStr">
        <is>
          <t>Northstrat Incorporated</t>
        </is>
      </c>
      <c r="D137" t="inlineStr">
        <is>
          <t>linkedin</t>
        </is>
      </c>
      <c r="E137" t="inlineStr"/>
      <c r="F137" t="inlineStr"/>
      <c r="G137" t="inlineStr">
        <is>
          <t>Sterling, VA</t>
        </is>
      </c>
      <c r="H137" t="inlineStr"/>
      <c r="I137" t="inlineStr">
        <is>
          <t>Northstrat is seeking an experienced and driven Senior Full Stack Developer to join our dynamic team. The ideal candidate will have extensive experience in both back\-end and front\-end development, bringing a wealth of knowledge in multiple programming languages and frameworks. This role demands a self\-starter who can take vaguely defined tasks and independently deliver high\-quality solutions.
 The programs produce Mission Management web applications for the Intelligence Community, leveraging cloud\-based microservices architecture. Responsibilities include:
* Utilize Java, including JEE and REST web services, for back\-end development.
* Collaborate with cross\-functional teams to define, design, and implement new features.
* Produce detailed specifications and write software code
* Work closely with system engineers, and SMEs to understand functional requirements
* Create unit tests and integration tests while supporting formal testing
* Provide input into training manuals for users
* Maintain knowledge of feature and technical changes in the application
* Apply Agile software development methodologies in your work.
* Participate in code reviews, testing, and debugging.
* Contribute to architectural decisions and the evolution of our tech stack.
****Requirements****
* Bachelor’s degree in computer science or a related field, or equivalent experience.
* Must have at least 5\+ years of relevant experience.
* Strong Java skills, including JEE and REST web services is required.
* Experience with relational databases such as Oracle, MySQL, or Postgres.
* Familiarity with Linux environments.
* Experience with Java microservice application and interface design and development.
* Understanding of Agile Scrum practices and traditional waterfall projects.
* An Active or current Top\-Secret clearance with SCI access (TSSCI) is required with a FS/Poly.
****Preferred Qualifications****
* Experience developing microservices using Spring Boot and the Spring Framework
* Experience working with scalable and distributed message bus such as Apache Kafka
* Experience applying DevOps best practices and leveraging tools such as Git, Jenkins, and Docker
* Experience developing secure RESTful web services integrating Identity Management tools such as Keycloak and LDAP
* Ability to work with container orchestration systems such as Kubernetes, Docker, and Helm
* Knowledge of in\-memory storage solutions (Redis) as well as AWS S3\-compliant object stores
* Experience applying DevOps best practices in day\-to\-day software development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semi\-annually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sexual orientation, gender identity, national origin, disability, veteran status or other legally protected status.</t>
        </is>
      </c>
    </row>
    <row r="138">
      <c r="A138" t="inlineStr">
        <is>
          <t>li-4370356003</t>
        </is>
      </c>
      <c r="B138" t="inlineStr">
        <is>
          <t>Software Engineer (Full Stack)</t>
        </is>
      </c>
      <c r="C138" t="inlineStr">
        <is>
          <t>Wiraa</t>
        </is>
      </c>
      <c r="D138" t="inlineStr">
        <is>
          <t>linkedin</t>
        </is>
      </c>
      <c r="E138" t="inlineStr"/>
      <c r="F138" t="inlineStr"/>
      <c r="G138" t="inlineStr"/>
      <c r="H138" t="inlineStr"/>
      <c r="I138" t="inlineStr">
        <is>
          <t>**About Onos Health**
 Onos Health’s mission is simple but ambitious: ensure every healthcare dollar goes toward delivering the highest quality care. Today, 30% of total U.S. healthcare spending is wasted due to ineffective care and administrative burden caused by misalignment between providers and payers. Onos is addressing this challenge by building the largest AI\-driven healthcare data platform. Our models enable payers to make faster, more accurate decisions across their populations. By guiding members to the right care, Onos is channeling more dollars to high\-quality care that drives outcomes while making healthcare more affordable. Recently, Onos closed a $6 million Seed round with top\-tier investors and is already working with some of the nation’s largest health plans, signing its first national plan just months after launch. Join us in redefining healthcare and making a meaningful impact on the industry.
**About The Role**
 We are seeking an experienced and highly capable full\-stack product engineer who is motivated to improve the way healthcare is administered in the United States. As a key early team member, you will take ownership of developing significant parts of the Onos platform, including our user\-facing applications and APIs. This hybrid role based in San Francisco offers the opportunity to wear multiple hats, such as frontend development, UI/UX design, and backend engineering. You will lead the development of our end\-user web application used by healthcare administrators and providers, architect major platform components, and prototype new features to gather user feedback. Your role will involve shaping our technical roadmap, making architectural decisions, and influencing product and design strategies. This position offers a unique chance to work at the forefront of healthcare AI, contributing directly to building a category\-defining company that aims to revolutionize healthcare delivery.
**Qualifications**
* 5\+ years of professional experience building end\-user web applications at product\-driven companies
* Proficiency with web technologies such as React, Typescript, NextJS, and related frameworks
* Strong backend development skills with Python, Django, and related tools
* Experience working with relational databases like PostgreSQL or MySQL
* Customer\-focused mindset with high user empathy and attention to detail
* Ability to develop frontend UI/UX with minimal guidance
* Experience working in collaborative, fast\-paced environments
* Knowledge of healthcare data management and HIPAA compliance (bonus)
* Experience with design systems and maintainable frontend codebases (bonus)
* Previous roles involving architecture on full\-stack projects (bonus)
**Responsibilities**
* Lead the development of our end\-user web applications used by healthcare administrators and providers
* Architect and implement core platform components to deliver actionable insights and support workflows related to fraud, waste, and abuse
* Prototype new features and use cases to gather user feedback and iterate on product design
* Establish engineering best practices and technical foundations to support future team growth and AI integration
* Help shape the company's technical roadmap, make architectural decisions, and influence product strategy
* Develop a flexible and robust UI/UX that supports various healthcare data sources and use cases
* Implement machine learning pipelines to analyze medical records and automate recommendations
* Create human\-centric AI user experiences that foster trust and usability
* Ensure high security and privacy standards are maintained across all platform components
**Benefits**
* Flexible hybrid work arrangement with 1\-2 days/week at our San Francisco office and remote options
* Unlimited vacation policy to promote work\-life balance
* Paid parental leave for new parents
* Comprehensive medical, dental, and vision insurance coverage
* Pre\-tax commuter benefits to support your daily commute
* 401(k) retirement savings plan
* Significant equity stake as an early employee, offering ownership in the company
* Ground\-floor opportunity to help build a high\-performing team and company culture
* Regular team events and offsite gatherings to foster team bonding
* Company\-provided equipment and support for a productive home office setup
 Equal Opportunity
 We are an equal opportunity employer and value diversity at our company. We do not discriminate on the basis of race, religion, color, national origin, gender, sexual orientation, age, marital status, veteran status, or disability status. We are committed to creating an inclusive environment for all employees and applicants.</t>
        </is>
      </c>
    </row>
    <row r="139">
      <c r="A139" t="inlineStr">
        <is>
          <t>li-4370338680</t>
        </is>
      </c>
      <c r="B139" t="inlineStr">
        <is>
          <t>Software Engineer (AI, SQL)</t>
        </is>
      </c>
      <c r="C139" t="inlineStr">
        <is>
          <t>General Motors</t>
        </is>
      </c>
      <c r="D139" t="inlineStr">
        <is>
          <t>linkedin</t>
        </is>
      </c>
      <c r="E139" t="inlineStr"/>
      <c r="F139" t="inlineStr"/>
      <c r="G139" t="inlineStr"/>
      <c r="H139" t="inlineStr"/>
      <c r="I139" t="inlineStr">
        <is>
          <t>**About The Company** 
 General Motors (GM) is a global leader in automotive manufacturing and innovation, committed to creating a safer, more sustainable, and more efficient transportation future. With a rich history of technological advancements and a focus on mobility solutions, GM strives to lead the industry through cutting\-edge research and development. The company’s vision encompasses Zero Crashes, Zero Emissions, and Zero Congestion, reflecting its dedication to safety, environmental responsibility, and improved urban mobility. GM fosters an inclusive and dynamic workplace culture that values diversity, innovation, and collaboration, empowering employees to make a meaningful impact on the world.
**About The Role** 
 We are seeking a highly skilled and experienced Staff Software Engineer to join our Simulation Test Engineering team. This fully remote or hybrid role offers the opportunity to work on the forefront of autonomous vehicle (AV) technology. As a key member of the team, you will be responsible for architecting, implementing, and optimizing large\-scale simulation testing pipelines that are essential for AV behavior development and validation. Your expertise will drive the integration of AI\-powered tools to automate various testing processes, including test creation, data analysis, and reporting. You will collaborate with cross\-functional teams to deliver robust, user\-centric test products built on industry\-leading simulation frameworks, directly influencing the safety, quality, and development velocity of GM’s autonomous vehicle software.
**Qualifications** 
* BS, MS, or PhD in Computer Science, Engineering, or a related field
* 5\+ years of experience developing scalable software solutions using Python in a production environment
* Proven experience in test framework development, large\-scale simulation test creation, and management
* Experience with metrics\-driven test signal extraction and analysis
* Hands\-on experience with AI\-powered development tools such as GitHub Copilot, Cursor, or AMP
* Strong communication and collaboration skills, with the ability to work effectively in remote or distributed teams
* Demonstrated ability to lead technical design and execution across multiple teams and organizations
 Bonus qualifications include experience with simulation frameworks for AV or robotics, familiarity with SQL, time\-series data analysis, performance monitoring tools, dashboarding systems (e.g., Looker, Streamlit), knowledge of ROS, data orchestration tools (Airflow, DBT), visualization libraries, and expertise in computational geometry, machine learning, or advanced analytics.
**Responsibilities** 
* Design and implement automated, scalable simulation testing pipelines and frameworks that provide clear signals for behavior validation and operational readiness
* Develop and maintain shared libraries and automation tools for test creation, data collection, analysis, debugging, and performance monitoring
* Influence technical roadmaps and strategic priorities by collaborating with cross\-functional teams to integrate new simulation technologies aligned with AV development goals
* Uphold high standards of code quality and architecture through code reviews and technical mentorship to fellow engineers
* Leverage AI tools to enhance productivity, code quality, and innovation within simulation testing processes
* Drive continuous improvement of testing pipelines to accelerate AV software development cycles and ensure safety standards
**Benefits** 
* Comprehensive health and wellbeing programs including medical, dental, and vision coverage
* Health Savings Accounts (HSAs) and Flexible Spending Accounts (FSAs)
* Retirement savings plans with company contributions
* Paid vacation, holidays, and sick leave
* Tuition assistance and professional development programs
* Employee assistance programs and mental health resources
* GM vehicle discounts and access to company vehicle evaluation programs
* Opportunities for career growth and advancement within a global organization
 Equal Opportunity
 General Motors is committed to fostering a diverse and inclusive workplace where all employees are valued and respected. We provide equal employment opportunities regardless of sex, race, color, national origin, citizenship status, religion, age, disability, pregnancy, sexual orientation, gender identity, veteran status, or any other protected characteristic.</t>
        </is>
      </c>
    </row>
    <row r="140">
      <c r="A140" t="inlineStr">
        <is>
          <t>li-4370346795</t>
        </is>
      </c>
      <c r="B140" t="inlineStr">
        <is>
          <t>Software Engineer (Java, Spring, React, RabbitMQ or Kafka) - Onsite in Annapolis, MD</t>
        </is>
      </c>
      <c r="C140" t="inlineStr">
        <is>
          <t>Booker DiMaio</t>
        </is>
      </c>
      <c r="D140" t="inlineStr">
        <is>
          <t>linkedin</t>
        </is>
      </c>
      <c r="E140" t="inlineStr"/>
      <c r="F140" t="inlineStr"/>
      <c r="G140" t="inlineStr">
        <is>
          <t>Annapolis, MD</t>
        </is>
      </c>
      <c r="H140" t="inlineStr"/>
      <c r="I140" t="inlineStr">
        <is>
          <t>This is a hybrid position with 3 days/week onsite in Annapolis, MD (21401\) and 2 days/week remote.
 US Citizenship or a Green Card is required.
**Government Agency Experience Is Also Required.**
 We are seeking an experienced
 **Senior Software Engineer** 
 to support the redesign and modernization of two mission\-critical enterprise applications. This role is heavily focused on
 **event\-driven architecture** 
 ,
 **microservices** 
 , and modern full\-stack development.
 The ideal candidate brings deep expertise in
 **Core Java** 
 ,
 **Spring Boot** 
 ,
 **Kubernetes** 
 ,
 **React** 
 ,
 **Elasticsearch** 
 , and
 **message\-driven systems using RabbitMQ or Kafka** 
 . You will collaborate with cross\-functional teams to design, build, deploy, and maintain scalable, resilient applications in a complex enterprise environment.
**Required Skills**
* Bachelor’s degree in Computer Science or a related field
* Experience working with a government entity.
* 8\+ years of Core Java development experience
* 4\+ years developing microservices using Spring Boot and Spring frameworks
* 4\+ years building modern user interfaces with React
* Hands\-on experience with message\-driven architectures using RabbitMQ or Kafka
* Strong understanding of event\-driven architecture (EDA) principles
* Experience deploying and supporting applications in Kubernetes environments
* Proficiency with CI/CD pipelines, Git, and automated build processes
* Ability to write unit tests with a target of 85%\+ code coverage
**Desired Skills:**
* Experience with Elasticsearch for search, indexing, and analytics
* Familiarity with PrimeFaces 6\.x\+ and JavaServer Faces (JSF)
* Exposure to cloud platforms such as AWS, Azure, or Google Cloud
* Experience with Docker and containerized application development
* Knowledge of application monitoring and observability tools (Prometheus, Grafana, ELK stack)
* Experience working in Agile or hybrid development environments
**Scope of Work:**
**Design \&amp; Development**
* Architect, design, and implement enterprise\-grade software solutions in collaboration with cross\-functional teams
* Develop scalable microservices using Spring Boot and related Spring frameworks
* Apply event\-driven design to build loosely coupled, resilient systems
* Build and maintain responsive, maintainable front\-end components using React
* Support and enhance existing JSF applications utilizing PrimeFaces 6\.x and above
**Messaging \&amp; Event Streaming**
* Implement message queuing and event streaming solutions using RabbitMQ or Kafka
* Develop message producers, consumers, routing logic, and integration components
* When leveraging Kafka experience, demonstrate understanding of architectural and operational differences between Kafka and RabbitMQ
**Deployment \&amp; Infrastructure**
* Deploy and manage microservices within Kubernetes clusters
* Support automated CI/CD pipelines for build and release
* Monitor, troubleshoot, and optimize production systems for performance and reliability
* Perform application and infrastructure\-level performance tuning
**Quality Assurance**
* Write comprehensive unit tests and maintain high code coverage standards
* Participate in peer code reviews to ensure coding standards and best practices
* Conduct system testing, debugging, and validation activities
**Documentation \&amp; Collaboration**
* Produce technical specifications, architecture documentation, and design artifacts
* Create sequence diagrams for major use cases
* Collaborate closely with product managers, designers, and engineering teams to refine requirements and ensure alignment
**Reporting**
* Submit weekly activity and project status reports
* Complete time reporting and other required documentation in prescribed formats</t>
        </is>
      </c>
    </row>
    <row r="141">
      <c r="A141" t="inlineStr">
        <is>
          <t>li-4370361429</t>
        </is>
      </c>
      <c r="B141" t="inlineStr">
        <is>
          <t>Full Stack Engineer</t>
        </is>
      </c>
      <c r="C141" t="inlineStr">
        <is>
          <t>RecruiterPM</t>
        </is>
      </c>
      <c r="D141" t="inlineStr">
        <is>
          <t>linkedin</t>
        </is>
      </c>
      <c r="E141" t="inlineStr"/>
      <c r="F141" t="inlineStr"/>
      <c r="G141" t="inlineStr">
        <is>
          <t>Florida, United States</t>
        </is>
      </c>
      <c r="H141" t="inlineStr"/>
      <c r="I141" t="inlineStr">
        <is>
          <t>**\*We require candidates to fly out to the office during the final stage in the interview process in Boca Raton, Florida and 1\-2x a year for meetings with the executive team. We also are required to hire only US Based employees only, we can not hire outside the US, due to funding.** 
 RecruiterPM is a growing SaaS that helps recruiting/staffing agencies and employers streamline hiring with an all\-in\-one platform consisting of a combination of Applicant Tracking (ATS), CRM, and Project Management product lines mixed into one powerful experience. As we continue to grow, we’re building advanced Search and AI\-driven features across automation, and all products previously created within the platform.
 We’re looking for a Full Stack Engineer to scale product functionality, and develop AI\-powered search \&amp; product enhancements. This role has a clear path to leadership as we continue to scale.
**What You’ll Do:** 
* Optimize MySQL queries and database performance (indexes, execution plans, schema design).
* Improve and scale search capabilities (OpenSearch).
* Lead development of new AI/ML\-driven product features (vector search, RAG, embeddings, automation, chatbots).
* Manage full stack development using PHP (Laravel), MySQL, Linux, Vue.js, JavaScript.
* Design and implement scalable technical architecture.
* Ensure platform scalability, reliability, and performance as we grow.
**What We’re Looking For:** 
* 5\+ years experience with PHP (Laravel preferred) and LAMP stack.
* Strong expertise in MySQL optimization (indexes, execution plans, large data queries).
* Solid experience with search technologies (ElasticSearch/OpenSearch)
* Hands\-on work with AI/ML\-enhanced product features
* Frontend proficiency: HTML, CSS, JavaScript (Vue.js or similar). There is a UX/Design agency to lean on for this as well.
* Experience working on scalable SaaS platforms.
* Comfortable working in Linux server environments.
* Excellent problem\-solving and communication skills.
**Nice to Have:** 
* Experience with AI\-driven CRM or Recruiting/HR software.
* Familiarity with DigitalOcean, or other cloud infrastructures.
* API integrations \&amp; automation workflows.
* Experience leading other Engineers
**Why Join Us:** 
* Opportunity to grow into Engineering Leadership.
* Work directly with company Founders.
* Lead AI\-driven product innovation.
* Flexible remote work.</t>
        </is>
      </c>
    </row>
    <row r="142">
      <c r="A142" t="inlineStr">
        <is>
          <t>li-4355851234</t>
        </is>
      </c>
      <c r="B142" t="inlineStr">
        <is>
          <t>Software Engineer (Lead) - Portfolio Management</t>
        </is>
      </c>
      <c r="C142" t="inlineStr">
        <is>
          <t>Ethic</t>
        </is>
      </c>
      <c r="D142" t="inlineStr">
        <is>
          <t>linkedin</t>
        </is>
      </c>
      <c r="E142" t="inlineStr"/>
      <c r="F142" t="inlineStr"/>
      <c r="G142" t="inlineStr">
        <is>
          <t>New York, NY</t>
        </is>
      </c>
      <c r="H142" t="inlineStr"/>
      <c r="I142" t="inlineStr">
        <is>
          <t>**Engineering Lead** 
 (Portfolio Management)
 Engineering \| New York, NY
**To assist our hiring teams, please apply on the website here.** 
**What you’ll do:** 
 As a member of our Software Engineering team, you will play a vital role in designing, developing, and maintaining software components that support the portfolio management functions of our business. You will collaborate closely with experienced engineers, product managers, the portfolio management team, and external vendors to meet the growing demands of our increasingly complex operations. You'll also have the opportunity to work with modern technology paradigms on Google Cloud, including modular architecture, functional programming, and reactive applications. More specifically you’ll:
* Design, develop and deliver modules for our proprietary portfolio management system, which includes portfolio construction as well as workflow management
* Model the business data into the right data store
* Add automations to the infrastructure
* Assist in maintaining and improving existing software applications
* Write clean, efficient, and well\-documented code
* Work directly with Ethic's engineering, product, and business teams throughout all phases of the software development lifecycle
**Who you are:** 
* You identify with our company Principles that define our culture, guide our actions, and allow us to do our best work:
* We are
 **In Service** 
 of others \- our clients, our colleagues, the company, and the world.
* We strive to be
 **World Class** 
 \- the best at what we do.
* You’re a problem solver, able to and interested in learning new things quickly to solve unique and challenging problems.
* You are driven, possess a strong work ethic, a bias towards action, and a desire to win as a team.
* You can communicate clearly and concisely in a variety of mediums.
* You operate with high integrity, doing the right thing when no one is looking.
* You take a long\-term view towards contributing to a strong team with a culture of feedback.
* You’re passionate about positively impacting the future of our planet and humanity.
**What you’ll bring to the table:** 
* 5\+ years of Software Engineering experience
* Strong programming skills in Java
* Knowledge of RDBMS. NoSQL experience a plus
* Experience in portfolio construction and/or workflow management a plus
* Strong understanding of functional programming paradigms
* Familiarity with unit testing tools
* Strong knowledge of data structures and algorithms
* Passionate about Software and technology. Interest in Asset Management a plus
* Excellent problem solving and analytical skills
* Strong collaboration and communication skills
**About Ethic:** 
 We at Ethic partner with advisors and institutions to deliver personalized, values\-aligned, and tax\-smart investing. Our technology enables sophisticated investment solutions through a simple and engaging client experience. We empower advisors and institutions to deliver investments that reflect what matters most to them and their clients.
 We're backed by investors including Oak HC/FT, Nyca Partners, Fidelity, UBS, Jordan Park Group, and Kapor Capital. We are an SEC Registered Investment Adviser based in New York City.
 Our team is committed to fostering an environment that brings together diverse voices, perspectives, and lived experiences. We are striving to drive positive outcomes for investors and to contribute to a more sustainable and prosperous future for the world.
**Compensation \&amp; Benefits:** 
 Compensation at Ethic is a combination of base salary, equity (stock options) in the company, and benefits.
 The base salary for this role will range from $175,000\-$195,000 per year, commensurate with experience.
 Our benefits package includes;
* Medical, dental \&amp; vision insurance – premiums 100% covered by Ethic (includes dependents)
* 401k with sustainable investment options and a 3\.5% employer match
* Unlimited paid time off
* 16\-weeks of paid parental leave
* An annual $600 wellness \&amp; education stipend
* Sponsored employee resource groups
* Regular lunch \&amp; learns and volunteering opportunities
* A fully\-stocked office in lower Manhattan \+ the flexibility to regularly work remotely
**Location:** 
 New York, NY (in\-office at least 3 days a week)
**Submit an application:** 
 If you are interested in applying for this role, please submit both a resume and a cover letter below.
 Ethic values the diversity of our team and welcomes applications from all backgrounds and life experiences. In order to continuously grow a diverse team, we are taking a data\-driven approach to understanding and iterating our hiring practices.</t>
        </is>
      </c>
    </row>
    <row r="143">
      <c r="A143" t="inlineStr">
        <is>
          <t>li-4370358064</t>
        </is>
      </c>
      <c r="B143" t="inlineStr">
        <is>
          <t>Software Developer</t>
        </is>
      </c>
      <c r="C143" t="inlineStr">
        <is>
          <t>Best Job Tool</t>
        </is>
      </c>
      <c r="D143" t="inlineStr">
        <is>
          <t>linkedin</t>
        </is>
      </c>
      <c r="E143" t="inlineStr"/>
      <c r="F143" t="inlineStr"/>
      <c r="G143" t="inlineStr"/>
      <c r="H143" t="inlineStr"/>
      <c r="I143" t="inlineStr">
        <is>
          <t>**About The Company**
 Marketvolt is a dynamic and innovative company dedicated to providing cutting\-edge marketing solutions to businesses across various industries. With a focus on leveraging the latest technology and data\-driven insights, Marketvolt helps organizations enhance their brand presence, optimize marketing campaigns, and achieve measurable growth. Our team is composed of passionate professionals committed to delivering excellence and fostering a collaborative work environment. As a forward\-thinking organization, we prioritize continuous learning, creativity, and integrity in everything we do, ensuring that our clients receive the highest quality services tailored to their unique needs.
**About The Role**
 We are seeking a highly motivated and experienced Marketing Specialist to join our expanding team at Marketvolt. In this role, you will be responsible for developing and executing comprehensive marketing strategies that align with our company goals and client expectations. The ideal candidate will possess a strong understanding of digital marketing channels, content creation, and analytics. You will work closely with cross\-functional teams to design campaigns, analyze performance metrics, and optimize marketing efforts to maximize ROI. This position offers an exciting opportunity to contribute to a fast\-paced environment where innovative thinking and strategic planning are highly valued.
**Qualifications**
 To succeed in this role, candidates should possess a bachelor’s degree in Marketing, Business Administration, Communications, or a related field. A minimum of 3 years of experience in digital marketing or a similar role is required. Proven expertise in SEO, SEM, social media management, email marketing, and content development is essential. Strong analytical skills with the ability to interpret data and generate actionable insights are vital. Excellent communication and interpersonal skills, along with a proactive approach to problem\-solving, are also necessary. Familiarity with marketing tools such as Google Analytics, HubSpot, or similar platforms will be considered an advantage.
**Responsibilities**
* Develop and implement comprehensive marketing strategies to promote company services and client campaigns.
* Create, curate, and manage content across various digital platforms including websites, social media, and email campaigns.
* Monitor and analyze campaign performance metrics, providing insights and recommendations for improvement.
* Coordinate with sales and creative teams to ensure brand consistency and campaign effectiveness.
* Manage social media accounts, engaging with followers and growing online presence.
* Conduct market research to identify new opportunities and stay updated on industry trends.
* Optimize digital marketing efforts through SEO, SEM, and other relevant techniques.
* Prepare detailed reports on marketing activities, results, and ROI for stakeholders.
* Assist in organizing promotional events and webinars to enhance brand visibility.
* Maintain a deep understanding of competitors’ strategies and market positioning.
**Benefits**
 Marketvolt offers a comprehensive benefits package designed to support our employees' well\-being and professional growth. Employees enjoy competitive salary packages, health insurance coverage, and paid time off. We also provide opportunities for ongoing training and development to help team members enhance their skills and advance their careers. Our flexible work arrangements foster a healthy work\-life balance, and we encourage a collaborative and inclusive workplace culture. Additionally, employees have access to various wellness programs and team\-building activities aimed at promoting a positive and engaging work environment.
 Equal Opportunity
 Marketvolt is an equal opportunity employer. We are committed to creating a diverse and inclusive workplace where all employees are valued and respected. We do not discriminate based on race, color, religion, gender, sexual orientation, gender identity, age, disability, or any other protected characteristic. We believe that diverse perspectives and experiences drive innovation and excellence, and we actively seek to foster an environment where everyone can thrive and contribute to our collective success.</t>
        </is>
      </c>
    </row>
    <row r="144">
      <c r="A144" t="inlineStr">
        <is>
          <t>li-4370370219</t>
        </is>
      </c>
      <c r="B144" t="inlineStr">
        <is>
          <t>Software Engineer</t>
        </is>
      </c>
      <c r="C144" t="inlineStr">
        <is>
          <t>Hirecrap</t>
        </is>
      </c>
      <c r="D144" t="inlineStr">
        <is>
          <t>linkedin</t>
        </is>
      </c>
      <c r="E144" t="inlineStr"/>
      <c r="F144" t="inlineStr"/>
      <c r="G144" t="inlineStr"/>
      <c r="H144" t="inlineStr"/>
      <c r="I144" t="inlineStr">
        <is>
          <t>**About The Company**
 Boeing is a globally recognized aerospace leader committed to innovation, excellence, and sustainability. With a rich history spanning over a century, Boeing designs, manufactures, and services commercial airplanes, defense, space, and security systems. The company prides itself on fostering a culture of collaboration, diversity, and continuous improvement, aiming to deliver mission\-critical solutions that enhance safety and efficiency worldwide. Boeing's dedication to technological advancement and customer satisfaction positions it as a trusted partner in aerospace and defense industries across the globe.
**About The Role**
 We are seeking an experienced Embedded Software Engineer to join our dynamic team supporting the Precision Engagement Systems division located in Saint Charles, Missouri. This role offers an exciting opportunity to contribute to the development of advanced military systems, including precision\-guided weapons and missile platforms utilized by the U.S. and allied forces. As part of our team, you will work on designing, developing, and integrating real\-time embedded software solutions that are critical to national defense missions. Your expertise will support the full software development lifecycle, from initial concept through testing and deployment, ensuring the delivery of reliable, high\-performance systems.
**Qualifications**
 The ideal candidate will possess a minimum of 3 years of experience in real\-time embedded software development, with a strong background in object\-oriented programming. A bachelor's degree in engineering, computer science, or a related field from an accredited institution is strongly preferred. Candidates should have experience working within collaborative team environments and familiarity with Agile development methodologies. An active U.S. secret clearance is advantageous, along with experience in languages such as Ada, Python, or C\#. Knowledge of version control systems like Git and the ability to develop and trace software requirements are also desirable. Candidates must demonstrate excellent troubleshooting skills, attention to detail, and a commitment to delivering mission\-critical software solutions.
**Responsibilities**
* Collaborate with a multidisciplinary engineering team to design, develop, and implement operational flight program software solutions for military platforms.
* Participate actively in all phases of the software development lifecycle within an Agile environment, including requirements analysis, coding, testing, and deployment.
* Develop software solutions using languages such as Ada, C\#, and Python, ensuring adherence to safety and performance standards.
* Conduct software testing to verify functionality and assist with system\-level testing activities to validate integrated system performance.
* Analyze problem reports, troubleshoot software defects, and implement corrective actions to maintain system reliability.
* Develop leadership skills through mentorship, project management, and cross\-functional collaboration.
* Engage directly with U.S. Air Force and Navy customers to understand operational needs and deliver tailored software solutions.
**Benefits**
 Boeing offers a comprehensive benefits package designed to support the well\-being, professional growth, and financial security of its employees. This includes competitive salary packages, generous paid time off, flexible work arrangements, paid parental leave, and industry\-leading 401(k) matching programs. Employees have access to tuition assistance for advanced degrees, paid medical leave, and various health and wellness programs. The company also provides resources for work\-life balance, including fitness and wellness initiatives, community engagement opportunities, and employee resource groups. Additionally, Boeing fosters a culture of innovation and continuous learning, encouraging employees to develop their skills and advance their careers within a supportive environment.
 Equal Opportunity
 Boeing is an Equal Opportunity Employer. Employment decisions are made without regard to race, color, religion, national origin, gender, sexual orientation, gender identity, age, physical or mental disability, genetic factors, military or veteran status, or any other characteristics protected by law. The company is committed to creating an inclusive environment where all employees can thrive and contribute to the company's success.</t>
        </is>
      </c>
    </row>
    <row r="145">
      <c r="A145" t="inlineStr">
        <is>
          <t>li-4361469267</t>
        </is>
      </c>
      <c r="B145" t="inlineStr">
        <is>
          <t>Staff Software Engineer, Web</t>
        </is>
      </c>
      <c r="C145" t="inlineStr">
        <is>
          <t>Poshmark</t>
        </is>
      </c>
      <c r="D145" t="inlineStr">
        <is>
          <t>linkedin</t>
        </is>
      </c>
      <c r="E145" t="inlineStr"/>
      <c r="F145" t="inlineStr"/>
      <c r="G145" t="inlineStr">
        <is>
          <t>Redwood City, CA</t>
        </is>
      </c>
      <c r="H145" t="inlineStr"/>
      <c r="I145"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Poshmark is looking for a talented and creative Staff Web Engineer. The candidate is expected to create web applications with a simple user interface and solid code that impacts the lives of millions of users. The role will be dynamic and varied, requiring a versatile self\-starter willing to dive into multiple initiatives. This role provides an excellent opportunity to implement code that may run in production at scale, work with a talented team to rapidly roll out changes and measure their impact, and receive mentorship and guidance.
**Responsibilities**
* Responsible for creating web application features.
* Develop a scalable, high performance and maintainable code.
* Work with web technologies built on Web, database, and caching technologies.
* Tune the performance for the web application.
**6\-Month Accomplishments**
* Get familiar with the existing web architecture and code base.
* Should be able to independently drive the feature development.
* Have a good collaboration within the team. Also, with other teams like Product, Design, QA, devOps etc
* Should participate in technical discussions and be able to evaluate the design and architecture of the solution to the problems.
**12\+ Month Accomplishments**
* Come up with ideas/changes to improve the application both from performance and scalability perspective.
* Establish yourself as technical lead for the web team.
**Desired Skills**
* 8 years software development experience, including at least 3 years in building easy to use, responsive web applications
* Experience in any of the following is highly desirable \- Node, Vue, React, Angular, Ruby on Rails, NoSQL technologies (i.e. MongoDB), AWS.
* Skills in building web development stack.
* Understanding and designing RESTful web services.
* Bachelor’s degree in Computer Science or a related field</t>
        </is>
      </c>
    </row>
    <row r="146">
      <c r="A146" t="inlineStr">
        <is>
          <t>li-4370343756</t>
        </is>
      </c>
      <c r="B146" t="inlineStr">
        <is>
          <t>Full Stack Engineer</t>
        </is>
      </c>
      <c r="C146" t="inlineStr">
        <is>
          <t>Best Job Tool</t>
        </is>
      </c>
      <c r="D146" t="inlineStr">
        <is>
          <t>linkedin</t>
        </is>
      </c>
      <c r="E146" t="inlineStr"/>
      <c r="F146" t="inlineStr"/>
      <c r="G146" t="inlineStr"/>
      <c r="H146" t="inlineStr"/>
      <c r="I146" t="inlineStr">
        <is>
          <t>**About The Company**
 Netflix is a global leader in the entertainment industry, renowned for revolutionizing the way audiences access and enjoy content. Founded in 1997, Netflix has grown from a DVD rental service to a streaming giant with a diverse portfolio of original programming, films, documentaries, and series. With a commitment to innovation and quality, Netflix operates in over 190 countries, serving millions of subscribers worldwide. Our mission is to entertain the world by providing accessible, engaging, and high\-quality content that resonates with diverse audiences. We foster a dynamic and inclusive work environment that encourages creativity, collaboration, and continuous learning.
**About The Role**
 We are seeking a highly motivated and talented \[Job Title] to join our innovative team at Netflix. In this role, you will be responsible for \[brief overview of key responsibilities], contributing to the development, execution, and optimization of our content strategies and initiatives. The ideal candidate will possess a strong background in \[relevant field], excellent analytical and communication skills, and a passion for entertainment and technology. This position offers an exciting opportunity to work at the forefront of the digital entertainment industry, impacting millions of viewers around the globe. Collaborating closely with cross\-functional teams, you will help drive Netflix’s mission to deliver exceptional entertainment experiences and maintain our competitive edge in the market.
**Qualifications**
 The ideal candidate should possess a bachelor’s degree in Business, Marketing, Media Studies, or a related field; a master’s degree is preferred. Proven experience of 3\+ years in content management, digital marketing, or a similar role within the entertainment or technology sectors is required. Strong analytical skills, with the ability to interpret data and generate actionable insights, are essential. Excellent communication and interpersonal skills are necessary to collaborate effectively across teams and stakeholders. Familiarity with content licensing, distribution, and emerging media trends is highly desirable. A proactive, innovative mindset with a passion for entertainment and technology will set you apart as a candidate.
**Responsibilities**
 Develop and implement comprehensive content strategies aligned with Netflix’s global vision and objectives. Collaborate with content creators, licensors, and internal teams to ensure the successful acquisition, development, and distribution of content. Monitor industry trends, audience preferences, and competitive landscape to identify new opportunities for growth and engagement. Analyze performance metrics and user feedback to optimize content offerings and improve viewer satisfaction. Coordinate with marketing and PR teams to promote new releases and maximize reach. Manage budgets, timelines, and resources efficiently to ensure project milestones are met. Foster a culture of innovation and continuous improvement within the team. Support cross\-functional initiatives aimed at enhancing user experience, expanding market presence, and driving subscriber growth.
**Benefits**
 Netflix offers a comprehensive benefits package designed to support the health, well\-being, and professional development of our employees. This includes competitive salary packages, health insurance plans, retirement savings options, and paid time off. We provide opportunities for continuous learning through training programs, workshops, and industry conferences. Our flexible work arrangements promote work\-life balance and accommodate diverse needs. Employees also enjoy access to various wellness programs, employee discounts, and a vibrant corporate culture that encourages innovation, collaboration, and recognition. At Netflix, we believe in investing in our people and creating an environment where everyone can thrive and reach their full potential.
 Equal Opportunity
 Netflix is an equal opportunity employer committed to fostering an inclusive environment for all employees. We celebrate diversity and are dedicated to creating a workplace that reflects the global community we serve. We do not discriminate based on race, gender, age, religion, sexual orientation, disability, or any other protected characteristic. We believe that diverse perspectives and experiences drive innovation and excellence, and we are committed to providing equal employment opportunities to all qualified candidates.</t>
        </is>
      </c>
    </row>
    <row r="147">
      <c r="A147" t="inlineStr">
        <is>
          <t>li-4370349653</t>
        </is>
      </c>
      <c r="B147" t="inlineStr">
        <is>
          <t>Future Opportunity: Software and Senior Software Engineers</t>
        </is>
      </c>
      <c r="C147" t="inlineStr">
        <is>
          <t>Mesh Systems</t>
        </is>
      </c>
      <c r="D147" t="inlineStr">
        <is>
          <t>linkedin</t>
        </is>
      </c>
      <c r="E147" t="inlineStr"/>
      <c r="F147" t="inlineStr"/>
      <c r="G147" t="inlineStr">
        <is>
          <t>Indianapolis, IN</t>
        </is>
      </c>
      <c r="H147" t="inlineStr"/>
      <c r="I147" t="inlineStr">
        <is>
          <t>We invite you to submit your resume and a cover letter explaining why you are interested in future opportunities with Mesh Systems as a Software or Senior Software Engineer. We are always looking for top talent! Your application will be reviewed, and we will contact you should a suitable position become available.
 This would be a hybrid position with both work\-from\-home/in\-office work based out of our Headquarters in Indianapolis, IN (specifically Carmel) or our IoT Innovation Center in Appleton, WI reporting directly to the VP of Engineering. Fully remote teammates will be taken into consideration in certain circumstances.
 Candidates are expected to fully answer all application questions. Incomplete responses may impact your application.
 NO AGENCY APPLICATIONS ACCEPTED
**Benefits**
**About Mesh Systems**
 Mesh Systems is an Internet of Things (IoT) Solutions Software and Services company that helps enterprises achieve digital transformation. With over 20 years of experience working with Fortune 500s and industry leaders, Mesh Systems has IoT engineering competency across hardware, software, wireless technologies, and cloud services. We have been regularly awarded as one of the most innovative companies in the IoT ecosystem. Our consistent growth and success have earned us a place on the Inc. 5000 list five times, most recently in 2025, and we’ve been recognized on the Deloitte Technology Fast 500 twice. In 2023, we were honored with two Mira Award nominations for Exceptional Employer and Scale\-Up of the Year, and in 2025 we were once again named a Best Places to Work company by the Indiana Chamber. As a sales\-driven, partner\-led organization, we continuously seek to drive value and maximize the benefits of IoT \&amp; AI for the enterprises we serve. Our commitment to innovation, customer success, and fostering a collaborative culture sets us apart as a leader in the industry.
**Working at Mesh has its perks!**
 Salary, company bonus, medical, dental, vision, cyber security, pet insurance, 401k plan with match, flexible work from home, 2 weeks annually ability to work anywhere in the world, parental leave, growth and development opportunities, flex\-time off, volunteer time off, company paid life insurance, Friday Lunch \&amp; Learns, and unlimited snacks, fruit, coffee, and sodas!
**Equal Opportunity Employer**
 Mesh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Our goal is to employ a diverse mix of talented people who want to come, to stay, and do their best work.</t>
        </is>
      </c>
    </row>
    <row r="148">
      <c r="A148" t="inlineStr">
        <is>
          <t>li-4268680534</t>
        </is>
      </c>
      <c r="B148" t="inlineStr">
        <is>
          <t>Sr. Software Engineer</t>
        </is>
      </c>
      <c r="C148" t="inlineStr">
        <is>
          <t>Starz</t>
        </is>
      </c>
      <c r="D148" t="inlineStr">
        <is>
          <t>linkedin</t>
        </is>
      </c>
      <c r="E148" t="inlineStr"/>
      <c r="F148" t="inlineStr"/>
      <c r="G148" t="inlineStr">
        <is>
          <t>Greenwood Village, CO</t>
        </is>
      </c>
      <c r="H148" t="inlineStr"/>
      <c r="I148" t="inlineStr">
        <is>
          <t>**Job Description**
 The Senior Software Developer position is part of our Authentication/Authorization/Billing/Subscriber services, which are critical, revenue driving services for our OTT platforms. The main role of the Senior Software Developer is to effectively develop software and provide technical guidance to business analysts and Product team.
 The selected candidate MUST have experience integrating different backend systems/platforms together, with the ability to define the associated implementation requirements for integrations within our own team, and making sure those work for the customer facing application development teams who will consume those services.
 Successful applicants will be proficient in C\# and REST API development.
**Responsibilities**
* Design, develop, and maintain backend REST API services using C\#.
* Ensure APIs are optimized for performance and scalability to support high volume of request of multiple device types.
* Collaborate with front\-end developers, product managers, and other stakeholders to gather requirements and deliver high\-quality solutions.
* Write clean, maintainable, and efficient code following best practices and coding standards.
* Conduct code reviews and provide mentorship to junior developers.
* Troubleshoot and resolve issues related to API functionality and performance.
* Stay current with industry trends and emerging technologies to continuously improve our backend services.
**Requirements**
* Bachelor's degree in Computer Science, Engineering, or a related field.
* Extensive experience (7\+ years) in software development with a strong focus on C\#.
* Proven track record of developing and maintaining RESTful APIs.
* Solid understanding of backend architecture and design patterns.
* Experience with database technologies such as SQL Server or NoSQL databases.
* Knowledge of security best practices for API development.
* Experience with cloud platforms like AWS.
* Familiarity with CI/CD pipelines and DevOps practices.
* Strong problem\-solving skills and attention to detail.
* Excellent communication and teamwork abilities.
* Ability to work independently and manage multiple tasks effectively.
**Compensation**
 $135,000 \- $175,000
**About STARZ**
 STARZ (NASDAQ: STRZ) is the leading premium entertainment destination for women and underrepresented audiences, and home to some of the most popular franchises and series on television. STARZ offers a robust programming mix for discerning adult audiences, including boundary\-breaking originals and an expansive lineup of blockbuster movies, and is embodied by its brand positioning “We’re All Adults Here.” Complementary to any platform or service, STARZ is available across a wide range of digital OTT platforms and multichannel video distributors and is a bundling partner of choice. STARZ is powered by an industry\-leading advanced technology, data analytics and digital infrastructure and the highly rated and first\-of\-its\-kind STARZ app.
**Our Benefits**
* Full Coverage – Medical, Vision, and Dental
* Annual discretionary bonus and merit increase
* Work/Life Balance – generous sick days, vacation days, holidays, and wellness days
* 401(k) company matching
* Tuition Reimbursement (up to graduate degree)
**EEO Statement**
*Starz is an equal employment opportunity employer. All employees and applicants are evaluated on the basis of their qualifications, consistent with applicable state and federal laws. In addition, Starz will provide reasonable accommodations for qualified individuals with disabilities. Starz will consider for employment qualified applicants with criminal histories in a manner consistent with the requirements of applicable state and federal law.*</t>
        </is>
      </c>
    </row>
    <row r="149">
      <c r="A149" t="inlineStr">
        <is>
          <t>li-4370349830</t>
        </is>
      </c>
      <c r="B149" t="inlineStr">
        <is>
          <t>Software Engineer</t>
        </is>
      </c>
      <c r="C149" t="inlineStr">
        <is>
          <t>Hyra</t>
        </is>
      </c>
      <c r="D149" t="inlineStr">
        <is>
          <t>linkedin</t>
        </is>
      </c>
      <c r="E149" t="inlineStr"/>
      <c r="F149" t="inlineStr"/>
      <c r="G149" t="inlineStr">
        <is>
          <t>Missouri, United States</t>
        </is>
      </c>
      <c r="H149" t="inlineStr"/>
      <c r="I149" t="inlineStr">
        <is>
          <t>Software Engineer\-Developer (Development)
 Location: Missouri \| Salary: $96,050 \- $129,950 annual
 Hyra is working on behalf of Boeing to hire for the position of Software Engineer\-Developer (Development). This role supports the Air Proprietary 2 Mission Systems team within the Boeing Defense, Space \&amp; Security business organization. The selected candidate will develop and enhance software solutions for critical product capabilities using an agile development approach.
 What you'll be doing
 • Develop software systems that meet industry quality, safety, and security standards
 • Conduct code reviews to ensure compliance with technical requirements and best practices
 • Create testing procedures and verify results to confirm software meets program requirements
 • Analyze and implement software processes and tools while documenting best practices
 • Collaborate with cross\-functional engineering teams, Supply Chain, and Cyber Security
 What we're looking for
 • Professional experience with C, C\+\+, C\#, Python, Java, or Ada
 • Experience working within a structured Software Development Lifecycle
 • Ability to design, develop, and document Mission Systems software
 • Experience collaborating with cross\-functional teams in an agile environment
 • Must be legally authorized to work in the US and eligible to obtain required security clearances
 What Boeing offers
 • Comprehensive medical, dental, and vision insurance plans
 • 401(k) retirement savings plan with company contribution
 • Professional development opportunities
 • Paid time off, including vacation and corporate holidays
 Apply via Hyra to be considered for this opportunity.</t>
        </is>
      </c>
    </row>
    <row r="150">
      <c r="A150" t="inlineStr">
        <is>
          <t>li-4365326556</t>
        </is>
      </c>
      <c r="B150" t="inlineStr">
        <is>
          <t>Senior Software Engineer</t>
        </is>
      </c>
      <c r="C150" t="inlineStr">
        <is>
          <t>Shift+Hire</t>
        </is>
      </c>
      <c r="D150" t="inlineStr">
        <is>
          <t>linkedin</t>
        </is>
      </c>
      <c r="E150" t="inlineStr"/>
      <c r="F150" t="inlineStr"/>
      <c r="G150" t="inlineStr"/>
      <c r="H150" t="inlineStr"/>
      <c r="I150" t="inlineStr">
        <is>
          <t>**Founding Software Engineer** 
 ⭐
 **Company \|** 
 AI Sales Enablement Platform
 📏
 **Size \|** 
 \&lt;20
 📍
 **Location \|** 
 San Francisco Hybrid (4 days onsite)
 💰
 **Offer \|** 
 Up to $230,000 salary \+ Equity
 🛠️
 **Tech Stack \|** 
 TypeScript, React, Node.js
*Visa sponsorship is not available* 
 Hi 👋 We’re partnering with a fast growing AI powered sales enablement company based in San Francisco. The team is building software used by revenue teams to manage pipelines, prioritise opportunities, and automate day to day workflows.
 After a recent
 **Series A** 
 funding last month, they are now expanding their founding engineering group. This role sits very close to the product and has real influence over how the platform evolves.
 The team is entering an exciting phase as they scale their core product and roll out new features used daily by sales and revenue teams.
**They are now looking for a Founding Software Engineer who has:** 
* Experience building full stack applications in a product led environment
* A frontend leaning profile with strong UX instincts
* Experience working with modern JavaScript frameworks and APIs
* Comfort owning features end to end from idea through to production
* Startup or high growth experience preferred
**In an ideal world, the engineer will:** 
* Enjoy working closely with product and design
* Be comfortable solving ambiguous problems
* Have an interest in sales tooling, data heavy products, or workflows
**This role will suit someone who:** 
* Wants real ownership at an early stage
* Enjoys shipping quickly and iterating with users
* Is happy working onsite with a small, collaborative team</t>
        </is>
      </c>
    </row>
    <row r="151">
      <c r="A151" t="inlineStr">
        <is>
          <t>li-4370355985</t>
        </is>
      </c>
      <c r="B151" t="inlineStr">
        <is>
          <t>Senior Fullstack Engineer, Auctions</t>
        </is>
      </c>
      <c r="C151" t="inlineStr">
        <is>
          <t>Alt</t>
        </is>
      </c>
      <c r="D151" t="inlineStr">
        <is>
          <t>linkedin</t>
        </is>
      </c>
      <c r="E151" t="inlineStr"/>
      <c r="F151" t="inlineStr"/>
      <c r="G151" t="inlineStr"/>
      <c r="H151" t="inlineStr"/>
      <c r="I151"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We’re looking for a Senior Fullstack Engineer to build the engine behind a marketplace that moves hundreds of millions of dollars in GMV. Our Auctions team doesn't just "list items"—we build the high\-stakes, high\-concurrency environments where collectors’ dreams are realized.
 In this role, you’ll sit at the intersection of high\-scale transaction systems and cutting\-edge AI. You’ll build products that provide upfront liquidity to consignors, personalized discovery for buyers, and professional\-grade tools for power sellers. If you’re energized by the idea of shipping features that millions of hobbyists and power\-users rely on, we want to talk.
**What You’ll Do Here**
* Architect the Auction Engine: Build and scale the high\-concurrency bidding and listing systems that power 9\-figure annual GMV.
* Ship AI\-Powered Liquidity: Develop next\-gen features that leverage AI to provide instant valuations and upfront liquidity to our consignors and sellers.
* Personalize the Hobby: Use data and machine learning to build rich, personalized discovery experiences that match unique collectibles to the right buyers.
* Empower Power Users: Design and launch sophisticated management tools for everyone from high\-frequency "power sellers" to veteran hobbyists.
* Own the Experience: Build end\-to\-end—from the low\-latency backend logic required for live bidding to the sleek, responsive UI where the action happens.
* Drive Technical Excellence: Mentor the team and set the standard for code quality, system reliability, and performance.
 This is a perfect fit if you…
* Love High\-Scale Challenges: You aren’t intimidated by 9\-figure transaction volumes or the "thundering herd" of bidders in the final seconds of an auction.
* Are an AI Pragmatist: You know how to take LLMs or computer vision models and turn them into practical, user\-facing features that solve real business problems.
* Think in Systems \&amp; UX: You can visualize how a data schema change on the backend will ripple out into the user experience for a power seller.
* Have High Agency: You thrive in an environment where you are expected to identify the highest\-leverage work and execute on it without a hand\-holding manual.
**What You Bring To The Table**
* 5\+ years of experience building and scaling complex applications (Python, Postgres, AWS/Cloud infra).
* Modern Frontend Mastery: Deep experience with React, TypeScript, and building high\-performance, real\-time UIs.
* Data\-Driven Mindset: Experience working with personalization engines, recommendation systems, or AI/ML integrations is a major plus.
* Product Instincts: You don’t just build what’s on the ticket; you understand the collector mindset and build features that delight them.
* Reliability Under Pressure: You have a track record of building systems that stay up when the stakes (and the traffic) are highest.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152">
      <c r="A152" t="inlineStr">
        <is>
          <t>li-4370202103</t>
        </is>
      </c>
      <c r="B152" t="inlineStr">
        <is>
          <t>Lead BMS Software Engineer</t>
        </is>
      </c>
      <c r="C152" t="inlineStr">
        <is>
          <t>Microvast</t>
        </is>
      </c>
      <c r="D152" t="inlineStr">
        <is>
          <t>linkedin</t>
        </is>
      </c>
      <c r="E152" t="inlineStr"/>
      <c r="F152" t="inlineStr"/>
      <c r="G152" t="inlineStr">
        <is>
          <t>Lake Mary, FL</t>
        </is>
      </c>
      <c r="H152" t="inlineStr"/>
      <c r="I152" t="inlineStr">
        <is>
          <t>Are you ready to be part of a company that's not just talking about the future, but energetically shaping it? Join the Microvast Team (NASDAQ: MVST), a technology innovator that designs, develops, and manufactures lithium\-ion battery solutions.  Founded in 2006 and headquartered in Stafford, TX, Microvast is renowned for its cutting\-edge cell technology and its vertical integration capabilities, which extend from core battery chemistry (cathode, anode, electrolyte, and separator) to battery packs. By integrating the process from raw material to system assembly, Microvast has developed a family of products covering a broad breadth of market applications. More information can be found on the corporate website: www.microvast.com
 If you’re ready to be part of a company that’s not just adapting to change, but driving it, Microvast is the place for you.  Apply now and electrify your career with a true leader in the global energy transformation.  
**Job Description** 
 Microvast is seeking a Lead BMS Engineer to join our team who can bring their fresh perspectives and experiences to the team. If you are zealous about an electrified future and looking for a place that values your curiosity, passion, and desire to learn, you have come to the right place.  
**Responsibilities** 
* Provide technical, and cross\-functional support for BMS engineering activities, including process control, requirements definition, architecture design, software implementation, HIL testing, field testing, system validation, and software release management.
* Collaborate with the global BMS teams and upper management to identify and develop (BMS) architecture and requirements for high\-performance system functions, functional safety, cyber security, and creative solutions.
* Manage BMS development plans, milestones, budgets, and schedules in accordance with technology roadmaps.
* Build and maintain technical competencies in the BMS software, hardware, and validation teams. Provide technical guidance, mentorship, and leadership.
* Ensure successful BMS integration with battery packs and external interfaces such as vehicle control units, dataloggers, etc.
* Develop and maintain best practices and industry standards for Model\-based function development with MATLAB/ Simulink in close consultation with an interdisciplinary and international team.
* Govern design, implementation, and test activities for innovative control algorithms and Real\-time battery SOX estimation methods, including the state of charge (SOC), state of energy (SOE), and state of health (SOH).
* Manage the development of statistic based on big data and machine learning models for predicting and forecasting field failure, cell chemistry variations, battery health degradation, and how various driving behaviors affect battery performance for safety and drivability.
* Focus and govern collaborative engineering culture to enable our teams to provide feedback and different perspectives. Comprehend and develop our team members' goals and needs.
* Provide technical support to the different teams within the organization
* Support for the commissioning of products internally or at the customer's (on\-site or remotely)
* Other duties may be assigned
**Qualifications** 
* Bachelor's or Master’s degree in computer science, electrical or other relevant engineering field or a comparable qualification
* 5\+ years' experience in large, high\-voltage battery pack development, from concept to market.
* Over 3 years’ experience of leading/management of engineering teams.
* Experience with battery management system (BMS) development and verification for high voltage battery packs.
* Knowledge and experience of BM development according to functional safety ISO 26262 and cybersecurity ISO 21434
* Strong knowledge of embedded control software development process and documentation for safety\-critical functions.
* Experience using MATLAB/Simulink for model\-based control development and electrical circuit/control simulation.
* Excellent knowledge and experience of CAN communication protocols (SAE J1939, CAN 2\.0B etc.)
* Knowledge of requirements management and development process (IATF16949, APQP or V model, etc.)
* Very good comprehension and analytical thinking skills
* Careful and conscientious, structured and organized way of working
* Team and communication skills
* Proficient in English speaking, reading, and writing.
**Expected Compensation** 
 Annual salary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Applicants for employment at Microvast must be a U.S. citizen or national, U.S. permanent resident (i.e. current Green Card holder), or lawfully admitted into the U.S. as a refugee or granted asylum.
 Microvast is an Equal Opportunity employer. All qualified applicants will receive consideration for employment without regard to any factor, including veteran status and disability status, protected by applicable federal, state or local laws.
 Microvast is also committed to working with and providing reasonable accommodations to individuals with disabilities. Please let your recruiter know if you need an accommodation at any point during the interview process.
 Privacy is a top priority for Microvast. We build it into our products and view it as an essential part of our business. To understand more about the data we collect and process as part of your application, please view our Privacy Policy \- Microvast.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row>
    <row r="153">
      <c r="A153" t="inlineStr">
        <is>
          <t>li-4370200169</t>
        </is>
      </c>
      <c r="B153" t="inlineStr">
        <is>
          <t>Full Stack Software Engineer -Senior</t>
        </is>
      </c>
      <c r="C153" t="inlineStr">
        <is>
          <t>HTC Global Services</t>
        </is>
      </c>
      <c r="D153" t="inlineStr">
        <is>
          <t>linkedin</t>
        </is>
      </c>
      <c r="E153" t="inlineStr"/>
      <c r="F153" t="inlineStr"/>
      <c r="G153" t="inlineStr">
        <is>
          <t>Dearborn, MI</t>
        </is>
      </c>
      <c r="H153" t="inlineStr"/>
      <c r="I153" t="inlineStr">
        <is>
          <t>**Job Description**
**Job Description:**
 Employees in this job function are responsible for designing, developing, testing and maintaining software applications and products to meet customer needs. They are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**Key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**Skills Required**
* GCP Cloud Run, Node.js, GCP, Serverless Computing, Testing Methodologies, React, Tekton, Test Unit Testing
**Skills Preferred:**
* Serverless Computing, GitHub, Endpoint Security, REST APIs, API
**Experience Required:**
* Engineer 3 Exp: Prac. In 2 coding lang. or adv. Prac. in 1 lang. 6\+ years in IT; 4\+ years in development
**Experience Preferred:**
* Experience with web and mobile accessibility standards (WCAG compliance), tools, and testing (e.g. screen\-readers, axe, user interviews
* Experience with Behavior Driven Development¿ Mechanical and engineering empathy
* A desire to collaborate closely with UI/UX designer
* Self Starter and have keen interest of problem solving Have skillset of leading a team and bringing along the junior engineers
**Education Required:**
* Bachelor's Degree
**Education Preferred:**
* Master's Degree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t>
        </is>
      </c>
    </row>
    <row r="154">
      <c r="A154" t="inlineStr">
        <is>
          <t>li-4370346575</t>
        </is>
      </c>
      <c r="B154" t="inlineStr">
        <is>
          <t>Sr Software Engineer</t>
        </is>
      </c>
      <c r="C154" t="inlineStr">
        <is>
          <t>Hirenza</t>
        </is>
      </c>
      <c r="D154" t="inlineStr">
        <is>
          <t>linkedin</t>
        </is>
      </c>
      <c r="E154" t="inlineStr"/>
      <c r="F154" t="inlineStr"/>
      <c r="G154" t="inlineStr"/>
      <c r="H154" t="inlineStr"/>
      <c r="I154" t="inlineStr">
        <is>
          <t>**About The Company**
 Boeing is a globally recognized leader in aerospace manufacturing, providing innovative solutions for commercial and defense sectors. With a rich history of technological advancements and a commitment to excellence, Boeing strives to shape the future of flight and aerospace technology. The company fosters a culture of collaboration, integrity, and continuous improvement, emphasizing the importance of diversity and inclusion in all its operations. Boeing's dedication to sustainability, safety, and customer satisfaction positions it as a trusted partner in the aerospace industry worldwide.
**About The Role**
 We are seeking a highly skilled and motivated Senior DevSecOps Engineer to join our dynamic team in Berkeley, Missouri. This role is pivotal in supporting and enhancing the capabilities of an agile software program within the Air Dominance organization for Air Proprietary 1\. The successful candidate will lead efforts to deploy, manage, and optimize cloud and on\-premises infrastructure, ensuring seamless integration and automation of software development processes. This position offers an exciting opportunity to work on cutting\-edge aerospace projects, collaborate with talented professionals, and contribute to innovations that impact national security and aerospace advancements.
**Qualifications**
 The ideal candidate will possess a minimum of 8 years of experience in DevSecOps, with at least 5 years specializing in CI/CD tools such as Jenkins or GitLab. A strong background in Agile software development methodologies is essential. Candidates should hold a bachelor’s, master’s, or doctoral degree in engineering, computer science, mathematics, physics, or chemistry from an accredited institution. Experience with cloud platforms like Amazon Web Services or Microsoft Azure, Infrastructure as Code practices, and Linux systems is highly preferred. Additionally, the ability to obtain a Security\+ certification is desirable. U.S. citizenship and the ability to secure a U.S. Security Clearance are mandatory for this role.
**Responsibilities**
* Lead the deployment and configuration of software development tools, including build servers, version control systems, CI/CD pipelines, and automated testing frameworks to streamline development workflows.
* Manage and maintain cloud\-based infrastructures on AWS or Microsoft Azure, as well as on\-premises environments, ensuring high availability and security.
* Create and maintain Infrastructure as Code (IaC) scripts using Ansible and other automation tools to facilitate infrastructure provisioning and deployment processes.
* Establish, monitor, and optimize development and production environments, ensuring reliable deployment of application components.
* Develop best practices and methodologies for platform provisioning, scaling, configuration management, and troubleshooting to enhance operational efficiency.
* Collaborate with delivery teams to define and achieve service level indicators, objectives, and agreements, ensuring high\-quality software delivery.
* Administer and maintain software development tools, including version upgrades, patch management, and integration between tools such as Jira, GitLab, Artifactory, Confluence, and SonarQube.
* Analyze and refine key performance indicators (KPIs) and metrics to monitor software delivery performance and team effectiveness.
* Conduct demonstrations, monitor progress, and communicate status updates to stakeholders, including customers and management.
* Lead process improvement initiatives to optimize workflows, reduce bottlenecks, and enhance overall team productivity.
* Mentor junior team members and development teams, promoting best practices in DevSecOps and fostering a culture of continuous learning and knowledge sharing.
* Drive operational solutions that enable the frequent and high\-quality deployment of end\-to\-end system software, supporting the organization's mission objectives.
**Benefits**
 Boeing offers a comprehensive Total Rewards package designed to attract, engage, and retain top talent. Employees are provided with competitive base pay along with variable compensation opportunities. The company also offers a wide range of benefit programs, including health insurance, flexible spending accounts, health savings accounts, retirement savings plans, and life and disability insurance. Employees may also access paid and unpaid time off, wellness programs, and professional development opportunities. Compensation is commensurate with experience, qualifications, and market conditions, with a summary pay range of $136,850 to $185,150\. The company values work\-life balance and strives to create a supportive environment for all employees.
 Equal Opportunity
 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 The company is committed to fostering an inclusive workplace where all employees are valued and respected, ensuring equal access to opportunities and advancement.</t>
        </is>
      </c>
    </row>
    <row r="155">
      <c r="A155" t="inlineStr">
        <is>
          <t>li-4370098202</t>
        </is>
      </c>
      <c r="B155" t="inlineStr">
        <is>
          <t>Software Engineer</t>
        </is>
      </c>
      <c r="C155" t="inlineStr">
        <is>
          <t>Haystack</t>
        </is>
      </c>
      <c r="D155" t="inlineStr">
        <is>
          <t>linkedin</t>
        </is>
      </c>
      <c r="E155" t="inlineStr"/>
      <c r="F155" t="inlineStr"/>
      <c r="G155" t="inlineStr"/>
      <c r="H155" t="inlineStr"/>
      <c r="I155" t="inlineStr">
        <is>
          <t>Software Developer, Platform \| Waco, Texas, United States \| Hybrid
 We're working with L3Harris on this exciting opportunity. Join a leading defense tech company that delivers end\-to\-end technology solutions across various domains, dedicated to national security.
 The Role
 • Develop and maintain software for platform systems
 • Contribute to mission\-critical technology solutions
 • Collaborate with a team of diverse engineers
 • Support projects essential for national security objectives
 • Engage in professional growth within a values\-driven culture
 What You'll Need
 • Minimum of 3 years of relevant software development experience
 • Eligibility to obtain a DOD Secret Security Clearance
 • Must be a U.S. Citizen
 • Strong problem\-solving and technical skills
 • Not for recent or new college graduates
 What's On Offer
 • Opportunity to work on impactful defense technology
 • Collaborative and growth\-oriented work environment
 • Commitment to diversity and inclusion
 • Be part of a company with a strong focus on community and excellence
 Apply via Haystack today!</t>
        </is>
      </c>
    </row>
    <row r="156">
      <c r="A156" t="inlineStr">
        <is>
          <t>li-4370088782</t>
        </is>
      </c>
      <c r="B156" t="inlineStr">
        <is>
          <t>Lead BMS Software Engineer</t>
        </is>
      </c>
      <c r="C156" t="inlineStr">
        <is>
          <t>Microvast</t>
        </is>
      </c>
      <c r="D156" t="inlineStr">
        <is>
          <t>linkedin</t>
        </is>
      </c>
      <c r="E156" t="inlineStr"/>
      <c r="F156" t="inlineStr"/>
      <c r="G156" t="inlineStr">
        <is>
          <t>Stafford, TX</t>
        </is>
      </c>
      <c r="H156" t="inlineStr"/>
      <c r="I156" t="inlineStr">
        <is>
          <t>Are you ready to be part of a company that's not just talking about the future, but energetically shaping it? Join the Microvast Team (NASDAQ: MVST), a technology innovator that designs, develops, and manufactures lithium\-ion battery solutions.  Founded in 2006 and headquartered in Stafford, TX, Microvast is renowned for its cutting\-edge cell technology and its vertical integration capabilities, which extend from core battery chemistry (cathode, anode, electrolyte, and separator) to battery packs. By integrating the process from raw material to system assembly, Microvast has developed a family of products covering a broad breadth of market applications. More information can be found on the corporate website: www.microvast.com
 If you’re ready to be part of a company that’s not just adapting to change, but driving it, Microvast is the place for you.  Apply now and electrify your career with a true leader in the global energy transformation.  
**Job Description** 
 Microvast is seeking a Lead BMS Engineer to join our team who can bring their fresh perspectives and experiences to the team. If you are zealous about an electrified future and looking for a place that values your curiosity, passion, and desire to learn, you have come to the right place.  
**Responsibilities** 
* Provide technical, and cross\-functional support for BMS engineering activities, including process control, requirements definition, architecture design, software implementation, HIL testing, field testing, system validation, and software release management.
* Collaborate with the global BMS teams and upper management to identify and develop (BMS) architecture and requirements for high\-performance system functions, functional safety, cyber security, and creative solutions.
* Manage BMS development plans, milestones, budgets, and schedules in accordance with technology roadmaps.
* Build and maintain technical competencies in the BMS software, hardware, and validation teams. Provide technical guidance, mentorship, and leadership.
* Ensure successful BMS integration with battery packs and external interfaces such as vehicle control units, dataloggers, etc.
* Develop and maintain best practices and industry standards for Model\-based function development with MATLAB/ Simulink in close consultation with an interdisciplinary and international team.
* Govern design, implementation, and test activities for innovative control algorithms and Real\-time battery SOX estimation methods, including the state of charge (SOC), state of energy (SOE), and state of health (SOH).
* Manage the development of statistic based on big data and machine learning models for predicting and forecasting field failure, cell chemistry variations, battery health degradation, and how various driving behaviors affect battery performance for safety and drivability.
* Focus and govern collaborative engineering culture to enable our teams to provide feedback and different perspectives. Comprehend and develop our team members' goals and needs.
* Provide technical support to the different teams within the organization
* Support for the commissioning of products internally or at the customer's (on\-site or remotely)
* Other duties may be assigned
**Qualifications** 
* Bachelor's or Master’s degree in computer science, electrical or other relevant engineering field or a comparable qualification
* 5\+ years' experience in large, high\-voltage battery pack development, from concept to market.
* Over 3 years’ experience of leading/management of engineering teams.
* Experience with battery management system (BMS) development and verification for high voltage battery packs.
* Knowledge and experience of BM development according to functional safety ISO 26262 and cybersecurity ISO 21434
* Strong knowledge of embedded control software development process and documentation for safety\-critical functions.
* Experience using MATLAB/Simulink for model\-based control development and electrical circuit/control simulation.
* Excellent knowledge and experience of CAN communication protocols (SAE J1939, CAN 2\.0B etc.)
* Knowledge of requirements management and development process (IATF16949, APQP or V model, etc.)
* Very good comprehension and analytical thinking skills
* Careful and conscientious, structured and organized way of working
* Team and communication skills
* Proficient in English speaking, reading, and writing.
**Expected Compensation** 
 Annual salary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Applicants for employment at Microvast must be a U.S. citizen or national, U.S. permanent resident (i.e. current Green Card holder), or lawfully admitted into the U.S. as a refugee or granted asylum.
 Microvast is an Equal Opportunity employer. All qualified applicants will receive consideration for employment without regard to any factor, including veteran status and disability status, protected by applicable federal, state or local laws.
 Microvast is also committed to working with and providing reasonable accommodations to individuals with disabilities. Please let your recruiter know if you need an accommodation at any point during the interview process.
 Privacy is a top priority for Microvast. We build it into our products and view it as an essential part of our business. To understand more about the data we collect and process as part of your application, please view our Privacy Policy \- Microvast.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row>
    <row r="157">
      <c r="A157" t="inlineStr">
        <is>
          <t>li-4370086884</t>
        </is>
      </c>
      <c r="B157" t="inlineStr">
        <is>
          <t>Software Engineer</t>
        </is>
      </c>
      <c r="C157" t="inlineStr">
        <is>
          <t>Haystack</t>
        </is>
      </c>
      <c r="D157" t="inlineStr">
        <is>
          <t>linkedin</t>
        </is>
      </c>
      <c r="E157" t="inlineStr"/>
      <c r="F157" t="inlineStr"/>
      <c r="G157" t="inlineStr"/>
      <c r="H157" t="inlineStr"/>
      <c r="I157" t="inlineStr">
        <is>
          <t>**Vice President, Front\-End Engineer \| Pittsburgh, PA \| Hybrid** 
 We're working with BNY on this exciting opportunity. Join a leading global financial services company at the heart of the global financial system, where your expertise in front\-end development will drive transformative solutions using cutting\-edge AI and breakthrough technologies like React and Angular.
**The Role** 
 • Lead the development of robust front\-end applications with HTML, CSS, JavaScript, and modern frameworks such as React or Angular.
 • Collaborate with cross\-functional teams, including UX/UI designers and back\-end developers, to deliver cohesive and innovative digital solutions.
 • Ensure code quality and maintainability through best practices, including code reviews, testing, and documentation.
 • Drive continuous improvement initiatives within the Front\-End Development team by staying abreast of industry trends and emerging technologies.
 • Mentor and guide junior developers, fostering a culture of knowledge sharing and professional growth.
**What You'll Need** 
 • Bachelor’s degree in Computer Science, Engineering, or a related field.
 • Proficiency in front\-end programming languages and frameworks (e.g., HTML, CSS, JavaScript, React, Angular).
 • Typically 5\-9 years of experience in front\-end development.
 • Strong problem\-solving and analytical skills.
 • Excellent communication and collaboration abilities with UX/UI designers and back\-end teams.
**What's On Offer** 
 • Highly competitive compensation and benefits.
 • A culture that fosters employee growth and success with access to flexible global resources.
 • Generous paid leaves, including paid volunteer time.
 • Opportunity to work for a company recognized as America’s Most Innovative and World’s Most Admired.
**Apply via Haystack today!**</t>
        </is>
      </c>
    </row>
    <row r="158">
      <c r="A158" t="inlineStr">
        <is>
          <t>li-4370095222</t>
        </is>
      </c>
      <c r="B158" t="inlineStr">
        <is>
          <t>Senior Software Engineer- Reliability, Global E-Commerce</t>
        </is>
      </c>
      <c r="C158" t="inlineStr">
        <is>
          <t>TikTok</t>
        </is>
      </c>
      <c r="D158" t="inlineStr">
        <is>
          <t>linkedin</t>
        </is>
      </c>
      <c r="E158" t="inlineStr"/>
      <c r="F158" t="inlineStr"/>
      <c r="G158" t="inlineStr">
        <is>
          <t>San Jose, CA</t>
        </is>
      </c>
      <c r="H158" t="inlineStr"/>
      <c r="I158" t="inlineStr">
        <is>
          <t>**Responsibilities**
 Global e\-commerce is a content e\-commerce business with international short video products as the carrier. It is committed to becoming the first choice for users to discover and purchase good products at affordable prices. The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Responsibilities:
 1\. Be part of global SRE oncall rotation and be responsible for Tier\-1 online incident response and devops support
 2\. Be responsible for service levels of mission critical, revenue\-generating E\-commerce platform as well as all supporting infrastructure and services. This role will focus on service reliability, highly\-scalable design, and release management in a cloud\-native environment
 3\. Define service level indicators and data\-driven objectives, and develop devops / SRE standards, processes and methodologies, to uphold and improve uptime, latency, and system health of a core global e\-commerce production platform
 4\. Collaborate cross\-team with engineering and product to ensure that key stability and maintainability requirements, such as capacity planning and launch reviews, are performed to enable transparent service delivery to customers
 5\. Design strategies for risk detection and mitigation, disaster recovery \&amp; simulation, release management, cost optimisation, engineering quality etc
 6\. Automation geared towards infrastructure\-as\-code, scalability and service resiliency
 7\. Implement best practices around incident management, post\-mortems while being part of on\-call rotations
**Qualifications**
 Minimum Qualifications:
 1\. Bachelor's or higher degree in Computer Science, similar technical field of study, or equivalent practical experience
 2\. 5 years experience developing, provisioning or maintaining production\-grade large scaled distributed systems
 3\. High level of proficiency in Linux OS internals, networking, microservices, databases, caches etc in cloud\-native environments
 4\. Demonstrable familiarity with programming or scripting languages (Go/Python/Bash/C\+\+ etc)
 5\. Demonstrable experience in the development and implementation of devops and SRE methodologies
 Preferred Qualifications:
 1\. Experience in designing, analyzing, and troubleshooting large\-scale distributed systems
 2\. Systematic problem\-solving approach, coupled with effective communication skills and a sense of drive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59">
      <c r="A159" t="inlineStr">
        <is>
          <t>li-4370206046</t>
        </is>
      </c>
      <c r="B159" t="inlineStr">
        <is>
          <t>Java Software Engineer III</t>
        </is>
      </c>
      <c r="C159" t="inlineStr">
        <is>
          <t>hackajob</t>
        </is>
      </c>
      <c r="D159" t="inlineStr">
        <is>
          <t>linkedin</t>
        </is>
      </c>
      <c r="E159" t="inlineStr"/>
      <c r="F159" t="inlineStr"/>
      <c r="G159" t="inlineStr">
        <is>
          <t>Atlanta, GA</t>
        </is>
      </c>
      <c r="H159" t="inlineStr"/>
      <c r="I159"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JPMorganChase within the Chase Debit Technology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This group is focused on developing and delivering cutting edged applications, digital experiences and next generation banking technology solutions to better serve our clients and customers.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Java software engineering concepts and 3\+ years applied experience
* Experience working with Java, Spring, and REST services
* Hands\-on practical experience in system design, application development, testing, and operational stability
* Proficient in coding in one or more languages
* Experience with various source control tools like GIT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 Hands\-on experience on Kafka or any streaming technology
* Hands\-on experience in Splunk, Dynatrace tools
* Exposure to AI Driven development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60">
      <c r="A160" t="inlineStr">
        <is>
          <t>li-4299767604</t>
        </is>
      </c>
      <c r="B160" t="inlineStr">
        <is>
          <t>Back End Staff Software Engineer (Bangkok based, Relocation provided)</t>
        </is>
      </c>
      <c r="C160" t="inlineStr">
        <is>
          <t>Agoda</t>
        </is>
      </c>
      <c r="D160" t="inlineStr">
        <is>
          <t>linkedin</t>
        </is>
      </c>
      <c r="E160" t="inlineStr"/>
      <c r="F160" t="inlineStr"/>
      <c r="G160" t="inlineStr">
        <is>
          <t>San Jose, CA</t>
        </is>
      </c>
      <c r="H160" t="inlineStr"/>
      <c r="I16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Back\-End Engineering department, we build scalable, fault\-tolerant systems and APIs that host our core business logic. Our systems cover all major areas of our business: inventory and pricing, product information, customer data, communications, partner data, booking systems, payments, and more. We employ state\-of\-the\-art CI/CD and testing techniques to ensure everything works without downtime. Our systems are self\-healing, responding gracefully to extreme loads or unexpected input. We use modern languages like Kotlin and Scala, Data technologies Kafka, Spark, MLflow, Kubeflow, VastStorage, StarRocks and agile development practices. Most importantly, we hire great people from around the world and empower them to be successful.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**What You’ll Need To Succeed**
* 10\+ years of experience developing performance\-critical applications in a production environment using Scala, Java, Kotlin, C\#, Go or relevant modern programming languages.
* Strong RDBMS knowledge (SQL Server, Oracle, MySQL, or other).
* Ability to direct significant company\-wide projects and sets technical vision.
* Good command of the English language.
* Deeply involved in making architectural decisions, setting the standard and direction for the team.
* Implement advanced CI/CD pipelines and robust testing strategies to ensure seamless integration, deployment, and high code quality.
* Passion for software development and continuous improvement of your knowledge and skills.
**It’s Great if You Have**
* Knowledge in NoSQL, Queueing systems (Kafka, RabbitMQ, ActiveMQ, MSMQ), and Play framework.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61">
      <c r="A161" t="inlineStr">
        <is>
          <t>li-4340663827</t>
        </is>
      </c>
      <c r="B161" t="inlineStr">
        <is>
          <t>Staff Software Engineer</t>
        </is>
      </c>
      <c r="C161" t="inlineStr">
        <is>
          <t>Alarm.com</t>
        </is>
      </c>
      <c r="D161" t="inlineStr">
        <is>
          <t>linkedin</t>
        </is>
      </c>
      <c r="E161" t="inlineStr"/>
      <c r="F161" t="inlineStr"/>
      <c r="G161" t="inlineStr">
        <is>
          <t>Greenville, SC</t>
        </is>
      </c>
      <c r="H161" t="inlineStr"/>
      <c r="I161" t="inlineStr">
        <is>
          <t>Do you love tinkering with devices? Have you automated your own home? Do you love to mentor and collaborate with other engineers?
 If the above holds true for you, then we would love to talk to you! Alarm.com is looking for a versatile
 **Staff Software Engineer** 
 to join our team. We’re doing work in smart home technology, video analytics, large scale data processing, and much more. You’ll have the opportunity to work across a variety of technology domains and own projects from design to deployment.
 We have a growing engineering department, and we’re looking for people that are excited to mentor and collaborate with more junior engineers. You will own projects and potentially teams, and you must be able to communicate effectively and blend multiple business needs in your work.
 Very few small companies innovate and develop across such a broad range of technologies as Alarm.com. This position is ideal for the candidate who seeks a friendly company culture where one can work closely with smart and highly productive people. Getting to work with cutting edge software and hardware to develop outstanding consumer products is the icing on the cake.
**WHAT’S IN IT FOR YOU?**
* Collaborate with outstanding people: We hire only the best. Our standards are high and our employees enjoy working alongside other high achievers. You will be able to learn something new and impart your knowledge across the team.
* Make an immediate impact: You can expect to be given real responsibility for bringing new technologies to the marketplace. You will be empowered to perform as soon as you join the team!
* Work with real stuff: You will write code that interacts with the physical world. You’ll be able to see your work in action with the numerous IoT devices we work with every day.
* Gain well rounded experience: Alarm.com offers a diverse and dynamic environment where you will get the chance to work directly with executives and develop expertise across multiple areas of the business.
* Be Empowered: We don’t want to micro\-manage you. We barely want to tell you what to do. We want you to own stuff and bring your experience to make those products best in class.
* Work with the latest technologies: You’ll gain exposure to a broad spectrum of IoT and SaaS technology. Our tech stack includes C\#, .NET, SQL Server, Kafka, Ember.js, as well as native iOS and Android applications.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**WHAT CAN YOU DO FOR ALARM.COM?**
* Be a mentor to our growing engineering department.
* Develop full stack software for a wide variety of platforms and technologies.
* Engage in the research, evaluation, and application of new technologies and methodologies to solve challenging problems.
* Take part in the entire project life cycle, from requirements development to deployment.
* Work hard and be flexible: we have quick development cycles, evolving requirements, and lots of cross\-team collaboration.
* Exercise good judgment. Know when to work quickly, and when to build a robust solution. Your work will be used by multiple business units, so you will need to consider many use cases when developing.
* Bring your ideas! We want our engineers to collaborate on product development, not blindly build to a spec.
* Other duties as assigned.
**WHAT DO YOU NEED?**
* Bachelor’s in Computer Science, Computer Engineering, a related field or equivalent work experience
* 8\+ years of professional software development experience
* Experience leading and/or mentoring other engineers
* Expert object\-oriented programming skills; C\# and .NET a plus
* Significant database design and development experience
* Knowledge of networking concepts, principles, and technologies
* Experience working with hardware and device development a major plus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t>
        </is>
      </c>
    </row>
    <row r="162">
      <c r="A162" t="inlineStr">
        <is>
          <t>li-4363777373</t>
        </is>
      </c>
      <c r="B162" t="inlineStr">
        <is>
          <t>Senior Software Engineer (Global Payment Network)</t>
        </is>
      </c>
      <c r="C162" t="inlineStr">
        <is>
          <t>Capital One</t>
        </is>
      </c>
      <c r="D162" t="inlineStr">
        <is>
          <t>linkedin</t>
        </is>
      </c>
      <c r="E162" t="inlineStr"/>
      <c r="F162" t="inlineStr"/>
      <c r="G162" t="inlineStr">
        <is>
          <t>Deerfield, IL</t>
        </is>
      </c>
      <c r="H162" t="inlineStr"/>
      <c r="I16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3">
      <c r="A163" t="inlineStr">
        <is>
          <t>li-4299481492</t>
        </is>
      </c>
      <c r="B163" t="inlineStr">
        <is>
          <t>Staff Software Engineer, Level 6</t>
        </is>
      </c>
      <c r="C163" t="inlineStr">
        <is>
          <t>Snap Inc.</t>
        </is>
      </c>
      <c r="D163" t="inlineStr">
        <is>
          <t>linkedin</t>
        </is>
      </c>
      <c r="E163" t="inlineStr"/>
      <c r="F163" t="inlineStr"/>
      <c r="G163" t="inlineStr">
        <is>
          <t>Bellevue, WA</t>
        </is>
      </c>
      <c r="H163" t="inlineStr"/>
      <c r="I16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to join Snap Inc on our Core Infrastructure team!
 What you’ll do:
* Design, build, and optimize large\-scale caching systems (Redis/KeyDB/Valkey, custom proxy layers or custom client lib).
* Develop and maintain high\-performance caching proxies or client side libraries for request routing, connection coalescing, and slot\-aware load balancing.
* Implement robust failover, replication, and cluster topology management and optimize cpu performance, memory usage, persistence, and eviction strategies for low\-latency workloads.
* Enhance observability: metrics, tracing, and debugging tools for cache infra.
* Drive benchmarking, tuning, and capacity planning for 125M\+ QPS scale.
* Evaluate the technical tradeoffs of major decisions and be a strong technical mentor
* Collaborate with infra, storage, and application teams to integrate caching into critical paths.
* Contribute to code quality via reviews, documentation, and deep dives into caching internals.
 Knowledge, Skills \&amp; Abilities:
* Hands\-on knowledge of large\-scale caching systems like Redis/KeyDB/Valkey.
* Background with building high availability and mission critical distributed systems
* Experience with Java, Go, C\+\+, and/or Python
* Ability leading and executing large, complex technical initiatives
* Ability to proactively learn new concepts and apply them at work
 Minimum Qualifications:
* Bachelor’s degree in a technical field such as computer science or equivalent experience
* 9\+ years industry software engineering experience
* Experience with large scale distributed systems, and Cloud Computing
 Preferred Qualifications:
* Experience with Service Oriented architectures and Service Mesh
* Experience promoting operational excellence, leading incident management, and post mortems
* Experience with building and maintaining mission\-critical and highly\-available global distributed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64">
      <c r="A164" t="inlineStr">
        <is>
          <t>li-4370094453</t>
        </is>
      </c>
      <c r="B164" t="inlineStr">
        <is>
          <t>Simulation Software Engineer</t>
        </is>
      </c>
      <c r="C164" t="inlineStr">
        <is>
          <t>Merlin</t>
        </is>
      </c>
      <c r="D164" t="inlineStr">
        <is>
          <t>linkedin</t>
        </is>
      </c>
      <c r="E164" t="inlineStr"/>
      <c r="F164" t="inlineStr"/>
      <c r="G164" t="inlineStr">
        <is>
          <t>Boston, MA</t>
        </is>
      </c>
      <c r="H164" t="inlineStr"/>
      <c r="I164" t="inlineStr">
        <is>
          <t>**About Merlin**
 Merlin is a venture backed aerospace startup building a non\-human pilot to enable both reduced crew and uncrewed flight. Backed by some of the world’s leading investors, Merlin is scaling alongside our customers to begin leveraging autonomy today to solve some of aviation’s biggest challenges.
**All of the sky, none of the limits!**
**Who You Are**
 You habitually take ownership of a task or significant engineering effort, defining, scoping and leading it to completion, collaborating and requesting help when needed. In return, you seek an innovative startup that values its employees and invests in their professional development.
 You are interested in building cutting\-edge simulation technology in an autonomous aviation context. From software powering equipment for integration testing, to piloted flight simulators and training platforms providing synthetic sensor data, this role has high breadth and nearly unlimited depth in each of our focus areas.
**Your Role**
* You’ll develop the simulation environment and also adapt it to power systems benches, desktop testing environments, piloted simulators, and cloud environments.
* You'll collaborate with teammates on improving graphics and terrain pipelines to harmonize our sensor and visual models.
* You'll work across the engineering organization to integrate models and hardware with our greater simulation suite.
* You’ll have the opportunity to collaborate with stakeholders in flight test, human factors, business development and engineering.
**Your Qualifications**
* You have a high level of competence in modern software engineering practices.
* You are comfortable engineering software in C\+\+ 11\+ and are familiar with either Python or JavaScript/TypeScript.
* You set standards, conduct code reviews and ensure appropriate levels of testing and continuous integration for projects within your purview.
**Preferred Qualifications**
* Aviation background (e.g. a pilot's license or in previous employment)
* Robotics or simulation experience, especially in a robotics machine learning context
* Performance engineering or distributed systems experience
* Experience with React and front\-end development
* Simulink experience, especially integrating Simulink with other C\+\+ applications
* Experience configuring continuous integration
* Graphics engine experience, especially Unreal via the C\+\+ API or in managing Unreal as a render farm
 Please don't be dissuaded if you do not meet the above preferred qualifications\-\- we welcome you to apply!
 Location: This role is remote with approximately twice\-a\-quarter travel expected. Hybrid work options are available in Boston, Denver, and Mojave
 Merlin Labs offers an innovative, entrepreneurial, and team\-focused startup environment. We also offer a top\-notch benefits package (health, dental, life, unlimited vacation, and 401k with match) and work/life integration. Being part of the Merlin team allows you to become part of a small team that supports professional development while working together to achieve our mission.
 Merlin Labs is an equal opportunity employer and values diversity. We do not discriminate on the basis of race, religion, color, national origin, genetic information, sex (including pregnancy), gender, gender identity and expression, sexual orientation, age, marital status, military service or obligation or disability status, or any other characteristic protected by law. All job offers are contingent upon the candidate passing background and reference checks.
 At this time, we are unable to provide visa sponsorship or consider candidates who require visa transfers. Applicants must be authorized to work in the United States without the need for visa sponsorship now or in the future.
 In compliance with federal law, all persons hired will be required to verify identity and eligibility to work in the United States and to complete the required employment eligibility verification form upon hire.
 If you require reasonable accommodation in completing an application, interviewing, completing any pre\-employment testing, or otherwise participating in the employee selection process, please direct your inquiries to: \[email protected]
 Merlin Labs does not accept unsolicited resumes from any source other than directly from candidates.</t>
        </is>
      </c>
    </row>
    <row r="165">
      <c r="A165" t="inlineStr">
        <is>
          <t>li-4370351874</t>
        </is>
      </c>
      <c r="B165" t="inlineStr">
        <is>
          <t>Software Engineer</t>
        </is>
      </c>
      <c r="C165" t="inlineStr">
        <is>
          <t>Hyra</t>
        </is>
      </c>
      <c r="D165" t="inlineStr">
        <is>
          <t>linkedin</t>
        </is>
      </c>
      <c r="E165" t="inlineStr"/>
      <c r="F165" t="inlineStr"/>
      <c r="G165" t="inlineStr"/>
      <c r="H165" t="inlineStr"/>
      <c r="I165" t="inlineStr">
        <is>
          <t>Software Engineers\-Simulation (Associate or Experienced)
 Location: Saint Louis, Missouri, 63134 \| Salary: Competitive salary
 Hyra is working on behalf of Boeing to hire for the position of Software Engineers\-Simulation (Associate or Experienced). This role focuses on developing virtual simulation and experimentation toolsets within the Virtual Warfare Center for Boeing Defense, Space \&amp; Security. The selected candidate will model platforms, sensors, and tactical systems to support real\-time Operator in the Loop simulation experiments.
 What you'll be doing
 • Develop simulation software and capabilities using the Virtual Interactive Simulation Environment.
 • Model advanced platforms, sensors, emitters, communications, and tactical weapons systems.
 • Collaborate with internal partners and external customers to define and implement modeling requirements.
 • Troubleshoot existing software and create comprehensive software designs and test plans.
 • Support large\-scale experimentation efforts involving advanced concept capabilities.
 What we're looking for
 • Must be eligible to obtain and maintain required security clearances and access programs.
 • Professional experience working within a Linux development environment.
 • Proficiency in C\+\+ programming for complex software systems.
 • Experience utilizing version control systems such as Git or Subversion.
 • Familiarity with SDLC and agile methodologies, specifically Scrum and Kanban.
 What Boeing offers
 • Comprehensive medical, dental, and vision insurance plans.
 • 401(k) retirement savings plan with company matching contributions.
 • Paid time off, including vacation, holidays, and sick leave.
 Apply via Hyra to be considered for this opportunity.</t>
        </is>
      </c>
    </row>
    <row r="166">
      <c r="A166" t="inlineStr">
        <is>
          <t>li-4370364045</t>
        </is>
      </c>
      <c r="B166" t="inlineStr">
        <is>
          <t>Software Engineer IV - Azure</t>
        </is>
      </c>
      <c r="C166" t="inlineStr">
        <is>
          <t>Imperial PFS</t>
        </is>
      </c>
      <c r="D166" t="inlineStr">
        <is>
          <t>linkedin</t>
        </is>
      </c>
      <c r="E166" t="inlineStr"/>
      <c r="F166" t="inlineStr"/>
      <c r="G166" t="inlineStr">
        <is>
          <t>Kansas City, MO</t>
        </is>
      </c>
      <c r="H166" t="inlineStr"/>
      <c r="I166" t="inlineStr">
        <is>
          <t>**Job Summary**
 Assist in the development, implementation, and management of technology\-based business solutions. Code, test, and implement configuration changes. Design software applications to meet both functional and technical requirements. Adapt to new languages, methodologies, and platforms to meet the needs of the project.
 Ability to prioritize well, communicate clearly, have a consistent track record of delivery and excellent software engineering skills. Must be able to work across multiple facets of the project and juggle multiple responsibilities at the same time. Strong analytic capability and the ability to create innovative solutions.
**Key Responsibilities**
* Angular development using .Net Core APIs hosted in Azure
* Support of code through SDLC into production
* Troubleshooting and support of production environment
* Codes, test, and debugs technology\-based applications
* Analyzes, designs, coordinates and supervises the development of software systems
* Communicates with engineers and support staff regarding programming needs and performance
* Improves operations by conducting systems analysis; recommend changes
* Researches and recommends software tools to management
* Communicate effectively with peers
* Support and develop software engineers by providing advice, coaching and educational opportunities
* Participate in and/or lead code reviews as necessary to ensure compliance with established programming standards
 Percentage of time spent on duties will be as follows:
* Software development including database design, solution architecture, and project planning – 50%
* Production and incident support – 50%
**Supporting Job Functions**
* Production and incident support
* Other duties and responsibilities as assigned
**Required Knowledge, Skills, And Abilities**
* Fluent with the following technologies/languages (5\+ years)
* .Net Framework/.Net Core, WebAPI, Angular, Azure Functions, EF Core, SQL Server
* Object\-oriented programming concepts
* SOLID Principal concepts for API design
* Relational database concepts
* System development lifecycle concepts
* Source Control knowledge, preferably with GIT
* High Analytical and problem\-solving skills
* Ability to communicate effectively, orally and writing
* Degree in Computer Science or equivalent experience
* 5\-7 years of web development using C\# and SQL Server
* Good communication skills</t>
        </is>
      </c>
    </row>
    <row r="167">
      <c r="A167" t="inlineStr">
        <is>
          <t>li-4361880087</t>
        </is>
      </c>
      <c r="B167" t="inlineStr">
        <is>
          <t>Senior Software Engineer - Java, Spring boot, Microservices</t>
        </is>
      </c>
      <c r="C167" t="inlineStr">
        <is>
          <t>Ivanti</t>
        </is>
      </c>
      <c r="D167" t="inlineStr">
        <is>
          <t>linkedin</t>
        </is>
      </c>
      <c r="E167" t="inlineStr"/>
      <c r="F167" t="inlineStr"/>
      <c r="G167" t="inlineStr"/>
      <c r="H167" t="inlineStr"/>
      <c r="I167" t="inlineStr">
        <is>
          <t>Do you have a passion for building innovative software solutions and driving technical excellence? Ivanti is seeking an experienced Senior Software Engineer to join our dynamic, globally distributed team and help deliver world\-class products that empower organizations worldwide.
**Why this role matters**
 Ivanti is seeking an experienced and enthusiastic Senior Software Engineer to contribute to our software development team. The ideal candidate will be a strong collaborator with deep technical expertise in the Java ecosystem. This role involves contributing to the strategy and execution of multiple product releases, participating in complex projects, and ensuring technical excellence through hands\-on development and architectural guidance. The senior engineer will be responsible for developing and maintaining applications throughout the full development lifecycle in a cloud\-native environment, with proven experience in AWS or Azure. This includes building and maintaining applications using microservices architecture and containerization technologies. Beyond technical contributions, the senior engineer will be a key contributor to building the organization by mentoring junior team members, and fostering a collaborative culture to meet Ivanti's objectives.
**What You’ll Do**
* Collaborate closely with cross\-functional teams to implement robust unit and automation testing, drive DevOps practices, and streamline CI/CD pipelines for rapid and secure deployment cycles.
* Manage the full software development lifecycle from requirements analysis to deployment, ensuring all features for device, application, and content security meet the highest standards of reliability and scalability.
* Build sophisticated server\-side solutions and RESTful web services using Java, J2EE, Spring Boot, and microservices architecture to support device management across iOS, Android, and Windows platforms.
* Design innovative architectures and implement solutions leveraging industry best practices, with a strong focus on performance, security standards, and seamless integration of RDBMS/NoSQL and cloud technologies.
* Partner with cross\-functional teams—including product managers, UX designers, and QA engineers—to align on customer requirements, refine user stories, and ensure successful product delivery using Agile/Scrum methodologies.
* Lead a team of software engineers by providing technical expertise, driving best engineering practices, conducting code reviews, and mentoring team members to achieve development excellence.
* Collaborate closely with other engineering teams and stakeholders to troubleshoot large\-scale complex systems, drive process improvements, and facilitate a culture of continuous innovation and feedback.
* Advise the team and organization on emerging technologies, security standards, DevOps processes, and identity management practices, supporting the evolution of product architecture and development strategies.
**What You Will Bring**
* Bachelor’s degree (B.E. / B.Tech) in Computer Science or a related field, with 6\+ years of relevant industry experience.
* Extensive expertise in building high\-quality services using Java, J2EE, Spring, and related technologies.
* Proven experience designing and developing applications and web services within a Service\-Oriented Architecture (SOA), leveraging RESTful services and API gateways.
* Strong background in RDBMS and NoSQL technologies.
* Proficient in applying design patterns, data structures, and algorithm design for optimal solutions.
* Hands\-on experience with Spring Boot, Spring Cloud, API Gateway, ElasticSearch, and Apache Kafka.
* Solid exposure to leading cloud platforms such as AWS and Azure.
* Deep understanding of system performance and scalability principles.
* Demonstrated leadership in guiding small engineering teams through the design, implementation, and delivery of substantial software components.
* Consistent record of applying engineering best practices throughout the software development lifecycle.
* Ability to interpret complex customer requirements and engineer effective product solutions.
* Familiarity working with Linux\-based environments.
* Strong understanding of Agile or Scrum development methodologies.
* Excellent verbal and written communication skills.
* Outstanding analytical and problem\-solving abilities.
* In\-depth knowledge of software security standards and microservice architectures.
* Well\-versed in DevOps tools and processes.
* Advantageous to have experience with SAML, OAuth, Identity management, and Certificate/PKI technologies.
**Why Ivanti?**
* Friendly flexible working model: Empower excellence whether you’re at home or in the office and support work\-life balance .
* Competitive compensation \&amp; total rewards : Including health, wellness, and financial plans tailored for you and your family.
* Global, diverse teams:  Collaborate with talented people from 23\+ countries.
* Learning \&amp; development:  Grow your skills with access to best\-in\-class learning tools and programs.
* Equity \&amp; belonging:  We value every voice. Your story helps inform our solutions for a changing world.
**What Drives Us**
 Ivanti’s mission is to elevate human potential within organizations by managing, protecting and automating technology for continuous innovation.
 It is through diverse and inclusive hiring, decision\-making, and commitment to our employees and partners that we will continue to build and deliver world\-class solutions for our customers.
 To learn more about Ivanti’s Mission and Core Values.
**Inclusion at Ivanti**
 Ivanti is proud to be an
 **Equal Opportunity Employer** 
 . We’re committed to building a diverse team and fostering an inclusive environment where everyone belongs. We welcome applicants from all backgrounds and walks of life .
 Need adjustments during the process? Reach out to talent@ivanti.com we’re happy to help.
 \#L1 \- KS</t>
        </is>
      </c>
    </row>
    <row r="168">
      <c r="A168" t="inlineStr">
        <is>
          <t>li-4370084865</t>
        </is>
      </c>
      <c r="B168" t="inlineStr">
        <is>
          <t>Senior Software Engineer, Cloud Infrastructure / SRE</t>
        </is>
      </c>
      <c r="C168" t="inlineStr">
        <is>
          <t>RemoteHunter</t>
        </is>
      </c>
      <c r="D168" t="inlineStr">
        <is>
          <t>linkedin</t>
        </is>
      </c>
      <c r="E168" t="inlineStr"/>
      <c r="F168" t="inlineStr"/>
      <c r="G168" t="inlineStr"/>
      <c r="H168" t="inlineStr"/>
      <c r="I168" t="inlineStr">
        <is>
          <t>About the Opportunity:
 The organization is seeking a Senior Software Engineer, Cloud Infrastructure / SRE to join the Engineering team. The team builds and maintains the foundational platform for all engineering efforts, architecting a resilient ecosystem using a modern stack centered on AWS/GCP, Terraform, and Kubernetes with developer tooling and CI/CD. The role supports an automated, self\-service infrastructure that enables the engineering organization to move quickly without compromising security or stability. The position reports to a Staff/Senior Staff Engineer and is remote for candidates residing in San Francisco, CA, with potential future hybrid work models.
 Responsibilities:
 • Become an expert in the team''s domains, including DevOps, site reliability, and cloud best practices
 • Lead planning, execution, and release of complex technical projects across multiple teams
 • Collaborate with partners, product managers, and designers to solve problems
 • Lead and mentor engineers to improve technology and apply best practices
 • Own large or complex technology capabilities within or across team domains
 • Facilitate and enhance cross\-team execution and collaboration, mitigating risks to meet deadlines
 • Contribute significantly to functional group and organization\-wide objectives
 • Drive prioritization of technical roadmap and influence product roadmap and process improvements
 • Identify and reduce failure domains; design and build resilient systems to minimize outage impact
 • Develop software to reduce maintenance effort and business impact during failures
 • Guide development of Service\-Level Objectives (SLOs) for responsible systems
 • Manage medium to large features or infrastructure projects from design to completion
 • Ensure compliance with applicable laws and regulations
 • Perform other duties as assigned
 Requirements:
 • 6 or more years of professional software engineering experience with diverse technologies
 • Experience as a major contributor to cross\-team or cross\-company deliverables
 • Proven leadership in technical contributions and improving team output quality
 • Expertise in practical computer science concepts within the team context
 • Sets and enforces standards for stable, correct, and maintainable code
 • Experience mentoring and training junior engineers
 Bonus points:
 • Deep expertise managing production environments in AWS or GCP at scale
 • Advanced experience with Terraform or similar Infrastructure as Code tools managing multi\-account structures
 • Proven experience with Kubernetes and ArgoCD workflows
 • Strong background in Site Reliability Engineering, including SLOs, error budgets, and incident management
 • Experience building deployment pipelines with GitHub Actions
 • Proficiency in monitoring tools like Prometheus and Grafana
 • Knowledge of cloud\-native security (IAM, VPC peering) and service mesh technologies like Istio
 • Programming skills in at least one language for scripting and software development
 • Bachelor’s degree in Computer Science, related technical field, or equivalent industry experience
 Benefits \&amp; Perks:
 • Medical, dental, and vision benefits
 • 11 paid holidays
 • Paid sick time
 • Paid parental leave
 • 401(k) plan participation
 • Life and disability insurance
 • Paid wellness time and reimbursements
 • Unlimited vacation program
 • Company equity grants
 • Annual performance bonuses
 Compensation:
 • Base pay range: $180,504 to $236,911 per year
 • Eligibility for employee benefits, equity grants, and annual performance bonuses
 • Final offers based on skills, education, and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9">
      <c r="A169" t="inlineStr">
        <is>
          <t>li-4299774329</t>
        </is>
      </c>
      <c r="B169" t="inlineStr">
        <is>
          <t>Lead Software Engineer - Back End (FinTech) (Bangkok based - Relocation provided)</t>
        </is>
      </c>
      <c r="C169" t="inlineStr">
        <is>
          <t>Agoda</t>
        </is>
      </c>
      <c r="D169" t="inlineStr">
        <is>
          <t>linkedin</t>
        </is>
      </c>
      <c r="E169" t="inlineStr"/>
      <c r="F169" t="inlineStr"/>
      <c r="G169" t="inlineStr">
        <is>
          <t>San Jose, CA</t>
        </is>
      </c>
      <c r="H169" t="inlineStr"/>
      <c r="I16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Fintech is one of the fastest growing areas in Agoda and we are rapidly expanding our tech team. We work closely with the finance business team and our Fintech product owners to reduce risk, drive efficiencies and move on new market opportunities in this exciting field. We have a wide range of projects from traditional finance to cutting\-edge customer fintech. For example, reconciliation using Big Data technologies, growing and optimizing customer payments options, tax calculations in milli\-second response times and a mesh of supplier payment options like virtual credit cards. It’s a hot field and the perfect mix of data engineering and backend engineering.
**The Opportunity**
**In this role, you will not only develop robust backend systems but also architect and maintain scalable data pipelines and storage solutions that support complex data collection, processing, and analysis. Your dual expertise in backend and data engineering will play a crucial role in optimizing our financial technology solutions and driving informed business decisions through reliable data insights.**
**In This Role, You’ll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Boost System Performance: build systems that are stable, scalable, and highly performant to meet the dynamic demands of the financial landscape
* Write great code and help others write great code – mentor people in your team and wider
* Collaborate with other teams and departments
* Exceptional problem\-solving skills coupled with a strategic mindset are essential. You possess the ability to adapt to new changes and the foresight to anticipate future needs. Leadership at Agoda isn’t just managing tasks but inspiring innovation and driving vision into reality.
* Foster Cross\-Functional Collaboration: work with diverse teams to drive forward product and technology goals
* Shape our future team: Play a pivotal role in recruiting and onboarding exceptional talent
**What You’ll Need To Succeed**
* 10\+ years of experience with strong proficiency in Java, Kotlin, Scala, or C\# with a proven track record of developing high\-performance applications in production settings. Insightful experience with big data technologies like Hadoop, real\-time processing frameworks (e.g., Apache Spark), and advanced knowledge of SQL and data architecture.
* Thinks in systems: their edge cases, failure modes, and life cycles
* Uses a metrics driven approach and can make informed decisions using data
* You are passionate about the craft of software development and constantly work to improve your knowledge and skills
* Experience with Scrum/Agile development methodologies
* Excellent verbal and written English communication skills
* Experience with operational excellence and a deep understanding of metrics, alarms and dashboards
**It’s Great If You Have**
* Experience working in a modern FinTech or Payments organization
* Domain knowledge in any of these areas: financial reconciliation, financial reporting, tax, payout methods like virtual credit cards or customer payments
* Hands\-on experience working with technologies like Spark for data processing, ETLs for data pipelines and queueing systems (Kafka, RabbitMQ).
* Core engineering infrastructure tools like GitLab for source control and Continuous Integration, Kubernetes
* Experience developing, maintaining and debugging large\-scale distributed systems
* Experience in leading projects, initiatives and/or teams, with full ownership of the systems involved
**This position is based in Bangkok, Thailand. (Relocation package is provided)**
 \#Bengaluru \#Hyderabad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170">
      <c r="A170" t="inlineStr">
        <is>
          <t>li-4368754930</t>
        </is>
      </c>
      <c r="B170" t="inlineStr">
        <is>
          <t>Lead Fullstack Software Engineer(Java/Angular)=Fort Detrick, MD(Hybrid)</t>
        </is>
      </c>
      <c r="C170" t="inlineStr">
        <is>
          <t>Jobs via Dice</t>
        </is>
      </c>
      <c r="D170" t="inlineStr">
        <is>
          <t>linkedin</t>
        </is>
      </c>
      <c r="E170" t="inlineStr"/>
      <c r="F170" t="inlineStr"/>
      <c r="G170" t="inlineStr">
        <is>
          <t>Frederick, MD</t>
        </is>
      </c>
      <c r="H170" t="inlineStr"/>
      <c r="I170" t="inlineStr">
        <is>
          <t>**Position Title: Lead Full Stack Software Engineer (Java / Angular)**
**Location: Fort Detrick, MD (Hybrid Onsite 3 days/week, Mondays \&amp; Fridays are remote days)**
**Clearance Requirements: U.S. Citizenship required \| Ability to obtain a Secret clearance**
**Position Status: Contract (Long\-Term, 3\+ years)**
**Top Skills**
**Minimum of 4 years of experience (preference is 4\-6 years total)**
* RESTful APIs
* At least 2 years experience working on an Agile team and following Agile processes SCRUM and/or Scaled Agile Framework (SAFe)
* Solid Java 11\+ skills and experience with EAP's (JBoss/Wildfly) and/or SpringBoot
* Experience in building front\-end application using Angular and JavaScript
* Experience using MongoDB or NoSQL database systems
 Position Description:
 We are seeking a Lead Full Stack Software Engineer to support a mission\-critical federal program based in Fort Detrick, Maryland. This role is ideal for a senior engineer who enjoys working across the full application stack, contributing hands\-on code while collaborating within an Agile environment to deliver secure, scalable, and user\-focused solutions.
 You will work closely with cross\-functional teams to design, develop, and enhance enterprise applications, ensuring alignment with cybersecurity standards, accessibility (508\), and modern software engineering best practices. This position offers a hybrid work model, with onsite collaboration three days per week and expanded telework flexibility for high\-performing candidates.
 Key Responsibilities:
 Participate actively in Agile ceremonies including sprint planning, backlog grooming, and story sizing
 Design, develop, and maintain full stack applications using Java and modern front\-end frameworks
 Implement and consume RESTful APIs supporting enterprise\-scale systems
 Ensure code adheres to cybersecurity, design, accessibility (508\), and style standards
 Produce clear technical documentation including design artifacts, unit tests, and code reviews
 Support product evaluations and contribute to continuous improvement of application features
 Collaborate with engineers, stakeholders, and product teams to deliver high\-quality solutions
 Required Skills \&amp; Education:
* U.S. citizenship and eligibility to obtain a Secret clearance
* Bachelor's degree in Information Technology, Cybersecurity, Data Science, Information Systems, or Computer Science from an ABET accredited or CAE designated institution. If the candidate does not have the required degree, 6 year's experience in a related field in addition to one of the following current certifications are required: Cloud\+, GICSP, SSCP, Security\+, GSEC, FITSP\-O, GFACT, CASP\+, CCNP Security, or CCSP
* Additional 4 years of experience with Full Stack Development, implementing and consuming RESTful APIs
* At least 2 years experience working on an Agile team and following Agile processes SCRUM and/or Scaled Agile Framework (SAFe)
* Solid Java 11\+ skills and experience with EAP's (JBoss/Wildfly) and/or SpringBoot
* Experience in building front\-end application using Angular and JavaScript
* Experience using relational and/or NoSQL database systems
 Preferred Qualifications:
 Experience developing enterprise\-scale applications
 Knowledge of Java EE design patterns and modern application architectures
 Familiarity with Angular/JavaScript design patterns
 Experience with containerization technologies (Docker, Kubernetes)
 Experience with cloud platforms, particularly AWS
 Scripting experience with Bash or PowerShell
 Python 3\+ development experience
 Experience designing or supporting microservices architectures
 Thanks and Regards
 Murali Sharma</t>
        </is>
      </c>
    </row>
    <row r="171">
      <c r="A171" t="inlineStr">
        <is>
          <t>li-4361469101</t>
        </is>
      </c>
      <c r="B171" t="inlineStr">
        <is>
          <t>Senior Software Engineer, Foundational Data Engineering - NYC / Houston, TX- Systematic Quant Fund</t>
        </is>
      </c>
      <c r="C171" t="inlineStr">
        <is>
          <t>Jobs via eFinancialCareers</t>
        </is>
      </c>
      <c r="D171" t="inlineStr">
        <is>
          <t>linkedin</t>
        </is>
      </c>
      <c r="E171">
        <f>HYPERLINK("https://www.linkedin.com/jobs/view/4361469101", "https://www.linkedin.com/jobs/view/4361469101")</f>
        <v/>
      </c>
      <c r="F171" t="inlineStr"/>
      <c r="G171" t="inlineStr">
        <is>
          <t>New York, NY</t>
        </is>
      </c>
      <c r="H171" t="inlineStr"/>
      <c r="I171"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172">
      <c r="A172" t="inlineStr">
        <is>
          <t>li-4361850075</t>
        </is>
      </c>
      <c r="B172" t="inlineStr">
        <is>
          <t>Senior Software Engineer, Foundational Data Engineering - NYC / Houston, TX- Systematic Quant Fund</t>
        </is>
      </c>
      <c r="C172" t="inlineStr">
        <is>
          <t>Jobs via eFinancialCareers</t>
        </is>
      </c>
      <c r="D172" t="inlineStr">
        <is>
          <t>linkedin</t>
        </is>
      </c>
      <c r="E172">
        <f>HYPERLINK("https://www.linkedin.com/jobs/view/4361850075", "https://www.linkedin.com/jobs/view/4361850075")</f>
        <v/>
      </c>
      <c r="F172" t="inlineStr"/>
      <c r="G172" t="inlineStr"/>
      <c r="H172" t="inlineStr"/>
      <c r="I172" t="inlineStr">
        <is>
          <t>**Location:** 
 New York, NY / Houston, TX
**Summary**
 Not your standard hedge fund, the scientists, technologists and academics at this innovative company look beyond traditional finance to develop creative solutions and sophisticated trading models.
 They're looking to hire mid\-level software engineers with expertise in Data Engineering to join the foundational data team. You'll be expected to have a strong background in large language models (LLM) technologies, cloud computing, and financial markets. You will work on world\-class trading systems, developing and maintaining scalable and efficient data engineering solutions designed to meet the needs of your data scientist, financial analyst and engineering colleagues.
 This role would be perfect for someone with a deep understanding of financial instruments \&amp; simulations, as well as knowledge of the data engineering technology landscape to help drive continued success.
**Requirements**
* 7\-10 years of software development experience, preferably with a data engineering focus
* Proven background in LLM technologies and their application
* Strong programming skills in languages such as Python, Java, or C\+\+
* Solid experience with cloud platforms (AWS, Azure, GCP), and related, e.g. BigQuery
* Good knowledge of database technologies (SQL, NoSQL) and data warehousing
* Minimum BS/BA in Computer Science, Engineering, Finance (or related field)
* Highly desirable: prior financial industry/hedge fund experience
**Benefits**
* Market\-leading base salaries \+ bonus
* Outstanding benefits package
* Truly collaborative culture and growth opportunities throughout the firm
* Flexible work environment
* Tuition reimbursement, conference and training sponsorship
 Whilst we carefully review all applications, to all jobs, due to the high volume of applications we receive it is not possible to respond to those who have not been successful.
**Contact**
 If you feel you are a strong match for this role, or would like more information, please get in touch:
**Eoughin Perry**
 eoughin.perry@oxfordknight.com
 linkedin.com/in/eoughin\-perry\-874b19195</t>
        </is>
      </c>
    </row>
    <row r="173">
      <c r="A173" t="inlineStr">
        <is>
          <t>li-4370350321</t>
        </is>
      </c>
      <c r="B173" t="inlineStr">
        <is>
          <t>Backend Software Engineer</t>
        </is>
      </c>
      <c r="C173" t="inlineStr">
        <is>
          <t>Airbnb</t>
        </is>
      </c>
      <c r="D173" t="inlineStr">
        <is>
          <t>linkedin</t>
        </is>
      </c>
      <c r="E173">
        <f>HYPERLINK("https://www.linkedin.com/jobs/view/4370350321", "https://www.linkedin.com/jobs/view/4370350321")</f>
        <v/>
      </c>
      <c r="F173">
        <f>HYPERLINK("https://www.wiraa.com/job-description/usF0181D98D159437BA5E0E7D7E7BAE854?source=Linkedin&amp;urlHash=G3PT", "https://www.wiraa.com/job-description/usF0181D98D159437BA5E0E7D7E7BAE854?source=Linkedin&amp;urlHash=G3PT")</f>
        <v/>
      </c>
      <c r="G173" t="inlineStr"/>
      <c r="H173" t="inlineStr"/>
      <c r="I173" t="inlineStr">
        <is>
          <t>**About The Company** 
 Airbnb was founded in 2007 when two hosts welcomed three guests to their San Francisco home. Since then, it has grown into a global community with over 5 million hosts who have welcomed more than 2 billion guest arrivals across nearly every country worldwide. Airbnb offers unique stays and experiences that enable guests to connect with local communities in authentic ways, fostering a sense of belonging and discovery. The company’s platform is dedicated to creating memorable travel experiences by providing diverse lodging options and innovative services that cater to travelers seeking more personalized and meaningful adventures.
**About The Role** 
 We are seeking a talented Software Engineer to join Airbnb’s Storefronts team, which is responsible for the front\-door experience of Airbnb’s guest product platform. In this role, you will play a critical part in developing and delivering features that enhance user navigation, discovery, and engagement on Airbnb’s homepage and search pages. You will collaborate with cross\-functional teams including design, product management, data science, and other engineering groups to create scalable, high\-performance solutions that serve millions of users worldwide. Your contributions will directly impact how guests explore and connect with Airbnb’s offerings, supporting the company's mission to help people belong anywhere.
**Qualifications** 
* 4\+ years of professional software engineering experience
* Proficiency in developing backend applications and APIs using Java
* Experience with service monitoring and alerting techniques
* Strong product sense with the ability to balance technical and user experience requirements
* Excellent collaboration skills with cross\-functional and non\-technical partners
* Willingness to embrace challenges and adapt to changing priorities with a positive attitude
* Experience with AI tools and developing new features for guest and team tools (preferred)
* Nice to have: Experience with GraphQL, Kotlin, Thrift IDL, server\-driven architectures
**Responsibilities** 
* Develop new APIs to power interfaces that enable users to navigate and discover Airbnb’s products effectively
* Improve the performance and robustness of backend services and architecture supporting Airbnb’s homepage and search functionalities
* Contribute to the development of innovative product features and experiences in collaboration with a cross\-disciplinary team of engineers
* Leverage AI tools to create new features for enhancing guest experiences and streamlining team workflows
* Work closely with design, product, marketing, and data science teams to bring new features from concept to production
* Participate in technical improvements to increase product quality and team velocity
* Support and maintain scalable, reliable, and secure backend systems
**Benefits** 
* Competitive salary and performance\-based bonuses
* Health, dental, and vision insurance plans
* Flexible work arrangements including remote work options
* Paid time off and holidays
* Professional development opportunities and training programs
* Employee travel credits and discounts
* Inclusive and diverse work environment that fosters growth and innovation
 Equal Opportunity
 Airbnb is an equal opportunity employer committed to fostering an inclusive environment for all employees. We value diversity and believe that varied perspectives drive innovation and better solutions. All qualified individuals are encouraged to apply regardless of race, color, religion, gender, sexual orientation, gender identity or expression, national origin, age, disability, or veteran status.</t>
        </is>
      </c>
    </row>
    <row r="174">
      <c r="A174" t="inlineStr">
        <is>
          <t>li-4370347867</t>
        </is>
      </c>
      <c r="B174" t="inlineStr">
        <is>
          <t>Software Engineer, Backend</t>
        </is>
      </c>
      <c r="C174" t="inlineStr">
        <is>
          <t>Mirage</t>
        </is>
      </c>
      <c r="D174" t="inlineStr">
        <is>
          <t>linkedin</t>
        </is>
      </c>
      <c r="E174">
        <f>HYPERLINK("https://www.linkedin.com/jobs/view/4370347867", "https://www.linkedin.com/jobs/view/4370347867")</f>
        <v/>
      </c>
      <c r="F174" t="inlineStr"/>
      <c r="G174" t="inlineStr">
        <is>
          <t>New York, NY</t>
        </is>
      </c>
      <c r="H174" t="inlineStr"/>
      <c r="I174"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**About The Role**
 Backend engineering at Mirage isn’t narrowly defined. We work across product, platform, and machine learning—building the systems, services, APIs, and ML pipelines that power all of our product surfaces.
 You’ll own critical backend systems end\-to\-end, partnering closely with product, design, client, and AI teams to turn ambitious ideas into reliable, scalable production systems. This opportunity is ideal for engineers who enjoy solving complex technical problems while staying connected to product and user outcomes.
**Responsibilities**
* Design, build, and own backend systems end\-to\-end, including services, APIs, data pipelines, and infrastructure that power our products
* Solve complex technical challenges across distributed systems, scaling, concurrency, and performance
* Integrate and operate large generative AI models in production—deploying, serving, and scaling systems that combine internal research and external capabilities to unlock new product experiences.
* Instrument, experiment, and iterate in production to continuously improve system and product quality
* Design and operate core platform infrastructure, including integrations with third\-party providers, storage systems, security, and internal APIs
**What Makes You a Great Fit**
* 5\+ years of professional industry experience
* A track record of shipping high‑impact systems and/or products in production
* Exceptional problem solving fundamentals and ability to learn
* Excellent engineering taste combined with a strong sense of practicality and time\-management
* Able to operate effectively in an extremely fast\-paced environment as well as scope and deliver projects end\-to\-end
**Even better if...**
* You have worked extensively with LLMs, generative media models, and have a pulse on where the technology is going
* You are grounded, collaborative, and willing to do whatever it takes to help the team win
* You have been a startup founder or an early engineer at one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$185K \- $285K</t>
        </is>
      </c>
    </row>
    <row r="175">
      <c r="A175" t="inlineStr">
        <is>
          <t>li-4370356523</t>
        </is>
      </c>
      <c r="B175" t="inlineStr">
        <is>
          <t>Full-Stack Software Engineer</t>
        </is>
      </c>
      <c r="C175" t="inlineStr">
        <is>
          <t>PrairieLearn</t>
        </is>
      </c>
      <c r="D175" t="inlineStr">
        <is>
          <t>linkedin</t>
        </is>
      </c>
      <c r="E175">
        <f>HYPERLINK("https://www.linkedin.com/jobs/view/4370356523", "https://www.linkedin.com/jobs/view/4370356523")</f>
        <v/>
      </c>
      <c r="F175" t="inlineStr"/>
      <c r="G175" t="inlineStr"/>
      <c r="H175" t="inlineStr"/>
      <c r="I175" t="inlineStr">
        <is>
          <t>Are you passionate about building innovative web applications and using AI to address real\-world learning challenges? Do you want to help shape the future of education?
 PrairieLearn is an early\-stage EdTech startup. We are hiring talented Full\-Stack Software Engineers.
**Location:** 
 Fully remote (anywhere in the US)
**Position Type:** 
 Full\-time
**Visa Sponsorship:** 
 Unfortunately, we cannot sponsor visas at this time.
**About Us**
 PrairieLearn is an open\-source assessment platform, originally developed at the University of Illinois and now used at top universities across the US, including Berkeley, Princeton, Michigan, and UIUC. We empower mastery\-based learning, interactive question generation, and large\-scale assessment with an emphasis on reliability and innovation. We are like a "power\-user" version of Gradescope/Canvas/Moodle. We have extremely high retention and currently don't need to do any marketing.
**About The Role**
 We are a small, profitable, open\-source, bootstrapped company growing quickly. As an early\-stage hire, you’ll work across the stack and enjoy meaningful ownership from day one. You’ll help deliver practical, user\-facing features with clear guardrails and authentic educational impact.
**Responsibilities**
* Build and maintain systems across the stack: Node.js/TypeScript backend, Postgres, and React. We use tRPC, TanStack, and AWS.
* Design features end\-to\-end, from conception to rollout, working in a small team to architect and iterate on these features
* Collaborate directly with educators and TAs to translate academic needs into high\-quality features
 You Might Be a Fit If You…
* Have experience with full\-stack web development
* Enjoy engaging directly with users—especially instructors and TAs
* Love owning projects from initial idea through to production
* Love using the cutting edge of AI development tools (Claude, Cursor)
* Even if you don’t meet every requirement: If you’re a quick learner and passionate about education and engineering, we encourage you to apply!
 Our Tech Stack
* Node.js / TypeScript backend
* Postgres, Redis, AWS, Docker
* React / tRPC / TanStack
* Open source: PrairieLearn on GitHub
 Why Join PrairieLearn?
* Bootstrapped \&amp; Profitable: We’re growing quickly and sustainably
* Open Source: Collaborate with a global community of developers and educators
* Stock Options: As an early hire, you’ll receive stock options with your offer
* Remote Culture: Work from anywhere in the US with a flexible schedule
* Unlimited PTO \&amp; Flexible Hours: Take time when you need it and work when you perform best
* Career Growth: Early\-stage team members have outsized opportunities for impact and learning
 Details
**Location:** 
 Remote (US only)
**Salary:** 
 $100k\+ depending on experience
**Benefits:** 
 Stock options, unlimited PTO, flexible hours
**Type:** 
 Full\-time
**Visa sponsorship:** 
 Not available
 PrairieLearn is an equal opportunity employer. We celebrate diversity and are committed to creating an inclusive environment for all employees.
 Thank you for applying to PrairieLearn!
 Compensation Range: $100K \- $110K</t>
        </is>
      </c>
    </row>
    <row r="176">
      <c r="A176" t="inlineStr">
        <is>
          <t>li-4370099288</t>
        </is>
      </c>
      <c r="B176" t="inlineStr">
        <is>
          <t>Senior Software Engineer</t>
        </is>
      </c>
      <c r="C176" t="inlineStr">
        <is>
          <t>Wealthbox</t>
        </is>
      </c>
      <c r="D176" t="inlineStr">
        <is>
          <t>linkedin</t>
        </is>
      </c>
      <c r="E176">
        <f>HYPERLINK("https://www.linkedin.com/jobs/view/4370099288", "https://www.linkedin.com/jobs/view/4370099288")</f>
        <v/>
      </c>
      <c r="F176">
        <f>HYPERLINK("https://www.wealthbox.com/careers/senior-software-engineer/&amp;urlHash=mAcO", "https://www.wealthbox.com/careers/senior-software-engineer/&amp;urlHash=mAcO")</f>
        <v/>
      </c>
      <c r="G176" t="inlineStr"/>
      <c r="H176" t="inlineStr"/>
      <c r="I176"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177">
      <c r="A177" t="inlineStr">
        <is>
          <t>li-4370072950</t>
        </is>
      </c>
      <c r="B177" t="inlineStr">
        <is>
          <t>Software Engineer</t>
        </is>
      </c>
      <c r="C177" t="inlineStr">
        <is>
          <t>SL Michigan</t>
        </is>
      </c>
      <c r="D177" t="inlineStr">
        <is>
          <t>linkedin</t>
        </is>
      </c>
      <c r="E177">
        <f>HYPERLINK("https://www.linkedin.com/jobs/view/4370072950", "https://www.linkedin.com/jobs/view/4370072950")</f>
        <v/>
      </c>
      <c r="F177" t="inlineStr"/>
      <c r="G177" t="inlineStr">
        <is>
          <t>Auburn Hills, MI</t>
        </is>
      </c>
      <c r="H177" t="inlineStr"/>
      <c r="I177" t="inlineStr">
        <is>
          <t>🔧 What You’ll Do
 • Develop and integrate embedded software for automotive ECUs and lighting systems
 • Collaborate with hardware, validation, and systems teams to deliver production\-ready solutions
 • Debug, test, and optimize software in real\-time environments
 • Participate in requirements analysis, design reviews, and system validation
 ✅ What We’re Looking For
 • Bachelor’s degree in Electrical, Computer, or Software Engineering (Master’s preferred)
 • 5–8 years of embedded software development experience (C/C\+\+ or AUTOSAR preferred)
 • Experience with automotive communication protocols (CAN, LIN, Ethernet)
 • Familiarity with functional safety standards such as ISO 26262 is a plus
 • Strong problem\-solving skills and collaborative mindset</t>
        </is>
      </c>
    </row>
    <row r="178">
      <c r="A178" t="inlineStr">
        <is>
          <t>li-4370094165</t>
        </is>
      </c>
      <c r="B178" t="inlineStr">
        <is>
          <t>Software Engineer – Full-Stack Systems (Robotics &amp; Infrastructure)</t>
        </is>
      </c>
      <c r="C178" t="inlineStr">
        <is>
          <t>EV Safe Charge Inc.</t>
        </is>
      </c>
      <c r="D178" t="inlineStr">
        <is>
          <t>linkedin</t>
        </is>
      </c>
      <c r="E178">
        <f>HYPERLINK("https://www.linkedin.com/jobs/view/4370094165", "https://www.linkedin.com/jobs/view/4370094165")</f>
        <v/>
      </c>
      <c r="F178" t="inlineStr"/>
      <c r="G178" t="inlineStr">
        <is>
          <t>Los Angeles, CA</t>
        </is>
      </c>
      <c r="H178" t="inlineStr"/>
      <c r="I178" t="inlineStr">
        <is>
          <t>Role Overview
 Owns the full ZiGGY software stack, spanning onboard compute, communications, cloud services, mobile applications, payments, and safety logic.
 Key Responsibilities
 * Develop software running on ZiGGY internal computers
* Implement control logic, state machines, and safety interlocks
* Build communications between ZiGGY units, cloud, and apps
* Develop backend services for fleet monitoring and management
* Support mobile app functionality and user interaction
* Implement payment flows and transaction handling
* Support logging, diagnostics, and remote updates
 Qualifications
 * Degree in Computer Science, Software Engineering, or equivalent
* Experience with embedded systems and backend software
* Comfort working with physical hardware and real\-world constraints
* Strong systems thinking and debugging skills
* Experience with networking, APIs, and secure communications
* Robotics, automotive, and/or aerospace experience preferred
 You will be joining not just a company but a culture of innovation towards a greener future.</t>
        </is>
      </c>
    </row>
    <row r="179">
      <c r="A179" t="inlineStr">
        <is>
          <t>li-4370363248</t>
        </is>
      </c>
      <c r="B179" t="inlineStr">
        <is>
          <t>Software Engineer</t>
        </is>
      </c>
      <c r="C179" t="inlineStr">
        <is>
          <t>Stelvio Inc.</t>
        </is>
      </c>
      <c r="D179" t="inlineStr">
        <is>
          <t>linkedin</t>
        </is>
      </c>
      <c r="E179">
        <f>HYPERLINK("https://www.linkedin.com/jobs/view/4370363248", "https://www.linkedin.com/jobs/view/4370363248")</f>
        <v/>
      </c>
      <c r="F179" t="inlineStr"/>
      <c r="G179" t="inlineStr">
        <is>
          <t>Austin, TX</t>
        </is>
      </c>
      <c r="H179" t="inlineStr"/>
      <c r="I179" t="inlineStr">
        <is>
          <t>**Software Engineer** 
**Austin, TX** 
 We’re looking for a highly capable Software Engineer to help build cutting\-edge AI systems used in real industrial environments. Our technology runs 24/7 in high\-volume production settings, solving complex problems at the intersection of software engineering, physics, chemistry, and manufacturing.
 If you enjoy fast iteration, hands\-on problem solving, and working closely with users, you’ll thrive here. We move quickly, collaborate constantly, and ship to production every day, often directly from customer sites.
**What You’ll Do:** 
* Build and iterate on prototypes, then turn them into robust, maintainable software
* Work across the stack on real\-world challenges in manufacturing and industrial AI
* Improve deployment pipelines, infrastructure, and observability
* Collaborate closely with engineers, designers, and onsite teams
* Develop solutions that work reliably at the edge, even in tough environments
**What We’re Looking For:** 
* Exceptional ability demonstrated through work, projects, or achievements
* Strong engineering background (Computer Science, Physics, Maths, Engineering, etc.)
* Fluency in Python, C/C\+\+, Go, Typescript, or Java
* Experience with CI/CD, DevOps, Docker/Kubernetes, and observability tools
* Clear communication and a love of solving real problems with real users
* Comfortable working fully in\-office and in dynamic, fast\-moving environments
 If you want to build impactful AI systems and love working closely with your team and your users, we’d love to hear from you.</t>
        </is>
      </c>
    </row>
    <row r="180">
      <c r="A180" t="inlineStr">
        <is>
          <t>li-4370351335</t>
        </is>
      </c>
      <c r="B180" t="inlineStr">
        <is>
          <t>Software Engineer (Java, Python)</t>
        </is>
      </c>
      <c r="C180" t="inlineStr">
        <is>
          <t>Cloudera</t>
        </is>
      </c>
      <c r="D180" t="inlineStr">
        <is>
          <t>linkedin</t>
        </is>
      </c>
      <c r="E180">
        <f>HYPERLINK("https://www.linkedin.com/jobs/view/4370351335", "https://www.linkedin.com/jobs/view/4370351335")</f>
        <v/>
      </c>
      <c r="F180" t="inlineStr"/>
      <c r="G180" t="inlineStr"/>
      <c r="H180" t="inlineStr"/>
      <c r="I180" t="inlineStr">
        <is>
          <t>**About The Company**
 Cloudera is a leading provider in the data management and analytics industry, empowering organizations to transform complex data into clear, actionable insights. With a robust platform that manages vast amounts of data comparable to hyperscalers, Cloudera has established itself as the preferred data partner for top\-tier companies across various industries. Driven by relentless innovation from the open source community, Cloudera advances digital transformation initiatives for some of the world's largest enterprises. The company's core focus lies in developing a comprehensive data platform that offers unmatched scalability, security, and performance, enabling clients to harness the full potential of their data assets.
**About The Role**
 We are seeking passionate and talented Senior Software Engineers to join our Cloudera Manager Software Engineering team. In this pivotal role, you will contribute to designing, developing, and enhancing the software that powers our hybrid and multi\-cloud data management platform. Your expertise will help create scalable, secure, and high\-performance services that facilitate seamless deployment and operation across various cloud infrastructures including public clouds like AWS, GCP, and Azure, as well as private data centers. As a Staff Software Engineer, you will take ownership of complex projects, lead high\-impact initiatives, and mentor junior team members, ensuring the delivery of innovative solutions that meet the evolving needs of our enterprise clients.
**Qualifications**
* Bachelor’s degree in Computer Science, Engineering, or a related field
* 6\+ years of professional experience in software development
* Strong understanding of systems architecture, multi\-threading, databases, networks, and distributed computing
* Experience with web technologies including JSON, RESTful web services, and client\-server interactions
* Hands\-on experience with data\-center scale computing and microservices architecture
* Proficiency in Java, Python, Go, Hibernate, Spring, CXF, and Swagger
* Expert knowledge of JVM internals, garbage collection, and multi\-threading
* Proven track record of leading initiatives from inception to production, collaborating effectively with cross\-functional teams
**Responsibilities**
* Design, architect, and develop proof\-of\-concept solutions to address complex data management challenges
* Lead the roadmap planning, component design, and scoping discussions in collaboration with product management
* Drive high\-impact product initiatives, recommend improvements, and mentor team members on best practices
* Participate in code reviews, establish engineering standards, and promote a culture of quality and innovation
* Manage multiple projects across on\-premise and cloud platforms, ensuring timely delivery and high performance
* Collaborate with cross\-functional teams including engineers, architects, and product managers to deliver robust solutions
* Take end\-to\-end ownership of project phases from design and estimation to implementation, documentation, and deployment
* Architect and implement features for managing both private and public cloud environments, supporting enterprise\-scale customers
* Coach junior engineers, sharing expertise and fostering professional growth within the team
**Benefits**
* Generous paid time off and support for work\-life balance through unplugged days
* Flexible work\-from\-home policies
* Mental and physical wellness programs
* Reimbursement for phone and internet expenses
* Access to ongoing career development and training opportunities
* Comprehensive benefits package including health, dental, and vision insurance
* Paid volunteer time to support community engagement
* Participation in Employee Resource Groups to foster diversity and inclusion
 Equal Opportunities
 Cloudera is an equal opportunity employer. We celebrate diversity and are committed to creating an inclusive environment for all employees. We do not discriminate based on race, religion, color, national origin, gender, sexual orientation, age, disability, or any other protected status. All qualified applicants will receive consideration for employment without regard to these factors.</t>
        </is>
      </c>
    </row>
    <row r="181">
      <c r="A181" t="inlineStr">
        <is>
          <t>li-4361812866</t>
        </is>
      </c>
      <c r="B181" t="inlineStr">
        <is>
          <t>Software Engineer - NY</t>
        </is>
      </c>
      <c r="C181" t="inlineStr">
        <is>
          <t>Chalk</t>
        </is>
      </c>
      <c r="D181" t="inlineStr">
        <is>
          <t>linkedin</t>
        </is>
      </c>
      <c r="E181">
        <f>HYPERLINK("https://www.linkedin.com/jobs/view/4361812866", "https://www.linkedin.com/jobs/view/4361812866")</f>
        <v/>
      </c>
      <c r="F181">
        <f>HYPERLINK("https://job-boards.greenhouse.io/chalkinc/jobs/4031707005&amp;urlHash=lDIr", "https://job-boards.greenhouse.io/chalkinc/jobs/4031707005&amp;urlHash=lDIr")</f>
        <v/>
      </c>
      <c r="G181" t="inlineStr"/>
      <c r="H181" t="inlineStr"/>
      <c r="I181"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82">
      <c r="A182" t="inlineStr">
        <is>
          <t>li-4361489148</t>
        </is>
      </c>
      <c r="B182" t="inlineStr">
        <is>
          <t>Software Developer 2</t>
        </is>
      </c>
      <c r="C182" t="inlineStr">
        <is>
          <t>Oracle</t>
        </is>
      </c>
      <c r="D182" t="inlineStr">
        <is>
          <t>linkedin</t>
        </is>
      </c>
      <c r="E182">
        <f>HYPERLINK("https://www.linkedin.com/jobs/view/4361489148", "https://www.linkedin.com/jobs/view/4361489148")</f>
        <v/>
      </c>
      <c r="F182" t="inlineStr"/>
      <c r="G182" t="inlineStr"/>
      <c r="H182" t="inlineStr"/>
      <c r="I182" t="inlineStr">
        <is>
          <t>**Job Description**
 At Oracle we are building a premier health data platform with intelligent services, tackling many interesting technical challenges along the way. As part of this team, your work will accelerate several architectural efforts: increasing data processing by orders of magnitude; decreasing end\-to\-end latency; powering the creation of comprehensive patient health records that can scale to populations of entire nations; creating a health data lake at massive scale to enable a host of intelligent health services. Healthcare applications are mission critical: our systems are held to the highest standards of availability and disaster recovery capability. We will leverage the strengths of Oracle Cloud and build software that leverages OCI services.
 We’re looking for a skilled and ambitious engineer to help build and maintain high\-scale, cloud\-based data processing systems that can handle massive amounts of data with low latency. This role will support critical data ingestion systems, strengthening and maintaining data processing pipelines that feed critical health applications. You will implement, test, optimize, and deliver software for our customers and continue supporting the software in production.
**Qualifications:**
* Bachelor’s Degree required
* Hands on experience writing code with modern procedural programming languages such as Java, C\#, C/C\+\+, or Ruby.
* Familiarity with distributed systems.
* Experience with production operations and good practices for releasing quality troubleshooting issues when they arise.
* Effective communication of technical ideas verbally and in writing, including technical proposals, design specs, architecture diagrams, and presentations.
* Ability to collaborate effectively with the team and other stakeholders.
* Production experience with high volume data applications preferred.
* 1\-5 years of relevant experience
**Responsibilities**
* Participate in the entire software lifecycle, from design to development, quality assurance, deployment, and support.
* Maintain best engineering and operational practices to ensure our software quality bar is high.
* Participate and contribute to design discussions to build distributed, scalable, and fault\-tolerant software systems.
* Implement and build cloud services using OCI infrastructure.
* Optimize data processing pipelines to increase throughput and decrease latency.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3">
      <c r="A183" t="inlineStr">
        <is>
          <t>li-4370352600</t>
        </is>
      </c>
      <c r="B183" t="inlineStr">
        <is>
          <t>FLEX Senior Software Engineer - Full Stack</t>
        </is>
      </c>
      <c r="C183" t="inlineStr">
        <is>
          <t>Hotels AI</t>
        </is>
      </c>
      <c r="D183" t="inlineStr">
        <is>
          <t>linkedin</t>
        </is>
      </c>
      <c r="E183">
        <f>HYPERLINK("https://www.linkedin.com/jobs/view/4370352600", "https://www.linkedin.com/jobs/view/4370352600")</f>
        <v/>
      </c>
      <c r="F183" t="inlineStr"/>
      <c r="G183" t="inlineStr">
        <is>
          <t>Bethesda, MD</t>
        </is>
      </c>
      <c r="H183" t="inlineStr"/>
      <c r="I183" t="inlineStr">
        <is>
          <t>**Description**
 This is a temporary position.
**Job Overview**
 As a Senior Full Stack Software Engineer at Marriott, you will be working on a state\-of\-the\-art React\-based micro\-frontend architecture. You will collaborate with new GenAI tools to create components and workflows used by our Application Engineers. You will help build the next\-generation hospitality web portal to assist our customers in traveling the world for work and pleasure. You will work with product owners, UX designers, back\-end/front\-end engineers, and QA teams to build scalable web software that performs well on all modern web browsers and devices.
 In addition to front\-end development, you will contribute to the design and implementation of microservices that power our platform, ensuring modular, maintainable, and high\-performance backend systems.
 Key Responsibilities
* Develop and maintain Typescript libraries and platform tools for our React / Next.JS applications.
* Deep understanding of the cloud\-native solution, microservices\-architecture, and at least one or more of the following areas: API orchestration architecture, mobile\-front end architecture
* Collaborate with cross\-functional teams to design and implement user\-friendly features for all form factors.
* Optimize applications and services for maximum speed, scalability, and reliability.
* Ensure the technical feasibility of UI/UX designs and propose alternative solutions when needed.
* Participate in code reviews to maintain code quality and consistency.
* Troubleshoot and debug issues across the stack as they arise.
* Stay up to date with the latest front\-end and microservice technologies and best practices.
* Mentor and provide guidance to junior developers.
* Communicate effectively with team members, stakeholders, and clients.
**Qualifications**
* 7\+ years’ experience in software design and development with expert\-level expertise in multiple programming languages like JavaScript, TypeScript, NodeJS, Next.js, React.js.
* Strong experience in designing and developing scalable microservices using modern backend frameworks and cloud\-native architectures.
* Knowledge of backend technologies – Node.JS, Java, SQL, NoSQL, Spring boot, Kafka
* Experience using GraphQL and REST for building robust APIs and service integrations.
* Experience with Automation, CI/CD, Release Management processes and Application Deployments
* Exposure to agentic GenAI development tools like Claude, ChatGPT, or other tools.
* Experience in building enterprise\-scale web applications using micro front\-end architecture.
* Experience in developing software using front\-end libraries/frameworks—primarily React.
* Experience in customizing webpack configurations and writing custom plugins to bundle code as UMD bundle for isomorphic consumption.
* Strong knowledge in performance optimization techniques across both front\-end and microservice layers.
* Experience in using Jest, Jasmine, Mocha, and JUnit with Mockito for unit and integration testing.
**Preferred Qualifications**
* Experience in agentic GenAI development tools like Claude, ChatGPT or other tools
* Experience with Figma, Adobe Experience Manager or Headless CMS platforms.
* Familiarity with DevOps \&amp; Monitoring tools such as Git, JIRA, Jenkins, Harness, and Dynatrace
* Demonstrated UI implementation skills, supported by a portfolio showcasing attention to typography, color, imagery, motion, and graphic elements
* Proficiency in developing custom reusable components using Atomic Design principles
* Experience integrating Adobe Experience Manager (AEM) with React components in both headful and headless architectures
* Background in working with multi\-repository code bases
* Ability to write deployment configurations
* Awareness of industry developments, best practices, and environments in web application design and development
* Strong verbal and written communication skills, with the ability to present complex technical ideas in clear business terms
 Why Marriott
* Opportunity to work on innovative projects and technologies.
* Collaborative and inclusive work environment.
* Professional growth and development opportunities.
* Flexible work schedule and remote work options.
* Travel and hospitality tech is fun, and it's a good mission.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184">
      <c r="A184" t="inlineStr">
        <is>
          <t>li-4370344499</t>
        </is>
      </c>
      <c r="B184" t="inlineStr">
        <is>
          <t>Software Engineer, AI</t>
        </is>
      </c>
      <c r="C184" t="inlineStr">
        <is>
          <t>Grow Therapy</t>
        </is>
      </c>
      <c r="D184" t="inlineStr">
        <is>
          <t>linkedin</t>
        </is>
      </c>
      <c r="E184">
        <f>HYPERLINK("https://www.linkedin.com/jobs/view/4370344499", "https://www.linkedin.com/jobs/view/4370344499")</f>
        <v/>
      </c>
      <c r="F184" t="inlineStr"/>
      <c r="G184" t="inlineStr"/>
      <c r="H184" t="inlineStr"/>
      <c r="I184" t="inlineStr">
        <is>
          <t>**About Us** 
 Grow Therapy is dedicated to transforming mental health care by serving as a trusted partner for therapists seeking to expand their practices and for patients accessing high\-quality mental health services. Leveraging innovative technology, we operate a dynamic three\-sided marketplace that connects providers, enhances insurance payor capabilities, and ensures patients receive personalized care. Since our inception in February 2021, we have rapidly grown to empower over ten thousand therapists and serve hundreds of thousands of clients across the United States, navigating complex insurance landscapes. Our success has been recognized through significant funding rounds, raising over $178 million from prominent investors such as Sequoia Capital, Transformation Capital, TCV, SignalFire, and others. Our mission is rooted in making mental health care accessible, effective, and scalable through cutting\-edge technology and a passionate team committed to excellence.
**About The Role** 
 We are seeking a highly skilled and product\-focused Staff Software Engineer to join our Match Success team. In this senior engineering leadership position, you will define and drive the technical vision for our marketplace and provider experience systems. Your role involves building scalable backend systems, workflows, and intelligent features that facilitate seamless connections between clients and providers, fostering long\-term therapeutic relationships. You will be responsible for architecting next\-generation marketplace matching solutions that utilize personalization, semantic search, applied AI, and scalable service design. This role sits at the intersection of product development, engineering, provider success, and quality assurance, requiring a strategic mindset, clarity in ambiguous situations, and a commitment to technical excellence. As a key leader, you will influence the company's technical direction, mentor engineering teams, and contribute to building a high\-performance culture with an entrepreneurial spirit. This is a unique opportunity to help shape the future of healthcare access at a national scale, akin to building the "Uber" or "Airbnb" of healthcare services.
**Qualifications** 
* 8\+ years of professional software engineering experience
* Minimum of 2 years leading engineering teams or technical initiatives
* At least 2 years of building backend systems at scale, preferably in high\-throughput or marketplace environments
* Experience with P2P or multi\-sided marketplaces, including matching, ranking, pricing, fraud detection, or fulfillment domains
* Strong understanding of product engineering with a focus on user needs and high\-quality experiences
* Exceptional architectural and technical vision, with the ability to influence and drive execution
* Proven track record of delivering complex projects involving multiple teams and stakeholders
* Highly data\-driven, comfortable with experimentation, measurement, and optimization
* Excellent communication skills and cross\-functional leadership abilities
* Experience mentoring and developing engineering talent
* Founder’s mindset with ownership, agility, resilience, and bias toward action
* Ability to establish frameworks and philosophies for technical leadership and scalable execution
**Responsibilities** 
* Define and own the long\-term technical vision for core marketplace, scheduling, booking, and provider operations systems
* Architect scalable backend systems supporting high\-volume matching, transactions, availability management, and operational workflows
* Design and enhance matching, search, and personalization features, including semantic search, recommendation systems, and applied AI patterns
* Continuously improve key marketplace flows such as appointment management, provider discovery, cancellations, and practice setup
* Develop operational frameworks for planning, prioritization, incident management, and delivery excellence
* Leverage data by instrumenting systems, measuring impact, and optimizing marketplace performance and matching success
* Lead and mentor a high\-performance engineering team, fostering a culture of technical excellence and innovation
* Create comprehensive documentation, playbooks, and architectural guardrails to ensure quality and consistency
* Advocate for client and provider experience needs, translating insights into technical strategies and roadmaps
**Benefits** 
* Comprehensive health coverage including medical, dental, and vision insurance, along with life and disability benefits
* Parental leave of up to 18 weeks paid leave, plus a stipend for new children
* Financial wellness programs including a 401(k) plan and equity
* options for home office setup and ongoing meal allowances, tailored for remote and in\-office employees
* Flexible paid time off, 12 paid holidays, and a full week off during winter break
* Annual stipends for personal and professional development
* No\-cost access to therapy through the Grow platform, with flexible hours dedicated to self\-care
* Memberships to wellness apps such as One Medical, Headspace, and Talkspace
* Additional perks including pet insurance discounts, commuter benefits, and global travel assistance
 Equal Opportunity
 Grow Therapy is an equal opportunity employer committed to fostering an inclusive and diverse workplace. We provide equal employment opportunities regardless of race, color, religion, sex, sexual orientation, gender identity, national origin, age, disability, veteran status, or any other protected characteristic.</t>
        </is>
      </c>
    </row>
    <row r="185">
      <c r="A185" t="inlineStr">
        <is>
          <t>li-4370351927</t>
        </is>
      </c>
      <c r="B185" t="inlineStr">
        <is>
          <t>Staff Software Engineer - Rider Incentives</t>
        </is>
      </c>
      <c r="C185" t="inlineStr">
        <is>
          <t>Uber</t>
        </is>
      </c>
      <c r="D185" t="inlineStr">
        <is>
          <t>linkedin</t>
        </is>
      </c>
      <c r="E185">
        <f>HYPERLINK("https://www.linkedin.com/jobs/view/4370351927", "https://www.linkedin.com/jobs/view/4370351927")</f>
        <v/>
      </c>
      <c r="F185">
        <f>HYPERLINK("https://tnl2.jometer.com/v2/job?jz=5wqzs6f5b937eddc35a6b75d1dcf0a69e2761KMAGUCAAAABQ&amp;iis=Job%20Board%20-%20Recruitment%20Marketing&amp;iisn=LinkedIn&amp;urlHash=S_tU", "https://tnl2.jometer.com/v2/job?jz=5wqzs6f5b937eddc35a6b75d1dcf0a69e2761KMAGUCAAAABQ&amp;iis=Job%20Board%20-%20Recruitment%20Marketing&amp;iisn=LinkedIn&amp;urlHash=S_tU")</f>
        <v/>
      </c>
      <c r="G185" t="inlineStr">
        <is>
          <t>San Francisco, CA</t>
        </is>
      </c>
      <c r="H185" t="inlineStr"/>
      <c r="I185" t="inlineStr">
        <is>
          <t>**About The Role**
 This role sits within the Rider Pricing \&amp; Incentives team, which focuses on providing algorithmically computing rider prices in real\-time, and growing demand on the Uber platform with Rider promotions. This team plays a critical role in Uber's business and directly impacts its success.
 The role is focused on backend work in collaboration with machine learning engineers, applied scientists, and product managers across teams and orgs. You'll work on some of Uber's most strategic marketplace challenges at a global scale. This is an exciting opportunity to shape the future of Uber's Rides marketplace and make a direct impact on the business.
 **\-\-\-\- Basic Qualifications \-\-\-\-** 
**\-\-\-\- Preferred Qualifications \-\-\-\-**
* What You Will Do \-\-\-\-
* Design, develop, and improve systems and products used by millions of members, in collaboration with a team of talented engineers, Product Managers, and Designers.
* Write high\-quality code and uphold standards for testing and coverage.
* Align the team on solutions to ambiguous problems and analyze the tradeoffs of different technical solutions
* Contribute to engineering cultivation in terms of quality, monitoring, and on\-call practices.
* Mentor and coach other engineers.
* Find opportunities to improve how our team operates and promote standard processes
* 7\+ years of experience delivering, scaling, and owning highly successful and innovative software products with your fingerprints all over them \- you're extremely proud of what you've accomplished.
* Proven record of engineering and coding skills. Ability to write high\-performance production\-quality code. Experience in Go, Python, Java, or other equivalent languages.
* Perseverance to get things done with a focus on shipping online production systems. Roadblocks don't get in your way \- they get you excited for the challenge.
* A deep love of building elegant, maintainable, well\-documented code. Abstracting and refactoring should be a passion, not a chore.
* Drive to always learn new things and go above and beyond the call of duty.
* Strong communication skills and a collaborative approach to problem\-solving. Always working to improve yourself and constructively support the team around you.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 Strong communication skills, both written and verbal, to articulate complex ideas to various stakeholders.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6">
      <c r="A186" t="inlineStr">
        <is>
          <t>li-4370344802</t>
        </is>
      </c>
      <c r="B186" t="inlineStr">
        <is>
          <t>Software Developer JM</t>
        </is>
      </c>
      <c r="C186" t="inlineStr">
        <is>
          <t>Northstrat Incorporated</t>
        </is>
      </c>
      <c r="D186" t="inlineStr">
        <is>
          <t>linkedin</t>
        </is>
      </c>
      <c r="E186">
        <f>HYPERLINK("https://www.linkedin.com/jobs/view/4370344802", "https://www.linkedin.com/jobs/view/4370344802")</f>
        <v/>
      </c>
      <c r="F186">
        <f>HYPERLINK("https://www.adzuna.com/details/4795177914?v=1CA3AE68811B3CE5E1DC9094EE216E74B818262A&amp;ccd=5c3a4aeb0807b912dbcbc98b557e6212&amp;frd=40779f8341ea9a9212e890b87fb21c0f&amp;r=21225287&amp;utm_source=linkedin7&amp;utm_medium=organic&amp;chnlid=1931&amp;title=Software%20Developer%20JM&amp;a=e&amp;urlHash=uK1d", "https://www.adzuna.com/details/4795177914?v=1CA3AE68811B3CE5E1DC9094EE216E74B818262A&amp;ccd=5c3a4aeb0807b912dbcbc98b557e6212&amp;frd=40779f8341ea9a9212e890b87fb21c0f&amp;r=21225287&amp;utm_source=linkedin7&amp;utm_medium=organic&amp;chnlid=1931&amp;title=Software%20Developer%20JM&amp;a=e&amp;urlHash=uK1d")</f>
        <v/>
      </c>
      <c r="G186" t="inlineStr">
        <is>
          <t>Sterling, VA</t>
        </is>
      </c>
      <c r="H186" t="inlineStr"/>
      <c r="I186" t="inlineStr">
        <is>
          <t>Northstrat is seeking an experienced and driven Senior Full Stack Developer to join our dynamic team. The ideal candidate will have extensive experience in both back\-end and front\-end development, bringing a wealth of knowledge in multiple programming languages and frameworks. This role demands a self\-starter who can take vaguely defined tasks and independently deliver high\-quality solutions.
 The programs produce Mission Management web applications for the Intelligence Community, leveraging cloud\-based microservices architecture. Responsibilities include:
* Utilize Java, including JEE and REST web services, for back\-end development.
* Collaborate with cross\-functional teams to define, design, and implement new features.
* Produce detailed specifications and write software code
* Work closely with system engineers, and SMEs to understand functional requirements
* Create unit tests and integration tests while supporting formal testing
* Provide input into training manuals for users
* Maintain knowledge of feature and technical changes in the application
* Apply Agile software development methodologies in your work.
* Participate in code reviews, testing, and debugging.
* Contribute to architectural decisions and the evolution of our tech stack.
****Requirements****
* Bachelor’s degree in computer science or a related field, or equivalent experience.
* Must have at least 5\+ years of relevant experience.
* Strong Java skills, including JEE and REST web services is required.
* Experience with relational databases such as Oracle, MySQL, or Postgres.
* Familiarity with Linux environments.
* Experience with Java microservice application and interface design and development.
* Understanding of Agile Scrum practices and traditional waterfall projects.
* An Active or current Top\-Secret clearance with SCI access (TSSCI) is required with a FS/Poly.
****Preferred Qualifications****
* Experience developing microservices using Spring Boot and the Spring Framework
* Experience working with scalable and distributed message bus such as Apache Kafka
* Experience applying DevOps best practices and leveraging tools such as Git, Jenkins, and Docker
* Experience developing secure RESTful web services integrating Identity Management tools such as Keycloak and LDAP
* Ability to work with container orchestration systems such as Kubernetes, Docker, and Helm
* Knowledge of in\-memory storage solutions (Redis) as well as AWS S3\-compliant object stores
* Experience applying DevOps best practices in day\-to\-day software development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 Medical and Vision Insurance through United Health Care; Dental insurance through Delta Dental
* 100% Medical Reimbursement
* Time Off with Pay
* Profit Sharing Plan
* 401k
* Educational Benefits
* Additional Income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semi\-annually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the use of company provided online learning opportunities, periodic company sponsored training events, and the ability to use IBA funds for reimbursement of work\-related education expenses you will have the opportunity to continually grow your skills and abilities.
 Bring Your True Self
 We embrace diversity and encourage inclusion. We support employee led interest groups and challenge our employees to support others and be their best self. We are so true to our beliefs that we offer employee referral incentives. When you like it here, your friends and family will too!
 Northstrat is an Equal Opportunity Employer
 We are committed to fostering an inclusive, diverse workplace. All qualified applicants will receive consideration for employment without regard to race, color, religion, sex, sexual orientation, gender identity, national origin, disability, veteran status or other legally protected status.</t>
        </is>
      </c>
    </row>
    <row r="187">
      <c r="A187" t="inlineStr">
        <is>
          <t>li-4370356003</t>
        </is>
      </c>
      <c r="B187" t="inlineStr">
        <is>
          <t>Software Engineer (Full Stack)</t>
        </is>
      </c>
      <c r="C187" t="inlineStr">
        <is>
          <t>Wiraa</t>
        </is>
      </c>
      <c r="D187" t="inlineStr">
        <is>
          <t>linkedin</t>
        </is>
      </c>
      <c r="E187">
        <f>HYPERLINK("https://www.linkedin.com/jobs/view/4370356003", "https://www.linkedin.com/jobs/view/4370356003")</f>
        <v/>
      </c>
      <c r="F187">
        <f>HYPERLINK("https://www.wiraa.com/job-description/us7CCFDC563C248EE7F161769A503B1F5F?source=Linkedin&amp;urlHash=wyJD", "https://www.wiraa.com/job-description/us7CCFDC563C248EE7F161769A503B1F5F?source=Linkedin&amp;urlHash=wyJD")</f>
        <v/>
      </c>
      <c r="G187" t="inlineStr"/>
      <c r="H187" t="inlineStr"/>
      <c r="I187" t="inlineStr">
        <is>
          <t>**About Onos Health**
 Onos Health’s mission is simple but ambitious: ensure every healthcare dollar goes toward delivering the highest quality care. Today, 30% of total U.S. healthcare spending is wasted due to ineffective care and administrative burden caused by misalignment between providers and payers. Onos is addressing this challenge by building the largest AI\-driven healthcare data platform. Our models enable payers to make faster, more accurate decisions across their populations. By guiding members to the right care, Onos is channeling more dollars to high\-quality care that drives outcomes while making healthcare more affordable. Recently, Onos closed a $6 million Seed round with top\-tier investors and is already working with some of the nation’s largest health plans, signing its first national plan just months after launch. Join us in redefining healthcare and making a meaningful impact on the industry.
**About The Role**
 We are seeking an experienced and highly capable full\-stack product engineer who is motivated to improve the way healthcare is administered in the United States. As a key early team member, you will take ownership of developing significant parts of the Onos platform, including our user\-facing applications and APIs. This hybrid role based in San Francisco offers the opportunity to wear multiple hats, such as frontend development, UI/UX design, and backend engineering. You will lead the development of our end\-user web application used by healthcare administrators and providers, architect major platform components, and prototype new features to gather user feedback. Your role will involve shaping our technical roadmap, making architectural decisions, and influencing product and design strategies. This position offers a unique chance to work at the forefront of healthcare AI, contributing directly to building a category\-defining company that aims to revolutionize healthcare delivery.
**Qualifications**
* 5\+ years of professional experience building end\-user web applications at product\-driven companies
* Proficiency with web technologies such as React, Typescript, NextJS, and related frameworks
* Strong backend development skills with Python, Django, and related tools
* Experience working with relational databases like PostgreSQL or MySQL
* Customer\-focused mindset with high user empathy and attention to detail
* Ability to develop frontend UI/UX with minimal guidance
* Experience working in collaborative, fast\-paced environments
* Knowledge of healthcare data management and HIPAA compliance (bonus)
* Experience with design systems and maintainable frontend codebases (bonus)
* Previous roles involving architecture on full\-stack projects (bonus)
**Responsibilities**
* Lead the development of our end\-user web applications used by healthcare administrators and providers
* Architect and implement core platform components to deliver actionable insights and support workflows related to fraud, waste, and abuse
* Prototype new features and use cases to gather user feedback and iterate on product design
* Establish engineering best practices and technical foundations to support future team growth and AI integration
* Help shape the company's technical roadmap, make architectural decisions, and influence product strategy
* Develop a flexible and robust UI/UX that supports various healthcare data sources and use cases
* Implement machine learning pipelines to analyze medical records and automate recommendations
* Create human\-centric AI user experiences that foster trust and usability
* Ensure high security and privacy standards are maintained across all platform components
**Benefits**
* Flexible hybrid work arrangement with 1\-2 days/week at our San Francisco office and remote options
* Unlimited vacation policy to promote work\-life balance
* Paid parental leave for new parents
* Comprehensive medical, dental, and vision insurance coverage
* Pre\-tax commuter benefits to support your daily commute
* 401(k) retirement savings plan
* Significant equity stake as an early employee, offering ownership in the company
* Ground\-floor opportunity to help build a high\-performing team and company culture
* Regular team events and offsite gatherings to foster team bonding
* Company\-provided equipment and support for a productive home office setup
 Equal Opportunity
 We are an equal opportunity employer and value diversity at our company. We do not discriminate on the basis of race, religion, color, national origin, gender, sexual orientation, age, marital status, veteran status, or disability status. We are committed to creating an inclusive environment for all employees and applicants.</t>
        </is>
      </c>
    </row>
    <row r="188">
      <c r="A188" t="inlineStr">
        <is>
          <t>li-4370338680</t>
        </is>
      </c>
      <c r="B188" t="inlineStr">
        <is>
          <t>Software Engineer (AI, SQL)</t>
        </is>
      </c>
      <c r="C188" t="inlineStr">
        <is>
          <t>General Motors</t>
        </is>
      </c>
      <c r="D188" t="inlineStr">
        <is>
          <t>linkedin</t>
        </is>
      </c>
      <c r="E188">
        <f>HYPERLINK("https://www.linkedin.com/jobs/view/4370338680", "https://www.linkedin.com/jobs/view/4370338680")</f>
        <v/>
      </c>
      <c r="F188">
        <f>HYPERLINK("https://www.wiraa.com/job-description/us2C86207BBB472C3AA1DFAE954C836377?source=Linkedin&amp;urlHash=wg3M", "https://www.wiraa.com/job-description/us2C86207BBB472C3AA1DFAE954C836377?source=Linkedin&amp;urlHash=wg3M")</f>
        <v/>
      </c>
      <c r="G188" t="inlineStr"/>
      <c r="H188" t="inlineStr"/>
      <c r="I188" t="inlineStr">
        <is>
          <t>**About The Company** 
 General Motors (GM) is a global leader in automotive manufacturing and innovation, committed to creating a safer, more sustainable, and more efficient transportation future. With a rich history of technological advancements and a focus on mobility solutions, GM strives to lead the industry through cutting\-edge research and development. The company’s vision encompasses Zero Crashes, Zero Emissions, and Zero Congestion, reflecting its dedication to safety, environmental responsibility, and improved urban mobility. GM fosters an inclusive and dynamic workplace culture that values diversity, innovation, and collaboration, empowering employees to make a meaningful impact on the world.
**About The Role** 
 We are seeking a highly skilled and experienced Staff Software Engineer to join our Simulation Test Engineering team. This fully remote or hybrid role offers the opportunity to work on the forefront of autonomous vehicle (AV) technology. As a key member of the team, you will be responsible for architecting, implementing, and optimizing large\-scale simulation testing pipelines that are essential for AV behavior development and validation. Your expertise will drive the integration of AI\-powered tools to automate various testing processes, including test creation, data analysis, and reporting. You will collaborate with cross\-functional teams to deliver robust, user\-centric test products built on industry\-leading simulation frameworks, directly influencing the safety, quality, and development velocity of GM’s autonomous vehicle software.
**Qualifications** 
* BS, MS, or PhD in Computer Science, Engineering, or a related field
* 5\+ years of experience developing scalable software solutions using Python in a production environment
* Proven experience in test framework development, large\-scale simulation test creation, and management
* Experience with metrics\-driven test signal extraction and analysis
* Hands\-on experience with AI\-powered development tools such as GitHub Copilot, Cursor, or AMP
* Strong communication and collaboration skills, with the ability to work effectively in remote or distributed teams
* Demonstrated ability to lead technical design and execution across multiple teams and organizations
 Bonus qualifications include experience with simulation frameworks for AV or robotics, familiarity with SQL, time\-series data analysis, performance monitoring tools, dashboarding systems (e.g., Looker, Streamlit), knowledge of ROS, data orchestration tools (Airflow, DBT), visualization libraries, and expertise in computational geometry, machine learning, or advanced analytics.
**Responsibilities** 
* Design and implement automated, scalable simulation testing pipelines and frameworks that provide clear signals for behavior validation and operational readiness
* Develop and maintain shared libraries and automation tools for test creation, data collection, analysis, debugging, and performance monitoring
* Influence technical roadmaps and strategic priorities by collaborating with cross\-functional teams to integrate new simulation technologies aligned with AV development goals
* Uphold high standards of code quality and architecture through code reviews and technical mentorship to fellow engineers
* Leverage AI tools to enhance productivity, code quality, and innovation within simulation testing processes
* Drive continuous improvement of testing pipelines to accelerate AV software development cycles and ensure safety standards
**Benefits** 
* Comprehensive health and wellbeing programs including medical, dental, and vision coverage
* Health Savings Accounts (HSAs) and Flexible Spending Accounts (FSAs)
* Retirement savings plans with company contributions
* Paid vacation, holidays, and sick leave
* Tuition assistance and professional development programs
* Employee assistance programs and mental health resources
* GM vehicle discounts and access to company vehicle evaluation programs
* Opportunities for career growth and advancement within a global organization
 Equal Opportunity
 General Motors is committed to fostering a diverse and inclusive workplace where all employees are valued and respected. We provide equal employment opportunities regardless of sex, race, color, national origin, citizenship status, religion, age, disability, pregnancy, sexual orientation, gender identity, veteran status, or any other protected characteristic.</t>
        </is>
      </c>
    </row>
    <row r="189">
      <c r="A189" t="inlineStr">
        <is>
          <t>li-4370346795</t>
        </is>
      </c>
      <c r="B189" t="inlineStr">
        <is>
          <t>Software Engineer (Java, Spring, React, RabbitMQ or Kafka) - Onsite in Annapolis, MD</t>
        </is>
      </c>
      <c r="C189" t="inlineStr">
        <is>
          <t>Booker DiMaio</t>
        </is>
      </c>
      <c r="D189" t="inlineStr">
        <is>
          <t>linkedin</t>
        </is>
      </c>
      <c r="E189">
        <f>HYPERLINK("https://www.linkedin.com/jobs/view/4370346795", "https://www.linkedin.com/jobs/view/4370346795")</f>
        <v/>
      </c>
      <c r="F189" t="inlineStr"/>
      <c r="G189" t="inlineStr">
        <is>
          <t>Annapolis, MD</t>
        </is>
      </c>
      <c r="H189" t="inlineStr"/>
      <c r="I189" t="inlineStr">
        <is>
          <t>This is a hybrid position with 3 days/week onsite in Annapolis, MD (21401\) and 2 days/week remote.
 US Citizenship or a Green Card is required.
**Government Agency Experience Is Also Required.**
 We are seeking an experienced
 **Senior Software Engineer** 
 to support the redesign and modernization of two mission\-critical enterprise applications. This role is heavily focused on
 **event\-driven architecture** 
 ,
 **microservices** 
 , and modern full\-stack development.
 The ideal candidate brings deep expertise in
 **Core Java** 
 ,
 **Spring Boot** 
 ,
 **Kubernetes** 
 ,
 **React** 
 ,
 **Elasticsearch** 
 , and
 **message\-driven systems using RabbitMQ or Kafka** 
 . You will collaborate with cross\-functional teams to design, build, deploy, and maintain scalable, resilient applications in a complex enterprise environment.
**Required Skills**
* Bachelor’s degree in Computer Science or a related field
* Experience working with a government entity.
* 8\+ years of Core Java development experience
* 4\+ years developing microservices using Spring Boot and Spring frameworks
* 4\+ years building modern user interfaces with React
* Hands\-on experience with message\-driven architectures using RabbitMQ or Kafka
* Strong understanding of event\-driven architecture (EDA) principles
* Experience deploying and supporting applications in Kubernetes environments
* Proficiency with CI/CD pipelines, Git, and automated build processes
* Ability to write unit tests with a target of 85%\+ code coverage
**Desired Skills:**
* Experience with Elasticsearch for search, indexing, and analytics
* Familiarity with PrimeFaces 6\.x\+ and JavaServer Faces (JSF)
* Exposure to cloud platforms such as AWS, Azure, or Google Cloud
* Experience with Docker and containerized application development
* Knowledge of application monitoring and observability tools (Prometheus, Grafana, ELK stack)
* Experience working in Agile or hybrid development environments
**Scope of Work:**
**Design \&amp; Development**
* Architect, design, and implement enterprise\-grade software solutions in collaboration with cross\-functional teams
* Develop scalable microservices using Spring Boot and related Spring frameworks
* Apply event\-driven design to build loosely coupled, resilient systems
* Build and maintain responsive, maintainable front\-end components using React
* Support and enhance existing JSF applications utilizing PrimeFaces 6\.x and above
**Messaging \&amp; Event Streaming**
* Implement message queuing and event streaming solutions using RabbitMQ or Kafka
* Develop message producers, consumers, routing logic, and integration components
* When leveraging Kafka experience, demonstrate understanding of architectural and operational differences between Kafka and RabbitMQ
**Deployment \&amp; Infrastructure**
* Deploy and manage microservices within Kubernetes clusters
* Support automated CI/CD pipelines for build and release
* Monitor, troubleshoot, and optimize production systems for performance and reliability
* Perform application and infrastructure\-level performance tuning
**Quality Assurance**
* Write comprehensive unit tests and maintain high code coverage standards
* Participate in peer code reviews to ensure coding standards and best practices
* Conduct system testing, debugging, and validation activities
**Documentation \&amp; Collaboration**
* Produce technical specifications, architecture documentation, and design artifacts
* Create sequence diagrams for major use cases
* Collaborate closely with product managers, designers, and engineering teams to refine requirements and ensure alignment
**Reporting**
* Submit weekly activity and project status reports
* Complete time reporting and other required documentation in prescribed formats</t>
        </is>
      </c>
    </row>
    <row r="190">
      <c r="A190" t="inlineStr">
        <is>
          <t>li-4370361429</t>
        </is>
      </c>
      <c r="B190" t="inlineStr">
        <is>
          <t>Full Stack Engineer</t>
        </is>
      </c>
      <c r="C190" t="inlineStr">
        <is>
          <t>RecruiterPM</t>
        </is>
      </c>
      <c r="D190" t="inlineStr">
        <is>
          <t>linkedin</t>
        </is>
      </c>
      <c r="E190">
        <f>HYPERLINK("https://www.linkedin.com/jobs/view/4370361429", "https://www.linkedin.com/jobs/view/4370361429")</f>
        <v/>
      </c>
      <c r="F190" t="inlineStr"/>
      <c r="G190" t="inlineStr">
        <is>
          <t>Florida, United States</t>
        </is>
      </c>
      <c r="H190" t="inlineStr"/>
      <c r="I190" t="inlineStr">
        <is>
          <t>**\*We require candidates to fly out to the office during the final stage in the interview process in Boca Raton, Florida and 1\-2x a year for meetings with the executive team. We also are required to hire only US Based employees only, we can not hire outside the US, due to funding.** 
 RecruiterPM is a growing SaaS that helps recruiting/staffing agencies and employers streamline hiring with an all\-in\-one platform consisting of a combination of Applicant Tracking (ATS), CRM, and Project Management product lines mixed into one powerful experience. As we continue to grow, we’re building advanced Search and AI\-driven features across automation, and all products previously created within the platform.
 We’re looking for a Full Stack Engineer to scale product functionality, and develop AI\-powered search \&amp; product enhancements. This role has a clear path to leadership as we continue to scale.
**What You’ll Do:** 
* Optimize MySQL queries and database performance (indexes, execution plans, schema design).
* Improve and scale search capabilities (OpenSearch).
* Lead development of new AI/ML\-driven product features (vector search, RAG, embeddings, automation, chatbots).
* Manage full stack development using PHP (Laravel), MySQL, Linux, Vue.js, JavaScript.
* Design and implement scalable technical architecture.
* Ensure platform scalability, reliability, and performance as we grow.
**What We’re Looking For:** 
* 5\+ years experience with PHP (Laravel preferred) and LAMP stack.
* Strong expertise in MySQL optimization (indexes, execution plans, large data queries).
* Solid experience with search technologies (ElasticSearch/OpenSearch)
* Hands\-on work with AI/ML\-enhanced product features
* Frontend proficiency: HTML, CSS, JavaScript (Vue.js or similar). There is a UX/Design agency to lean on for this as well.
* Experience working on scalable SaaS platforms.
* Comfortable working in Linux server environments.
* Excellent problem\-solving and communication skills.
**Nice to Have:** 
* Experience with AI\-driven CRM or Recruiting/HR software.
* Familiarity with DigitalOcean, or other cloud infrastructures.
* API integrations \&amp; automation workflows.
* Experience leading other Engineers
**Why Join Us:** 
* Opportunity to grow into Engineering Leadership.
* Work directly with company Founders.
* Lead AI\-driven product innovation.
* Flexible remote work.</t>
        </is>
      </c>
    </row>
    <row r="191">
      <c r="A191" t="inlineStr">
        <is>
          <t>li-4355851234</t>
        </is>
      </c>
      <c r="B191" t="inlineStr">
        <is>
          <t>Software Engineer (Lead) - Portfolio Management</t>
        </is>
      </c>
      <c r="C191" t="inlineStr">
        <is>
          <t>Ethic</t>
        </is>
      </c>
      <c r="D191" t="inlineStr">
        <is>
          <t>linkedin</t>
        </is>
      </c>
      <c r="E191">
        <f>HYPERLINK("https://www.linkedin.com/jobs/view/4355851234", "https://www.linkedin.com/jobs/view/4355851234")</f>
        <v/>
      </c>
      <c r="F191" t="inlineStr"/>
      <c r="G191" t="inlineStr">
        <is>
          <t>New York, NY</t>
        </is>
      </c>
      <c r="H191" t="inlineStr"/>
      <c r="I191" t="inlineStr">
        <is>
          <t>**Engineering Lead** 
 (Portfolio Management)
 Engineering \| New York, NY
**To assist our hiring teams, please apply on the website here.** 
**What you’ll do:** 
 As a member of our Software Engineering team, you will play a vital role in designing, developing, and maintaining software components that support the portfolio management functions of our business. You will collaborate closely with experienced engineers, product managers, the portfolio management team, and external vendors to meet the growing demands of our increasingly complex operations. You'll also have the opportunity to work with modern technology paradigms on Google Cloud, including modular architecture, functional programming, and reactive applications. More specifically you’ll:
* Design, develop and deliver modules for our proprietary portfolio management system, which includes portfolio construction as well as workflow management
* Model the business data into the right data store
* Add automations to the infrastructure
* Assist in maintaining and improving existing software applications
* Write clean, efficient, and well\-documented code
* Work directly with Ethic's engineering, product, and business teams throughout all phases of the software development lifecycle
**Who you are:** 
* You identify with our company Principles that define our culture, guide our actions, and allow us to do our best work:
* We are
 **In Service** 
 of others \- our clients, our colleagues, the company, and the world.
* We strive to be
 **World Class** 
 \- the best at what we do.
* You’re a problem solver, able to and interested in learning new things quickly to solve unique and challenging problems.
* You are driven, possess a strong work ethic, a bias towards action, and a desire to win as a team.
* You can communicate clearly and concisely in a variety of mediums.
* You operate with high integrity, doing the right thing when no one is looking.
* You take a long\-term view towards contributing to a strong team with a culture of feedback.
* You’re passionate about positively impacting the future of our planet and humanity.
**What you’ll bring to the table:** 
* 5\+ years of Software Engineering experience
* Strong programming skills in Java
* Knowledge of RDBMS. NoSQL experience a plus
* Experience in portfolio construction and/or workflow management a plus
* Strong understanding of functional programming paradigms
* Familiarity with unit testing tools
* Strong knowledge of data structures and algorithms
* Passionate about Software and technology. Interest in Asset Management a plus
* Excellent problem solving and analytical skills
* Strong collaboration and communication skills
**About Ethic:** 
 We at Ethic partner with advisors and institutions to deliver personalized, values\-aligned, and tax\-smart investing. Our technology enables sophisticated investment solutions through a simple and engaging client experience. We empower advisors and institutions to deliver investments that reflect what matters most to them and their clients.
 We're backed by investors including Oak HC/FT, Nyca Partners, Fidelity, UBS, Jordan Park Group, and Kapor Capital. We are an SEC Registered Investment Adviser based in New York City.
 Our team is committed to fostering an environment that brings together diverse voices, perspectives, and lived experiences. We are striving to drive positive outcomes for investors and to contribute to a more sustainable and prosperous future for the world.
**Compensation \&amp; Benefits:** 
 Compensation at Ethic is a combination of base salary, equity (stock options) in the company, and benefits.
 The base salary for this role will range from $175,000\-$195,000 per year, commensurate with experience.
 Our benefits package includes;
* Medical, dental \&amp; vision insurance – premiums 100% covered by Ethic (includes dependents)
* 401k with sustainable investment options and a 3\.5% employer match
* Unlimited paid time off
* 16\-weeks of paid parental leave
* An annual $600 wellness \&amp; education stipend
* Sponsored employee resource groups
* Regular lunch \&amp; learns and volunteering opportunities
* A fully\-stocked office in lower Manhattan \+ the flexibility to regularly work remotely
**Location:** 
 New York, NY (in\-office at least 3 days a week)
**Submit an application:** 
 If you are interested in applying for this role, please submit both a resume and a cover letter below.
 Ethic values the diversity of our team and welcomes applications from all backgrounds and life experiences. In order to continuously grow a diverse team, we are taking a data\-driven approach to understanding and iterating our hiring practices.</t>
        </is>
      </c>
    </row>
    <row r="192">
      <c r="A192" t="inlineStr">
        <is>
          <t>li-4370088938</t>
        </is>
      </c>
      <c r="B192" t="inlineStr">
        <is>
          <t>Software Engineer – Real-Time Embedded Systems</t>
        </is>
      </c>
      <c r="C192" t="inlineStr">
        <is>
          <t>Autient, Inc.</t>
        </is>
      </c>
      <c r="D192" t="inlineStr">
        <is>
          <t>linkedin</t>
        </is>
      </c>
      <c r="E192">
        <f>HYPERLINK("https://www.linkedin.com/jobs/view/4370088938", "https://www.linkedin.com/jobs/view/4370088938")</f>
        <v/>
      </c>
      <c r="F192" t="inlineStr"/>
      <c r="G192" t="inlineStr">
        <is>
          <t>Brighton, MI</t>
        </is>
      </c>
      <c r="H192" t="inlineStr"/>
      <c r="I192" t="inlineStr">
        <is>
          <t>As a Software Engineer at Autient, you will be responsible for designing, developing, and maintaining embedded software for real\-time control applications using AI\-assisted workflows. You will collaborate with hardware engineers and system architects to create robust, efficient, and reliable embedded solutions.
**Responsibilities** 
* Develop, optimize, and maintain real\-time embedded software in C and C\+\+ using AI\-assisted workflows (e.g., code generation, review, refactoring, and test creation) while ensuring correctness, performance, and safety.
* Design and implement control system algorithms for embedded platforms.
* Integrate IoT connectivity solutions, including wireless communication protocols.
* Work with RTOS\-based and bare\-metal environments to ensure low\-latency, high\-reliability performance.
* Collaborate with cross\-functional teams to define software requirements and system architecture.
* Conduct software validation, debugging, and performance tuning using industry\-standard tools.
* Develop and maintain technical documentation for designs, interfaces, and testing procedures.
**Qualifications** 
* Bachelor’s degree in Computer Science, Electrical Engineering, or related field (or equivalent experience).
* 5\+ years of professional experience in embedded software development.
* Strong proficiency in C/C\+\+ for embedded systems.
* Experience using AI\-assisted coding tools as a core part of day\-to\-day development (e.g., ChatGPT, Claude, GitHub Copilot, CodeWhisperer).
* Experience with real\-time control systems and sensor integration.
* Familiarity with IoT protocols (MQTT, CoAP, Bluetooth, LoRa, etc.).
* Experience working with microcontrollers and ARM\-based processors.
* Knowledge of RTOS environments, including FreeRTOS and Zephyr.
* Strong problem\-solving and debugging skills with tools like JTAG, oscilloscopes, and logic analyzers.
* Familiarity with hardware/software integration and communication protocols (SPI, I2C, UART, CAN, Ethernet).
**Preferred Qualifications** 
* Experience with model\-based control systems (MATLAB/Simulink).
* Knowledge of security best practices for embedded IoT devices.
* Familiarity with edge computing and cloud integration.
* Experience with Python or scripting languages for testing and automation.
* Familiarity with establishing lightweight AI usage guidelines (prompting patterns, code review checklists, test strategy) to ensure reliability, security, and maintainability.
**What We Offer** 
* Competitive salary and benefits package.
* A hands\-on, innovative work environment with cutting\-edge technology.
* Opportunities for professional growth and development.
* A collaborative and dynamic workplace culture.
**About Autient** 
 Autient is an innovative leader in real\-time embedded systems, specializing in control systems and IoT development. We design and build high\-performance, mission\-critical solutions for a range of industries. We are seeking a Software Engineer with expertise in real\-time embedded C/C\+\+ to join our growing team in Brighton, MI.</t>
        </is>
      </c>
    </row>
    <row r="193">
      <c r="A193" t="inlineStr">
        <is>
          <t>li-4361469267</t>
        </is>
      </c>
      <c r="B193" t="inlineStr">
        <is>
          <t>Staff Software Engineer, Web</t>
        </is>
      </c>
      <c r="C193" t="inlineStr">
        <is>
          <t>Poshmark</t>
        </is>
      </c>
      <c r="D193" t="inlineStr">
        <is>
          <t>linkedin</t>
        </is>
      </c>
      <c r="E193">
        <f>HYPERLINK("https://www.linkedin.com/jobs/view/4361469267", "https://www.linkedin.com/jobs/view/4361469267")</f>
        <v/>
      </c>
      <c r="F193" t="inlineStr"/>
      <c r="G193" t="inlineStr">
        <is>
          <t>Redwood City, CA</t>
        </is>
      </c>
      <c r="H193" t="inlineStr"/>
      <c r="I193"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Poshmark is looking for a talented and creative Staff Web Engineer. The candidate is expected to create web applications with a simple user interface and solid code that impacts the lives of millions of users. The role will be dynamic and varied, requiring a versatile self\-starter willing to dive into multiple initiatives. This role provides an excellent opportunity to implement code that may run in production at scale, work with a talented team to rapidly roll out changes and measure their impact, and receive mentorship and guidance.
**Responsibilities**
* Responsible for creating web application features.
* Develop a scalable, high performance and maintainable code.
* Work with web technologies built on Web, database, and caching technologies.
* Tune the performance for the web application.
**6\-Month Accomplishments**
* Get familiar with the existing web architecture and code base.
* Should be able to independently drive the feature development.
* Have a good collaboration within the team. Also, with other teams like Product, Design, QA, devOps etc
* Should participate in technical discussions and be able to evaluate the design and architecture of the solution to the problems.
**12\+ Month Accomplishments**
* Come up with ideas/changes to improve the application both from performance and scalability perspective.
* Establish yourself as technical lead for the web team.
**Desired Skills**
* 8 years software development experience, including at least 3 years in building easy to use, responsive web applications
* Experience in any of the following is highly desirable \- Node, Vue, React, Angular, Ruby on Rails, NoSQL technologies (i.e. MongoDB), AWS.
* Skills in building web development stack.
* Understanding and designing RESTful web services.
* Bachelor’s degree in Computer Science or a related field</t>
        </is>
      </c>
    </row>
    <row r="194">
      <c r="A194" t="inlineStr">
        <is>
          <t>li-4370343756</t>
        </is>
      </c>
      <c r="B194" t="inlineStr">
        <is>
          <t>Full Stack Engineer</t>
        </is>
      </c>
      <c r="C194" t="inlineStr">
        <is>
          <t>Best Job Tool</t>
        </is>
      </c>
      <c r="D194" t="inlineStr">
        <is>
          <t>linkedin</t>
        </is>
      </c>
      <c r="E194">
        <f>HYPERLINK("https://www.linkedin.com/jobs/view/4370343756", "https://www.linkedin.com/jobs/view/4370343756")</f>
        <v/>
      </c>
      <c r="F194" t="inlineStr"/>
      <c r="G194" t="inlineStr"/>
      <c r="H194" t="inlineStr"/>
      <c r="I194" t="inlineStr">
        <is>
          <t>**About The Company**
 Netflix is a global leader in the entertainment industry, renowned for revolutionizing the way audiences access and enjoy content. Founded in 1997, Netflix has grown from a DVD rental service to a streaming giant with a diverse portfolio of original programming, films, documentaries, and series. With a commitment to innovation and quality, Netflix operates in over 190 countries, serving millions of subscribers worldwide. Our mission is to entertain the world by providing accessible, engaging, and high\-quality content that resonates with diverse audiences. We foster a dynamic and inclusive work environment that encourages creativity, collaboration, and continuous learning.
**About The Role**
 We are seeking a highly motivated and talented \[Job Title] to join our innovative team at Netflix. In this role, you will be responsible for \[brief overview of key responsibilities], contributing to the development, execution, and optimization of our content strategies and initiatives. The ideal candidate will possess a strong background in \[relevant field], excellent analytical and communication skills, and a passion for entertainment and technology. This position offers an exciting opportunity to work at the forefront of the digital entertainment industry, impacting millions of viewers around the globe. Collaborating closely with cross\-functional teams, you will help drive Netflix’s mission to deliver exceptional entertainment experiences and maintain our competitive edge in the market.
**Qualifications**
 The ideal candidate should possess a bachelor’s degree in Business, Marketing, Media Studies, or a related field; a master’s degree is preferred. Proven experience of 3\+ years in content management, digital marketing, or a similar role within the entertainment or technology sectors is required. Strong analytical skills, with the ability to interpret data and generate actionable insights, are essential. Excellent communication and interpersonal skills are necessary to collaborate effectively across teams and stakeholders. Familiarity with content licensing, distribution, and emerging media trends is highly desirable. A proactive, innovative mindset with a passion for entertainment and technology will set you apart as a candidate.
**Responsibilities**
 Develop and implement comprehensive content strategies aligned with Netflix’s global vision and objectives. Collaborate with content creators, licensors, and internal teams to ensure the successful acquisition, development, and distribution of content. Monitor industry trends, audience preferences, and competitive landscape to identify new opportunities for growth and engagement. Analyze performance metrics and user feedback to optimize content offerings and improve viewer satisfaction. Coordinate with marketing and PR teams to promote new releases and maximize reach. Manage budgets, timelines, and resources efficiently to ensure project milestones are met. Foster a culture of innovation and continuous improvement within the team. Support cross\-functional initiatives aimed at enhancing user experience, expanding market presence, and driving subscriber growth.
**Benefits**
 Netflix offers a comprehensive benefits package designed to support the health, well\-being, and professional development of our employees. This includes competitive salary packages, health insurance plans, retirement savings options, and paid time off. We provide opportunities for continuous learning through training programs, workshops, and industry conferences. Our flexible work arrangements promote work\-life balance and accommodate diverse needs. Employees also enjoy access to various wellness programs, employee discounts, and a vibrant corporate culture that encourages innovation, collaboration, and recognition. At Netflix, we believe in investing in our people and creating an environment where everyone can thrive and reach their full potential.
 Equal Opportunity
 Netflix is an equal opportunity employer committed to fostering an inclusive environment for all employees. We celebrate diversity and are dedicated to creating a workplace that reflects the global community we serve. We do not discriminate based on race, gender, age, religion, sexual orientation, disability, or any other protected characteristic. We believe that diverse perspectives and experiences drive innovation and excellence, and we are committed to providing equal employment opportunities to all qualified candidates.</t>
        </is>
      </c>
    </row>
    <row r="195">
      <c r="A195" t="inlineStr">
        <is>
          <t>li-4370349653</t>
        </is>
      </c>
      <c r="B195" t="inlineStr">
        <is>
          <t>Future Opportunity: Software and Senior Software Engineers</t>
        </is>
      </c>
      <c r="C195" t="inlineStr">
        <is>
          <t>Mesh Systems</t>
        </is>
      </c>
      <c r="D195" t="inlineStr">
        <is>
          <t>linkedin</t>
        </is>
      </c>
      <c r="E195">
        <f>HYPERLINK("https://www.linkedin.com/jobs/view/4370349653", "https://www.linkedin.com/jobs/view/4370349653")</f>
        <v/>
      </c>
      <c r="F195" t="inlineStr"/>
      <c r="G195" t="inlineStr">
        <is>
          <t>Indianapolis, IN</t>
        </is>
      </c>
      <c r="H195" t="inlineStr"/>
      <c r="I195" t="inlineStr">
        <is>
          <t>We invite you to submit your resume and a cover letter explaining why you are interested in future opportunities with Mesh Systems as a Software or Senior Software Engineer. We are always looking for top talent! Your application will be reviewed, and we will contact you should a suitable position become available.
 This would be a hybrid position with both work\-from\-home/in\-office work based out of our Headquarters in Indianapolis, IN (specifically Carmel) or our IoT Innovation Center in Appleton, WI reporting directly to the VP of Engineering. Fully remote teammates will be taken into consideration in certain circumstances.
 Candidates are expected to fully answer all application questions. Incomplete responses may impact your application.
 NO AGENCY APPLICATIONS ACCEPTED
**Benefits**
**About Mesh Systems**
 Mesh Systems is an Internet of Things (IoT) Solutions Software and Services company that helps enterprises achieve digital transformation. With over 20 years of experience working with Fortune 500s and industry leaders, Mesh Systems has IoT engineering competency across hardware, software, wireless technologies, and cloud services. We have been regularly awarded as one of the most innovative companies in the IoT ecosystem. Our consistent growth and success have earned us a place on the Inc. 5000 list five times, most recently in 2025, and we’ve been recognized on the Deloitte Technology Fast 500 twice. In 2023, we were honored with two Mira Award nominations for Exceptional Employer and Scale\-Up of the Year, and in 2025 we were once again named a Best Places to Work company by the Indiana Chamber. As a sales\-driven, partner\-led organization, we continuously seek to drive value and maximize the benefits of IoT \&amp; AI for the enterprises we serve. Our commitment to innovation, customer success, and fostering a collaborative culture sets us apart as a leader in the industry.
**Working at Mesh has its perks!**
 Salary, company bonus, medical, dental, vision, cyber security, pet insurance, 401k plan with match, flexible work from home, 2 weeks annually ability to work anywhere in the world, parental leave, growth and development opportunities, flex\-time off, volunteer time off, company paid life insurance, Friday Lunch \&amp; Learns, and unlimited snacks, fruit, coffee, and sodas!
**Equal Opportunity Employer**
 Mesh Systems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Our goal is to employ a diverse mix of talented people who want to come, to stay, and do their best work.</t>
        </is>
      </c>
    </row>
    <row r="196">
      <c r="A196" t="inlineStr">
        <is>
          <t>li-4268680534</t>
        </is>
      </c>
      <c r="B196" t="inlineStr">
        <is>
          <t>Sr. Software Engineer</t>
        </is>
      </c>
      <c r="C196" t="inlineStr">
        <is>
          <t>Starz</t>
        </is>
      </c>
      <c r="D196" t="inlineStr">
        <is>
          <t>linkedin</t>
        </is>
      </c>
      <c r="E196">
        <f>HYPERLINK("https://www.linkedin.com/jobs/view/4268680534", "https://www.linkedin.com/jobs/view/4268680534")</f>
        <v/>
      </c>
      <c r="F196" t="inlineStr"/>
      <c r="G196" t="inlineStr">
        <is>
          <t>Greenwood Village, CO</t>
        </is>
      </c>
      <c r="H196" t="inlineStr"/>
      <c r="I196" t="inlineStr">
        <is>
          <t>**Job Description**
 The Senior Software Developer position is part of our Authentication/Authorization/Billing/Subscriber services, which are critical, revenue driving services for our OTT platforms. The main role of the Senior Software Developer is to effectively develop software and provide technical guidance to business analysts and Product team.
 The selected candidate MUST have experience integrating different backend systems/platforms together, with the ability to define the associated implementation requirements for integrations within our own team, and making sure those work for the customer facing application development teams who will consume those services.
 Successful applicants will be proficient in C\# and REST API development.
**Responsibilities**
* Design, develop, and maintain backend REST API services using C\#.
* Ensure APIs are optimized for performance and scalability to support high volume of request of multiple device types.
* Collaborate with front\-end developers, product managers, and other stakeholders to gather requirements and deliver high\-quality solutions.
* Write clean, maintainable, and efficient code following best practices and coding standards.
* Conduct code reviews and provide mentorship to junior developers.
* Troubleshoot and resolve issues related to API functionality and performance.
* Stay current with industry trends and emerging technologies to continuously improve our backend services.
**Requirements**
* Bachelor's degree in Computer Science, Engineering, or a related field.
* Extensive experience (7\+ years) in software development with a strong focus on C\#.
* Proven track record of developing and maintaining RESTful APIs.
* Solid understanding of backend architecture and design patterns.
* Experience with database technologies such as SQL Server or NoSQL databases.
* Knowledge of security best practices for API development.
* Experience with cloud platforms like AWS.
* Familiarity with CI/CD pipelines and DevOps practices.
* Strong problem\-solving skills and attention to detail.
* Excellent communication and teamwork abilities.
* Ability to work independently and manage multiple tasks effectively.
**Compensation**
 $135,000 \- $175,000
**About STARZ**
 STARZ (NASDAQ: STRZ) is the leading premium entertainment destination for women and underrepresented audiences, and home to some of the most popular franchises and series on television. STARZ offers a robust programming mix for discerning adult audiences, including boundary\-breaking originals and an expansive lineup of blockbuster movies, and is embodied by its brand positioning “We’re All Adults Here.” Complementary to any platform or service, STARZ is available across a wide range of digital OTT platforms and multichannel video distributors and is a bundling partner of choice. STARZ is powered by an industry\-leading advanced technology, data analytics and digital infrastructure and the highly rated and first\-of\-its\-kind STARZ app.
**Our Benefits**
* Full Coverage – Medical, Vision, and Dental
* Annual discretionary bonus and merit increase
* Work/Life Balance – generous sick days, vacation days, holidays, and wellness days
* 401(k) company matching
* Tuition Reimbursement (up to graduate degree)
**EEO Statement**
*Starz is an equal employment opportunity employer. All employees and applicants are evaluated on the basis of their qualifications, consistent with applicable state and federal laws. In addition, Starz will provide reasonable accommodations for qualified individuals with disabilities. Starz will consider for employment qualified applicants with criminal histories in a manner consistent with the requirements of applicable state and federal law.*</t>
        </is>
      </c>
    </row>
    <row r="197">
      <c r="A197" t="inlineStr">
        <is>
          <t>li-4370349830</t>
        </is>
      </c>
      <c r="B197" t="inlineStr">
        <is>
          <t>Software Engineer</t>
        </is>
      </c>
      <c r="C197" t="inlineStr">
        <is>
          <t>Hyra</t>
        </is>
      </c>
      <c r="D197" t="inlineStr">
        <is>
          <t>linkedin</t>
        </is>
      </c>
      <c r="E197">
        <f>HYPERLINK("https://www.linkedin.com/jobs/view/4370349830", "https://www.linkedin.com/jobs/view/4370349830")</f>
        <v/>
      </c>
      <c r="F197">
        <f>HYPERLINK("https://joinhyra.com/jobs/258b5566-32be-4f63-b516-66fee962bc3b?src=linkedin&amp;urlHash=Q0AQ", "https://joinhyra.com/jobs/258b5566-32be-4f63-b516-66fee962bc3b?src=linkedin&amp;urlHash=Q0AQ")</f>
        <v/>
      </c>
      <c r="G197" t="inlineStr">
        <is>
          <t>Missouri, United States</t>
        </is>
      </c>
      <c r="H197" t="inlineStr"/>
      <c r="I197" t="inlineStr">
        <is>
          <t>Software Engineer\-Developer (Development)
 Location: Missouri \| Salary: $96,050 \- $129,950 annual
 Hyra is working on behalf of Boeing to hire for the position of Software Engineer\-Developer (Development). This role supports the Air Proprietary 2 Mission Systems team within the Boeing Defense, Space \&amp; Security business organization. The selected candidate will develop and enhance software solutions for critical product capabilities using an agile development approach.
 What you'll be doing
 • Develop software systems that meet industry quality, safety, and security standards
 • Conduct code reviews to ensure compliance with technical requirements and best practices
 • Create testing procedures and verify results to confirm software meets program requirements
 • Analyze and implement software processes and tools while documenting best practices
 • Collaborate with cross\-functional engineering teams, Supply Chain, and Cyber Security
 What we're looking for
 • Professional experience with C, C\+\+, C\#, Python, Java, or Ada
 • Experience working within a structured Software Development Lifecycle
 • Ability to design, develop, and document Mission Systems software
 • Experience collaborating with cross\-functional teams in an agile environment
 • Must be legally authorized to work in the US and eligible to obtain required security clearances
 What Boeing offers
 • Comprehensive medical, dental, and vision insurance plans
 • 401(k) retirement savings plan with company contribution
 • Professional development opportunities
 • Paid time off, including vacation and corporate holidays
 Apply via Hyra to be considered for this opportunity.</t>
        </is>
      </c>
    </row>
    <row r="198">
      <c r="A198" t="inlineStr">
        <is>
          <t>li-4365326556</t>
        </is>
      </c>
      <c r="B198" t="inlineStr">
        <is>
          <t>Senior Software Engineer</t>
        </is>
      </c>
      <c r="C198" t="inlineStr">
        <is>
          <t>Shift+Hire</t>
        </is>
      </c>
      <c r="D198" t="inlineStr">
        <is>
          <t>linkedin</t>
        </is>
      </c>
      <c r="E198">
        <f>HYPERLINK("https://www.linkedin.com/jobs/view/4365326556", "https://www.linkedin.com/jobs/view/4365326556")</f>
        <v/>
      </c>
      <c r="F198" t="inlineStr"/>
      <c r="G198" t="inlineStr"/>
      <c r="H198" t="inlineStr"/>
      <c r="I198" t="inlineStr">
        <is>
          <t>**Founding Software Engineer** 
 ⭐
 **Company \|** 
 AI Sales Enablement Platform
 📏
 **Size \|** 
 \&lt;20
 📍
 **Location \|** 
 San Francisco Hybrid (4 days onsite)
 💰
 **Offer \|** 
 Up to $230,000 salary \+ Equity
 🛠️
 **Tech Stack \|** 
 TypeScript, React, Node.js
*Visa sponsorship is not available* 
 Hi 👋 We’re partnering with a fast growing AI powered sales enablement company based in San Francisco. The team is building software used by revenue teams to manage pipelines, prioritise opportunities, and automate day to day workflows.
 After a recent
 **Series A** 
 funding last month, they are now expanding their founding engineering group. This role sits very close to the product and has real influence over how the platform evolves.
 The team is entering an exciting phase as they scale their core product and roll out new features used daily by sales and revenue teams.
**They are now looking for a Founding Software Engineer who has:** 
* Experience building full stack applications in a product led environment
* A frontend leaning profile with strong UX instincts
* Experience working with modern JavaScript frameworks and APIs
* Comfort owning features end to end from idea through to production
* Startup or high growth experience preferred
**In an ideal world, the engineer will:** 
* Enjoy working closely with product and design
* Be comfortable solving ambiguous problems
* Have an interest in sales tooling, data heavy products, or workflows
**This role will suit someone who:** 
* Wants real ownership at an early stage
* Enjoys shipping quickly and iterating with users
* Is happy working onsite with a small, collaborative team</t>
        </is>
      </c>
    </row>
    <row r="199">
      <c r="A199" t="inlineStr">
        <is>
          <t>li-4370355985</t>
        </is>
      </c>
      <c r="B199" t="inlineStr">
        <is>
          <t>Senior Fullstack Engineer, Auctions</t>
        </is>
      </c>
      <c r="C199" t="inlineStr">
        <is>
          <t>Alt</t>
        </is>
      </c>
      <c r="D199" t="inlineStr">
        <is>
          <t>linkedin</t>
        </is>
      </c>
      <c r="E199">
        <f>HYPERLINK("https://www.linkedin.com/jobs/view/4370355985", "https://www.linkedin.com/jobs/view/4370355985")</f>
        <v/>
      </c>
      <c r="F199" t="inlineStr"/>
      <c r="G199" t="inlineStr"/>
      <c r="H199" t="inlineStr"/>
      <c r="I199" t="inlineStr">
        <is>
          <t>Alt is unlocking the value of alternative assets, starting with the $5 B trading\-card market. We let collectors buy, sell, vault, and finance their cards in one place and we are backed by leaders at Stripe, Coinbase, Seven Seven Six, and pro athletes like Tom Brady and Giannis Antetokounmpo. Our next frontier is real\-time pricing at scale—the Alt Value that powers every trade, loan, and product on the platform.
 We’re looking for a Senior Fullstack Engineer to build the engine behind a marketplace that moves hundreds of millions of dollars in GMV. Our Auctions team doesn't just "list items"—we build the high\-stakes, high\-concurrency environments where collectors’ dreams are realized.
 In this role, you’ll sit at the intersection of high\-scale transaction systems and cutting\-edge AI. You’ll build products that provide upfront liquidity to consignors, personalized discovery for buyers, and professional\-grade tools for power sellers. If you’re energized by the idea of shipping features that millions of hobbyists and power\-users rely on, we want to talk.
**What You’ll Do Here**
* Architect the Auction Engine: Build and scale the high\-concurrency bidding and listing systems that power 9\-figure annual GMV.
* Ship AI\-Powered Liquidity: Develop next\-gen features that leverage AI to provide instant valuations and upfront liquidity to our consignors and sellers.
* Personalize the Hobby: Use data and machine learning to build rich, personalized discovery experiences that match unique collectibles to the right buyers.
* Empower Power Users: Design and launch sophisticated management tools for everyone from high\-frequency "power sellers" to veteran hobbyists.
* Own the Experience: Build end\-to\-end—from the low\-latency backend logic required for live bidding to the sleek, responsive UI where the action happens.
* Drive Technical Excellence: Mentor the team and set the standard for code quality, system reliability, and performance.
 This is a perfect fit if you…
* Love High\-Scale Challenges: You aren’t intimidated by 9\-figure transaction volumes or the "thundering herd" of bidders in the final seconds of an auction.
* Are an AI Pragmatist: You know how to take LLMs or computer vision models and turn them into practical, user\-facing features that solve real business problems.
* Think in Systems \&amp; UX: You can visualize how a data schema change on the backend will ripple out into the user experience for a power seller.
* Have High Agency: You thrive in an environment where you are expected to identify the highest\-leverage work and execute on it without a hand\-holding manual.
**What You Bring To The Table**
* 5\+ years of experience building and scaling complex applications (Python, Postgres, AWS/Cloud infra).
* Modern Frontend Mastery: Deep experience with React, TypeScript, and building high\-performance, real\-time UIs.
* Data\-Driven Mindset: Experience working with personalization engines, recommendation systems, or AI/ML integrations is a major plus.
* Product Instincts: You don’t just build what’s on the ticket; you understand the collector mindset and build features that delight them.
* Reliability Under Pressure: You have a track record of building systems that stay up when the stakes (and the traffic) are highest.
**What You’ll Get From Us**
* A seat at the table to help shape the future of Alt and the alternative asset space
* Autonomy and ownership on projects that matter
* $100/month work\-from\-home stipend
* $200/month wellness stipend
* WeWork office stipend
* 401(k) retirement benefits
* Flexible vacation policy
* Generous paid parental leave
* Competitive healthcare benefits, including HSA, for you and your dependent(s)
**Base salary range:** 
 $140,000\-$180,000, plus equity. Offers may vary based on experience, location, and other factors.</t>
        </is>
      </c>
    </row>
    <row r="200">
      <c r="A200" t="inlineStr">
        <is>
          <t>li-4370356404</t>
        </is>
      </c>
      <c r="B200" t="inlineStr">
        <is>
          <t>HPC - Software Engineer - Linux, Python, Java</t>
        </is>
      </c>
      <c r="C200" t="inlineStr">
        <is>
          <t>Erias Ventures</t>
        </is>
      </c>
      <c r="D200" t="inlineStr">
        <is>
          <t>linkedin</t>
        </is>
      </c>
      <c r="E200">
        <f>HYPERLINK("https://www.linkedin.com/jobs/view/4370356404", "https://www.linkedin.com/jobs/view/4370356404")</f>
        <v/>
      </c>
      <c r="F200" t="inlineStr"/>
      <c r="G200" t="inlineStr">
        <is>
          <t>Annapolis Junction, MD</t>
        </is>
      </c>
      <c r="H200" t="inlineStr"/>
      <c r="I200"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The Software Engineer shall be responsible for the development, test, and deployment of production\-ready software features and enhancements of mission applications deployed in an on\-prem enclave and AWS Cloud environments.
**Clearance**
 A current Top\-Secret/SCI with polygraph security clearance is required. Candidates cannot be sponsored or nominated for a government security clearance under this position.
**Experience**
 Master's degree in Computer Science or related discipline from an accredited college or university or a bachelor's degree in Computer Science or related discipline from an accredited college or university, plus two (2\) years of experience as a SWE, in programs and contracts of similar scope, type, and complexity, or four (4\) years of experience as a SWE, in programs and contracts of similar scope, type, and complexity.
**Required Skills**
* Experience using the Linux CLI and Linux tools.
* Experience developing Bash/Python scripts to automate manual processes.
* Software development experience with multiple programming languages such as C/C\+\+, and Java.
* Familiar with CI/CD principles, methodologies, and tools such as GitLab CI and Jenkins.
* Experience with Git Source Control System.
**Desired Skills**
* Software development experience with Web Frameworks such as Vue, React, and Angular.
* Experience with TypeScript, JavaScript, HTML, and CSS.
* Familiar with containerization technologies such as Docker, PodMan, containerd.
* Experience with the Atlassian Tool Suite (JIRA, Confluence).
* AWS Cloud experience.
**Benefits**
 Erias Ventures provides a complete package of wealth, health, and happiness benefits. The expected salary range for this position, depending on education and years of experience is $213,000 \- $233,000\.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201">
      <c r="A201" t="inlineStr">
        <is>
          <t>li-4370356006</t>
        </is>
      </c>
      <c r="B201" t="inlineStr">
        <is>
          <t>Frontend Engineer (React/TypeScript)</t>
        </is>
      </c>
      <c r="C201" t="inlineStr">
        <is>
          <t>Foxglove</t>
        </is>
      </c>
      <c r="D201" t="inlineStr">
        <is>
          <t>linkedin</t>
        </is>
      </c>
      <c r="E201">
        <f>HYPERLINK("https://www.linkedin.com/jobs/view/4370356006", "https://www.linkedin.com/jobs/view/4370356006")</f>
        <v/>
      </c>
      <c r="F201">
        <f>HYPERLINK("https://www.wiraa.com/job-description/us09619137116C39A45ECDB9BC1F07F70D?source=Linkedin&amp;urlHash=BtC5", "https://www.wiraa.com/job-description/us09619137116C39A45ECDB9BC1F07F70D?source=Linkedin&amp;urlHash=BtC5")</f>
        <v/>
      </c>
      <c r="G201" t="inlineStr"/>
      <c r="H201" t="inlineStr"/>
      <c r="I201" t="inlineStr">
        <is>
          <t>**About The Company**
 Foxglove is a forward\-thinking technology company dedicated to revolutionizing the robotics and autonomous systems industry. With a focus on developing powerful open\-source and commercial tools, Foxglove aims to accelerate the integration and deployment of robotics solutions across various sectors. Our mission is driven by a passionate team of experienced engineers, designers, and researchers committed to creating high\-quality products that have a meaningful impact on the global economy and human productivity. As a dynamic and innovative organization, we foster a collaborative environment that encourages creativity, continuous learning, and ownership at all levels.
**About The Role**
 We are seeking a highly skilled and adaptable Staff Frontend Engineer, Forward Deployed, to join our team at Foxglove. This role is ideal for a product\-oriented full\-stack engineer with a strong background in robotics and observability. The successful candidate will work directly with strategic customers to integrate and extend Foxglove’s platform within their environments, ensuring seamless adoption and delivering tailored solutions. This position offers a unique blend of hands\-on development, creative problem\-solving, and close collaboration with customer teams, acting as a trusted engineering partner. The role involves designing end\-to\-end solutions, deploying on various cloud or on\-premise environments, and providing valuable feedback to shape product development. You will play a critical role in bridging customer needs with our product capabilities, thereby driving continuous improvement and innovation.
**Qualifications**
* 5\+ years of professional experience in JavaScript/TypeScript development
* 3\+ years of experience working with Robotics or Autonomous systems
* Experience in customer\-facing engineering roles, preferably within robotics or autonomy sectors
* Proven ability to rapidly prototype and iteratively deliver solutions with external stakeholders
* Strong front\-end skills in React and TypeScript, with back\-end experience in Node.js or Python
* Familiarity with C\+\+ or ROS is a plus
* Solid understanding of network and cloud architecture (AWS, GCP, or Azure)
* Experience working with database\-backed REST APIs
* Ability to own problems end\-to\-end, communicate technical details effectively, and learn quickly
* Willingness to travel and work on\-site with customers as needed
**Responsibilities**
* Embed deeply with customer teams to understand their business goals, technical requirements, and domain constraints
* Architect and develop end\-to\-end solutions using an experiment\-driven, iterative approach
* Draft clear scopes of work, timelines, and success metrics for proofs\-of\-concept and production deployments
* Code collaboratively with customer engineers, deploying solutions within their cloud or on\-prem environments
* Partner closely with Sales and Customer Success teams to ensure seamless customer experiences and measurable outcomes
* Relay frontline insights to Research, Product, and Engineering teams to influence product roadmap
* Document best practices, contribute to internal libraries, and mentor future Forward\-Deployed Engineers
* Maintain a focus on delivering high\-quality, scalable solutions that meet customer needs
**Benefits**
* $300 monthly budget for commuter benefits or personal workspace setup (remote only)
* Competitive equity grant in a Series B funding stage company
* Comprehensive medical, dental, vision, and term life insurance coverage at 100% for employees and 75% for dependents
* 401(k) plan with up to 4% matching contributions
* Four weeks of paid vacation, along with holidays and winter break
* All expenses paid company off\-sites twice a year to foster team bonding and collaboration
 Equal Opportunity
 Foxglove is an equal opportunity employer. We celebrate diversity and are committed to creating an inclusive environment for all employees. We do not discriminate based on race, ethnicity, gender, sexual orientation, age, disability, or any other protected characteristic. We believe that diverse perspectives foster innovation and are essential to achieving our mission of advancing robotics and AI technologies.</t>
        </is>
      </c>
    </row>
    <row r="202">
      <c r="A202" t="inlineStr">
        <is>
          <t>li-4370098202</t>
        </is>
      </c>
      <c r="B202" t="inlineStr">
        <is>
          <t>Software Engineer</t>
        </is>
      </c>
      <c r="C202" t="inlineStr">
        <is>
          <t>Haystack</t>
        </is>
      </c>
      <c r="D202" t="inlineStr">
        <is>
          <t>linkedin</t>
        </is>
      </c>
      <c r="E202">
        <f>HYPERLINK("https://www.linkedin.com/jobs/view/4370098202", "https://www.linkedin.com/jobs/view/4370098202")</f>
        <v/>
      </c>
      <c r="F202" t="inlineStr"/>
      <c r="G202" t="inlineStr"/>
      <c r="H202" t="inlineStr"/>
      <c r="I202" t="inlineStr">
        <is>
          <t>Software Developer, Platform \| Waco, Texas, United States \| Hybrid
 We're working with L3Harris on this exciting opportunity. Join a leading defense tech company that delivers end\-to\-end technology solutions across various domains, dedicated to national security.
 The Role
 • Develop and maintain software for platform systems
 • Contribute to mission\-critical technology solutions
 • Collaborate with a team of diverse engineers
 • Support projects essential for national security objectives
 • Engage in professional growth within a values\-driven culture
 What You'll Need
 • Minimum of 3 years of relevant software development experience
 • Eligibility to obtain a DOD Secret Security Clearance
 • Must be a U.S. Citizen
 • Strong problem\-solving and technical skills
 • Not for recent or new college graduates
 What's On Offer
 • Opportunity to work on impactful defense technology
 • Collaborative and growth\-oriented work environment
 • Commitment to diversity and inclusion
 • Be part of a company with a strong focus on community and excellence
 Apply via Haystack today!</t>
        </is>
      </c>
    </row>
    <row r="203">
      <c r="A203" t="inlineStr">
        <is>
          <t>li-4365367109</t>
        </is>
      </c>
      <c r="B203" t="inlineStr">
        <is>
          <t>Sr. Software Engineer I, AVP</t>
        </is>
      </c>
      <c r="C203" t="inlineStr">
        <is>
          <t>State Street</t>
        </is>
      </c>
      <c r="D203" t="inlineStr">
        <is>
          <t>linkedin</t>
        </is>
      </c>
      <c r="E203">
        <f>HYPERLINK("https://www.linkedin.com/jobs/view/4365367109", "https://www.linkedin.com/jobs/view/4365367109")</f>
        <v/>
      </c>
      <c r="F203">
        <f>HYPERLINK("https://statestreet.wd1.myworkdayjobs.com/Global/job/Burlington-Massachusetts/Sr-Software-Engineer-I\u002d\u002dAVP_R-779729?source=APPLICANT_SOURCE-LINKEDIN&amp;urlHash=yKUg", "https://statestreet.wd1.myworkdayjobs.com/Global/job/Burlington-Massachusetts/Sr-Software-Engineer-I\u002d\u002dAVP_R-779729?source=APPLICANT_SOURCE-LINKEDIN&amp;urlHash=yKUg")</f>
        <v/>
      </c>
      <c r="G203" t="inlineStr">
        <is>
          <t>Burlington, MA</t>
        </is>
      </c>
      <c r="H203" t="inlineStr"/>
      <c r="I203"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**Responsibilities**
* Work under minimal supervision to analyze, design, develop, test, and debug small to medium software enhancements and solutions within Charles River’s business and technical problem domains including modifications to core frameworks and other primary facilities critical to system operation.
* Collaborate with Business Analysts and Product Managers to turn business requirements of moderate complexity into working and sustainable software
* Contribute as a Sr. Individual Contributor within a team of top engineers using Agile methodology.
* Participate in the design of product architecture within the team’s scope of responsibility pertaining to new development.
* Direct problem solving for projects or major phases of projects to resolve software technical issues.
* Develop, test, debug, and implement software programs, applications and projects using Java, JavaScript (React), SQL or other related software engineering languages as well as keeping abreast of emerging technologies impactful to CRDs business.
* Identify ways of improving development test methodologies contribute to and related test methodology frameworks.
* Provide thoughtful insight and suggestions in code reviews
* Write unit and automation tests to ensure a high\-quality product
* Conduct manual tests (if necessary) to ensure a high\-quality product
* Provide troubleshooting on large, mission\-critical client implementations.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Very good written and verbal communication skills
**Qualifications**
**Education:**
 B.S. degree (or foreign education equivalent) in Computer Science, Engineering, Mathematics, and Physics or other technical course of study required. MS degree strongly preferred.
**Experience**
* 4\-8 years of experience in development \- preferably in FinTech (financial markets).
* Experience with developing applications/microservices using Java \&amp; Spring Boot
* Experience in front\-end web development, ideally using React
* Experience in the development of cloud\-native services (Azure experience a bonus)
* Knowledge of SQL and experience with RBDMS.
* Able to contribute to design specs with some assistance from senior staff
* Experience with Kafka \&amp; Snowflake will be a strong asset.
* A minimum of 3 years working with an Agile development methodology strongly desired
**Salary Range**
 $90,000 \- $142,500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R\-779729</t>
        </is>
      </c>
    </row>
    <row r="204">
      <c r="A204" t="inlineStr">
        <is>
          <t>li-4370088782</t>
        </is>
      </c>
      <c r="B204" t="inlineStr">
        <is>
          <t>Lead BMS Software Engineer</t>
        </is>
      </c>
      <c r="C204" t="inlineStr">
        <is>
          <t>Microvast</t>
        </is>
      </c>
      <c r="D204" t="inlineStr">
        <is>
          <t>linkedin</t>
        </is>
      </c>
      <c r="E204">
        <f>HYPERLINK("https://www.linkedin.com/jobs/view/4370088782", "https://www.linkedin.com/jobs/view/4370088782")</f>
        <v/>
      </c>
      <c r="F204">
        <f>HYPERLINK("https://workforcenow.cloud.adp.com/mascsr/default/mdf/recruitment/recruitment.html?cid=b0e5df23-a4b7-4fd7-bda3-64af4a3a194d&amp;ccId=19000101_000001&amp;jobId=21641&amp;source=LR&amp;lang=en_US&amp;source=LI&amp;source=LI&amp;urlHash=vUHk", "https://workforcenow.cloud.adp.com/mascsr/default/mdf/recruitment/recruitment.html?cid=b0e5df23-a4b7-4fd7-bda3-64af4a3a194d&amp;ccId=19000101_000001&amp;jobId=21641&amp;source=LR&amp;lang=en_US&amp;source=LI&amp;source=LI&amp;urlHash=vUHk")</f>
        <v/>
      </c>
      <c r="G204" t="inlineStr">
        <is>
          <t>Stafford, TX</t>
        </is>
      </c>
      <c r="H204" t="inlineStr"/>
      <c r="I204" t="inlineStr">
        <is>
          <t>Are you ready to be part of a company that's not just talking about the future, but energetically shaping it? Join the Microvast Team (NASDAQ: MVST), a technology innovator that designs, develops, and manufactures lithium\-ion battery solutions.  Founded in 2006 and headquartered in Stafford, TX, Microvast is renowned for its cutting\-edge cell technology and its vertical integration capabilities, which extend from core battery chemistry (cathode, anode, electrolyte, and separator) to battery packs. By integrating the process from raw material to system assembly, Microvast has developed a family of products covering a broad breadth of market applications. More information can be found on the corporate website: www.microvast.com
 If you’re ready to be part of a company that’s not just adapting to change, but driving it, Microvast is the place for you.  Apply now and electrify your career with a true leader in the global energy transformation.  
**Job Description** 
 Microvast is seeking a Lead BMS Engineer to join our team who can bring their fresh perspectives and experiences to the team. If you are zealous about an electrified future and looking for a place that values your curiosity, passion, and desire to learn, you have come to the right place.  
**Responsibilities** 
* Provide technical, and cross\-functional support for BMS engineering activities, including process control, requirements definition, architecture design, software implementation, HIL testing, field testing, system validation, and software release management.
* Collaborate with the global BMS teams and upper management to identify and develop (BMS) architecture and requirements for high\-performance system functions, functional safety, cyber security, and creative solutions.
* Manage BMS development plans, milestones, budgets, and schedules in accordance with technology roadmaps.
* Build and maintain technical competencies in the BMS software, hardware, and validation teams. Provide technical guidance, mentorship, and leadership.
* Ensure successful BMS integration with battery packs and external interfaces such as vehicle control units, dataloggers, etc.
* Develop and maintain best practices and industry standards for Model\-based function development with MATLAB/ Simulink in close consultation with an interdisciplinary and international team.
* Govern design, implementation, and test activities for innovative control algorithms and Real\-time battery SOX estimation methods, including the state of charge (SOC), state of energy (SOE), and state of health (SOH).
* Manage the development of statistic based on big data and machine learning models for predicting and forecasting field failure, cell chemistry variations, battery health degradation, and how various driving behaviors affect battery performance for safety and drivability.
* Focus and govern collaborative engineering culture to enable our teams to provide feedback and different perspectives. Comprehend and develop our team members' goals and needs.
* Provide technical support to the different teams within the organization
* Support for the commissioning of products internally or at the customer's (on\-site or remotely)
* Other duties may be assigned
**Qualifications** 
* Bachelor's or Master’s degree in computer science, electrical or other relevant engineering field or a comparable qualification
* 5\+ years' experience in large, high\-voltage battery pack development, from concept to market.
* Over 3 years’ experience of leading/management of engineering teams.
* Experience with battery management system (BMS) development and verification for high voltage battery packs.
* Knowledge and experience of BM development according to functional safety ISO 26262 and cybersecurity ISO 21434
* Strong knowledge of embedded control software development process and documentation for safety\-critical functions.
* Experience using MATLAB/Simulink for model\-based control development and electrical circuit/control simulation.
* Excellent knowledge and experience of CAN communication protocols (SAE J1939, CAN 2\.0B etc.)
* Knowledge of requirements management and development process (IATF16949, APQP or V model, etc.)
* Very good comprehension and analytical thinking skills
* Careful and conscientious, structured and organized way of working
* Team and communication skills
* Proficient in English speaking, reading, and writing.
**Expected Compensation** 
 Annual salary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Applicants for employment at Microvast must be a U.S. citizen or national, U.S. permanent resident (i.e. current Green Card holder), or lawfully admitted into the U.S. as a refugee or granted asylum.
 Microvast is an Equal Opportunity employer. All qualified applicants will receive consideration for employment without regard to any factor, including veteran status and disability status, protected by applicable federal, state or local laws.
 Microvast is also committed to working with and providing reasonable accommodations to individuals with disabilities. Please let your recruiter know if you need an accommodation at any point during the interview process.
 Privacy is a top priority for Microvast. We build it into our products and view it as an essential part of our business. To understand more about the data we collect and process as part of your application, please view our Privacy Policy \- Microvast.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row>
    <row r="205">
      <c r="A205" t="inlineStr">
        <is>
          <t>li-4370086884</t>
        </is>
      </c>
      <c r="B205" t="inlineStr">
        <is>
          <t>Software Engineer</t>
        </is>
      </c>
      <c r="C205" t="inlineStr">
        <is>
          <t>Haystack</t>
        </is>
      </c>
      <c r="D205" t="inlineStr">
        <is>
          <t>linkedin</t>
        </is>
      </c>
      <c r="E205">
        <f>HYPERLINK("https://www.linkedin.com/jobs/view/4370086884", "https://www.linkedin.com/jobs/view/4370086884")</f>
        <v/>
      </c>
      <c r="F205" t="inlineStr"/>
      <c r="G205" t="inlineStr"/>
      <c r="H205" t="inlineStr"/>
      <c r="I205" t="inlineStr">
        <is>
          <t>**Vice President, Front\-End Engineer \| Pittsburgh, PA \| Hybrid** 
 We're working with BNY on this exciting opportunity. Join a leading global financial services company at the heart of the global financial system, where your expertise in front\-end development will drive transformative solutions using cutting\-edge AI and breakthrough technologies like React and Angular.
**The Role** 
 • Lead the development of robust front\-end applications with HTML, CSS, JavaScript, and modern frameworks such as React or Angular.
 • Collaborate with cross\-functional teams, including UX/UI designers and back\-end developers, to deliver cohesive and innovative digital solutions.
 • Ensure code quality and maintainability through best practices, including code reviews, testing, and documentation.
 • Drive continuous improvement initiatives within the Front\-End Development team by staying abreast of industry trends and emerging technologies.
 • Mentor and guide junior developers, fostering a culture of knowledge sharing and professional growth.
**What You'll Need** 
 • Bachelor’s degree in Computer Science, Engineering, or a related field.
 • Proficiency in front\-end programming languages and frameworks (e.g., HTML, CSS, JavaScript, React, Angular).
 • Typically 5\-9 years of experience in front\-end development.
 • Strong problem\-solving and analytical skills.
 • Excellent communication and collaboration abilities with UX/UI designers and back\-end teams.
**What's On Offer** 
 • Highly competitive compensation and benefits.
 • A culture that fosters employee growth and success with access to flexible global resources.
 • Generous paid leaves, including paid volunteer time.
 • Opportunity to work for a company recognized as America’s Most Innovative and World’s Most Admired.
**Apply via Haystack today!**</t>
        </is>
      </c>
    </row>
    <row r="206">
      <c r="A206" t="inlineStr">
        <is>
          <t>li-4370095222</t>
        </is>
      </c>
      <c r="B206" t="inlineStr">
        <is>
          <t>Senior Software Engineer- Reliability, Global E-Commerce</t>
        </is>
      </c>
      <c r="C206" t="inlineStr">
        <is>
          <t>TikTok</t>
        </is>
      </c>
      <c r="D206" t="inlineStr">
        <is>
          <t>linkedin</t>
        </is>
      </c>
      <c r="E206">
        <f>HYPERLINK("https://www.linkedin.com/jobs/view/4370095222", "https://www.linkedin.com/jobs/view/4370095222")</f>
        <v/>
      </c>
      <c r="F206" t="inlineStr"/>
      <c r="G206" t="inlineStr">
        <is>
          <t>San Jose, CA</t>
        </is>
      </c>
      <c r="H206" t="inlineStr"/>
      <c r="I206" t="inlineStr">
        <is>
          <t>**Responsibilities**
 Global e\-commerce is a content e\-commerce business with international short video products as the carrier. It is committed to becoming the first choice for users to discover and purchase good products at affordable prices. The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Responsibilities:
 1\. Be part of global SRE oncall rotation and be responsible for Tier\-1 online incident response and devops support
 2\. Be responsible for service levels of mission critical, revenue\-generating E\-commerce platform as well as all supporting infrastructure and services. This role will focus on service reliability, highly\-scalable design, and release management in a cloud\-native environment
 3\. Define service level indicators and data\-driven objectives, and develop devops / SRE standards, processes and methodologies, to uphold and improve uptime, latency, and system health of a core global e\-commerce production platform
 4\. Collaborate cross\-team with engineering and product to ensure that key stability and maintainability requirements, such as capacity planning and launch reviews, are performed to enable transparent service delivery to customers
 5\. Design strategies for risk detection and mitigation, disaster recovery \&amp; simulation, release management, cost optimisation, engineering quality etc
 6\. Automation geared towards infrastructure\-as\-code, scalability and service resiliency
 7\. Implement best practices around incident management, post\-mortems while being part of on\-call rotations
**Qualifications**
 Minimum Qualifications:
 1\. Bachelor's or higher degree in Computer Science, similar technical field of study, or equivalent practical experience
 2\. 5 years experience developing, provisioning or maintaining production\-grade large scaled distributed systems
 3\. High level of proficiency in Linux OS internals, networking, microservices, databases, caches etc in cloud\-native environments
 4\. Demonstrable familiarity with programming or scripting languages (Go/Python/Bash/C\+\+ etc)
 5\. Demonstrable experience in the development and implementation of devops and SRE methodologies
 Preferred Qualifications:
 1\. Experience in designing, analyzing, and troubleshooting large\-scale distributed systems
 2\. Systematic problem\-solving approach, coupled with effective communication skills and a sense of drive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07">
      <c r="A207" t="inlineStr">
        <is>
          <t>li-4370206046</t>
        </is>
      </c>
      <c r="B207" t="inlineStr">
        <is>
          <t>Java Software Engineer III</t>
        </is>
      </c>
      <c r="C207" t="inlineStr">
        <is>
          <t>hackajob</t>
        </is>
      </c>
      <c r="D207" t="inlineStr">
        <is>
          <t>linkedin</t>
        </is>
      </c>
      <c r="E207">
        <f>HYPERLINK("https://www.linkedin.com/jobs/view/4370206046", "https://www.linkedin.com/jobs/view/4370206046")</f>
        <v/>
      </c>
      <c r="F207">
        <f>HYPERLINK("https://www.hackajob.com/job/802c6317-0425-11f1-b544-0a05e249917d-java-software-engineer-iii?utm_source=LinkedIn&amp;utm_medium=JobAds&amp;utm_term=Automated&amp;utm_campaign=jp-morgan-java-software-engineer-iii&amp;job_name=java-software-engineer-iii&amp;company=jp-morgan&amp;workplace_type=on-site&amp;city=atlanta&amp;country=united-states&amp;urlHash=-FpS", "https://www.hackajob.com/job/802c6317-0425-11f1-b544-0a05e249917d-java-software-engineer-iii?utm_source=LinkedIn&amp;utm_medium=JobAds&amp;utm_term=Automated&amp;utm_campaign=jp-morgan-java-software-engineer-iii&amp;job_name=java-software-engineer-iii&amp;company=jp-morgan&amp;workplace_type=on-site&amp;city=atlanta&amp;country=united-states&amp;urlHash=-FpS")</f>
        <v/>
      </c>
      <c r="G207" t="inlineStr">
        <is>
          <t>Atlanta, GA</t>
        </is>
      </c>
      <c r="H207" t="inlineStr"/>
      <c r="I207"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JPMorganChase within the Chase Debit Technology group,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This group is focused on developing and delivering cutting edged applications, digital experiences and next generation banking technology solutions to better serve our clients and customers.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Java software engineering concepts and 3\+ years applied experience
* Experience working with Java, Spring, and REST services
* Hands\-on practical experience in system design, application development, testing, and operational stability
* Proficient in coding in one or more languages
* Experience with various source control tools like GIT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 Hands\-on experience on Kafka or any streaming technology
* Hands\-on experience in Splunk, Dynatrace tools
* Exposure to AI Driven development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08">
      <c r="A208" t="inlineStr">
        <is>
          <t>li-4370097444</t>
        </is>
      </c>
      <c r="B208" t="inlineStr">
        <is>
          <t>Senior Software Engineer, Fullstack</t>
        </is>
      </c>
      <c r="C208" t="inlineStr">
        <is>
          <t>Recruiting from Scratch</t>
        </is>
      </c>
      <c r="D208" t="inlineStr">
        <is>
          <t>linkedin</t>
        </is>
      </c>
      <c r="E208">
        <f>HYPERLINK("https://www.linkedin.com/jobs/view/4370097444", "https://www.linkedin.com/jobs/view/4370097444")</f>
        <v/>
      </c>
      <c r="F208" t="inlineStr"/>
      <c r="G208" t="inlineStr"/>
      <c r="H208" t="inlineStr"/>
      <c r="I208"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**Senior Software Engineer, Fullstack**
**Location:** 
 Remote \- US or Canada (except Quebec)
**Company Stage of Funding:** 
 Series C ($120M\+ raised, $1B\+ valuation)
**Office Type:** 
 Remote (optional HQ office in San Francisco)
**Salary:** 
 $190,000 \- $240,000 \+ equity
**Company Description**
 Our client is an early\-stage, venture\-backed technology company on a mission to empower independent business owners and entrepreneurs with tools that help them thrive in the digital age. Their platform is used by thousands of small businesses to manage online ordering, marketing, websites, and customer engagement — enabling owners to grow revenue, retain customers, and operate more efficiently.
 With tens of millions in annual revenue, millions of customers served, and rapid year\-over\-year growth, this is an opportunity to join a fast\-scaling team with the ambition to build the next $100B\+ company. The company has recently raised a
 **Series C at a $1B\+ valuation** 
 and is scaling their engineering team significantly.
**What You Will Do**
* Build new products and features from 0 → 1, working closely with product, design, and business stakeholders.
* Take full ownership of projects from conception through shipping, ensuring high\-quality, modular, and maintainable code.
* Deliver value across the full stack while setting a high bar for technical design, testing, and scalability.
* Contribute to product direction by engaging with customers and collaborating in roadmap planning sessions.
* Mentor junior engineers, helping raise the technical caliber of the team.
* Contribute to team culture by interviewing, referring top talent, and shaping engineering best practices.
**Ideal Candidate Background**
* 5\+ years of professional experience building applications.
* Strong expertise in TypeScript and experience with modern frontend frameworks (React, Next.js, Vue).
* Backend experience with Node.js, MongoDB, and AWS.
* Proven success at a reputable tech company, startup, or scale\-up.
* Strong cross\-functional collaboration skills with product and design teams.
* A builder mindset: thrives in early\-stage environments, takes initiative, and demonstrates ownership.
* Customer empathy and passion for creating impactful technology.
**Preferred**
* Experience as a founder or founding engineer.
* Top academic background (though not required).
* Track record of building scalable systems in high\-growth environments.
**Compensation and Benefits**
* Base Salary: $190,000 \- $240,000
* Equity: Generous pre\-IPO equity package
* Visa Sponsorship: Available for exceptional candidates (simple H1B transfers considered)
* 100% Remote work across the US or Canada (except Quebec)
* Optional access to a new San Francisco HQ for collaboration
* Mission\-driven team culture with high autonomy and ownership
* Opportunity for both purpose\-driven work and significant financial upside</t>
        </is>
      </c>
    </row>
    <row r="209">
      <c r="A209" t="inlineStr">
        <is>
          <t>li-4370203195</t>
        </is>
      </c>
      <c r="B209" t="inlineStr">
        <is>
          <t>Lead Software Engineer - AI</t>
        </is>
      </c>
      <c r="C209" t="inlineStr">
        <is>
          <t>hackajob</t>
        </is>
      </c>
      <c r="D209" t="inlineStr">
        <is>
          <t>linkedin</t>
        </is>
      </c>
      <c r="E209">
        <f>HYPERLINK("https://www.linkedin.com/jobs/view/4370203195", "https://www.linkedin.com/jobs/view/4370203195")</f>
        <v/>
      </c>
      <c r="F209">
        <f>HYPERLINK("https://www.hackajob.com/job/4713fe49-0425-11f1-b544-0a05e249917d-lead-software-engineer-ai?utm_source=LinkedIn&amp;utm_medium=JobAds&amp;utm_term=Automated&amp;utm_campaign=jp-morgan-lead-software-engineer-ai&amp;job_name=lead-software-engineer-ai&amp;company=jp-morgan&amp;workplace_type=on-site&amp;city=jersey-city&amp;country=united-states&amp;urlHash=IiY-", "https://www.hackajob.com/job/4713fe49-0425-11f1-b544-0a05e249917d-lead-software-engineer-ai?utm_source=LinkedIn&amp;utm_medium=JobAds&amp;utm_term=Automated&amp;utm_campaign=jp-morgan-lead-software-engineer-ai&amp;job_name=lead-software-engineer-ai&amp;company=jp-morgan&amp;workplace_type=on-site&amp;city=jersey-city&amp;country=united-states&amp;urlHash=IiY-")</f>
        <v/>
      </c>
      <c r="G209" t="inlineStr">
        <is>
          <t>Jersey City, NJ</t>
        </is>
      </c>
      <c r="H209" t="inlineStr"/>
      <c r="I209"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 Chase within Corporate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**Required Qualifications, Capabilities, And Skills**
* Formal training or certification on software engineering concepts and 5\+ years applied experience.
* Experience in software development, with a focus on automation and AI.
* Hands\-on experience with Agentic AI frameworks, LLMs, or intelligent agents.
* Experience using AI to automatically upgrade software.
* Proven track record of automating software upgrades, deployments, or migrations.
* Proficiency in one or more programming languages (e.g., Java, Python, Kotlin).
* Experience integrating automation with CI/CD tools (e.g., Jenkins, GitHub Actions, Azure DevOps).
* Strong problem\-solving skills and attention to detail.
* Excellent verbal and written communication skills.
**Preferred Qualifications, Capabilities, And Skills**
* Experience with OpenRewrite or similar code transformation tools.
* Familiarity with cloud platforms (AWS, Azure, GCP) and infrastructure as code (Terraform, Ansible).
* Knowledge of software security, compliance, and quality assurance practices.
* Experience working in regulated industries (e.g., finance, healthcare).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10">
      <c r="A210" t="inlineStr">
        <is>
          <t>li-4368922041</t>
        </is>
      </c>
      <c r="B210" t="inlineStr">
        <is>
          <t>Software Developer/Generative AI Developer</t>
        </is>
      </c>
      <c r="C210" t="inlineStr">
        <is>
          <t>Jobs via Dice</t>
        </is>
      </c>
      <c r="D210" t="inlineStr">
        <is>
          <t>linkedin</t>
        </is>
      </c>
      <c r="E210">
        <f>HYPERLINK("https://www.linkedin.com/jobs/view/4368922041", "https://www.linkedin.com/jobs/view/4368922041")</f>
        <v/>
      </c>
      <c r="F210" t="inlineStr"/>
      <c r="G210" t="inlineStr">
        <is>
          <t>Brooklyn, NY</t>
        </is>
      </c>
      <c r="H210" t="inlineStr"/>
      <c r="I210" t="inlineStr">
        <is>
          <t>Trigyn's direct government client has an immediate long\-term need for Software Developer/Generative AI Developer in Brooklyn, NY.
 Roles and Responsibilities:
* Design and develop web applications, APIs, microservices using C\#, .NET Core, REST, and modern UI frameworks.
* Fine\-tuning and deploying Large Language Models (LLM) such as Claude, ChatGPT, or similar models using Amazon Web Services (AWS) Bedrock and Python frameworks
* Optimizing, designing and/or deploying Retrieval Augmented Generation (RAG) vector databases.
* Optimize database performance, manage stored procedures, and ensure data quality across Oracle and cloud data platforms.
* Deploy and monitor applications and models using CI/CD pipelines, Docker, Kubernetes, GitHub Actions, Azure DevOps, Jenkins, etc. and MLOps/LLMOps practices.
* Ensure platform security, compliance, logging, observability, and performance tuning across environments.
* Participate in requirements review, sprint planning, code reviews, release management, and documentation.
* Support production releases, perform troubleshooting, and deliver timely resolution to technical issues.
 Required Skills:
* Minimum 10 years of experience in Programming: .NET Core, C\#, Python
* Minimum 5 years of experience in AI/ML/NLP: LangChain, LangGraph, LlamaIndex, NLP models, RAG vector databases, model deployment
* Minimum 7 years of experience with Database: Oracle SQL/PL\-SQL, ER design, query optimization.
* Minimum 7 years of experience in Microservices \&amp; Web: REST APIs, MVC, Web API, JSON, OAuth, SSO, microservices architecture.
* Minimum 7 years of experience in Cloud \&amp; DevOps: Azure, AWS or Google Cloud Platform, Docker, CI/CD, API gateways, including AI\-specific services like AWS Bedrock and SageMaker AI
* Minimum 10 years of experience with strong debugging, performance tuning \&amp; secure coding practices.
* Minimum 10 years of experience with demonstrated experience delivering mid\-to\-large scale enterprise applications and integrations.
 For Immediate Response call , or send your resume to
 TRIGYN TECHNOLOGIES, INC. is an EQUAL OPPORTUNITY EMPLOYER and has been in business for 35 years. TRIGYN is an ISO 9001:2015, ISO 27001:2013 (ISMS),ISO 20000:2018 and CMMI Level 5 certified company.</t>
        </is>
      </c>
    </row>
    <row r="211">
      <c r="A211" t="inlineStr">
        <is>
          <t>li-4368777046</t>
        </is>
      </c>
      <c r="B211" t="inlineStr">
        <is>
          <t>Embedded Software Engineer</t>
        </is>
      </c>
      <c r="C211" t="inlineStr">
        <is>
          <t>Jobs via Dice</t>
        </is>
      </c>
      <c r="D211" t="inlineStr">
        <is>
          <t>linkedin</t>
        </is>
      </c>
      <c r="E211">
        <f>HYPERLINK("https://www.linkedin.com/jobs/view/4368777046", "https://www.linkedin.com/jobs/view/4368777046")</f>
        <v/>
      </c>
      <c r="F211" t="inlineStr"/>
      <c r="G211" t="inlineStr">
        <is>
          <t>El Segundo, CA</t>
        </is>
      </c>
      <c r="H211" t="inlineStr"/>
      <c r="I211" t="inlineStr">
        <is>
          <t>**Exciting Firm! Aerospace Start Up**
 This Jobot Consulting Job is hosted by: Lincoln Sprague
 Are you a fit? Easy Apply now by clicking the "Apply Now" button and sending us your resume.
 Salary: $100,000 \- $150,000 per year
**A bit about us:**
 We are a growing company of dedicated professionals committed to ushering in a new era of flight where fatalities approach zero, piloting any aircraft becomes simple and safe, and the sky becomes accessible to all. By combining technology and human ingenuity, we want to usher in the next great era of transportation, allowing anyone, to fly anywhere, in any aircraft, safely and as a highly experienced pilot would.
**Why join us?**
* Meaningful impact
* Cutting Edge Technology
* Collaborative Environment
* Professional Growth
* Daily Lunch
**Job Details**
 We are seeking a dynamic and talented Consulting Embedded Software Engineer to join our team in the Tech Services industry. The successful candidate will play a crucial role in the development and design of embedded software systems. This position is an excellent opportunity for a seasoned professional looking to make a significant impact within a forward\-thinking technology company. The role will require a deep understanding of embedded software design, development and debugging, and a firm grasp of Matlab and Simulink. This position requires a minimum of 5 years of experience in a similar role.
**Responsibilities**
 As a Consulting Embedded Software Engineer, you will be expected to:
* Design, develop, code, test, and debug system software for embedded systems.
* Review code and design analyses.
* Integrate and validate new product designs.
* Support software QA and optimize I/O performance.
* Provide post\-production support when necessary.
* Develop software verification plans and quality assurance procedures.
* Tailor and deploy software tools, processes, and metrics.
* Serve as a subject matter expert and mentor junior developers.
* Collaborate with stakeholders to define system requirements and necessary modifications.
* Maintain documentation of process flow and design changes.
* Work on complex issues where analysis of situations or data requires an in\-depth evaluation of variable factors.
**Qualifications**
 The ideal candidate will possess the following qualifications:
* Bachelor's or Master's degree in Computer Science, Electrical Engineering, or a related field.
* A minimum of 5 years of experience in embedded software engineering.
* Proven experience in embedded systems design with preemptive, multitasking real\-time operating systems.
* Familiarity with software configuration management tools, defect tracking tools, and peer review techniques.
* Experience in hands\-on development and troubleshooting on embedded targets.
* Solid programming experience in C or C\+\+.
* Proven experience in embedded software design, development, and debugging.
* Proficient with Matlab and Simulink.
* Strong documentation and writing skills.
* Excellent knowledge of OS coding techniques, IP protocols, interfaces, and hardware subsystems.
* Adequate knowledge of reading schematics and data sheets for components.
* Strong analytical and problem\-solving skills.
 In conclusion, if you are a passionate Embedded Software Engineer with excellent technical and problem\-solving skills, and you are looking for a challenging role within an innovative environment, then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12">
      <c r="A212" t="inlineStr">
        <is>
          <t>li-4370087875</t>
        </is>
      </c>
      <c r="B212" t="inlineStr">
        <is>
          <t>Lead Software Engineer - Identity Access Manager</t>
        </is>
      </c>
      <c r="C212" t="inlineStr">
        <is>
          <t>hackajob</t>
        </is>
      </c>
      <c r="D212" t="inlineStr">
        <is>
          <t>linkedin</t>
        </is>
      </c>
      <c r="E212">
        <f>HYPERLINK("https://www.linkedin.com/jobs/view/4370087875", "https://www.linkedin.com/jobs/view/4370087875")</f>
        <v/>
      </c>
      <c r="F212" t="inlineStr"/>
      <c r="G212" t="inlineStr">
        <is>
          <t>Houston, TX</t>
        </is>
      </c>
      <c r="H212" t="inlineStr"/>
      <c r="I212"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JPMorganChase within the \[insert LOB or sub LOB],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Architect and implement robust authentication systems: Design, develop, and maintain secure authentication and authorization solutions, leveraging industry\-standard protocols (OIDC, OAuth, SAML, etc.) to protect sensitive data and ensure compliance with security best practices.
* Champion security\-first development: Consistently deliver high\-quality, production\-ready code with a strong emphasis on security, code reviews, and vulnerability mitigation. Proactively identify and remediate security risks in backend systems.
* Lead technical troubleshooting and innovation: Tackle complex technical challenges with creative, non\-conventional approaches. Break down intricate problems and deliver scalable, maintainable solutions that align with business and client needs.
* Drive operational excellence: Identify and automate remediation of recurring issues to enhance the stability, reliability, and performance of authentication and backend services.
* Evaluate and integrate new technologies: Lead technical evaluation sessions with vendors, startups, and internal teams to assess architectural fit, security posture, and integration potential for authentication and backend solutions.
* Mentor and develop talent: Guide junior engineers and peers, fostering a culture of continuous learning, extreme ownership, and mutual respect. Encourage personal growth and technical excellence within the team.
* Promote best practices and community engagement: Lead communities of practice focused on authentication, security, and backend engineering. Drive adoption of new technologies and share knowledge across teams.
* Model firmwide values: Contribute to a culture of diversity, inclusion, opportunity, and respect. Maintain a strong focus on delivering value for the firm, clients, and stakeholders, while expanding your professional network and external outreach.
**Required Qualifications, Capabilities, And Skills**
* 5\+ years of hands\-on backend development experience, with a proven track record in designing and building secure authentication systems.
* Expertise in authentication protocols: Deep knowledge of OIDC, OAuth, SAML, and related standards, with practical experience implementing and integrating these protocols in production environments.
* Advanced programming skills: Proficiency in Java (preferred), with additional experience in Shell and Groovy scripting.
* Security mindset: Demonstrated ability to deliver secure, resilient, and scalable backend solutions. Strong understanding of secure coding practices and threat modeling.
* Cloud\-native development: Practical experience with AWS and containerization technologies (Kubernetes, Docker), and resilient RDBMS solutions (CockroachDB or similar).
* DevOps and automation: Proficiency in CI/CD pipelines, automation tools, and git source control management.
* Full SDLC ownership: Deep understanding of the software development lifecycle, agile methodologies, and operational stability.
* Industry knowledge: Familiarity with financial services IT systems and regulatory requirements is a plus.
**Preferred qualifications, capabilities, and skills**
* Experience leading technical teams or communities of practice.
* Strong communication and mentoring skills, with a passion for developing others.
* Active participation in external security or authentication communities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213">
      <c r="A213" t="inlineStr">
        <is>
          <t>li-4340663827</t>
        </is>
      </c>
      <c r="B213" t="inlineStr">
        <is>
          <t>Staff Software Engineer</t>
        </is>
      </c>
      <c r="C213" t="inlineStr">
        <is>
          <t>Alarm.com</t>
        </is>
      </c>
      <c r="D213" t="inlineStr">
        <is>
          <t>linkedin</t>
        </is>
      </c>
      <c r="E213">
        <f>HYPERLINK("https://www.linkedin.com/jobs/view/4340663827", "https://www.linkedin.com/jobs/view/4340663827")</f>
        <v/>
      </c>
      <c r="F213" t="inlineStr"/>
      <c r="G213" t="inlineStr">
        <is>
          <t>Greenville, SC</t>
        </is>
      </c>
      <c r="H213" t="inlineStr"/>
      <c r="I213" t="inlineStr">
        <is>
          <t>Do you love tinkering with devices? Have you automated your own home? Do you love to mentor and collaborate with other engineers?
 If the above holds true for you, then we would love to talk to you! Alarm.com is looking for a versatile
 **Staff Software Engineer** 
 to join our team. We’re doing work in smart home technology, video analytics, large scale data processing, and much more. You’ll have the opportunity to work across a variety of technology domains and own projects from design to deployment.
 We have a growing engineering department, and we’re looking for people that are excited to mentor and collaborate with more junior engineers. You will own projects and potentially teams, and you must be able to communicate effectively and blend multiple business needs in your work.
 Very few small companies innovate and develop across such a broad range of technologies as Alarm.com. This position is ideal for the candidate who seeks a friendly company culture where one can work closely with smart and highly productive people. Getting to work with cutting edge software and hardware to develop outstanding consumer products is the icing on the cake.
**WHAT’S IN IT FOR YOU?**
* Collaborate with outstanding people: We hire only the best. Our standards are high and our employees enjoy working alongside other high achievers. You will be able to learn something new and impart your knowledge across the team.
* Make an immediate impact: You can expect to be given real responsibility for bringing new technologies to the marketplace. You will be empowered to perform as soon as you join the team!
* Work with real stuff: You will write code that interacts with the physical world. You’ll be able to see your work in action with the numerous IoT devices we work with every day.
* Gain well rounded experience: Alarm.com offers a diverse and dynamic environment where you will get the chance to work directly with executives and develop expertise across multiple areas of the business.
* Be Empowered: We don’t want to micro\-manage you. We barely want to tell you what to do. We want you to own stuff and bring your experience to make those products best in class.
* Work with the latest technologies: You’ll gain exposure to a broad spectrum of IoT and SaaS technology. Our tech stack includes C\#, .NET, SQL Server, Kafka, Ember.js, as well as native iOS and Android applications.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**WHAT CAN YOU DO FOR ALARM.COM?**
* Be a mentor to our growing engineering department.
* Develop full stack software for a wide variety of platforms and technologies.
* Engage in the research, evaluation, and application of new technologies and methodologies to solve challenging problems.
* Take part in the entire project life cycle, from requirements development to deployment.
* Work hard and be flexible: we have quick development cycles, evolving requirements, and lots of cross\-team collaboration.
* Exercise good judgment. Know when to work quickly, and when to build a robust solution. Your work will be used by multiple business units, so you will need to consider many use cases when developing.
* Bring your ideas! We want our engineers to collaborate on product development, not blindly build to a spec.
* Other duties as assigned.
**WHAT DO YOU NEED?**
* Bachelor’s in Computer Science, Computer Engineering, a related field or equivalent work experience
* 8\+ years of professional software development experience
* Experience leading and/or mentoring other engineers
* Expert object\-oriented programming skills; C\# and .NET a plus
* Significant database design and development experience
* Knowledge of networking concepts, principles, and technologies
* Experience working with hardware and device development a major plus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t>
        </is>
      </c>
    </row>
    <row r="214">
      <c r="A214" t="inlineStr">
        <is>
          <t>li-4368760750</t>
        </is>
      </c>
      <c r="B214" t="inlineStr">
        <is>
          <t>Software Engineer</t>
        </is>
      </c>
      <c r="C214" t="inlineStr">
        <is>
          <t>Jobs via Dice</t>
        </is>
      </c>
      <c r="D214" t="inlineStr">
        <is>
          <t>linkedin</t>
        </is>
      </c>
      <c r="E214">
        <f>HYPERLINK("https://www.linkedin.com/jobs/view/4368760750", "https://www.linkedin.com/jobs/view/4368760750")</f>
        <v/>
      </c>
      <c r="F214" t="inlineStr"/>
      <c r="G214" t="inlineStr">
        <is>
          <t>Point Reyes Station, CA</t>
        </is>
      </c>
      <c r="H214" t="inlineStr"/>
      <c r="I214" t="inlineStr">
        <is>
          <t>Job ID: 2601039
**Location:** 
 POINT MUGU NAWC, CA, US
**Date Posted:** 
 2026\-02\-03
**Category:** 
 Software
**Subcategory:** 
 SW Engineer
**Schedule:** 
 Full\-time
**Shift:** 
 Day Job
**Travel:** 
 Yes, 25 % of the Time
**Minimum Clearance Required:** 
 Secret
**Clearance Level Must Be Able to Obtain:** 
 None
**Potential for Remote Work:** 
 No
**Description**
**SAIC** 
 is looking for a
 **Software Engineer** 
 to support the Next Generation Jammer (NGJ) program at Point Mugu, California including support equipment and simulators.
**Job Duties:**
* Designs, develops, documents, tests and debugs application software.
* Conducts analysis and collaborates with subject matter experts in the planning, design, development, and utilization ofelectronic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outputrequirements, input data acquisition, programming techniques and controls; prepares operating instructions; designs anddevelops autonomous services, desktop applications, web applications, scripts, and utility programs.
* Ensures software standards are met.
**Qualifications**
**Qualifications** 
 :
* Bachelor's and two (2\) years or more experience; years of experience may be substituted in lieu of a degree.
* Experience with Wind River VxWorks, Green Hills Integrity.
* Must have C\# and C\+\+ experience.
* Must have SQL database development experience.
* Must have the ability to understand and work with code developed by other developers.
* Must have the ability to work independently.
* Must have an active Secret security clearance.
**Preferred skills** 
 :
* Prefer EW, embedded systems and VxWorks experience but not mandatory.
 Target salary range: $80,001 \- $120,000\.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215">
      <c r="A215" t="inlineStr">
        <is>
          <t>li-4368759744</t>
        </is>
      </c>
      <c r="B215" t="inlineStr">
        <is>
          <t>Software Engineer</t>
        </is>
      </c>
      <c r="C215" t="inlineStr">
        <is>
          <t>Jobs via Dice</t>
        </is>
      </c>
      <c r="D215" t="inlineStr">
        <is>
          <t>linkedin</t>
        </is>
      </c>
      <c r="E215">
        <f>HYPERLINK("https://www.linkedin.com/jobs/view/4368759744", "https://www.linkedin.com/jobs/view/4368759744")</f>
        <v/>
      </c>
      <c r="F215" t="inlineStr"/>
      <c r="G215" t="inlineStr">
        <is>
          <t>Philadelphia, PA</t>
        </is>
      </c>
      <c r="H215" t="inlineStr"/>
      <c r="I215" t="inlineStr">
        <is>
          <t>**greenfield development / full stack / hybrid in conshohocken**
 This Jobot Job is hosted by: Katrina McFillin
 Are you a fit? Easy Apply now by clicking the "Apply Now" button and sending us your resume.
 Salary: $120,000 \- $145,000 per year
**A bit about us:**
 We are a global leader in industrial process fluids that manufactures specialized chemical products and provides chemical management services for steel, aluminum, automotive, aerospace, mining, and other heavy industrial manufacturing processes
**Why join us?**
 401(k) \+ 4% company match
 20 days PTO \+ floating holidays
 Health, dental, vision, and life insurance
 FSA
 flexible, hybrid work environment (3 days a week in office)
 gym and cafeteria on\-site
**Job Details**
 You will be joining the fluid intelligence team working on a greenfield, cloud native product to replace their 6th\-generation legacy product.
 You are a full\-stack engineer with experience building end\-to\-end, client\-facing cloud\-native applications.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16">
      <c r="A216" t="inlineStr">
        <is>
          <t>li-4369015287</t>
        </is>
      </c>
      <c r="B216" t="inlineStr">
        <is>
          <t>Staff Software Engineer, Core Platform - Moveworks</t>
        </is>
      </c>
      <c r="C216" t="inlineStr">
        <is>
          <t>ServiceNow</t>
        </is>
      </c>
      <c r="D216" t="inlineStr">
        <is>
          <t>linkedin</t>
        </is>
      </c>
      <c r="E216">
        <f>HYPERLINK("https://www.linkedin.com/jobs/view/4369015287", "https://www.linkedin.com/jobs/view/4369015287")</f>
        <v/>
      </c>
      <c r="F216" t="inlineStr"/>
      <c r="G216" t="inlineStr">
        <is>
          <t>Mountain View, CA</t>
        </is>
      </c>
      <c r="H216" t="inlineStr"/>
      <c r="I216" t="inlineStr">
        <is>
          <t>**Company Description**
 Moveworks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As a senior member of the core platform team, you will play a key role in shaping the evolution of moveworks conversational AI platform. You will have the opportunity to \- build enterprise products that solve real world problems by leveraging our machine learning platform, build the foundational frameworks and services which abstract away the product needs and provide scalable and reliable building blocks, build the enterprise data platform for various product needs. You'll be partnering with product management, user experience, customer success, machine learning and other engineering teams to identify, define and build elegant solutions.
* Design and build highly reliable, performant and secure platform building blocks
* Influence the platform team roadmap and own the evolution of multiple platform areas
* Partner within and across engineering teams to provide cross cutting solutions
* Consistently deliver deadline sensitive work that is interdependent with other engineering teams
* Challenge the status quo and be responsible for continuous improvement of the platform
* Regularly participate in peer code and engineering design reviews
**Qualifications**
* 7\+ years of experience designing, building, shipping, and maintaining products or platforms
* B.S./M.S. in Computer Science or an equivalent field
* Experience building and integrating with API\-based platforms and have a good understanding of REST and other RPC based systems
* Experience building and maintaining microservices in Python/Golang/Java/C\+\+
* Desire to work at a startup pace with a high degree of ownership
* Demonstrated ability to communicate complex engineering concepts concisely and clearly to product and other cross\-functional stakeholders
* Strong motivation, gumption, and an appetite for continuous, incremental changes and completing challenging projects fast
* High level of curiosity about engineering outside of your immediate discipline and an incessant desire to learn
* Willingness to learn and an openness to giving and receiving feedback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17">
      <c r="A217" t="inlineStr">
        <is>
          <t>li-4299770537</t>
        </is>
      </c>
      <c r="B217" t="inlineStr">
        <is>
          <t>Back End Staff Software Engineer (Bangkok based, Relocation provided)</t>
        </is>
      </c>
      <c r="C217" t="inlineStr">
        <is>
          <t>Agoda</t>
        </is>
      </c>
      <c r="D217" t="inlineStr">
        <is>
          <t>linkedin</t>
        </is>
      </c>
      <c r="E217">
        <f>HYPERLINK("https://www.linkedin.com/jobs/view/4299770537", "https://www.linkedin.com/jobs/view/4299770537")</f>
        <v/>
      </c>
      <c r="F217" t="inlineStr"/>
      <c r="G217" t="inlineStr">
        <is>
          <t>New York, NY</t>
        </is>
      </c>
      <c r="H217" t="inlineStr"/>
      <c r="I21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Back\-End Engineering department, we build scalable, fault\-tolerant systems and APIs that host our core business logic. Our systems cover all major areas of our business: inventory and pricing, product information, customer data, communications, partner data, booking systems, payments, and more. We employ state\-of\-the\-art CI/CD and testing techniques to ensure everything works without downtime. Our systems are self\-healing, responding gracefully to extreme loads or unexpected input. We use modern languages like Kotlin and Scala, Data technologies Kafka, Spark, MLflow, Kubeflow, VastStorage, StarRocks and agile development practices. Most importantly, we hire great people from around the world and empower them to be successful.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**What You’ll Need To Succeed**
* 10\+ years of experience developing performance\-critical applications in a production environment using Scala, Java, Kotlin, C\#, Go or relevant modern programming languages.
* Strong RDBMS knowledge (SQL Server, Oracle, MySQL, or other).
* Ability to direct significant company\-wide projects and sets technical vision.
* Good command of the English language.
* Deeply involved in making architectural decisions, setting the standard and direction for the team.
* Implement advanced CI/CD pipelines and robust testing strategies to ensure seamless integration, deployment, and high code quality.
* Passion for software development and continuous improvement of your knowledge and skills.
**It’s Great if You Have**
* Knowledge in NoSQL, Queueing systems (Kafka, RabbitMQ, ActiveMQ, MSMQ), and Play framework.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18">
      <c r="A218" t="inlineStr">
        <is>
          <t>li-4299767604</t>
        </is>
      </c>
      <c r="B218" t="inlineStr">
        <is>
          <t>Back End Staff Software Engineer (Bangkok based, Relocation provided)</t>
        </is>
      </c>
      <c r="C218" t="inlineStr">
        <is>
          <t>Agoda</t>
        </is>
      </c>
      <c r="D218" t="inlineStr">
        <is>
          <t>linkedin</t>
        </is>
      </c>
      <c r="E218">
        <f>HYPERLINK("https://www.linkedin.com/jobs/view/4299767604", "https://www.linkedin.com/jobs/view/4299767604")</f>
        <v/>
      </c>
      <c r="F218" t="inlineStr"/>
      <c r="G218" t="inlineStr">
        <is>
          <t>San Jose, CA</t>
        </is>
      </c>
      <c r="H218" t="inlineStr"/>
      <c r="I21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Back\-End Engineering department, we build scalable, fault\-tolerant systems and APIs that host our core business logic. Our systems cover all major areas of our business: inventory and pricing, product information, customer data, communications, partner data, booking systems, payments, and more. We employ state\-of\-the\-art CI/CD and testing techniques to ensure everything works without downtime. Our systems are self\-healing, responding gracefully to extreme loads or unexpected input. We use modern languages like Kotlin and Scala, Data technologies Kafka, Spark, MLflow, Kubeflow, VastStorage, StarRocks and agile development practices. Most importantly, we hire great people from around the world and empower them to be successful.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**What You’ll Need To Succeed**
* 10\+ years of experience developing performance\-critical applications in a production environment using Scala, Java, Kotlin, C\#, Go or relevant modern programming languages.
* Strong RDBMS knowledge (SQL Server, Oracle, MySQL, or other).
* Ability to direct significant company\-wide projects and sets technical vision.
* Good command of the English language.
* Deeply involved in making architectural decisions, setting the standard and direction for the team.
* Implement advanced CI/CD pipelines and robust testing strategies to ensure seamless integration, deployment, and high code quality.
* Passion for software development and continuous improvement of your knowledge and skills.
**It’s Great if You Have**
* Knowledge in NoSQL, Queueing systems (Kafka, RabbitMQ, ActiveMQ, MSMQ), and Play framework.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2026-02-09T00:34:45Z</dcterms:created>
  <dcterms:modified xsi:type="dcterms:W3CDTF">2026-02-09T00:34:45Z</dcterms:modified>
</cp:coreProperties>
</file>